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slg_cehua\trunk\数值文档\数值设计\"/>
    </mc:Choice>
  </mc:AlternateContent>
  <xr:revisionPtr revIDLastSave="0" documentId="13_ncr:1_{E8FA2376-5FC9-48D4-AD36-691212C07F3E}" xr6:coauthVersionLast="47" xr6:coauthVersionMax="47" xr10:uidLastSave="{00000000-0000-0000-0000-000000000000}"/>
  <bookViews>
    <workbookView xWindow="-120" yWindow="-120" windowWidth="29040" windowHeight="15840" tabRatio="822" activeTab="6" xr2:uid="{00000000-000D-0000-FFFF-FFFF00000000}"/>
  </bookViews>
  <sheets>
    <sheet name="节奏总纲" sheetId="52" r:id="rId1"/>
    <sheet name="套装属性规划" sheetId="57" r:id="rId2"/>
    <sheet name="设计思路" sheetId="61" r:id="rId3"/>
    <sheet name="节奏预期" sheetId="49" r:id="rId4"/>
    <sheet name="装备强化" sheetId="50" r:id="rId5"/>
    <sheet name="装备突破" sheetId="51" r:id="rId6"/>
    <sheet name="装备熔炼" sheetId="60" r:id="rId7"/>
    <sheet name="经验消耗" sheetId="55" r:id="rId8"/>
    <sheet name="银币消耗" sheetId="54" r:id="rId9"/>
    <sheet name="属性汇总" sheetId="56" r:id="rId10"/>
    <sheet name="装备数量阶位验证" sheetId="59" r:id="rId11"/>
    <sheet name="相关索引" sheetId="62" r:id="rId12"/>
    <sheet name="套装属性差异化(废弃)" sheetId="58" r:id="rId13"/>
    <sheet name="熔炼演算" sheetId="63" r:id="rId14"/>
    <sheet name="属性计算" sheetId="35" state="hidden" r:id="rId15"/>
  </sheets>
  <functionGroups builtInGroupCount="19"/>
  <externalReferences>
    <externalReference r:id="rId16"/>
    <externalReference r:id="rId17"/>
  </externalReferences>
  <calcPr calcId="191029"/>
  <customWorkbookViews>
    <customWorkbookView name="admin - 个人视图" guid="{459B7961-6E0F-4AD2-B1C7-0898323A2E74}" mergeInterval="0" personalView="1" maximized="1" windowWidth="1920" windowHeight="804" activeSheetId="3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29" i="60" l="1"/>
  <c r="J30" i="60"/>
  <c r="J31" i="60"/>
  <c r="J32" i="60" s="1"/>
  <c r="J28" i="60"/>
  <c r="J24" i="60"/>
  <c r="J25" i="60" s="1"/>
  <c r="J26" i="60" s="1"/>
  <c r="J27" i="60" s="1"/>
  <c r="J23" i="60"/>
  <c r="J18" i="60"/>
  <c r="J19" i="60" s="1"/>
  <c r="J20" i="60"/>
  <c r="J21" i="60" s="1"/>
  <c r="J22" i="60" s="1"/>
  <c r="J13" i="60"/>
  <c r="J14" i="60" s="1"/>
  <c r="J15" i="60" s="1"/>
  <c r="J16" i="60" s="1"/>
  <c r="J17" i="60" s="1"/>
  <c r="I4" i="63" l="1"/>
  <c r="J4" i="63"/>
  <c r="K4" i="63"/>
  <c r="L4" i="63"/>
  <c r="M4" i="63"/>
  <c r="I5" i="63"/>
  <c r="J5" i="63"/>
  <c r="K5" i="63"/>
  <c r="L5" i="63"/>
  <c r="M5" i="63"/>
  <c r="I6" i="63"/>
  <c r="J6" i="63"/>
  <c r="K6" i="63"/>
  <c r="L6" i="63"/>
  <c r="M6" i="63"/>
  <c r="I7" i="63"/>
  <c r="J7" i="63"/>
  <c r="K7" i="63"/>
  <c r="L7" i="63"/>
  <c r="M7" i="63"/>
  <c r="I8" i="63"/>
  <c r="J8" i="63"/>
  <c r="K8" i="63"/>
  <c r="L8" i="63"/>
  <c r="M8" i="63"/>
  <c r="I9" i="63"/>
  <c r="J9" i="63"/>
  <c r="K9" i="63"/>
  <c r="L9" i="63"/>
  <c r="M9" i="63"/>
  <c r="I10" i="63"/>
  <c r="J10" i="63"/>
  <c r="K10" i="63"/>
  <c r="L10" i="63"/>
  <c r="M10" i="63"/>
  <c r="I11" i="63"/>
  <c r="J11" i="63"/>
  <c r="K11" i="63"/>
  <c r="L11" i="63"/>
  <c r="M11" i="63"/>
  <c r="I12" i="63"/>
  <c r="J12" i="63"/>
  <c r="K12" i="63"/>
  <c r="L12" i="63"/>
  <c r="M12" i="63"/>
  <c r="I13" i="63"/>
  <c r="J13" i="63"/>
  <c r="K13" i="63"/>
  <c r="L13" i="63"/>
  <c r="M13" i="63"/>
  <c r="I14" i="63"/>
  <c r="J14" i="63"/>
  <c r="K14" i="63"/>
  <c r="L14" i="63"/>
  <c r="M14" i="63"/>
  <c r="I15" i="63"/>
  <c r="J15" i="63"/>
  <c r="K15" i="63"/>
  <c r="L15" i="63"/>
  <c r="M15" i="63"/>
  <c r="I16" i="63"/>
  <c r="J16" i="63"/>
  <c r="K16" i="63"/>
  <c r="L16" i="63"/>
  <c r="M16" i="63"/>
  <c r="I17" i="63"/>
  <c r="J17" i="63"/>
  <c r="K17" i="63"/>
  <c r="L17" i="63"/>
  <c r="M17" i="63"/>
  <c r="I18" i="63"/>
  <c r="J18" i="63"/>
  <c r="K18" i="63"/>
  <c r="L18" i="63"/>
  <c r="M18" i="63"/>
  <c r="I19" i="63"/>
  <c r="J19" i="63"/>
  <c r="K19" i="63"/>
  <c r="L19" i="63"/>
  <c r="M19" i="63"/>
  <c r="I20" i="63"/>
  <c r="J20" i="63"/>
  <c r="K20" i="63"/>
  <c r="L20" i="63"/>
  <c r="M20" i="63"/>
  <c r="I21" i="63"/>
  <c r="J21" i="63"/>
  <c r="K21" i="63"/>
  <c r="L21" i="63"/>
  <c r="M21" i="63"/>
  <c r="I22" i="63"/>
  <c r="J22" i="63"/>
  <c r="K22" i="63"/>
  <c r="L22" i="63"/>
  <c r="M22" i="63"/>
  <c r="I23" i="63"/>
  <c r="J23" i="63"/>
  <c r="K23" i="63"/>
  <c r="L23" i="63"/>
  <c r="M23" i="63"/>
  <c r="I24" i="63"/>
  <c r="J24" i="63"/>
  <c r="K24" i="63"/>
  <c r="L24" i="63"/>
  <c r="M24" i="63"/>
  <c r="I25" i="63"/>
  <c r="J25" i="63"/>
  <c r="K25" i="63"/>
  <c r="L25" i="63"/>
  <c r="M25" i="63"/>
  <c r="I26" i="63"/>
  <c r="J26" i="63"/>
  <c r="K26" i="63"/>
  <c r="L26" i="63"/>
  <c r="M26" i="63"/>
  <c r="I27" i="63"/>
  <c r="J27" i="63"/>
  <c r="K27" i="63"/>
  <c r="L27" i="63"/>
  <c r="M27" i="63"/>
  <c r="I28" i="63"/>
  <c r="J28" i="63"/>
  <c r="K28" i="63"/>
  <c r="L28" i="63"/>
  <c r="M28" i="63"/>
  <c r="I29" i="63"/>
  <c r="J29" i="63"/>
  <c r="K29" i="63"/>
  <c r="L29" i="63"/>
  <c r="M29" i="63"/>
  <c r="I30" i="63"/>
  <c r="J30" i="63"/>
  <c r="K30" i="63"/>
  <c r="L30" i="63"/>
  <c r="M30" i="63"/>
  <c r="I31" i="63"/>
  <c r="J31" i="63"/>
  <c r="K31" i="63"/>
  <c r="L31" i="63"/>
  <c r="M31" i="63"/>
  <c r="I32" i="63"/>
  <c r="J32" i="63"/>
  <c r="K32" i="63"/>
  <c r="L32" i="63"/>
  <c r="M32" i="63"/>
  <c r="I33" i="63"/>
  <c r="J33" i="63"/>
  <c r="K33" i="63"/>
  <c r="L33" i="63"/>
  <c r="M33" i="63"/>
  <c r="I34" i="63"/>
  <c r="J34" i="63"/>
  <c r="K34" i="63"/>
  <c r="L34" i="63"/>
  <c r="M34" i="63"/>
  <c r="I35" i="63"/>
  <c r="J35" i="63"/>
  <c r="K35" i="63"/>
  <c r="L35" i="63"/>
  <c r="M35" i="63"/>
  <c r="I36" i="63"/>
  <c r="J36" i="63"/>
  <c r="K36" i="63"/>
  <c r="L36" i="63"/>
  <c r="M36" i="63"/>
  <c r="I37" i="63"/>
  <c r="J37" i="63"/>
  <c r="K37" i="63"/>
  <c r="L37" i="63"/>
  <c r="M37" i="63"/>
  <c r="I38" i="63"/>
  <c r="J38" i="63"/>
  <c r="K38" i="63"/>
  <c r="L38" i="63"/>
  <c r="M38" i="63"/>
  <c r="I39" i="63"/>
  <c r="J39" i="63"/>
  <c r="K39" i="63"/>
  <c r="L39" i="63"/>
  <c r="M39" i="63"/>
  <c r="I40" i="63"/>
  <c r="J40" i="63"/>
  <c r="K40" i="63"/>
  <c r="L40" i="63"/>
  <c r="M40" i="63"/>
  <c r="I41" i="63"/>
  <c r="J41" i="63"/>
  <c r="K41" i="63"/>
  <c r="L41" i="63"/>
  <c r="M41" i="63"/>
  <c r="I42" i="63"/>
  <c r="J42" i="63"/>
  <c r="K42" i="63"/>
  <c r="L42" i="63"/>
  <c r="M42" i="63"/>
  <c r="I43" i="63"/>
  <c r="J43" i="63"/>
  <c r="K43" i="63"/>
  <c r="L43" i="63"/>
  <c r="M43" i="63"/>
  <c r="I44" i="63"/>
  <c r="J44" i="63"/>
  <c r="K44" i="63"/>
  <c r="L44" i="63"/>
  <c r="M44" i="63"/>
  <c r="I45" i="63"/>
  <c r="J45" i="63"/>
  <c r="K45" i="63"/>
  <c r="L45" i="63"/>
  <c r="M45" i="63"/>
  <c r="I46" i="63"/>
  <c r="J46" i="63"/>
  <c r="K46" i="63"/>
  <c r="L46" i="63"/>
  <c r="M46" i="63"/>
  <c r="I47" i="63"/>
  <c r="J47" i="63"/>
  <c r="K47" i="63"/>
  <c r="L47" i="63"/>
  <c r="M47" i="63"/>
  <c r="I48" i="63"/>
  <c r="J48" i="63"/>
  <c r="K48" i="63"/>
  <c r="L48" i="63"/>
  <c r="M48" i="63"/>
  <c r="I49" i="63"/>
  <c r="J49" i="63"/>
  <c r="K49" i="63"/>
  <c r="L49" i="63"/>
  <c r="M49" i="63"/>
  <c r="I50" i="63"/>
  <c r="J50" i="63"/>
  <c r="K50" i="63"/>
  <c r="L50" i="63"/>
  <c r="M50" i="63"/>
  <c r="I51" i="63"/>
  <c r="J51" i="63"/>
  <c r="K51" i="63"/>
  <c r="L51" i="63"/>
  <c r="M51" i="63"/>
  <c r="I52" i="63"/>
  <c r="J52" i="63"/>
  <c r="K52" i="63"/>
  <c r="L52" i="63"/>
  <c r="M52" i="63"/>
  <c r="I53" i="63"/>
  <c r="J53" i="63"/>
  <c r="K53" i="63"/>
  <c r="L53" i="63"/>
  <c r="M53" i="63"/>
  <c r="I54" i="63"/>
  <c r="J54" i="63"/>
  <c r="K54" i="63"/>
  <c r="L54" i="63"/>
  <c r="M54" i="63"/>
  <c r="I55" i="63"/>
  <c r="J55" i="63"/>
  <c r="K55" i="63"/>
  <c r="L55" i="63"/>
  <c r="M55" i="63"/>
  <c r="I56" i="63"/>
  <c r="J56" i="63"/>
  <c r="K56" i="63"/>
  <c r="L56" i="63"/>
  <c r="M56" i="63"/>
  <c r="I57" i="63"/>
  <c r="J57" i="63"/>
  <c r="K57" i="63"/>
  <c r="L57" i="63"/>
  <c r="M57" i="63"/>
  <c r="I58" i="63"/>
  <c r="J58" i="63"/>
  <c r="K58" i="63"/>
  <c r="L58" i="63"/>
  <c r="M58" i="63"/>
  <c r="I59" i="63"/>
  <c r="J59" i="63"/>
  <c r="K59" i="63"/>
  <c r="L59" i="63"/>
  <c r="M59" i="63"/>
  <c r="I60" i="63"/>
  <c r="J60" i="63"/>
  <c r="K60" i="63"/>
  <c r="L60" i="63"/>
  <c r="M60" i="63"/>
  <c r="I61" i="63"/>
  <c r="J61" i="63"/>
  <c r="K61" i="63"/>
  <c r="L61" i="63"/>
  <c r="M61" i="63"/>
  <c r="I62" i="63"/>
  <c r="J62" i="63"/>
  <c r="K62" i="63"/>
  <c r="L62" i="63"/>
  <c r="M62" i="63"/>
  <c r="I63" i="63"/>
  <c r="J63" i="63"/>
  <c r="K63" i="63"/>
  <c r="L63" i="63"/>
  <c r="M63" i="63"/>
  <c r="I64" i="63"/>
  <c r="J64" i="63"/>
  <c r="K64" i="63"/>
  <c r="L64" i="63"/>
  <c r="M64" i="63"/>
  <c r="I65" i="63"/>
  <c r="J65" i="63"/>
  <c r="K65" i="63"/>
  <c r="L65" i="63"/>
  <c r="M65" i="63"/>
  <c r="I66" i="63"/>
  <c r="J66" i="63"/>
  <c r="K66" i="63"/>
  <c r="L66" i="63"/>
  <c r="M66" i="63"/>
  <c r="I67" i="63"/>
  <c r="J67" i="63"/>
  <c r="K67" i="63"/>
  <c r="L67" i="63"/>
  <c r="M67" i="63"/>
  <c r="I68" i="63"/>
  <c r="J68" i="63"/>
  <c r="K68" i="63"/>
  <c r="L68" i="63"/>
  <c r="M68" i="63"/>
  <c r="I69" i="63"/>
  <c r="J69" i="63"/>
  <c r="K69" i="63"/>
  <c r="L69" i="63"/>
  <c r="M69" i="63"/>
  <c r="I70" i="63"/>
  <c r="J70" i="63"/>
  <c r="K70" i="63"/>
  <c r="L70" i="63"/>
  <c r="M70" i="63"/>
  <c r="I71" i="63"/>
  <c r="J71" i="63"/>
  <c r="K71" i="63"/>
  <c r="L71" i="63"/>
  <c r="M71" i="63"/>
  <c r="I72" i="63"/>
  <c r="J72" i="63"/>
  <c r="K72" i="63"/>
  <c r="L72" i="63"/>
  <c r="M72" i="63"/>
  <c r="I73" i="63"/>
  <c r="J73" i="63"/>
  <c r="K73" i="63"/>
  <c r="L73" i="63"/>
  <c r="M73" i="63"/>
  <c r="I74" i="63"/>
  <c r="J74" i="63"/>
  <c r="K74" i="63"/>
  <c r="L74" i="63"/>
  <c r="M74" i="63"/>
  <c r="I75" i="63"/>
  <c r="J75" i="63"/>
  <c r="K75" i="63"/>
  <c r="L75" i="63"/>
  <c r="M75" i="63"/>
  <c r="I76" i="63"/>
  <c r="J76" i="63"/>
  <c r="K76" i="63"/>
  <c r="L76" i="63"/>
  <c r="M76" i="63"/>
  <c r="I77" i="63"/>
  <c r="J77" i="63"/>
  <c r="K77" i="63"/>
  <c r="L77" i="63"/>
  <c r="M77" i="63"/>
  <c r="I78" i="63"/>
  <c r="J78" i="63"/>
  <c r="K78" i="63"/>
  <c r="L78" i="63"/>
  <c r="M78" i="63"/>
  <c r="I79" i="63"/>
  <c r="J79" i="63"/>
  <c r="K79" i="63"/>
  <c r="L79" i="63"/>
  <c r="M79" i="63"/>
  <c r="I80" i="63"/>
  <c r="J80" i="63"/>
  <c r="K80" i="63"/>
  <c r="L80" i="63"/>
  <c r="M80" i="63"/>
  <c r="I81" i="63"/>
  <c r="J81" i="63"/>
  <c r="K81" i="63"/>
  <c r="L81" i="63"/>
  <c r="M81" i="63"/>
  <c r="I82" i="63"/>
  <c r="J82" i="63"/>
  <c r="K82" i="63"/>
  <c r="L82" i="63"/>
  <c r="M82" i="63"/>
  <c r="I83" i="63"/>
  <c r="J83" i="63"/>
  <c r="K83" i="63"/>
  <c r="L83" i="63"/>
  <c r="M83" i="63"/>
  <c r="I84" i="63"/>
  <c r="J84" i="63"/>
  <c r="K84" i="63"/>
  <c r="L84" i="63"/>
  <c r="M84" i="63"/>
  <c r="I85" i="63"/>
  <c r="J85" i="63"/>
  <c r="K85" i="63"/>
  <c r="L85" i="63"/>
  <c r="M85" i="63"/>
  <c r="I86" i="63"/>
  <c r="J86" i="63"/>
  <c r="K86" i="63"/>
  <c r="L86" i="63"/>
  <c r="M86" i="63"/>
  <c r="I87" i="63"/>
  <c r="J87" i="63"/>
  <c r="K87" i="63"/>
  <c r="L87" i="63"/>
  <c r="M87" i="63"/>
  <c r="I88" i="63"/>
  <c r="J88" i="63"/>
  <c r="K88" i="63"/>
  <c r="L88" i="63"/>
  <c r="M88" i="63"/>
  <c r="I89" i="63"/>
  <c r="J89" i="63"/>
  <c r="K89" i="63"/>
  <c r="L89" i="63"/>
  <c r="M89" i="63"/>
  <c r="I90" i="63"/>
  <c r="J90" i="63"/>
  <c r="K90" i="63"/>
  <c r="L90" i="63"/>
  <c r="M90" i="63"/>
  <c r="I91" i="63"/>
  <c r="J91" i="63"/>
  <c r="K91" i="63"/>
  <c r="L91" i="63"/>
  <c r="M91" i="63"/>
  <c r="I92" i="63"/>
  <c r="J92" i="63"/>
  <c r="K92" i="63"/>
  <c r="L92" i="63"/>
  <c r="M92" i="63"/>
  <c r="I93" i="63"/>
  <c r="J93" i="63"/>
  <c r="K93" i="63"/>
  <c r="L93" i="63"/>
  <c r="M93" i="63"/>
  <c r="I94" i="63"/>
  <c r="J94" i="63"/>
  <c r="K94" i="63"/>
  <c r="L94" i="63"/>
  <c r="M94" i="63"/>
  <c r="I95" i="63"/>
  <c r="J95" i="63"/>
  <c r="K95" i="63"/>
  <c r="L95" i="63"/>
  <c r="M95" i="63"/>
  <c r="I96" i="63"/>
  <c r="J96" i="63"/>
  <c r="K96" i="63"/>
  <c r="L96" i="63"/>
  <c r="M96" i="63"/>
  <c r="I97" i="63"/>
  <c r="J97" i="63"/>
  <c r="K97" i="63"/>
  <c r="L97" i="63"/>
  <c r="M97" i="63"/>
  <c r="I98" i="63"/>
  <c r="J98" i="63"/>
  <c r="K98" i="63"/>
  <c r="L98" i="63"/>
  <c r="M98" i="63"/>
  <c r="I99" i="63"/>
  <c r="J99" i="63"/>
  <c r="K99" i="63"/>
  <c r="L99" i="63"/>
  <c r="M99" i="63"/>
  <c r="I100" i="63"/>
  <c r="J100" i="63"/>
  <c r="K100" i="63"/>
  <c r="L100" i="63"/>
  <c r="M100" i="63"/>
  <c r="I101" i="63"/>
  <c r="J101" i="63"/>
  <c r="K101" i="63"/>
  <c r="L101" i="63"/>
  <c r="M101" i="63"/>
  <c r="I102" i="63"/>
  <c r="J102" i="63"/>
  <c r="K102" i="63"/>
  <c r="L102" i="63"/>
  <c r="M102" i="63"/>
  <c r="I103" i="63"/>
  <c r="J103" i="63"/>
  <c r="K103" i="63"/>
  <c r="L103" i="63"/>
  <c r="M103" i="63"/>
  <c r="J3" i="63"/>
  <c r="K3" i="63"/>
  <c r="L3" i="63"/>
  <c r="M3" i="63"/>
  <c r="I3" i="63"/>
  <c r="D4" i="63"/>
  <c r="E4" i="63"/>
  <c r="F4" i="63"/>
  <c r="G4" i="63"/>
  <c r="H4" i="63"/>
  <c r="D5" i="63"/>
  <c r="E5" i="63"/>
  <c r="F5" i="63"/>
  <c r="G5" i="63"/>
  <c r="H5" i="63"/>
  <c r="D6" i="63"/>
  <c r="E6" i="63"/>
  <c r="F6" i="63"/>
  <c r="G6" i="63"/>
  <c r="H6" i="63"/>
  <c r="D7" i="63"/>
  <c r="E7" i="63"/>
  <c r="F7" i="63"/>
  <c r="G7" i="63"/>
  <c r="H7" i="63"/>
  <c r="D8" i="63"/>
  <c r="E8" i="63"/>
  <c r="F8" i="63"/>
  <c r="G8" i="63"/>
  <c r="H8" i="63"/>
  <c r="D9" i="63"/>
  <c r="E9" i="63"/>
  <c r="F9" i="63"/>
  <c r="G9" i="63"/>
  <c r="H9" i="63"/>
  <c r="D10" i="63"/>
  <c r="E10" i="63"/>
  <c r="F10" i="63"/>
  <c r="G10" i="63"/>
  <c r="H10" i="63"/>
  <c r="D11" i="63"/>
  <c r="E11" i="63"/>
  <c r="F11" i="63"/>
  <c r="G11" i="63"/>
  <c r="H11" i="63"/>
  <c r="D12" i="63"/>
  <c r="E12" i="63"/>
  <c r="F12" i="63"/>
  <c r="G12" i="63"/>
  <c r="H12" i="63"/>
  <c r="D13" i="63"/>
  <c r="E13" i="63"/>
  <c r="F13" i="63"/>
  <c r="G13" i="63"/>
  <c r="H13" i="63"/>
  <c r="D14" i="63"/>
  <c r="E14" i="63"/>
  <c r="F14" i="63"/>
  <c r="G14" i="63"/>
  <c r="H14" i="63"/>
  <c r="D15" i="63"/>
  <c r="E15" i="63"/>
  <c r="F15" i="63"/>
  <c r="G15" i="63"/>
  <c r="H15" i="63"/>
  <c r="D16" i="63"/>
  <c r="E16" i="63"/>
  <c r="F16" i="63"/>
  <c r="G16" i="63"/>
  <c r="H16" i="63"/>
  <c r="D17" i="63"/>
  <c r="E17" i="63"/>
  <c r="F17" i="63"/>
  <c r="G17" i="63"/>
  <c r="H17" i="63"/>
  <c r="D18" i="63"/>
  <c r="E18" i="63"/>
  <c r="F18" i="63"/>
  <c r="G18" i="63"/>
  <c r="H18" i="63"/>
  <c r="D19" i="63"/>
  <c r="E19" i="63"/>
  <c r="F19" i="63"/>
  <c r="G19" i="63"/>
  <c r="H19" i="63"/>
  <c r="D20" i="63"/>
  <c r="E20" i="63"/>
  <c r="F20" i="63"/>
  <c r="G20" i="63"/>
  <c r="H20" i="63"/>
  <c r="D21" i="63"/>
  <c r="E21" i="63"/>
  <c r="F21" i="63"/>
  <c r="G21" i="63"/>
  <c r="H21" i="63"/>
  <c r="D22" i="63"/>
  <c r="E22" i="63"/>
  <c r="F22" i="63"/>
  <c r="G22" i="63"/>
  <c r="H22" i="63"/>
  <c r="D23" i="63"/>
  <c r="E23" i="63"/>
  <c r="F23" i="63"/>
  <c r="G23" i="63"/>
  <c r="H23" i="63"/>
  <c r="D24" i="63"/>
  <c r="E24" i="63"/>
  <c r="F24" i="63"/>
  <c r="G24" i="63"/>
  <c r="H24" i="63"/>
  <c r="D25" i="63"/>
  <c r="E25" i="63"/>
  <c r="F25" i="63"/>
  <c r="G25" i="63"/>
  <c r="H25" i="63"/>
  <c r="D26" i="63"/>
  <c r="E26" i="63"/>
  <c r="F26" i="63"/>
  <c r="G26" i="63"/>
  <c r="H26" i="63"/>
  <c r="D27" i="63"/>
  <c r="E27" i="63"/>
  <c r="F27" i="63"/>
  <c r="G27" i="63"/>
  <c r="H27" i="63"/>
  <c r="D28" i="63"/>
  <c r="E28" i="63"/>
  <c r="F28" i="63"/>
  <c r="G28" i="63"/>
  <c r="H28" i="63"/>
  <c r="D29" i="63"/>
  <c r="E29" i="63"/>
  <c r="F29" i="63"/>
  <c r="G29" i="63"/>
  <c r="H29" i="63"/>
  <c r="D30" i="63"/>
  <c r="E30" i="63"/>
  <c r="F30" i="63"/>
  <c r="G30" i="63"/>
  <c r="H30" i="63"/>
  <c r="D31" i="63"/>
  <c r="E31" i="63"/>
  <c r="F31" i="63"/>
  <c r="G31" i="63"/>
  <c r="H31" i="63"/>
  <c r="D32" i="63"/>
  <c r="E32" i="63"/>
  <c r="F32" i="63"/>
  <c r="G32" i="63"/>
  <c r="H32" i="63"/>
  <c r="D33" i="63"/>
  <c r="E33" i="63"/>
  <c r="F33" i="63"/>
  <c r="G33" i="63"/>
  <c r="H33" i="63"/>
  <c r="D34" i="63"/>
  <c r="E34" i="63"/>
  <c r="F34" i="63"/>
  <c r="G34" i="63"/>
  <c r="H34" i="63"/>
  <c r="D35" i="63"/>
  <c r="E35" i="63"/>
  <c r="F35" i="63"/>
  <c r="G35" i="63"/>
  <c r="H35" i="63"/>
  <c r="D36" i="63"/>
  <c r="E36" i="63"/>
  <c r="F36" i="63"/>
  <c r="G36" i="63"/>
  <c r="H36" i="63"/>
  <c r="D37" i="63"/>
  <c r="E37" i="63"/>
  <c r="F37" i="63"/>
  <c r="G37" i="63"/>
  <c r="H37" i="63"/>
  <c r="D38" i="63"/>
  <c r="E38" i="63"/>
  <c r="F38" i="63"/>
  <c r="G38" i="63"/>
  <c r="H38" i="63"/>
  <c r="D39" i="63"/>
  <c r="E39" i="63"/>
  <c r="F39" i="63"/>
  <c r="G39" i="63"/>
  <c r="H39" i="63"/>
  <c r="D40" i="63"/>
  <c r="E40" i="63"/>
  <c r="F40" i="63"/>
  <c r="G40" i="63"/>
  <c r="H40" i="63"/>
  <c r="D41" i="63"/>
  <c r="E41" i="63"/>
  <c r="F41" i="63"/>
  <c r="G41" i="63"/>
  <c r="H41" i="63"/>
  <c r="D42" i="63"/>
  <c r="E42" i="63"/>
  <c r="F42" i="63"/>
  <c r="G42" i="63"/>
  <c r="H42" i="63"/>
  <c r="D43" i="63"/>
  <c r="E43" i="63"/>
  <c r="F43" i="63"/>
  <c r="G43" i="63"/>
  <c r="H43" i="63"/>
  <c r="D44" i="63"/>
  <c r="E44" i="63"/>
  <c r="F44" i="63"/>
  <c r="G44" i="63"/>
  <c r="H44" i="63"/>
  <c r="D45" i="63"/>
  <c r="E45" i="63"/>
  <c r="F45" i="63"/>
  <c r="G45" i="63"/>
  <c r="H45" i="63"/>
  <c r="D46" i="63"/>
  <c r="E46" i="63"/>
  <c r="F46" i="63"/>
  <c r="G46" i="63"/>
  <c r="H46" i="63"/>
  <c r="D47" i="63"/>
  <c r="E47" i="63"/>
  <c r="F47" i="63"/>
  <c r="G47" i="63"/>
  <c r="H47" i="63"/>
  <c r="D48" i="63"/>
  <c r="E48" i="63"/>
  <c r="F48" i="63"/>
  <c r="G48" i="63"/>
  <c r="H48" i="63"/>
  <c r="D49" i="63"/>
  <c r="E49" i="63"/>
  <c r="F49" i="63"/>
  <c r="G49" i="63"/>
  <c r="H49" i="63"/>
  <c r="D50" i="63"/>
  <c r="E50" i="63"/>
  <c r="F50" i="63"/>
  <c r="G50" i="63"/>
  <c r="H50" i="63"/>
  <c r="D51" i="63"/>
  <c r="E51" i="63"/>
  <c r="F51" i="63"/>
  <c r="G51" i="63"/>
  <c r="H51" i="63"/>
  <c r="D52" i="63"/>
  <c r="E52" i="63"/>
  <c r="F52" i="63"/>
  <c r="G52" i="63"/>
  <c r="H52" i="63"/>
  <c r="D53" i="63"/>
  <c r="E53" i="63"/>
  <c r="F53" i="63"/>
  <c r="G53" i="63"/>
  <c r="H53" i="63"/>
  <c r="D54" i="63"/>
  <c r="E54" i="63"/>
  <c r="F54" i="63"/>
  <c r="G54" i="63"/>
  <c r="H54" i="63"/>
  <c r="D55" i="63"/>
  <c r="E55" i="63"/>
  <c r="F55" i="63"/>
  <c r="G55" i="63"/>
  <c r="H55" i="63"/>
  <c r="D56" i="63"/>
  <c r="E56" i="63"/>
  <c r="F56" i="63"/>
  <c r="G56" i="63"/>
  <c r="H56" i="63"/>
  <c r="D57" i="63"/>
  <c r="E57" i="63"/>
  <c r="F57" i="63"/>
  <c r="G57" i="63"/>
  <c r="H57" i="63"/>
  <c r="D58" i="63"/>
  <c r="E58" i="63"/>
  <c r="F58" i="63"/>
  <c r="G58" i="63"/>
  <c r="H58" i="63"/>
  <c r="D59" i="63"/>
  <c r="E59" i="63"/>
  <c r="F59" i="63"/>
  <c r="G59" i="63"/>
  <c r="H59" i="63"/>
  <c r="D60" i="63"/>
  <c r="E60" i="63"/>
  <c r="F60" i="63"/>
  <c r="G60" i="63"/>
  <c r="H60" i="63"/>
  <c r="D61" i="63"/>
  <c r="E61" i="63"/>
  <c r="F61" i="63"/>
  <c r="G61" i="63"/>
  <c r="H61" i="63"/>
  <c r="D62" i="63"/>
  <c r="E62" i="63"/>
  <c r="F62" i="63"/>
  <c r="G62" i="63"/>
  <c r="H62" i="63"/>
  <c r="D63" i="63"/>
  <c r="E63" i="63"/>
  <c r="F63" i="63"/>
  <c r="G63" i="63"/>
  <c r="H63" i="63"/>
  <c r="D64" i="63"/>
  <c r="E64" i="63"/>
  <c r="F64" i="63"/>
  <c r="G64" i="63"/>
  <c r="H64" i="63"/>
  <c r="D65" i="63"/>
  <c r="E65" i="63"/>
  <c r="F65" i="63"/>
  <c r="G65" i="63"/>
  <c r="H65" i="63"/>
  <c r="D66" i="63"/>
  <c r="E66" i="63"/>
  <c r="F66" i="63"/>
  <c r="G66" i="63"/>
  <c r="H66" i="63"/>
  <c r="D67" i="63"/>
  <c r="E67" i="63"/>
  <c r="F67" i="63"/>
  <c r="G67" i="63"/>
  <c r="H67" i="63"/>
  <c r="D68" i="63"/>
  <c r="E68" i="63"/>
  <c r="F68" i="63"/>
  <c r="G68" i="63"/>
  <c r="H68" i="63"/>
  <c r="D69" i="63"/>
  <c r="E69" i="63"/>
  <c r="F69" i="63"/>
  <c r="G69" i="63"/>
  <c r="H69" i="63"/>
  <c r="D70" i="63"/>
  <c r="E70" i="63"/>
  <c r="F70" i="63"/>
  <c r="G70" i="63"/>
  <c r="H70" i="63"/>
  <c r="D71" i="63"/>
  <c r="E71" i="63"/>
  <c r="F71" i="63"/>
  <c r="G71" i="63"/>
  <c r="H71" i="63"/>
  <c r="D72" i="63"/>
  <c r="E72" i="63"/>
  <c r="F72" i="63"/>
  <c r="G72" i="63"/>
  <c r="H72" i="63"/>
  <c r="D73" i="63"/>
  <c r="E73" i="63"/>
  <c r="F73" i="63"/>
  <c r="G73" i="63"/>
  <c r="H73" i="63"/>
  <c r="D74" i="63"/>
  <c r="E74" i="63"/>
  <c r="F74" i="63"/>
  <c r="G74" i="63"/>
  <c r="H74" i="63"/>
  <c r="D75" i="63"/>
  <c r="E75" i="63"/>
  <c r="F75" i="63"/>
  <c r="G75" i="63"/>
  <c r="H75" i="63"/>
  <c r="D76" i="63"/>
  <c r="E76" i="63"/>
  <c r="F76" i="63"/>
  <c r="G76" i="63"/>
  <c r="H76" i="63"/>
  <c r="D77" i="63"/>
  <c r="E77" i="63"/>
  <c r="F77" i="63"/>
  <c r="G77" i="63"/>
  <c r="H77" i="63"/>
  <c r="D78" i="63"/>
  <c r="E78" i="63"/>
  <c r="F78" i="63"/>
  <c r="G78" i="63"/>
  <c r="H78" i="63"/>
  <c r="D79" i="63"/>
  <c r="E79" i="63"/>
  <c r="F79" i="63"/>
  <c r="G79" i="63"/>
  <c r="H79" i="63"/>
  <c r="D80" i="63"/>
  <c r="E80" i="63"/>
  <c r="F80" i="63"/>
  <c r="G80" i="63"/>
  <c r="H80" i="63"/>
  <c r="D81" i="63"/>
  <c r="E81" i="63"/>
  <c r="F81" i="63"/>
  <c r="G81" i="63"/>
  <c r="H81" i="63"/>
  <c r="D82" i="63"/>
  <c r="E82" i="63"/>
  <c r="F82" i="63"/>
  <c r="G82" i="63"/>
  <c r="H82" i="63"/>
  <c r="D83" i="63"/>
  <c r="E83" i="63"/>
  <c r="F83" i="63"/>
  <c r="G83" i="63"/>
  <c r="H83" i="63"/>
  <c r="D84" i="63"/>
  <c r="E84" i="63"/>
  <c r="F84" i="63"/>
  <c r="G84" i="63"/>
  <c r="H84" i="63"/>
  <c r="D85" i="63"/>
  <c r="E85" i="63"/>
  <c r="F85" i="63"/>
  <c r="G85" i="63"/>
  <c r="H85" i="63"/>
  <c r="D86" i="63"/>
  <c r="E86" i="63"/>
  <c r="F86" i="63"/>
  <c r="G86" i="63"/>
  <c r="H86" i="63"/>
  <c r="D87" i="63"/>
  <c r="E87" i="63"/>
  <c r="F87" i="63"/>
  <c r="G87" i="63"/>
  <c r="H87" i="63"/>
  <c r="D88" i="63"/>
  <c r="E88" i="63"/>
  <c r="F88" i="63"/>
  <c r="G88" i="63"/>
  <c r="H88" i="63"/>
  <c r="D89" i="63"/>
  <c r="E89" i="63"/>
  <c r="F89" i="63"/>
  <c r="G89" i="63"/>
  <c r="H89" i="63"/>
  <c r="D90" i="63"/>
  <c r="E90" i="63"/>
  <c r="F90" i="63"/>
  <c r="G90" i="63"/>
  <c r="H90" i="63"/>
  <c r="D91" i="63"/>
  <c r="E91" i="63"/>
  <c r="F91" i="63"/>
  <c r="G91" i="63"/>
  <c r="H91" i="63"/>
  <c r="D92" i="63"/>
  <c r="E92" i="63"/>
  <c r="F92" i="63"/>
  <c r="G92" i="63"/>
  <c r="H92" i="63"/>
  <c r="D93" i="63"/>
  <c r="E93" i="63"/>
  <c r="F93" i="63"/>
  <c r="G93" i="63"/>
  <c r="H93" i="63"/>
  <c r="D94" i="63"/>
  <c r="E94" i="63"/>
  <c r="F94" i="63"/>
  <c r="G94" i="63"/>
  <c r="H94" i="63"/>
  <c r="D95" i="63"/>
  <c r="E95" i="63"/>
  <c r="F95" i="63"/>
  <c r="G95" i="63"/>
  <c r="H95" i="63"/>
  <c r="D96" i="63"/>
  <c r="E96" i="63"/>
  <c r="F96" i="63"/>
  <c r="G96" i="63"/>
  <c r="H96" i="63"/>
  <c r="D97" i="63"/>
  <c r="E97" i="63"/>
  <c r="F97" i="63"/>
  <c r="G97" i="63"/>
  <c r="H97" i="63"/>
  <c r="D98" i="63"/>
  <c r="E98" i="63"/>
  <c r="F98" i="63"/>
  <c r="G98" i="63"/>
  <c r="H98" i="63"/>
  <c r="D99" i="63"/>
  <c r="E99" i="63"/>
  <c r="F99" i="63"/>
  <c r="G99" i="63"/>
  <c r="H99" i="63"/>
  <c r="D100" i="63"/>
  <c r="E100" i="63"/>
  <c r="F100" i="63"/>
  <c r="G100" i="63"/>
  <c r="H100" i="63"/>
  <c r="D101" i="63"/>
  <c r="E101" i="63"/>
  <c r="F101" i="63"/>
  <c r="G101" i="63"/>
  <c r="H101" i="63"/>
  <c r="D102" i="63"/>
  <c r="E102" i="63"/>
  <c r="F102" i="63"/>
  <c r="G102" i="63"/>
  <c r="H102" i="63"/>
  <c r="D103" i="63"/>
  <c r="E103" i="63"/>
  <c r="F103" i="63"/>
  <c r="G103" i="63"/>
  <c r="H103" i="63"/>
  <c r="E3" i="63"/>
  <c r="F3" i="63"/>
  <c r="G3" i="63"/>
  <c r="H3" i="63"/>
  <c r="D3" i="63"/>
  <c r="R3" i="63"/>
  <c r="R13" i="63"/>
  <c r="R9" i="63"/>
  <c r="R7" i="63"/>
  <c r="R11" i="63"/>
  <c r="R5" i="63"/>
  <c r="R12" i="63"/>
  <c r="R10" i="63"/>
  <c r="R8" i="63"/>
  <c r="R6" i="63"/>
  <c r="R4" i="63"/>
  <c r="S3" i="63"/>
  <c r="S13" i="63"/>
  <c r="S11" i="63"/>
  <c r="S9" i="63"/>
  <c r="S7" i="63"/>
  <c r="S5" i="63"/>
  <c r="S12" i="63"/>
  <c r="S10" i="63"/>
  <c r="S8" i="63"/>
  <c r="S6" i="63"/>
  <c r="S4" i="63"/>
  <c r="T3" i="63"/>
  <c r="T13" i="63"/>
  <c r="T11" i="63"/>
  <c r="T9" i="63"/>
  <c r="T7" i="63"/>
  <c r="T5" i="63"/>
  <c r="T12" i="63"/>
  <c r="T8" i="63"/>
  <c r="T4" i="63"/>
  <c r="T10" i="63"/>
  <c r="T6" i="63"/>
  <c r="U3" i="63"/>
  <c r="U13" i="63"/>
  <c r="U11" i="63"/>
  <c r="U9" i="63"/>
  <c r="U7" i="63"/>
  <c r="U5" i="63"/>
  <c r="U12" i="63"/>
  <c r="U8" i="63"/>
  <c r="U6" i="63"/>
  <c r="U10" i="63"/>
  <c r="U4" i="63"/>
  <c r="F13" i="60" l="1"/>
  <c r="F18" i="60"/>
  <c r="F23" i="60"/>
  <c r="F28" i="60"/>
  <c r="F8" i="60"/>
  <c r="O10" i="60" l="1"/>
  <c r="O11" i="60" s="1"/>
  <c r="O12" i="60" s="1"/>
  <c r="O13" i="60" s="1"/>
  <c r="O14" i="60" s="1"/>
  <c r="O15" i="60" s="1"/>
  <c r="O16" i="60" s="1"/>
  <c r="O17" i="60" s="1"/>
  <c r="O18" i="60" s="1"/>
  <c r="O19" i="60" s="1"/>
  <c r="O20" i="60" s="1"/>
  <c r="O21" i="60" s="1"/>
  <c r="O22" i="60" s="1"/>
  <c r="O23" i="60" s="1"/>
  <c r="O24" i="60" s="1"/>
  <c r="O25" i="60" s="1"/>
  <c r="O26" i="60" s="1"/>
  <c r="O27" i="60" s="1"/>
  <c r="O28" i="60" s="1"/>
  <c r="O29" i="60" s="1"/>
  <c r="O30" i="60" s="1"/>
  <c r="O31" i="60" s="1"/>
  <c r="O32" i="60" s="1"/>
  <c r="O9" i="60"/>
  <c r="F14" i="60"/>
  <c r="F10" i="60" l="1"/>
  <c r="F9" i="60"/>
  <c r="F19" i="60"/>
  <c r="F24" i="60"/>
  <c r="F29" i="60"/>
  <c r="F11" i="60"/>
  <c r="L9" i="60"/>
  <c r="L14" i="60" s="1"/>
  <c r="L19" i="60" s="1"/>
  <c r="L24" i="60" s="1"/>
  <c r="L29" i="60" s="1"/>
  <c r="L13" i="60"/>
  <c r="L18" i="60" s="1"/>
  <c r="L23" i="60" s="1"/>
  <c r="L28" i="60" s="1"/>
  <c r="AX144" i="60"/>
  <c r="AX53" i="60"/>
  <c r="AX10" i="60"/>
  <c r="AX189" i="60"/>
  <c r="AX145" i="60"/>
  <c r="AX54" i="60"/>
  <c r="AX6" i="60"/>
  <c r="AX190" i="60"/>
  <c r="AX141" i="60"/>
  <c r="AX55" i="60"/>
  <c r="AX187" i="60"/>
  <c r="AX100" i="60"/>
  <c r="AX52" i="60"/>
  <c r="AX188" i="60"/>
  <c r="AX97" i="60"/>
  <c r="AX51" i="60"/>
  <c r="AX186" i="60"/>
  <c r="AX98" i="60"/>
  <c r="AX7" i="60"/>
  <c r="AX8" i="60"/>
  <c r="AX142" i="60"/>
  <c r="AX99" i="60"/>
  <c r="AX143" i="60"/>
  <c r="AX96" i="60"/>
  <c r="AX9" i="60"/>
  <c r="AX192" i="60"/>
  <c r="AX193" i="60"/>
  <c r="AX201" i="60"/>
  <c r="AX196" i="60"/>
  <c r="AX198" i="60"/>
  <c r="AX199" i="60"/>
  <c r="AX200" i="60"/>
  <c r="AX197" i="60"/>
  <c r="AX195" i="60"/>
  <c r="AX194" i="60"/>
  <c r="AX155" i="60"/>
  <c r="AX152" i="60"/>
  <c r="AX153" i="60"/>
  <c r="AX154" i="60"/>
  <c r="AX150" i="60"/>
  <c r="AX147" i="60"/>
  <c r="AX148" i="60"/>
  <c r="AX151" i="60"/>
  <c r="AX156" i="60"/>
  <c r="AX149" i="60"/>
  <c r="AX103" i="60"/>
  <c r="AX107" i="60"/>
  <c r="AX111" i="60"/>
  <c r="AX104" i="60"/>
  <c r="AX106" i="60"/>
  <c r="AX110" i="60"/>
  <c r="AX105" i="60"/>
  <c r="AX108" i="60"/>
  <c r="AX109" i="60"/>
  <c r="AX60" i="60"/>
  <c r="AX59" i="60"/>
  <c r="AX62" i="60"/>
  <c r="AX63" i="60"/>
  <c r="AX61" i="60"/>
  <c r="AX65" i="60"/>
  <c r="AX64" i="60"/>
  <c r="AX58" i="60"/>
  <c r="AX66" i="60"/>
  <c r="AX21" i="60"/>
  <c r="AX20" i="60"/>
  <c r="AX19" i="60"/>
  <c r="AX18" i="60"/>
  <c r="AX17" i="60"/>
  <c r="AX16" i="60"/>
  <c r="AX15" i="60"/>
  <c r="AX14" i="60"/>
  <c r="AX13" i="60"/>
  <c r="AX102" i="60"/>
  <c r="AX57" i="60"/>
  <c r="AX12" i="60"/>
  <c r="AX191" i="60"/>
  <c r="AX146" i="60"/>
  <c r="AX101" i="60"/>
  <c r="AX56" i="60"/>
  <c r="AX11" i="60"/>
  <c r="BD9" i="60" l="1"/>
  <c r="BD96" i="60"/>
  <c r="BD143" i="60"/>
  <c r="BD99" i="60"/>
  <c r="BD142" i="60"/>
  <c r="BD8" i="60"/>
  <c r="BD7" i="60"/>
  <c r="BD98" i="60"/>
  <c r="BD186" i="60"/>
  <c r="BD51" i="60"/>
  <c r="BD97" i="60"/>
  <c r="BD188" i="60"/>
  <c r="BD52" i="60"/>
  <c r="BD100" i="60"/>
  <c r="BD187" i="60"/>
  <c r="BD55" i="60"/>
  <c r="BD141" i="60"/>
  <c r="BD190" i="60"/>
  <c r="BD6" i="60"/>
  <c r="BD54" i="60"/>
  <c r="BD145" i="60"/>
  <c r="BD189" i="60"/>
  <c r="BD10" i="60"/>
  <c r="BD53" i="60"/>
  <c r="BD144" i="60"/>
  <c r="BD193" i="60"/>
  <c r="BD192" i="60"/>
  <c r="BD197" i="60"/>
  <c r="BD200" i="60"/>
  <c r="BD199" i="60"/>
  <c r="BD198" i="60"/>
  <c r="BD196" i="60"/>
  <c r="BD201" i="60"/>
  <c r="BD195" i="60"/>
  <c r="BD194" i="60"/>
  <c r="F15" i="60"/>
  <c r="BD149" i="60"/>
  <c r="BD156" i="60"/>
  <c r="BD151" i="60"/>
  <c r="BD148" i="60"/>
  <c r="BD147" i="60"/>
  <c r="BD150" i="60"/>
  <c r="BD154" i="60"/>
  <c r="BD153" i="60"/>
  <c r="BD152" i="60"/>
  <c r="BD155" i="60"/>
  <c r="BD109" i="60"/>
  <c r="BD108" i="60"/>
  <c r="BD105" i="60"/>
  <c r="BD110" i="60"/>
  <c r="BD106" i="60"/>
  <c r="BD104" i="60"/>
  <c r="BD111" i="60"/>
  <c r="BD107" i="60"/>
  <c r="BD103" i="60"/>
  <c r="BD66" i="60"/>
  <c r="BD58" i="60"/>
  <c r="BD64" i="60"/>
  <c r="BD65" i="60"/>
  <c r="BD61" i="60"/>
  <c r="BD63" i="60"/>
  <c r="BD62" i="60"/>
  <c r="BD59" i="60"/>
  <c r="BD60" i="60"/>
  <c r="BD21" i="60"/>
  <c r="BD20" i="60"/>
  <c r="BD19" i="60"/>
  <c r="BD18" i="60"/>
  <c r="BD17" i="60"/>
  <c r="BD16" i="60"/>
  <c r="BD15" i="60"/>
  <c r="BD14" i="60"/>
  <c r="BD13" i="60"/>
  <c r="BD102" i="60"/>
  <c r="BD57" i="60"/>
  <c r="BD12" i="60"/>
  <c r="BD191" i="60"/>
  <c r="BD146" i="60"/>
  <c r="BD101" i="60"/>
  <c r="BD56" i="60"/>
  <c r="BD11" i="60"/>
  <c r="F20" i="60"/>
  <c r="F25" i="60"/>
  <c r="F30" i="60"/>
  <c r="F12" i="60"/>
  <c r="L10" i="60"/>
  <c r="P32" i="60"/>
  <c r="P31" i="60"/>
  <c r="P30" i="60"/>
  <c r="P29" i="60"/>
  <c r="P28" i="60"/>
  <c r="P27" i="60"/>
  <c r="P26" i="60"/>
  <c r="P25" i="60"/>
  <c r="P24" i="60"/>
  <c r="P23" i="60"/>
  <c r="P22" i="60"/>
  <c r="P21" i="60"/>
  <c r="P20" i="60"/>
  <c r="P19" i="60"/>
  <c r="P18" i="60"/>
  <c r="P17" i="60"/>
  <c r="P16" i="60"/>
  <c r="P15" i="60"/>
  <c r="P14" i="60"/>
  <c r="P13" i="60"/>
  <c r="P12" i="60"/>
  <c r="P11" i="60"/>
  <c r="P10" i="60"/>
  <c r="P9" i="60"/>
  <c r="P8" i="60"/>
  <c r="F17" i="60" l="1"/>
  <c r="F16" i="60"/>
  <c r="F22" i="60"/>
  <c r="F21" i="60"/>
  <c r="F27" i="60"/>
  <c r="F26" i="60"/>
  <c r="F32" i="60"/>
  <c r="F31" i="60"/>
  <c r="L15" i="60"/>
  <c r="L20" i="60" s="1"/>
  <c r="L25" i="60" s="1"/>
  <c r="L30" i="60" s="1"/>
  <c r="L11" i="60"/>
  <c r="P38" i="60"/>
  <c r="P39" i="60"/>
  <c r="P40" i="60"/>
  <c r="P41" i="60"/>
  <c r="P42" i="60"/>
  <c r="P43" i="60"/>
  <c r="P44" i="60"/>
  <c r="P45" i="60"/>
  <c r="P46" i="60"/>
  <c r="P47" i="60"/>
  <c r="P48" i="60"/>
  <c r="P49" i="60"/>
  <c r="P50" i="60"/>
  <c r="P51" i="60"/>
  <c r="P52" i="60"/>
  <c r="P53" i="60"/>
  <c r="P54" i="60"/>
  <c r="P55" i="60"/>
  <c r="P56" i="60"/>
  <c r="P57" i="60"/>
  <c r="P58" i="60"/>
  <c r="P59" i="60"/>
  <c r="P60" i="60"/>
  <c r="P61" i="60"/>
  <c r="P62" i="60"/>
  <c r="P37" i="60"/>
  <c r="L16" i="60" l="1"/>
  <c r="L21" i="60" s="1"/>
  <c r="L26" i="60" s="1"/>
  <c r="L31" i="60" s="1"/>
  <c r="L12" i="60"/>
  <c r="L17" i="60" s="1"/>
  <c r="L22" i="60" s="1"/>
  <c r="L27" i="60" s="1"/>
  <c r="L32" i="60" s="1"/>
  <c r="K9" i="60" l="1"/>
  <c r="K10" i="60"/>
  <c r="K11" i="60"/>
  <c r="K12" i="60"/>
  <c r="K13" i="60"/>
  <c r="K14" i="60"/>
  <c r="K15" i="60"/>
  <c r="K16" i="60"/>
  <c r="K17" i="60"/>
  <c r="K18" i="60"/>
  <c r="K19" i="60"/>
  <c r="K20" i="60"/>
  <c r="K21" i="60"/>
  <c r="K22" i="60"/>
  <c r="K23" i="60"/>
  <c r="K24" i="60"/>
  <c r="K25" i="60"/>
  <c r="K26" i="60"/>
  <c r="K27" i="60"/>
  <c r="K28" i="60"/>
  <c r="K29" i="60"/>
  <c r="K30" i="60"/>
  <c r="K31" i="60"/>
  <c r="K32" i="60"/>
  <c r="K8" i="60"/>
  <c r="AB21" i="51" l="1"/>
  <c r="AB8" i="51"/>
  <c r="BT6" i="60"/>
  <c r="M32" i="60" l="1"/>
  <c r="M31" i="60"/>
  <c r="M30" i="60"/>
  <c r="M29" i="60"/>
  <c r="M28" i="60"/>
  <c r="M27" i="60"/>
  <c r="M26" i="60"/>
  <c r="M25" i="60"/>
  <c r="M24" i="60"/>
  <c r="M23" i="60"/>
  <c r="M22" i="60"/>
  <c r="M21" i="60"/>
  <c r="M20" i="60"/>
  <c r="M19" i="60"/>
  <c r="M18" i="60"/>
  <c r="M17" i="60"/>
  <c r="M16" i="60"/>
  <c r="M15" i="60"/>
  <c r="M14" i="60"/>
  <c r="M13" i="60"/>
  <c r="M12" i="60"/>
  <c r="M11" i="60"/>
  <c r="M10" i="60"/>
  <c r="M9" i="60"/>
  <c r="M8" i="60"/>
  <c r="N7" i="60"/>
  <c r="M7" i="60"/>
  <c r="M62" i="60"/>
  <c r="M61" i="60"/>
  <c r="M60" i="60"/>
  <c r="M59" i="60"/>
  <c r="M58" i="60"/>
  <c r="M57" i="60"/>
  <c r="M56" i="60"/>
  <c r="M55" i="60"/>
  <c r="M54" i="60"/>
  <c r="M53" i="60"/>
  <c r="M52" i="60"/>
  <c r="M51" i="60"/>
  <c r="M50" i="60"/>
  <c r="M49" i="60"/>
  <c r="M48" i="60"/>
  <c r="M47" i="60"/>
  <c r="M46" i="60"/>
  <c r="M45" i="60"/>
  <c r="M44" i="60"/>
  <c r="M43" i="60"/>
  <c r="M42" i="60"/>
  <c r="M41" i="60"/>
  <c r="M40" i="60"/>
  <c r="M39" i="60"/>
  <c r="M38" i="60"/>
  <c r="N37" i="60"/>
  <c r="M37" i="60"/>
  <c r="K38" i="60"/>
  <c r="K39" i="60"/>
  <c r="K40" i="60"/>
  <c r="K41" i="60"/>
  <c r="K42" i="60"/>
  <c r="K43" i="60"/>
  <c r="K44" i="60"/>
  <c r="K45" i="60"/>
  <c r="K46" i="60"/>
  <c r="K47" i="60"/>
  <c r="K48" i="60"/>
  <c r="K49" i="60"/>
  <c r="K50" i="60"/>
  <c r="K51" i="60"/>
  <c r="K52" i="60"/>
  <c r="K53" i="60"/>
  <c r="K54" i="60"/>
  <c r="K55" i="60"/>
  <c r="K56" i="60"/>
  <c r="K57" i="60"/>
  <c r="K58" i="60"/>
  <c r="K59" i="60"/>
  <c r="K60" i="60"/>
  <c r="K61" i="60"/>
  <c r="K62" i="60"/>
  <c r="K37" i="60"/>
  <c r="AI96" i="60"/>
  <c r="AI53" i="60"/>
  <c r="AI55" i="60"/>
  <c r="AI188" i="60"/>
  <c r="AI190" i="60"/>
  <c r="AI141" i="60"/>
  <c r="AI189" i="60"/>
  <c r="AI143" i="60"/>
  <c r="AI98" i="60"/>
  <c r="AI145" i="60"/>
  <c r="AI142" i="60"/>
  <c r="AI144" i="60"/>
  <c r="AI99" i="60"/>
  <c r="AI54" i="60"/>
  <c r="AI51" i="60"/>
  <c r="AI187" i="60"/>
  <c r="AI100" i="60"/>
  <c r="AI52" i="60"/>
  <c r="AI186" i="60"/>
  <c r="AI10" i="60"/>
  <c r="AI97" i="60"/>
  <c r="AI9" i="60"/>
  <c r="AI8" i="60"/>
  <c r="AI7" i="60"/>
  <c r="AI6" i="60"/>
  <c r="AI193" i="60"/>
  <c r="AI192" i="60"/>
  <c r="AI201" i="60"/>
  <c r="AI200" i="60"/>
  <c r="AI199" i="60"/>
  <c r="AI197" i="60"/>
  <c r="AI196" i="60"/>
  <c r="AI198" i="60"/>
  <c r="AI195" i="60"/>
  <c r="AI194" i="60"/>
  <c r="AI148" i="60"/>
  <c r="AI154" i="60"/>
  <c r="AI147" i="60"/>
  <c r="AI151" i="60"/>
  <c r="AI153" i="60"/>
  <c r="AI149" i="60"/>
  <c r="AI155" i="60"/>
  <c r="AI156" i="60"/>
  <c r="AI152" i="60"/>
  <c r="AI150" i="60"/>
  <c r="AI106" i="60"/>
  <c r="AI110" i="60"/>
  <c r="AI109" i="60"/>
  <c r="AI104" i="60"/>
  <c r="AI107" i="60"/>
  <c r="AI108" i="60"/>
  <c r="AI105" i="60"/>
  <c r="AI111" i="60"/>
  <c r="AI103" i="60"/>
  <c r="AI64" i="60"/>
  <c r="AI59" i="60"/>
  <c r="AI62" i="60"/>
  <c r="AI61" i="60"/>
  <c r="AI65" i="60"/>
  <c r="AI63" i="60"/>
  <c r="AI60" i="60"/>
  <c r="AI66" i="60"/>
  <c r="AI58" i="60"/>
  <c r="AI21" i="60"/>
  <c r="AI20" i="60"/>
  <c r="AI19" i="60"/>
  <c r="AI18" i="60"/>
  <c r="AI17" i="60"/>
  <c r="AI16" i="60"/>
  <c r="AI15" i="60"/>
  <c r="AI14" i="60"/>
  <c r="AI13" i="60"/>
  <c r="AI102" i="60"/>
  <c r="AI57" i="60"/>
  <c r="AI12" i="60"/>
  <c r="AI191" i="60"/>
  <c r="AI146" i="60"/>
  <c r="AI101" i="60"/>
  <c r="AI56" i="60"/>
  <c r="AI11" i="60"/>
  <c r="BS6" i="60" l="1"/>
  <c r="BS7" i="60"/>
  <c r="BS8" i="60"/>
  <c r="BS9" i="60"/>
  <c r="BS10" i="60"/>
  <c r="BS14" i="60"/>
  <c r="BS16" i="60"/>
  <c r="BS17" i="60"/>
  <c r="BS18" i="60"/>
  <c r="BS19" i="60"/>
  <c r="BS20" i="60"/>
  <c r="BS21" i="60"/>
  <c r="BS12" i="60"/>
  <c r="BS15" i="60"/>
  <c r="BS13" i="60"/>
  <c r="BS11" i="60"/>
  <c r="BS191" i="60"/>
  <c r="BS146" i="60"/>
  <c r="BS101" i="60"/>
  <c r="BS56" i="60"/>
  <c r="BS200" i="60"/>
  <c r="BS201" i="60"/>
  <c r="BS196" i="60"/>
  <c r="BS197" i="60"/>
  <c r="BS198" i="60"/>
  <c r="BS199" i="60"/>
  <c r="BS154" i="60"/>
  <c r="BS155" i="60"/>
  <c r="BS156" i="60"/>
  <c r="BS151" i="60"/>
  <c r="BS152" i="60"/>
  <c r="BS153" i="60"/>
  <c r="BS106" i="60"/>
  <c r="BS107" i="60"/>
  <c r="BS108" i="60"/>
  <c r="BS109" i="60"/>
  <c r="BS110" i="60"/>
  <c r="BS111" i="60"/>
  <c r="BS61" i="60"/>
  <c r="BS63" i="60"/>
  <c r="BS66" i="60"/>
  <c r="BS64" i="60"/>
  <c r="BS65" i="60"/>
  <c r="BS62" i="60"/>
  <c r="BS186" i="60"/>
  <c r="BS187" i="60"/>
  <c r="BS188" i="60"/>
  <c r="BS189" i="60"/>
  <c r="BS190" i="60"/>
  <c r="BS142" i="60"/>
  <c r="BS143" i="60"/>
  <c r="BS144" i="60"/>
  <c r="BS145" i="60"/>
  <c r="BS141" i="60"/>
  <c r="BS97" i="60"/>
  <c r="BS98" i="60"/>
  <c r="BS99" i="60"/>
  <c r="BS100" i="60"/>
  <c r="BS96" i="60"/>
  <c r="BS53" i="60"/>
  <c r="BS55" i="60"/>
  <c r="BS54" i="60"/>
  <c r="BS52" i="60"/>
  <c r="BS51" i="60"/>
  <c r="BS193" i="60"/>
  <c r="BS148" i="60"/>
  <c r="BS103" i="60"/>
  <c r="BS58" i="60"/>
  <c r="BS194" i="60"/>
  <c r="BS149" i="60"/>
  <c r="BS104" i="60"/>
  <c r="BS59" i="60"/>
  <c r="BS192" i="60"/>
  <c r="BS147" i="60"/>
  <c r="BS102" i="60"/>
  <c r="BS57" i="60"/>
  <c r="BS195" i="60"/>
  <c r="BS150" i="60"/>
  <c r="BS105" i="60"/>
  <c r="BS60" i="60"/>
  <c r="BT186" i="60" l="1"/>
  <c r="BX186" i="60" s="1"/>
  <c r="BT51" i="60"/>
  <c r="BX51" i="60" s="1"/>
  <c r="BT187" i="60" l="1"/>
  <c r="BX187" i="60" s="1"/>
  <c r="BT141" i="60"/>
  <c r="BX141" i="60" s="1"/>
  <c r="BT52" i="60"/>
  <c r="BX52" i="60" s="1"/>
  <c r="O38" i="60"/>
  <c r="O39" i="60"/>
  <c r="O40" i="60"/>
  <c r="O41" i="60"/>
  <c r="O42" i="60"/>
  <c r="O43" i="60"/>
  <c r="O44" i="60"/>
  <c r="O45" i="60"/>
  <c r="O46" i="60"/>
  <c r="O47" i="60"/>
  <c r="O48" i="60"/>
  <c r="O49" i="60"/>
  <c r="O50" i="60"/>
  <c r="O51" i="60"/>
  <c r="O52" i="60"/>
  <c r="O53" i="60"/>
  <c r="O54" i="60"/>
  <c r="O55" i="60"/>
  <c r="O56" i="60"/>
  <c r="O57" i="60"/>
  <c r="O58" i="60"/>
  <c r="O59" i="60"/>
  <c r="O60" i="60"/>
  <c r="O61" i="60"/>
  <c r="O62" i="60"/>
  <c r="O37" i="60"/>
  <c r="AN97" i="60"/>
  <c r="AN145" i="60"/>
  <c r="AN96" i="60"/>
  <c r="AN55" i="60"/>
  <c r="AN52" i="60"/>
  <c r="AN143" i="60"/>
  <c r="AN99" i="60"/>
  <c r="AN100" i="60"/>
  <c r="AN7" i="60"/>
  <c r="AN187" i="60"/>
  <c r="AN9" i="60"/>
  <c r="AN144" i="60"/>
  <c r="AN54" i="60"/>
  <c r="AN141" i="60"/>
  <c r="AN189" i="60"/>
  <c r="AN53" i="60"/>
  <c r="AN190" i="60"/>
  <c r="AN186" i="60"/>
  <c r="AN51" i="60"/>
  <c r="AN10" i="60"/>
  <c r="AN188" i="60"/>
  <c r="AN8" i="60"/>
  <c r="AN142" i="60"/>
  <c r="AN6" i="60"/>
  <c r="AN98" i="60"/>
  <c r="AN193" i="60"/>
  <c r="AN192" i="60"/>
  <c r="AN197" i="60"/>
  <c r="AN199" i="60"/>
  <c r="AN198" i="60"/>
  <c r="AN201" i="60"/>
  <c r="AN196" i="60"/>
  <c r="AN200" i="60"/>
  <c r="AN195" i="60"/>
  <c r="AN194" i="60"/>
  <c r="AN148" i="60"/>
  <c r="AN156" i="60"/>
  <c r="AN151" i="60"/>
  <c r="AN147" i="60"/>
  <c r="AN150" i="60"/>
  <c r="AN155" i="60"/>
  <c r="AN154" i="60"/>
  <c r="AN152" i="60"/>
  <c r="AN153" i="60"/>
  <c r="AN149" i="60"/>
  <c r="AN105" i="60"/>
  <c r="AN107" i="60"/>
  <c r="AN104" i="60"/>
  <c r="AN110" i="60"/>
  <c r="AN109" i="60"/>
  <c r="AN111" i="60"/>
  <c r="AN108" i="60"/>
  <c r="AN106" i="60"/>
  <c r="AN103" i="60"/>
  <c r="AN63" i="60"/>
  <c r="AN64" i="60"/>
  <c r="AN62" i="60"/>
  <c r="AN66" i="60"/>
  <c r="AN58" i="60"/>
  <c r="AN60" i="60"/>
  <c r="AN65" i="60"/>
  <c r="AN61" i="60"/>
  <c r="AN59" i="60"/>
  <c r="AN21" i="60"/>
  <c r="AN20" i="60"/>
  <c r="AN19" i="60"/>
  <c r="AN18" i="60"/>
  <c r="AN17" i="60"/>
  <c r="AN16" i="60"/>
  <c r="AN15" i="60"/>
  <c r="AN14" i="60"/>
  <c r="AN13" i="60"/>
  <c r="AN102" i="60"/>
  <c r="AN57" i="60"/>
  <c r="AN12" i="60"/>
  <c r="AN191" i="60"/>
  <c r="AN146" i="60"/>
  <c r="AN101" i="60"/>
  <c r="AN56" i="60"/>
  <c r="AN11" i="60"/>
  <c r="BE51" i="60" l="1"/>
  <c r="BE59" i="60"/>
  <c r="BE66" i="60"/>
  <c r="BE58" i="60"/>
  <c r="BE65" i="60"/>
  <c r="BE57" i="60"/>
  <c r="BE64" i="60"/>
  <c r="BE56" i="60"/>
  <c r="BE63" i="60"/>
  <c r="BE55" i="60"/>
  <c r="BE62" i="60"/>
  <c r="BE54" i="60"/>
  <c r="BE61" i="60"/>
  <c r="BE53" i="60"/>
  <c r="BE60" i="60"/>
  <c r="BE52" i="60"/>
  <c r="BE96" i="60"/>
  <c r="BE104" i="60"/>
  <c r="BE111" i="60"/>
  <c r="BE103" i="60"/>
  <c r="BE110" i="60"/>
  <c r="BE102" i="60"/>
  <c r="BE109" i="60"/>
  <c r="BE101" i="60"/>
  <c r="BE108" i="60"/>
  <c r="BE107" i="60"/>
  <c r="BE106" i="60"/>
  <c r="BE98" i="60"/>
  <c r="BE100" i="60"/>
  <c r="BE99" i="60"/>
  <c r="BE105" i="60"/>
  <c r="BE97" i="60"/>
  <c r="BE141" i="60"/>
  <c r="BE148" i="60"/>
  <c r="BE155" i="60"/>
  <c r="BE147" i="60"/>
  <c r="BE156" i="60"/>
  <c r="BE154" i="60"/>
  <c r="BE146" i="60"/>
  <c r="BE153" i="60"/>
  <c r="BE145" i="60"/>
  <c r="BE152" i="60"/>
  <c r="BE144" i="60"/>
  <c r="BE151" i="60"/>
  <c r="BE143" i="60"/>
  <c r="BE149" i="60"/>
  <c r="BE150" i="60"/>
  <c r="BE142" i="60"/>
  <c r="BE186" i="60"/>
  <c r="BE200" i="60"/>
  <c r="BE199" i="60"/>
  <c r="BE189" i="60"/>
  <c r="BE196" i="60"/>
  <c r="BE194" i="60"/>
  <c r="BE201" i="60"/>
  <c r="BE193" i="60"/>
  <c r="BE198" i="60"/>
  <c r="BE190" i="60"/>
  <c r="BE191" i="60"/>
  <c r="BE192" i="60"/>
  <c r="BE197" i="60"/>
  <c r="BE188" i="60"/>
  <c r="BE195" i="60"/>
  <c r="BE187" i="60"/>
  <c r="BE14" i="60"/>
  <c r="BE12" i="60"/>
  <c r="BE15" i="60"/>
  <c r="BE11" i="60"/>
  <c r="BE6" i="60"/>
  <c r="BE7" i="60"/>
  <c r="BE8" i="60"/>
  <c r="BE9" i="60"/>
  <c r="BE10" i="60"/>
  <c r="BE13" i="60"/>
  <c r="BE16" i="60"/>
  <c r="BE17" i="60"/>
  <c r="BE18" i="60"/>
  <c r="BE19" i="60"/>
  <c r="BE20" i="60"/>
  <c r="BE21" i="60"/>
  <c r="BT188" i="60"/>
  <c r="BX188" i="60" s="1"/>
  <c r="BT53" i="60"/>
  <c r="BT142" i="60"/>
  <c r="AS51" i="60"/>
  <c r="AS59" i="60"/>
  <c r="AS66" i="60"/>
  <c r="AS58" i="60"/>
  <c r="AS65" i="60"/>
  <c r="AS57" i="60"/>
  <c r="AS64" i="60"/>
  <c r="AS56" i="60"/>
  <c r="AS63" i="60"/>
  <c r="AS55" i="60"/>
  <c r="AS62" i="60"/>
  <c r="AS54" i="60"/>
  <c r="AS61" i="60"/>
  <c r="AS53" i="60"/>
  <c r="AS60" i="60"/>
  <c r="AS52" i="60"/>
  <c r="AS96" i="60"/>
  <c r="AS104" i="60"/>
  <c r="AS111" i="60"/>
  <c r="AS103" i="60"/>
  <c r="AS110" i="60"/>
  <c r="AS102" i="60"/>
  <c r="AS109" i="60"/>
  <c r="AS101" i="60"/>
  <c r="AS108" i="60"/>
  <c r="AS107" i="60"/>
  <c r="AS106" i="60"/>
  <c r="AS98" i="60"/>
  <c r="AS100" i="60"/>
  <c r="AS99" i="60"/>
  <c r="AS105" i="60"/>
  <c r="AS97" i="60"/>
  <c r="AS141" i="60"/>
  <c r="AS148" i="60"/>
  <c r="AS155" i="60"/>
  <c r="AS147" i="60"/>
  <c r="AS156" i="60"/>
  <c r="AS154" i="60"/>
  <c r="AS146" i="60"/>
  <c r="AS153" i="60"/>
  <c r="AS145" i="60"/>
  <c r="AS152" i="60"/>
  <c r="AS144" i="60"/>
  <c r="AS151" i="60"/>
  <c r="AS143" i="60"/>
  <c r="AS149" i="60"/>
  <c r="AS150" i="60"/>
  <c r="AS142" i="60"/>
  <c r="AS186" i="60"/>
  <c r="AS200" i="60"/>
  <c r="AS199" i="60"/>
  <c r="AS189" i="60"/>
  <c r="AS196" i="60"/>
  <c r="AS194" i="60"/>
  <c r="AS201" i="60"/>
  <c r="AS193" i="60"/>
  <c r="AS198" i="60"/>
  <c r="AS190" i="60"/>
  <c r="AS191" i="60"/>
  <c r="AS192" i="60"/>
  <c r="AS197" i="60"/>
  <c r="AS188" i="60"/>
  <c r="AS195" i="60"/>
  <c r="AS187" i="60"/>
  <c r="AS14" i="60"/>
  <c r="AS12" i="60"/>
  <c r="AS15" i="60"/>
  <c r="AS11" i="60"/>
  <c r="AS6" i="60"/>
  <c r="AS7" i="60"/>
  <c r="AS8" i="60"/>
  <c r="AS9" i="60"/>
  <c r="AS10" i="60"/>
  <c r="AS13" i="60"/>
  <c r="AS16" i="60"/>
  <c r="AS17" i="60"/>
  <c r="AS18" i="60"/>
  <c r="AS19" i="60"/>
  <c r="AS20" i="60"/>
  <c r="AS21" i="60"/>
  <c r="BF16" i="60" l="1"/>
  <c r="BF15" i="60"/>
  <c r="BF191" i="60"/>
  <c r="BF199" i="60"/>
  <c r="BF144" i="60"/>
  <c r="BF155" i="60"/>
  <c r="BF106" i="60"/>
  <c r="BF111" i="60"/>
  <c r="BF62" i="60"/>
  <c r="BF66" i="60"/>
  <c r="BF13" i="60"/>
  <c r="BF12" i="60"/>
  <c r="BF190" i="60"/>
  <c r="BF200" i="60"/>
  <c r="BF152" i="60"/>
  <c r="BF148" i="60"/>
  <c r="BF107" i="60"/>
  <c r="BF104" i="60"/>
  <c r="BF55" i="60"/>
  <c r="BF59" i="60"/>
  <c r="BF10" i="60"/>
  <c r="BF14" i="60"/>
  <c r="BF198" i="60"/>
  <c r="BF186" i="60"/>
  <c r="BF145" i="60"/>
  <c r="BF141" i="60"/>
  <c r="BF108" i="60"/>
  <c r="BF96" i="60"/>
  <c r="BF63" i="60"/>
  <c r="BF51" i="60"/>
  <c r="BF21" i="60"/>
  <c r="BF9" i="60"/>
  <c r="BF187" i="60"/>
  <c r="BF193" i="60"/>
  <c r="BF142" i="60"/>
  <c r="BF153" i="60"/>
  <c r="BF97" i="60"/>
  <c r="BF101" i="60"/>
  <c r="BF52" i="60"/>
  <c r="BF56" i="60"/>
  <c r="BF20" i="60"/>
  <c r="BF8" i="60"/>
  <c r="BF195" i="60"/>
  <c r="BF201" i="60"/>
  <c r="BF150" i="60"/>
  <c r="BF146" i="60"/>
  <c r="BF105" i="60"/>
  <c r="BF109" i="60"/>
  <c r="BF60" i="60"/>
  <c r="BF64" i="60"/>
  <c r="BF19" i="60"/>
  <c r="BF7" i="60"/>
  <c r="BF188" i="60"/>
  <c r="BF194" i="60"/>
  <c r="BF149" i="60"/>
  <c r="BF154" i="60"/>
  <c r="BF99" i="60"/>
  <c r="BF102" i="60"/>
  <c r="BF53" i="60"/>
  <c r="BF57" i="60"/>
  <c r="BF18" i="60"/>
  <c r="BF6" i="60"/>
  <c r="BF197" i="60"/>
  <c r="BF196" i="60"/>
  <c r="BF143" i="60"/>
  <c r="BF156" i="60"/>
  <c r="BF100" i="60"/>
  <c r="BF110" i="60"/>
  <c r="BF61" i="60"/>
  <c r="BF65" i="60"/>
  <c r="BF17" i="60"/>
  <c r="BF11" i="60"/>
  <c r="BF192" i="60"/>
  <c r="BF189" i="60"/>
  <c r="BF151" i="60"/>
  <c r="BF147" i="60"/>
  <c r="BF98" i="60"/>
  <c r="BF103" i="60"/>
  <c r="BF54" i="60"/>
  <c r="BF58" i="60"/>
  <c r="BT189" i="60"/>
  <c r="BX53" i="60"/>
  <c r="BT54" i="60"/>
  <c r="BX142" i="60"/>
  <c r="BT143" i="60"/>
  <c r="BX189" i="60" l="1"/>
  <c r="BT190" i="60"/>
  <c r="BX143" i="60"/>
  <c r="BT144" i="60"/>
  <c r="BX144" i="60" s="1"/>
  <c r="BX54" i="60"/>
  <c r="BT55" i="60"/>
  <c r="BT191" i="60" l="1"/>
  <c r="BX190" i="60"/>
  <c r="BT145" i="60"/>
  <c r="BX145" i="60" s="1"/>
  <c r="BX55" i="60"/>
  <c r="BT56" i="60"/>
  <c r="BX191" i="60" l="1"/>
  <c r="BT192" i="60"/>
  <c r="BX56" i="60"/>
  <c r="BT57" i="60"/>
  <c r="BT146" i="60"/>
  <c r="BX146" i="60" s="1"/>
  <c r="BX192" i="60" l="1"/>
  <c r="BT193" i="60"/>
  <c r="BT147" i="60"/>
  <c r="BX147" i="60" s="1"/>
  <c r="BX57" i="60"/>
  <c r="BT58" i="60"/>
  <c r="BX193" i="60" l="1"/>
  <c r="BT194" i="60"/>
  <c r="BT148" i="60"/>
  <c r="BX148" i="60" s="1"/>
  <c r="BX58" i="60"/>
  <c r="BT59" i="60"/>
  <c r="BX194" i="60" l="1"/>
  <c r="BT195" i="60"/>
  <c r="BT149" i="60"/>
  <c r="BX149" i="60" s="1"/>
  <c r="BX59" i="60"/>
  <c r="BT60" i="60"/>
  <c r="BT150" i="60" l="1"/>
  <c r="BX150" i="60" s="1"/>
  <c r="BX195" i="60"/>
  <c r="BT196" i="60"/>
  <c r="BX60" i="60"/>
  <c r="BT61" i="60"/>
  <c r="BT151" i="60" l="1"/>
  <c r="BX151" i="60" s="1"/>
  <c r="BT197" i="60"/>
  <c r="BX196" i="60"/>
  <c r="BX61" i="60"/>
  <c r="BT62" i="60"/>
  <c r="BT152" i="60" l="1"/>
  <c r="BX152" i="60" s="1"/>
  <c r="BX197" i="60"/>
  <c r="BT198" i="60"/>
  <c r="BX62" i="60"/>
  <c r="BT63" i="60"/>
  <c r="BT153" i="60" l="1"/>
  <c r="BX153" i="60" s="1"/>
  <c r="BT199" i="60"/>
  <c r="BX198" i="60"/>
  <c r="BX63" i="60"/>
  <c r="BT64" i="60"/>
  <c r="BT154" i="60" l="1"/>
  <c r="BX154" i="60" s="1"/>
  <c r="BX199" i="60"/>
  <c r="BT200" i="60"/>
  <c r="BX64" i="60"/>
  <c r="BT65" i="60"/>
  <c r="BX200" i="60" l="1"/>
  <c r="BT201" i="60"/>
  <c r="BX201" i="60" s="1"/>
  <c r="BX65" i="60"/>
  <c r="BT66" i="60"/>
  <c r="BX66" i="60" s="1"/>
  <c r="G9" i="49" l="1"/>
  <c r="BC6" i="50" l="1"/>
  <c r="I38" i="60" l="1"/>
  <c r="J38" i="60"/>
  <c r="I39" i="60"/>
  <c r="J39" i="60"/>
  <c r="I40" i="60"/>
  <c r="J40" i="60"/>
  <c r="I41" i="60"/>
  <c r="J41" i="60"/>
  <c r="I42" i="60"/>
  <c r="J42" i="60"/>
  <c r="I43" i="60"/>
  <c r="J43" i="60"/>
  <c r="I44" i="60"/>
  <c r="J44" i="60"/>
  <c r="I45" i="60"/>
  <c r="J45" i="60"/>
  <c r="I46" i="60"/>
  <c r="J46" i="60"/>
  <c r="I47" i="60"/>
  <c r="J47" i="60"/>
  <c r="I48" i="60"/>
  <c r="J48" i="60"/>
  <c r="I49" i="60"/>
  <c r="J49" i="60"/>
  <c r="I50" i="60"/>
  <c r="J50" i="60"/>
  <c r="I51" i="60"/>
  <c r="J51" i="60"/>
  <c r="I52" i="60"/>
  <c r="J52" i="60"/>
  <c r="I53" i="60"/>
  <c r="J53" i="60"/>
  <c r="I54" i="60"/>
  <c r="J54" i="60"/>
  <c r="I55" i="60"/>
  <c r="J55" i="60"/>
  <c r="I56" i="60"/>
  <c r="J56" i="60"/>
  <c r="I57" i="60"/>
  <c r="J57" i="60"/>
  <c r="I58" i="60"/>
  <c r="J58" i="60"/>
  <c r="I59" i="60"/>
  <c r="J59" i="60"/>
  <c r="I60" i="60"/>
  <c r="J60" i="60"/>
  <c r="I61" i="60"/>
  <c r="J61" i="60"/>
  <c r="I62" i="60"/>
  <c r="J62" i="60"/>
  <c r="J37" i="60"/>
  <c r="I37" i="60"/>
  <c r="H62" i="60"/>
  <c r="H61" i="60"/>
  <c r="H60" i="60"/>
  <c r="H59" i="60"/>
  <c r="H58" i="60"/>
  <c r="H57" i="60"/>
  <c r="H56" i="60"/>
  <c r="H55" i="60"/>
  <c r="H54" i="60"/>
  <c r="H53" i="60"/>
  <c r="H52" i="60"/>
  <c r="H51" i="60"/>
  <c r="H50" i="60"/>
  <c r="H49" i="60"/>
  <c r="H48" i="60"/>
  <c r="H47" i="60"/>
  <c r="H46" i="60"/>
  <c r="H45" i="60"/>
  <c r="H44" i="60"/>
  <c r="H43" i="60"/>
  <c r="H42" i="60"/>
  <c r="H41" i="60"/>
  <c r="H40" i="60"/>
  <c r="H39" i="60"/>
  <c r="H38" i="60"/>
  <c r="H9" i="60"/>
  <c r="H10" i="60"/>
  <c r="H11" i="60"/>
  <c r="H12" i="60"/>
  <c r="H13" i="60"/>
  <c r="H14" i="60"/>
  <c r="H15" i="60"/>
  <c r="H16" i="60"/>
  <c r="H17" i="60"/>
  <c r="H18" i="60"/>
  <c r="H19" i="60"/>
  <c r="H20" i="60"/>
  <c r="H21" i="60"/>
  <c r="H22" i="60"/>
  <c r="H23" i="60"/>
  <c r="H24" i="60"/>
  <c r="H25" i="60"/>
  <c r="H26" i="60"/>
  <c r="H27" i="60"/>
  <c r="H28" i="60"/>
  <c r="H29" i="60"/>
  <c r="H30" i="60"/>
  <c r="H31" i="60"/>
  <c r="H32" i="60"/>
  <c r="H8" i="60"/>
  <c r="Y10" i="60"/>
  <c r="Y190" i="60"/>
  <c r="Y53" i="60"/>
  <c r="Y189" i="60"/>
  <c r="Y7" i="60"/>
  <c r="Y52" i="60"/>
  <c r="Y8" i="60"/>
  <c r="Y54" i="60"/>
  <c r="Y99" i="60"/>
  <c r="Y145" i="60"/>
  <c r="Y141" i="60"/>
  <c r="Y143" i="60"/>
  <c r="Y142" i="60"/>
  <c r="Y186" i="60"/>
  <c r="Y144" i="60"/>
  <c r="Y188" i="60"/>
  <c r="Y97" i="60"/>
  <c r="Y9" i="60"/>
  <c r="Y55" i="60"/>
  <c r="Y96" i="60"/>
  <c r="Y98" i="60"/>
  <c r="Y187" i="60"/>
  <c r="Y100" i="60"/>
  <c r="Y51" i="60"/>
  <c r="Y6" i="60"/>
  <c r="Y193" i="60"/>
  <c r="Y192" i="60"/>
  <c r="Y200" i="60"/>
  <c r="Y201" i="60"/>
  <c r="Y198" i="60"/>
  <c r="Y199" i="60"/>
  <c r="Y197" i="60"/>
  <c r="Y196" i="60"/>
  <c r="Y195" i="60"/>
  <c r="Y194" i="60"/>
  <c r="Y154" i="60"/>
  <c r="Y151" i="60"/>
  <c r="Y148" i="60"/>
  <c r="Y156" i="60"/>
  <c r="Y152" i="60"/>
  <c r="Y155" i="60"/>
  <c r="Y153" i="60"/>
  <c r="Y150" i="60"/>
  <c r="Y149" i="60"/>
  <c r="Y147" i="60"/>
  <c r="Y104" i="60"/>
  <c r="Y105" i="60"/>
  <c r="Y106" i="60"/>
  <c r="Y111" i="60"/>
  <c r="Y108" i="60"/>
  <c r="Y109" i="60"/>
  <c r="Y110" i="60"/>
  <c r="Y107" i="60"/>
  <c r="Y103" i="60"/>
  <c r="Y64" i="60"/>
  <c r="Y58" i="60"/>
  <c r="Y65" i="60"/>
  <c r="Y63" i="60"/>
  <c r="Y60" i="60"/>
  <c r="Y62" i="60"/>
  <c r="Y66" i="60"/>
  <c r="Y59" i="60"/>
  <c r="Y61" i="60"/>
  <c r="Y21" i="60"/>
  <c r="Y20" i="60"/>
  <c r="Y19" i="60"/>
  <c r="Y18" i="60"/>
  <c r="Y17" i="60"/>
  <c r="Y16" i="60"/>
  <c r="Y15" i="60"/>
  <c r="Y14" i="60"/>
  <c r="Y13" i="60"/>
  <c r="Y102" i="60"/>
  <c r="Y57" i="60"/>
  <c r="Y12" i="60"/>
  <c r="Y191" i="60"/>
  <c r="Y146" i="60"/>
  <c r="Y101" i="60"/>
  <c r="Y56" i="60"/>
  <c r="Y11" i="60"/>
  <c r="AD8" i="60"/>
  <c r="AD17" i="60"/>
  <c r="AD201" i="60"/>
  <c r="AD190" i="60"/>
  <c r="AD106" i="60"/>
  <c r="AD96" i="60"/>
  <c r="AD150" i="60"/>
  <c r="AD186" i="60"/>
  <c r="AD188" i="60"/>
  <c r="AD145" i="60"/>
  <c r="AD65" i="60"/>
  <c r="AD63" i="60"/>
  <c r="AD153" i="60"/>
  <c r="AD149" i="60"/>
  <c r="AD109" i="60"/>
  <c r="AD7" i="60"/>
  <c r="AD16" i="60"/>
  <c r="AD97" i="60"/>
  <c r="AD103" i="60"/>
  <c r="AD197" i="60"/>
  <c r="AD144" i="60"/>
  <c r="AD196" i="60"/>
  <c r="AD98" i="60"/>
  <c r="AD111" i="60"/>
  <c r="AD100" i="60"/>
  <c r="AD15" i="60"/>
  <c r="AD147" i="60"/>
  <c r="AD101" i="60"/>
  <c r="AD56" i="60"/>
  <c r="AD57" i="60"/>
  <c r="AD18" i="60"/>
  <c r="AD155" i="60"/>
  <c r="AD6" i="60"/>
  <c r="AD12" i="60"/>
  <c r="AD11" i="60"/>
  <c r="AD58" i="60"/>
  <c r="AD61" i="60"/>
  <c r="AD51" i="60"/>
  <c r="AD193" i="60"/>
  <c r="AD200" i="60"/>
  <c r="AD59" i="60"/>
  <c r="AD143" i="60"/>
  <c r="AD156" i="60"/>
  <c r="AD102" i="60"/>
  <c r="AD148" i="60"/>
  <c r="AD189" i="60"/>
  <c r="AD104" i="60"/>
  <c r="AD9" i="60"/>
  <c r="AD54" i="60"/>
  <c r="AD192" i="60"/>
  <c r="AD146" i="60"/>
  <c r="AD21" i="60"/>
  <c r="AD13" i="60"/>
  <c r="AD194" i="60"/>
  <c r="AD152" i="60"/>
  <c r="AD187" i="60"/>
  <c r="AD105" i="60"/>
  <c r="AD141" i="60"/>
  <c r="AD66" i="60"/>
  <c r="AD195" i="60"/>
  <c r="AD55" i="60"/>
  <c r="AD62" i="60"/>
  <c r="AD10" i="60"/>
  <c r="AD151" i="60"/>
  <c r="AD108" i="60"/>
  <c r="AD52" i="60"/>
  <c r="AD20" i="60"/>
  <c r="AD14" i="60"/>
  <c r="AD199" i="60"/>
  <c r="AD99" i="60"/>
  <c r="AD154" i="60"/>
  <c r="AD53" i="60"/>
  <c r="AD64" i="60"/>
  <c r="AD191" i="60"/>
  <c r="AD198" i="60"/>
  <c r="AD19" i="60"/>
  <c r="AD142" i="60"/>
  <c r="AD110" i="60"/>
  <c r="AD107" i="60"/>
  <c r="AD60" i="60"/>
  <c r="N30" i="60" l="1"/>
  <c r="N14" i="60"/>
  <c r="N48" i="60"/>
  <c r="N21" i="60"/>
  <c r="N13" i="60"/>
  <c r="N49" i="60"/>
  <c r="N57" i="60"/>
  <c r="N28" i="60"/>
  <c r="N20" i="60"/>
  <c r="N12" i="60"/>
  <c r="N42" i="60"/>
  <c r="N50" i="60"/>
  <c r="N58" i="60"/>
  <c r="N27" i="60"/>
  <c r="N19" i="60"/>
  <c r="N11" i="60"/>
  <c r="N43" i="60"/>
  <c r="N51" i="60"/>
  <c r="N59" i="60"/>
  <c r="N26" i="60"/>
  <c r="N18" i="60"/>
  <c r="N10" i="60"/>
  <c r="N44" i="60"/>
  <c r="N52" i="60"/>
  <c r="N60" i="60"/>
  <c r="N22" i="60"/>
  <c r="N40" i="60"/>
  <c r="N56" i="60"/>
  <c r="N29" i="60"/>
  <c r="N41" i="60"/>
  <c r="N8" i="60"/>
  <c r="N25" i="60"/>
  <c r="N17" i="60"/>
  <c r="N9" i="60"/>
  <c r="N45" i="60"/>
  <c r="N53" i="60"/>
  <c r="N61" i="60"/>
  <c r="N32" i="60"/>
  <c r="N24" i="60"/>
  <c r="N16" i="60"/>
  <c r="N38" i="60"/>
  <c r="N46" i="60"/>
  <c r="N54" i="60"/>
  <c r="N62" i="60"/>
  <c r="N31" i="60"/>
  <c r="N23" i="60"/>
  <c r="N15" i="60"/>
  <c r="N39" i="60"/>
  <c r="N47" i="60"/>
  <c r="N55" i="60"/>
  <c r="BQ12" i="60"/>
  <c r="BQ6" i="60"/>
  <c r="BQ20" i="60"/>
  <c r="BQ104" i="60"/>
  <c r="BQ143" i="60"/>
  <c r="BQ96" i="60"/>
  <c r="BQ103" i="60"/>
  <c r="BQ198" i="60"/>
  <c r="BQ155" i="60"/>
  <c r="BQ61" i="60"/>
  <c r="BQ102" i="60"/>
  <c r="BO149" i="60"/>
  <c r="BO13" i="60"/>
  <c r="BO100" i="60"/>
  <c r="BO188" i="60"/>
  <c r="BO52" i="60"/>
  <c r="BO110" i="60"/>
  <c r="BO198" i="60"/>
  <c r="BO62" i="60"/>
  <c r="BO156" i="60"/>
  <c r="BO57" i="60"/>
  <c r="BQ59" i="60"/>
  <c r="BQ62" i="60"/>
  <c r="BQ57" i="60"/>
  <c r="BO104" i="60"/>
  <c r="BO191" i="60"/>
  <c r="BO55" i="60"/>
  <c r="BO143" i="60"/>
  <c r="BO7" i="60"/>
  <c r="BO20" i="60"/>
  <c r="BO153" i="60"/>
  <c r="BO17" i="60"/>
  <c r="BO111" i="60"/>
  <c r="BO12" i="60"/>
  <c r="BQ15" i="60"/>
  <c r="BQ191" i="60"/>
  <c r="BQ106" i="60"/>
  <c r="BQ63" i="60"/>
  <c r="BO195" i="60"/>
  <c r="BO59" i="60"/>
  <c r="BO56" i="60"/>
  <c r="BO10" i="60"/>
  <c r="BO98" i="60"/>
  <c r="BO186" i="60"/>
  <c r="BO109" i="60"/>
  <c r="BO108" i="60"/>
  <c r="BO64" i="60"/>
  <c r="BO66" i="60"/>
  <c r="BQ58" i="60"/>
  <c r="BQ195" i="60"/>
  <c r="BQ14" i="60"/>
  <c r="BQ150" i="60"/>
  <c r="BQ188" i="60"/>
  <c r="BQ141" i="60"/>
  <c r="BQ54" i="60"/>
  <c r="BQ146" i="60"/>
  <c r="BQ201" i="60"/>
  <c r="BQ107" i="60"/>
  <c r="BQ64" i="60"/>
  <c r="BO150" i="60"/>
  <c r="BO14" i="60"/>
  <c r="BO146" i="60"/>
  <c r="BO189" i="60"/>
  <c r="BO53" i="60"/>
  <c r="BO141" i="60"/>
  <c r="BO200" i="60"/>
  <c r="BO63" i="60"/>
  <c r="BO196" i="60"/>
  <c r="BO21" i="60"/>
  <c r="BQ199" i="60"/>
  <c r="BQ53" i="60"/>
  <c r="BQ7" i="60"/>
  <c r="BQ17" i="60"/>
  <c r="BQ105" i="60"/>
  <c r="BQ189" i="60"/>
  <c r="BQ97" i="60"/>
  <c r="BQ55" i="60"/>
  <c r="BQ101" i="60"/>
  <c r="BQ151" i="60"/>
  <c r="BQ108" i="60"/>
  <c r="BQ65" i="60"/>
  <c r="BO105" i="60"/>
  <c r="BO193" i="60"/>
  <c r="BO101" i="60"/>
  <c r="BO144" i="60"/>
  <c r="BO8" i="60"/>
  <c r="BO96" i="60"/>
  <c r="BO155" i="60"/>
  <c r="BO18" i="60"/>
  <c r="BO151" i="60"/>
  <c r="BO154" i="60"/>
  <c r="BQ144" i="60"/>
  <c r="BQ11" i="60"/>
  <c r="BQ145" i="60"/>
  <c r="BQ8" i="60"/>
  <c r="BQ18" i="60"/>
  <c r="BQ60" i="60"/>
  <c r="BQ190" i="60"/>
  <c r="BQ98" i="60"/>
  <c r="BQ51" i="60"/>
  <c r="BQ56" i="60"/>
  <c r="BQ152" i="60"/>
  <c r="BQ109" i="60"/>
  <c r="BQ66" i="60"/>
  <c r="BO60" i="60"/>
  <c r="BO148" i="60"/>
  <c r="BO11" i="60"/>
  <c r="BO99" i="60"/>
  <c r="BO187" i="60"/>
  <c r="BO51" i="60"/>
  <c r="BO65" i="60"/>
  <c r="BO197" i="60"/>
  <c r="BO106" i="60"/>
  <c r="BO192" i="60"/>
  <c r="BQ156" i="60"/>
  <c r="BQ187" i="60"/>
  <c r="BQ16" i="60"/>
  <c r="BQ9" i="60"/>
  <c r="BQ19" i="60"/>
  <c r="BQ194" i="60"/>
  <c r="BQ186" i="60"/>
  <c r="BQ99" i="60"/>
  <c r="BQ193" i="60"/>
  <c r="BQ196" i="60"/>
  <c r="BQ154" i="60"/>
  <c r="BQ111" i="60"/>
  <c r="BQ192" i="60"/>
  <c r="BO15" i="60"/>
  <c r="BO103" i="60"/>
  <c r="BO190" i="60"/>
  <c r="BO54" i="60"/>
  <c r="BO142" i="60"/>
  <c r="BO6" i="60"/>
  <c r="BO199" i="60"/>
  <c r="BO152" i="60"/>
  <c r="BO61" i="60"/>
  <c r="BO147" i="60"/>
  <c r="BQ13" i="60"/>
  <c r="BQ52" i="60"/>
  <c r="BQ200" i="60"/>
  <c r="BQ10" i="60"/>
  <c r="BQ21" i="60"/>
  <c r="BQ149" i="60"/>
  <c r="BQ142" i="60"/>
  <c r="BQ100" i="60"/>
  <c r="BQ148" i="60"/>
  <c r="BQ197" i="60"/>
  <c r="BQ153" i="60"/>
  <c r="BQ110" i="60"/>
  <c r="BQ147" i="60"/>
  <c r="BO194" i="60"/>
  <c r="BO58" i="60"/>
  <c r="BO145" i="60"/>
  <c r="BO9" i="60"/>
  <c r="BO97" i="60"/>
  <c r="BO201" i="60"/>
  <c r="BO19" i="60"/>
  <c r="BO107" i="60"/>
  <c r="BO16" i="60"/>
  <c r="BO102" i="60"/>
  <c r="C6" i="62"/>
  <c r="I6" i="62" s="1"/>
  <c r="D6" i="62"/>
  <c r="J6" i="62" s="1"/>
  <c r="E6" i="62"/>
  <c r="K6" i="62" s="1"/>
  <c r="F6" i="62"/>
  <c r="L6" i="62" s="1"/>
  <c r="G6" i="62"/>
  <c r="M6" i="62" s="1"/>
  <c r="C7" i="62"/>
  <c r="I7" i="62" s="1"/>
  <c r="D7" i="62"/>
  <c r="J7" i="62" s="1"/>
  <c r="E7" i="62"/>
  <c r="K7" i="62" s="1"/>
  <c r="F7" i="62"/>
  <c r="L7" i="62" s="1"/>
  <c r="G7" i="62"/>
  <c r="M7" i="62" s="1"/>
  <c r="C8" i="62"/>
  <c r="I8" i="62" s="1"/>
  <c r="D8" i="62"/>
  <c r="J8" i="62" s="1"/>
  <c r="E8" i="62"/>
  <c r="K8" i="62" s="1"/>
  <c r="F8" i="62"/>
  <c r="L8" i="62" s="1"/>
  <c r="G8" i="62"/>
  <c r="M8" i="62" s="1"/>
  <c r="C9" i="62"/>
  <c r="I9" i="62" s="1"/>
  <c r="D9" i="62"/>
  <c r="J9" i="62" s="1"/>
  <c r="E9" i="62"/>
  <c r="K9" i="62" s="1"/>
  <c r="F9" i="62"/>
  <c r="L9" i="62" s="1"/>
  <c r="G9" i="62"/>
  <c r="M9" i="62" s="1"/>
  <c r="C10" i="62"/>
  <c r="I10" i="62" s="1"/>
  <c r="D10" i="62"/>
  <c r="J10" i="62" s="1"/>
  <c r="E10" i="62"/>
  <c r="K10" i="62" s="1"/>
  <c r="F10" i="62"/>
  <c r="L10" i="62" s="1"/>
  <c r="G10" i="62"/>
  <c r="M10" i="62" s="1"/>
  <c r="C11" i="62"/>
  <c r="I11" i="62" s="1"/>
  <c r="D11" i="62"/>
  <c r="J11" i="62" s="1"/>
  <c r="E11" i="62"/>
  <c r="K11" i="62" s="1"/>
  <c r="F11" i="62"/>
  <c r="L11" i="62" s="1"/>
  <c r="G11" i="62"/>
  <c r="M11" i="62" s="1"/>
  <c r="C12" i="62"/>
  <c r="I12" i="62" s="1"/>
  <c r="D12" i="62"/>
  <c r="J12" i="62" s="1"/>
  <c r="E12" i="62"/>
  <c r="K12" i="62" s="1"/>
  <c r="F12" i="62"/>
  <c r="L12" i="62" s="1"/>
  <c r="G12" i="62"/>
  <c r="M12" i="62" s="1"/>
  <c r="C13" i="62"/>
  <c r="I13" i="62" s="1"/>
  <c r="D13" i="62"/>
  <c r="J13" i="62" s="1"/>
  <c r="E13" i="62"/>
  <c r="K13" i="62" s="1"/>
  <c r="F13" i="62"/>
  <c r="L13" i="62" s="1"/>
  <c r="G13" i="62"/>
  <c r="M13" i="62" s="1"/>
  <c r="C14" i="62"/>
  <c r="I14" i="62" s="1"/>
  <c r="D14" i="62"/>
  <c r="J14" i="62" s="1"/>
  <c r="E14" i="62"/>
  <c r="K14" i="62" s="1"/>
  <c r="F14" i="62"/>
  <c r="L14" i="62" s="1"/>
  <c r="G14" i="62"/>
  <c r="M14" i="62" s="1"/>
  <c r="C15" i="62"/>
  <c r="I15" i="62" s="1"/>
  <c r="D15" i="62"/>
  <c r="J15" i="62" s="1"/>
  <c r="E15" i="62"/>
  <c r="K15" i="62" s="1"/>
  <c r="F15" i="62"/>
  <c r="L15" i="62" s="1"/>
  <c r="G15" i="62"/>
  <c r="M15" i="62" s="1"/>
  <c r="C16" i="62"/>
  <c r="I16" i="62" s="1"/>
  <c r="D16" i="62"/>
  <c r="J16" i="62" s="1"/>
  <c r="E16" i="62"/>
  <c r="K16" i="62" s="1"/>
  <c r="F16" i="62"/>
  <c r="L16" i="62" s="1"/>
  <c r="G16" i="62"/>
  <c r="M16" i="62" s="1"/>
  <c r="C17" i="62"/>
  <c r="I17" i="62" s="1"/>
  <c r="D17" i="62"/>
  <c r="J17" i="62" s="1"/>
  <c r="E17" i="62"/>
  <c r="K17" i="62" s="1"/>
  <c r="F17" i="62"/>
  <c r="L17" i="62" s="1"/>
  <c r="G17" i="62"/>
  <c r="M17" i="62" s="1"/>
  <c r="C18" i="62"/>
  <c r="I18" i="62" s="1"/>
  <c r="D18" i="62"/>
  <c r="J18" i="62" s="1"/>
  <c r="E18" i="62"/>
  <c r="K18" i="62" s="1"/>
  <c r="F18" i="62"/>
  <c r="L18" i="62" s="1"/>
  <c r="G18" i="62"/>
  <c r="M18" i="62" s="1"/>
  <c r="C19" i="62"/>
  <c r="I19" i="62" s="1"/>
  <c r="D19" i="62"/>
  <c r="J19" i="62" s="1"/>
  <c r="E19" i="62"/>
  <c r="K19" i="62" s="1"/>
  <c r="F19" i="62"/>
  <c r="L19" i="62" s="1"/>
  <c r="G19" i="62"/>
  <c r="M19" i="62" s="1"/>
  <c r="C20" i="62"/>
  <c r="I20" i="62" s="1"/>
  <c r="D20" i="62"/>
  <c r="J20" i="62" s="1"/>
  <c r="E20" i="62"/>
  <c r="K20" i="62" s="1"/>
  <c r="F20" i="62"/>
  <c r="L20" i="62" s="1"/>
  <c r="G20" i="62"/>
  <c r="M20" i="62" s="1"/>
  <c r="C21" i="62"/>
  <c r="I21" i="62" s="1"/>
  <c r="D21" i="62"/>
  <c r="J21" i="62" s="1"/>
  <c r="E21" i="62"/>
  <c r="K21" i="62" s="1"/>
  <c r="F21" i="62"/>
  <c r="L21" i="62" s="1"/>
  <c r="G21" i="62"/>
  <c r="M21" i="62" s="1"/>
  <c r="C22" i="62"/>
  <c r="I22" i="62" s="1"/>
  <c r="D22" i="62"/>
  <c r="J22" i="62" s="1"/>
  <c r="E22" i="62"/>
  <c r="K22" i="62" s="1"/>
  <c r="F22" i="62"/>
  <c r="L22" i="62" s="1"/>
  <c r="G22" i="62"/>
  <c r="M22" i="62" s="1"/>
  <c r="C23" i="62"/>
  <c r="I23" i="62" s="1"/>
  <c r="D23" i="62"/>
  <c r="J23" i="62" s="1"/>
  <c r="E23" i="62"/>
  <c r="K23" i="62" s="1"/>
  <c r="F23" i="62"/>
  <c r="L23" i="62" s="1"/>
  <c r="G23" i="62"/>
  <c r="M23" i="62" s="1"/>
  <c r="C24" i="62"/>
  <c r="I24" i="62" s="1"/>
  <c r="D24" i="62"/>
  <c r="J24" i="62" s="1"/>
  <c r="E24" i="62"/>
  <c r="K24" i="62" s="1"/>
  <c r="F24" i="62"/>
  <c r="L24" i="62" s="1"/>
  <c r="G24" i="62"/>
  <c r="M24" i="62" s="1"/>
  <c r="C25" i="62"/>
  <c r="I25" i="62" s="1"/>
  <c r="D25" i="62"/>
  <c r="J25" i="62" s="1"/>
  <c r="E25" i="62"/>
  <c r="K25" i="62" s="1"/>
  <c r="F25" i="62"/>
  <c r="L25" i="62" s="1"/>
  <c r="G25" i="62"/>
  <c r="M25" i="62" s="1"/>
  <c r="C26" i="62"/>
  <c r="I26" i="62" s="1"/>
  <c r="D26" i="62"/>
  <c r="J26" i="62" s="1"/>
  <c r="E26" i="62"/>
  <c r="K26" i="62" s="1"/>
  <c r="F26" i="62"/>
  <c r="L26" i="62" s="1"/>
  <c r="G26" i="62"/>
  <c r="M26" i="62" s="1"/>
  <c r="C27" i="62"/>
  <c r="I27" i="62" s="1"/>
  <c r="D27" i="62"/>
  <c r="J27" i="62" s="1"/>
  <c r="E27" i="62"/>
  <c r="K27" i="62" s="1"/>
  <c r="F27" i="62"/>
  <c r="L27" i="62" s="1"/>
  <c r="G27" i="62"/>
  <c r="M27" i="62" s="1"/>
  <c r="C28" i="62"/>
  <c r="I28" i="62" s="1"/>
  <c r="D28" i="62"/>
  <c r="J28" i="62" s="1"/>
  <c r="E28" i="62"/>
  <c r="K28" i="62" s="1"/>
  <c r="F28" i="62"/>
  <c r="L28" i="62" s="1"/>
  <c r="G28" i="62"/>
  <c r="M28" i="62" s="1"/>
  <c r="C29" i="62"/>
  <c r="I29" i="62" s="1"/>
  <c r="D29" i="62"/>
  <c r="J29" i="62" s="1"/>
  <c r="E29" i="62"/>
  <c r="K29" i="62" s="1"/>
  <c r="F29" i="62"/>
  <c r="L29" i="62" s="1"/>
  <c r="G29" i="62"/>
  <c r="M29" i="62" s="1"/>
  <c r="C30" i="62"/>
  <c r="I30" i="62" s="1"/>
  <c r="D30" i="62"/>
  <c r="J30" i="62" s="1"/>
  <c r="E30" i="62"/>
  <c r="K30" i="62" s="1"/>
  <c r="F30" i="62"/>
  <c r="L30" i="62" s="1"/>
  <c r="G30" i="62"/>
  <c r="M30" i="62" s="1"/>
  <c r="C31" i="62"/>
  <c r="I31" i="62" s="1"/>
  <c r="D31" i="62"/>
  <c r="J31" i="62" s="1"/>
  <c r="E31" i="62"/>
  <c r="K31" i="62" s="1"/>
  <c r="F31" i="62"/>
  <c r="L31" i="62" s="1"/>
  <c r="G31" i="62"/>
  <c r="M31" i="62" s="1"/>
  <c r="C32" i="62"/>
  <c r="I32" i="62" s="1"/>
  <c r="D32" i="62"/>
  <c r="J32" i="62" s="1"/>
  <c r="E32" i="62"/>
  <c r="K32" i="62" s="1"/>
  <c r="F32" i="62"/>
  <c r="L32" i="62" s="1"/>
  <c r="G32" i="62"/>
  <c r="M32" i="62" s="1"/>
  <c r="C33" i="62"/>
  <c r="I33" i="62" s="1"/>
  <c r="D33" i="62"/>
  <c r="J33" i="62" s="1"/>
  <c r="E33" i="62"/>
  <c r="K33" i="62" s="1"/>
  <c r="F33" i="62"/>
  <c r="L33" i="62" s="1"/>
  <c r="G33" i="62"/>
  <c r="M33" i="62" s="1"/>
  <c r="C34" i="62"/>
  <c r="I34" i="62" s="1"/>
  <c r="D34" i="62"/>
  <c r="J34" i="62" s="1"/>
  <c r="E34" i="62"/>
  <c r="K34" i="62" s="1"/>
  <c r="F34" i="62"/>
  <c r="L34" i="62" s="1"/>
  <c r="G34" i="62"/>
  <c r="M34" i="62" s="1"/>
  <c r="C35" i="62"/>
  <c r="I35" i="62" s="1"/>
  <c r="D35" i="62"/>
  <c r="J35" i="62" s="1"/>
  <c r="E35" i="62"/>
  <c r="K35" i="62" s="1"/>
  <c r="F35" i="62"/>
  <c r="L35" i="62" s="1"/>
  <c r="G35" i="62"/>
  <c r="M35" i="62" s="1"/>
  <c r="C36" i="62"/>
  <c r="I36" i="62" s="1"/>
  <c r="D36" i="62"/>
  <c r="J36" i="62" s="1"/>
  <c r="E36" i="62"/>
  <c r="K36" i="62" s="1"/>
  <c r="F36" i="62"/>
  <c r="L36" i="62" s="1"/>
  <c r="G36" i="62"/>
  <c r="M36" i="62" s="1"/>
  <c r="C37" i="62"/>
  <c r="I37" i="62" s="1"/>
  <c r="D37" i="62"/>
  <c r="J37" i="62" s="1"/>
  <c r="E37" i="62"/>
  <c r="K37" i="62" s="1"/>
  <c r="F37" i="62"/>
  <c r="L37" i="62" s="1"/>
  <c r="G37" i="62"/>
  <c r="M37" i="62" s="1"/>
  <c r="C38" i="62"/>
  <c r="I38" i="62" s="1"/>
  <c r="D38" i="62"/>
  <c r="J38" i="62" s="1"/>
  <c r="E38" i="62"/>
  <c r="K38" i="62" s="1"/>
  <c r="F38" i="62"/>
  <c r="L38" i="62" s="1"/>
  <c r="G38" i="62"/>
  <c r="M38" i="62" s="1"/>
  <c r="C39" i="62"/>
  <c r="I39" i="62" s="1"/>
  <c r="D39" i="62"/>
  <c r="J39" i="62" s="1"/>
  <c r="E39" i="62"/>
  <c r="K39" i="62" s="1"/>
  <c r="F39" i="62"/>
  <c r="L39" i="62" s="1"/>
  <c r="G39" i="62"/>
  <c r="M39" i="62" s="1"/>
  <c r="C40" i="62"/>
  <c r="I40" i="62" s="1"/>
  <c r="D40" i="62"/>
  <c r="J40" i="62" s="1"/>
  <c r="E40" i="62"/>
  <c r="K40" i="62" s="1"/>
  <c r="F40" i="62"/>
  <c r="L40" i="62" s="1"/>
  <c r="G40" i="62"/>
  <c r="M40" i="62" s="1"/>
  <c r="C41" i="62"/>
  <c r="I41" i="62" s="1"/>
  <c r="D41" i="62"/>
  <c r="J41" i="62" s="1"/>
  <c r="E41" i="62"/>
  <c r="K41" i="62" s="1"/>
  <c r="F41" i="62"/>
  <c r="L41" i="62" s="1"/>
  <c r="G41" i="62"/>
  <c r="M41" i="62" s="1"/>
  <c r="C42" i="62"/>
  <c r="I42" i="62" s="1"/>
  <c r="D42" i="62"/>
  <c r="J42" i="62" s="1"/>
  <c r="E42" i="62"/>
  <c r="K42" i="62" s="1"/>
  <c r="F42" i="62"/>
  <c r="L42" i="62" s="1"/>
  <c r="G42" i="62"/>
  <c r="M42" i="62" s="1"/>
  <c r="C43" i="62"/>
  <c r="I43" i="62" s="1"/>
  <c r="D43" i="62"/>
  <c r="J43" i="62" s="1"/>
  <c r="E43" i="62"/>
  <c r="K43" i="62" s="1"/>
  <c r="F43" i="62"/>
  <c r="L43" i="62" s="1"/>
  <c r="G43" i="62"/>
  <c r="M43" i="62" s="1"/>
  <c r="C44" i="62"/>
  <c r="I44" i="62" s="1"/>
  <c r="D44" i="62"/>
  <c r="J44" i="62" s="1"/>
  <c r="E44" i="62"/>
  <c r="K44" i="62" s="1"/>
  <c r="F44" i="62"/>
  <c r="L44" i="62" s="1"/>
  <c r="G44" i="62"/>
  <c r="M44" i="62" s="1"/>
  <c r="C45" i="62"/>
  <c r="I45" i="62" s="1"/>
  <c r="D45" i="62"/>
  <c r="J45" i="62" s="1"/>
  <c r="E45" i="62"/>
  <c r="K45" i="62" s="1"/>
  <c r="F45" i="62"/>
  <c r="L45" i="62" s="1"/>
  <c r="G45" i="62"/>
  <c r="M45" i="62" s="1"/>
  <c r="C46" i="62"/>
  <c r="I46" i="62" s="1"/>
  <c r="D46" i="62"/>
  <c r="J46" i="62" s="1"/>
  <c r="E46" i="62"/>
  <c r="K46" i="62" s="1"/>
  <c r="F46" i="62"/>
  <c r="L46" i="62" s="1"/>
  <c r="G46" i="62"/>
  <c r="M46" i="62" s="1"/>
  <c r="C47" i="62"/>
  <c r="I47" i="62" s="1"/>
  <c r="D47" i="62"/>
  <c r="J47" i="62" s="1"/>
  <c r="E47" i="62"/>
  <c r="K47" i="62" s="1"/>
  <c r="F47" i="62"/>
  <c r="L47" i="62" s="1"/>
  <c r="G47" i="62"/>
  <c r="M47" i="62" s="1"/>
  <c r="C48" i="62"/>
  <c r="I48" i="62" s="1"/>
  <c r="D48" i="62"/>
  <c r="J48" i="62" s="1"/>
  <c r="E48" i="62"/>
  <c r="K48" i="62" s="1"/>
  <c r="F48" i="62"/>
  <c r="L48" i="62" s="1"/>
  <c r="G48" i="62"/>
  <c r="M48" i="62" s="1"/>
  <c r="C49" i="62"/>
  <c r="I49" i="62" s="1"/>
  <c r="D49" i="62"/>
  <c r="J49" i="62" s="1"/>
  <c r="E49" i="62"/>
  <c r="K49" i="62" s="1"/>
  <c r="F49" i="62"/>
  <c r="L49" i="62" s="1"/>
  <c r="G49" i="62"/>
  <c r="M49" i="62" s="1"/>
  <c r="C50" i="62"/>
  <c r="I50" i="62" s="1"/>
  <c r="D50" i="62"/>
  <c r="J50" i="62" s="1"/>
  <c r="E50" i="62"/>
  <c r="K50" i="62" s="1"/>
  <c r="F50" i="62"/>
  <c r="L50" i="62" s="1"/>
  <c r="G50" i="62"/>
  <c r="M50" i="62" s="1"/>
  <c r="C51" i="62"/>
  <c r="I51" i="62" s="1"/>
  <c r="D51" i="62"/>
  <c r="J51" i="62" s="1"/>
  <c r="E51" i="62"/>
  <c r="K51" i="62" s="1"/>
  <c r="F51" i="62"/>
  <c r="L51" i="62" s="1"/>
  <c r="G51" i="62"/>
  <c r="M51" i="62" s="1"/>
  <c r="C52" i="62"/>
  <c r="I52" i="62" s="1"/>
  <c r="D52" i="62"/>
  <c r="J52" i="62" s="1"/>
  <c r="E52" i="62"/>
  <c r="K52" i="62" s="1"/>
  <c r="F52" i="62"/>
  <c r="L52" i="62" s="1"/>
  <c r="G52" i="62"/>
  <c r="M52" i="62" s="1"/>
  <c r="C53" i="62"/>
  <c r="I53" i="62" s="1"/>
  <c r="D53" i="62"/>
  <c r="J53" i="62" s="1"/>
  <c r="E53" i="62"/>
  <c r="K53" i="62" s="1"/>
  <c r="F53" i="62"/>
  <c r="L53" i="62" s="1"/>
  <c r="G53" i="62"/>
  <c r="M53" i="62" s="1"/>
  <c r="C54" i="62"/>
  <c r="I54" i="62" s="1"/>
  <c r="D54" i="62"/>
  <c r="J54" i="62" s="1"/>
  <c r="E54" i="62"/>
  <c r="K54" i="62" s="1"/>
  <c r="F54" i="62"/>
  <c r="L54" i="62" s="1"/>
  <c r="G54" i="62"/>
  <c r="M54" i="62" s="1"/>
  <c r="C55" i="62"/>
  <c r="I55" i="62" s="1"/>
  <c r="D55" i="62"/>
  <c r="J55" i="62" s="1"/>
  <c r="E55" i="62"/>
  <c r="K55" i="62" s="1"/>
  <c r="F55" i="62"/>
  <c r="L55" i="62" s="1"/>
  <c r="G55" i="62"/>
  <c r="M55" i="62" s="1"/>
  <c r="C56" i="62"/>
  <c r="I56" i="62" s="1"/>
  <c r="D56" i="62"/>
  <c r="J56" i="62" s="1"/>
  <c r="E56" i="62"/>
  <c r="K56" i="62" s="1"/>
  <c r="F56" i="62"/>
  <c r="L56" i="62" s="1"/>
  <c r="G56" i="62"/>
  <c r="M56" i="62" s="1"/>
  <c r="C57" i="62"/>
  <c r="I57" i="62" s="1"/>
  <c r="D57" i="62"/>
  <c r="J57" i="62" s="1"/>
  <c r="E57" i="62"/>
  <c r="K57" i="62" s="1"/>
  <c r="F57" i="62"/>
  <c r="L57" i="62" s="1"/>
  <c r="G57" i="62"/>
  <c r="M57" i="62" s="1"/>
  <c r="C58" i="62"/>
  <c r="I58" i="62" s="1"/>
  <c r="D58" i="62"/>
  <c r="J58" i="62" s="1"/>
  <c r="E58" i="62"/>
  <c r="K58" i="62" s="1"/>
  <c r="F58" i="62"/>
  <c r="L58" i="62" s="1"/>
  <c r="G58" i="62"/>
  <c r="M58" i="62" s="1"/>
  <c r="C59" i="62"/>
  <c r="I59" i="62" s="1"/>
  <c r="D59" i="62"/>
  <c r="J59" i="62" s="1"/>
  <c r="E59" i="62"/>
  <c r="K59" i="62" s="1"/>
  <c r="F59" i="62"/>
  <c r="L59" i="62" s="1"/>
  <c r="G59" i="62"/>
  <c r="M59" i="62" s="1"/>
  <c r="C60" i="62"/>
  <c r="I60" i="62" s="1"/>
  <c r="D60" i="62"/>
  <c r="J60" i="62" s="1"/>
  <c r="E60" i="62"/>
  <c r="K60" i="62" s="1"/>
  <c r="F60" i="62"/>
  <c r="L60" i="62" s="1"/>
  <c r="G60" i="62"/>
  <c r="M60" i="62" s="1"/>
  <c r="C61" i="62"/>
  <c r="I61" i="62" s="1"/>
  <c r="D61" i="62"/>
  <c r="J61" i="62" s="1"/>
  <c r="E61" i="62"/>
  <c r="K61" i="62" s="1"/>
  <c r="F61" i="62"/>
  <c r="L61" i="62" s="1"/>
  <c r="G61" i="62"/>
  <c r="M61" i="62" s="1"/>
  <c r="C62" i="62"/>
  <c r="I62" i="62" s="1"/>
  <c r="D62" i="62"/>
  <c r="J62" i="62" s="1"/>
  <c r="E62" i="62"/>
  <c r="K62" i="62" s="1"/>
  <c r="F62" i="62"/>
  <c r="L62" i="62" s="1"/>
  <c r="G62" i="62"/>
  <c r="M62" i="62" s="1"/>
  <c r="C63" i="62"/>
  <c r="I63" i="62" s="1"/>
  <c r="D63" i="62"/>
  <c r="J63" i="62" s="1"/>
  <c r="E63" i="62"/>
  <c r="K63" i="62" s="1"/>
  <c r="F63" i="62"/>
  <c r="L63" i="62" s="1"/>
  <c r="G63" i="62"/>
  <c r="M63" i="62" s="1"/>
  <c r="C64" i="62"/>
  <c r="I64" i="62" s="1"/>
  <c r="D64" i="62"/>
  <c r="J64" i="62" s="1"/>
  <c r="E64" i="62"/>
  <c r="K64" i="62" s="1"/>
  <c r="F64" i="62"/>
  <c r="L64" i="62" s="1"/>
  <c r="G64" i="62"/>
  <c r="M64" i="62" s="1"/>
  <c r="C65" i="62"/>
  <c r="I65" i="62" s="1"/>
  <c r="D65" i="62"/>
  <c r="J65" i="62" s="1"/>
  <c r="E65" i="62"/>
  <c r="K65" i="62" s="1"/>
  <c r="F65" i="62"/>
  <c r="L65" i="62" s="1"/>
  <c r="G65" i="62"/>
  <c r="M65" i="62" s="1"/>
  <c r="C66" i="62"/>
  <c r="I66" i="62" s="1"/>
  <c r="D66" i="62"/>
  <c r="J66" i="62" s="1"/>
  <c r="E66" i="62"/>
  <c r="K66" i="62" s="1"/>
  <c r="F66" i="62"/>
  <c r="L66" i="62" s="1"/>
  <c r="G66" i="62"/>
  <c r="M66" i="62" s="1"/>
  <c r="C67" i="62"/>
  <c r="I67" i="62" s="1"/>
  <c r="D67" i="62"/>
  <c r="J67" i="62" s="1"/>
  <c r="E67" i="62"/>
  <c r="K67" i="62" s="1"/>
  <c r="F67" i="62"/>
  <c r="L67" i="62" s="1"/>
  <c r="G67" i="62"/>
  <c r="M67" i="62" s="1"/>
  <c r="C68" i="62"/>
  <c r="I68" i="62" s="1"/>
  <c r="D68" i="62"/>
  <c r="J68" i="62" s="1"/>
  <c r="E68" i="62"/>
  <c r="K68" i="62" s="1"/>
  <c r="F68" i="62"/>
  <c r="L68" i="62" s="1"/>
  <c r="G68" i="62"/>
  <c r="M68" i="62" s="1"/>
  <c r="C69" i="62"/>
  <c r="I69" i="62" s="1"/>
  <c r="D69" i="62"/>
  <c r="J69" i="62" s="1"/>
  <c r="E69" i="62"/>
  <c r="K69" i="62" s="1"/>
  <c r="F69" i="62"/>
  <c r="L69" i="62" s="1"/>
  <c r="G69" i="62"/>
  <c r="M69" i="62" s="1"/>
  <c r="C70" i="62"/>
  <c r="I70" i="62" s="1"/>
  <c r="D70" i="62"/>
  <c r="J70" i="62" s="1"/>
  <c r="E70" i="62"/>
  <c r="K70" i="62" s="1"/>
  <c r="F70" i="62"/>
  <c r="L70" i="62" s="1"/>
  <c r="G70" i="62"/>
  <c r="M70" i="62" s="1"/>
  <c r="C71" i="62"/>
  <c r="I71" i="62" s="1"/>
  <c r="D71" i="62"/>
  <c r="J71" i="62" s="1"/>
  <c r="E71" i="62"/>
  <c r="K71" i="62" s="1"/>
  <c r="F71" i="62"/>
  <c r="L71" i="62" s="1"/>
  <c r="G71" i="62"/>
  <c r="M71" i="62" s="1"/>
  <c r="C72" i="62"/>
  <c r="I72" i="62" s="1"/>
  <c r="D72" i="62"/>
  <c r="J72" i="62" s="1"/>
  <c r="E72" i="62"/>
  <c r="K72" i="62" s="1"/>
  <c r="F72" i="62"/>
  <c r="L72" i="62" s="1"/>
  <c r="G72" i="62"/>
  <c r="M72" i="62" s="1"/>
  <c r="C73" i="62"/>
  <c r="I73" i="62" s="1"/>
  <c r="D73" i="62"/>
  <c r="J73" i="62" s="1"/>
  <c r="E73" i="62"/>
  <c r="K73" i="62" s="1"/>
  <c r="F73" i="62"/>
  <c r="L73" i="62" s="1"/>
  <c r="G73" i="62"/>
  <c r="M73" i="62" s="1"/>
  <c r="C74" i="62"/>
  <c r="I74" i="62" s="1"/>
  <c r="D74" i="62"/>
  <c r="J74" i="62" s="1"/>
  <c r="E74" i="62"/>
  <c r="K74" i="62" s="1"/>
  <c r="F74" i="62"/>
  <c r="L74" i="62" s="1"/>
  <c r="G74" i="62"/>
  <c r="M74" i="62" s="1"/>
  <c r="C75" i="62"/>
  <c r="I75" i="62" s="1"/>
  <c r="D75" i="62"/>
  <c r="J75" i="62" s="1"/>
  <c r="E75" i="62"/>
  <c r="K75" i="62" s="1"/>
  <c r="F75" i="62"/>
  <c r="L75" i="62" s="1"/>
  <c r="G75" i="62"/>
  <c r="M75" i="62" s="1"/>
  <c r="C76" i="62"/>
  <c r="I76" i="62" s="1"/>
  <c r="D76" i="62"/>
  <c r="J76" i="62" s="1"/>
  <c r="E76" i="62"/>
  <c r="K76" i="62" s="1"/>
  <c r="F76" i="62"/>
  <c r="L76" i="62" s="1"/>
  <c r="G76" i="62"/>
  <c r="M76" i="62" s="1"/>
  <c r="C77" i="62"/>
  <c r="I77" i="62" s="1"/>
  <c r="D77" i="62"/>
  <c r="J77" i="62" s="1"/>
  <c r="E77" i="62"/>
  <c r="K77" i="62" s="1"/>
  <c r="F77" i="62"/>
  <c r="L77" i="62" s="1"/>
  <c r="G77" i="62"/>
  <c r="M77" i="62" s="1"/>
  <c r="C78" i="62"/>
  <c r="I78" i="62" s="1"/>
  <c r="D78" i="62"/>
  <c r="J78" i="62" s="1"/>
  <c r="E78" i="62"/>
  <c r="K78" i="62" s="1"/>
  <c r="F78" i="62"/>
  <c r="L78" i="62" s="1"/>
  <c r="G78" i="62"/>
  <c r="M78" i="62" s="1"/>
  <c r="C79" i="62"/>
  <c r="I79" i="62" s="1"/>
  <c r="D79" i="62"/>
  <c r="J79" i="62" s="1"/>
  <c r="E79" i="62"/>
  <c r="K79" i="62" s="1"/>
  <c r="F79" i="62"/>
  <c r="L79" i="62" s="1"/>
  <c r="G79" i="62"/>
  <c r="M79" i="62" s="1"/>
  <c r="C80" i="62"/>
  <c r="I80" i="62" s="1"/>
  <c r="D80" i="62"/>
  <c r="J80" i="62" s="1"/>
  <c r="E80" i="62"/>
  <c r="K80" i="62" s="1"/>
  <c r="F80" i="62"/>
  <c r="L80" i="62" s="1"/>
  <c r="G80" i="62"/>
  <c r="M80" i="62" s="1"/>
  <c r="C81" i="62"/>
  <c r="I81" i="62" s="1"/>
  <c r="D81" i="62"/>
  <c r="J81" i="62" s="1"/>
  <c r="E81" i="62"/>
  <c r="K81" i="62" s="1"/>
  <c r="F81" i="62"/>
  <c r="L81" i="62" s="1"/>
  <c r="G81" i="62"/>
  <c r="M81" i="62" s="1"/>
  <c r="C82" i="62"/>
  <c r="I82" i="62" s="1"/>
  <c r="D82" i="62"/>
  <c r="J82" i="62" s="1"/>
  <c r="E82" i="62"/>
  <c r="K82" i="62" s="1"/>
  <c r="F82" i="62"/>
  <c r="L82" i="62" s="1"/>
  <c r="G82" i="62"/>
  <c r="M82" i="62" s="1"/>
  <c r="C83" i="62"/>
  <c r="I83" i="62" s="1"/>
  <c r="D83" i="62"/>
  <c r="J83" i="62" s="1"/>
  <c r="E83" i="62"/>
  <c r="K83" i="62" s="1"/>
  <c r="F83" i="62"/>
  <c r="L83" i="62" s="1"/>
  <c r="G83" i="62"/>
  <c r="M83" i="62" s="1"/>
  <c r="C84" i="62"/>
  <c r="I84" i="62" s="1"/>
  <c r="D84" i="62"/>
  <c r="J84" i="62" s="1"/>
  <c r="E84" i="62"/>
  <c r="K84" i="62" s="1"/>
  <c r="F84" i="62"/>
  <c r="L84" i="62" s="1"/>
  <c r="G84" i="62"/>
  <c r="M84" i="62" s="1"/>
  <c r="C85" i="62"/>
  <c r="I85" i="62" s="1"/>
  <c r="D85" i="62"/>
  <c r="J85" i="62" s="1"/>
  <c r="E85" i="62"/>
  <c r="K85" i="62" s="1"/>
  <c r="F85" i="62"/>
  <c r="L85" i="62" s="1"/>
  <c r="G85" i="62"/>
  <c r="M85" i="62" s="1"/>
  <c r="C86" i="62"/>
  <c r="I86" i="62" s="1"/>
  <c r="D86" i="62"/>
  <c r="J86" i="62" s="1"/>
  <c r="E86" i="62"/>
  <c r="K86" i="62" s="1"/>
  <c r="F86" i="62"/>
  <c r="L86" i="62" s="1"/>
  <c r="G86" i="62"/>
  <c r="M86" i="62" s="1"/>
  <c r="C87" i="62"/>
  <c r="I87" i="62" s="1"/>
  <c r="D87" i="62"/>
  <c r="J87" i="62" s="1"/>
  <c r="E87" i="62"/>
  <c r="K87" i="62" s="1"/>
  <c r="F87" i="62"/>
  <c r="L87" i="62" s="1"/>
  <c r="G87" i="62"/>
  <c r="M87" i="62" s="1"/>
  <c r="C88" i="62"/>
  <c r="I88" i="62" s="1"/>
  <c r="D88" i="62"/>
  <c r="J88" i="62" s="1"/>
  <c r="E88" i="62"/>
  <c r="K88" i="62" s="1"/>
  <c r="F88" i="62"/>
  <c r="L88" i="62" s="1"/>
  <c r="G88" i="62"/>
  <c r="M88" i="62" s="1"/>
  <c r="C89" i="62"/>
  <c r="I89" i="62" s="1"/>
  <c r="D89" i="62"/>
  <c r="J89" i="62" s="1"/>
  <c r="E89" i="62"/>
  <c r="K89" i="62" s="1"/>
  <c r="F89" i="62"/>
  <c r="L89" i="62" s="1"/>
  <c r="G89" i="62"/>
  <c r="M89" i="62" s="1"/>
  <c r="C90" i="62"/>
  <c r="I90" i="62" s="1"/>
  <c r="D90" i="62"/>
  <c r="J90" i="62" s="1"/>
  <c r="E90" i="62"/>
  <c r="K90" i="62" s="1"/>
  <c r="F90" i="62"/>
  <c r="L90" i="62" s="1"/>
  <c r="G90" i="62"/>
  <c r="M90" i="62" s="1"/>
  <c r="C91" i="62"/>
  <c r="I91" i="62" s="1"/>
  <c r="D91" i="62"/>
  <c r="J91" i="62" s="1"/>
  <c r="E91" i="62"/>
  <c r="K91" i="62" s="1"/>
  <c r="F91" i="62"/>
  <c r="L91" i="62" s="1"/>
  <c r="G91" i="62"/>
  <c r="M91" i="62" s="1"/>
  <c r="C92" i="62"/>
  <c r="I92" i="62" s="1"/>
  <c r="D92" i="62"/>
  <c r="J92" i="62" s="1"/>
  <c r="E92" i="62"/>
  <c r="K92" i="62" s="1"/>
  <c r="F92" i="62"/>
  <c r="L92" i="62" s="1"/>
  <c r="G92" i="62"/>
  <c r="M92" i="62" s="1"/>
  <c r="C93" i="62"/>
  <c r="I93" i="62" s="1"/>
  <c r="D93" i="62"/>
  <c r="J93" i="62" s="1"/>
  <c r="E93" i="62"/>
  <c r="K93" i="62" s="1"/>
  <c r="F93" i="62"/>
  <c r="L93" i="62" s="1"/>
  <c r="G93" i="62"/>
  <c r="M93" i="62" s="1"/>
  <c r="C94" i="62"/>
  <c r="I94" i="62" s="1"/>
  <c r="D94" i="62"/>
  <c r="J94" i="62" s="1"/>
  <c r="E94" i="62"/>
  <c r="K94" i="62" s="1"/>
  <c r="F94" i="62"/>
  <c r="L94" i="62" s="1"/>
  <c r="G94" i="62"/>
  <c r="M94" i="62" s="1"/>
  <c r="C95" i="62"/>
  <c r="I95" i="62" s="1"/>
  <c r="D95" i="62"/>
  <c r="J95" i="62" s="1"/>
  <c r="E95" i="62"/>
  <c r="K95" i="62" s="1"/>
  <c r="F95" i="62"/>
  <c r="L95" i="62" s="1"/>
  <c r="G95" i="62"/>
  <c r="M95" i="62" s="1"/>
  <c r="C96" i="62"/>
  <c r="I96" i="62" s="1"/>
  <c r="D96" i="62"/>
  <c r="J96" i="62" s="1"/>
  <c r="E96" i="62"/>
  <c r="K96" i="62" s="1"/>
  <c r="F96" i="62"/>
  <c r="L96" i="62" s="1"/>
  <c r="G96" i="62"/>
  <c r="M96" i="62" s="1"/>
  <c r="C97" i="62"/>
  <c r="I97" i="62" s="1"/>
  <c r="D97" i="62"/>
  <c r="J97" i="62" s="1"/>
  <c r="E97" i="62"/>
  <c r="K97" i="62" s="1"/>
  <c r="F97" i="62"/>
  <c r="L97" i="62" s="1"/>
  <c r="G97" i="62"/>
  <c r="M97" i="62" s="1"/>
  <c r="C98" i="62"/>
  <c r="I98" i="62" s="1"/>
  <c r="D98" i="62"/>
  <c r="J98" i="62" s="1"/>
  <c r="E98" i="62"/>
  <c r="K98" i="62" s="1"/>
  <c r="F98" i="62"/>
  <c r="L98" i="62" s="1"/>
  <c r="G98" i="62"/>
  <c r="M98" i="62" s="1"/>
  <c r="C99" i="62"/>
  <c r="I99" i="62" s="1"/>
  <c r="D99" i="62"/>
  <c r="J99" i="62" s="1"/>
  <c r="E99" i="62"/>
  <c r="K99" i="62" s="1"/>
  <c r="F99" i="62"/>
  <c r="L99" i="62" s="1"/>
  <c r="G99" i="62"/>
  <c r="M99" i="62" s="1"/>
  <c r="C100" i="62"/>
  <c r="I100" i="62" s="1"/>
  <c r="D100" i="62"/>
  <c r="J100" i="62" s="1"/>
  <c r="E100" i="62"/>
  <c r="K100" i="62" s="1"/>
  <c r="F100" i="62"/>
  <c r="L100" i="62" s="1"/>
  <c r="G100" i="62"/>
  <c r="M100" i="62" s="1"/>
  <c r="C101" i="62"/>
  <c r="I101" i="62" s="1"/>
  <c r="D101" i="62"/>
  <c r="J101" i="62" s="1"/>
  <c r="E101" i="62"/>
  <c r="K101" i="62" s="1"/>
  <c r="F101" i="62"/>
  <c r="L101" i="62" s="1"/>
  <c r="G101" i="62"/>
  <c r="M101" i="62" s="1"/>
  <c r="C102" i="62"/>
  <c r="I102" i="62" s="1"/>
  <c r="D102" i="62"/>
  <c r="J102" i="62" s="1"/>
  <c r="E102" i="62"/>
  <c r="K102" i="62" s="1"/>
  <c r="F102" i="62"/>
  <c r="L102" i="62" s="1"/>
  <c r="G102" i="62"/>
  <c r="M102" i="62" s="1"/>
  <c r="C103" i="62"/>
  <c r="I103" i="62" s="1"/>
  <c r="D103" i="62"/>
  <c r="J103" i="62" s="1"/>
  <c r="E103" i="62"/>
  <c r="K103" i="62" s="1"/>
  <c r="F103" i="62"/>
  <c r="L103" i="62" s="1"/>
  <c r="G103" i="62"/>
  <c r="M103" i="62" s="1"/>
  <c r="C104" i="62"/>
  <c r="I104" i="62" s="1"/>
  <c r="D104" i="62"/>
  <c r="J104" i="62" s="1"/>
  <c r="E104" i="62"/>
  <c r="K104" i="62" s="1"/>
  <c r="F104" i="62"/>
  <c r="L104" i="62" s="1"/>
  <c r="G104" i="62"/>
  <c r="M104" i="62" s="1"/>
  <c r="C105" i="62"/>
  <c r="I105" i="62" s="1"/>
  <c r="D105" i="62"/>
  <c r="J105" i="62" s="1"/>
  <c r="E105" i="62"/>
  <c r="K105" i="62" s="1"/>
  <c r="F105" i="62"/>
  <c r="L105" i="62" s="1"/>
  <c r="G105" i="62"/>
  <c r="M105" i="62" s="1"/>
  <c r="C106" i="62"/>
  <c r="I106" i="62" s="1"/>
  <c r="D106" i="62"/>
  <c r="J106" i="62" s="1"/>
  <c r="E106" i="62"/>
  <c r="K106" i="62" s="1"/>
  <c r="F106" i="62"/>
  <c r="L106" i="62" s="1"/>
  <c r="G106" i="62"/>
  <c r="M106" i="62" s="1"/>
  <c r="C107" i="62"/>
  <c r="I107" i="62" s="1"/>
  <c r="D107" i="62"/>
  <c r="J107" i="62" s="1"/>
  <c r="E107" i="62"/>
  <c r="K107" i="62" s="1"/>
  <c r="F107" i="62"/>
  <c r="L107" i="62" s="1"/>
  <c r="G107" i="62"/>
  <c r="M107" i="62" s="1"/>
  <c r="C108" i="62"/>
  <c r="I108" i="62" s="1"/>
  <c r="D108" i="62"/>
  <c r="J108" i="62" s="1"/>
  <c r="E108" i="62"/>
  <c r="K108" i="62" s="1"/>
  <c r="F108" i="62"/>
  <c r="L108" i="62" s="1"/>
  <c r="G108" i="62"/>
  <c r="M108" i="62" s="1"/>
  <c r="C109" i="62"/>
  <c r="I109" i="62" s="1"/>
  <c r="D109" i="62"/>
  <c r="J109" i="62" s="1"/>
  <c r="E109" i="62"/>
  <c r="K109" i="62" s="1"/>
  <c r="F109" i="62"/>
  <c r="L109" i="62" s="1"/>
  <c r="G109" i="62"/>
  <c r="M109" i="62" s="1"/>
  <c r="C110" i="62"/>
  <c r="I110" i="62" s="1"/>
  <c r="D110" i="62"/>
  <c r="J110" i="62" s="1"/>
  <c r="E110" i="62"/>
  <c r="K110" i="62" s="1"/>
  <c r="F110" i="62"/>
  <c r="L110" i="62" s="1"/>
  <c r="G110" i="62"/>
  <c r="M110" i="62" s="1"/>
  <c r="C111" i="62"/>
  <c r="I111" i="62" s="1"/>
  <c r="D111" i="62"/>
  <c r="J111" i="62" s="1"/>
  <c r="E111" i="62"/>
  <c r="K111" i="62" s="1"/>
  <c r="F111" i="62"/>
  <c r="L111" i="62" s="1"/>
  <c r="G111" i="62"/>
  <c r="M111" i="62" s="1"/>
  <c r="C112" i="62"/>
  <c r="I112" i="62" s="1"/>
  <c r="D112" i="62"/>
  <c r="J112" i="62" s="1"/>
  <c r="E112" i="62"/>
  <c r="K112" i="62" s="1"/>
  <c r="F112" i="62"/>
  <c r="L112" i="62" s="1"/>
  <c r="G112" i="62"/>
  <c r="M112" i="62" s="1"/>
  <c r="C113" i="62"/>
  <c r="I113" i="62" s="1"/>
  <c r="D113" i="62"/>
  <c r="J113" i="62" s="1"/>
  <c r="E113" i="62"/>
  <c r="K113" i="62" s="1"/>
  <c r="F113" i="62"/>
  <c r="L113" i="62" s="1"/>
  <c r="G113" i="62"/>
  <c r="M113" i="62" s="1"/>
  <c r="C114" i="62"/>
  <c r="I114" i="62" s="1"/>
  <c r="D114" i="62"/>
  <c r="J114" i="62" s="1"/>
  <c r="E114" i="62"/>
  <c r="K114" i="62" s="1"/>
  <c r="F114" i="62"/>
  <c r="L114" i="62" s="1"/>
  <c r="G114" i="62"/>
  <c r="M114" i="62" s="1"/>
  <c r="C115" i="62"/>
  <c r="I115" i="62" s="1"/>
  <c r="D115" i="62"/>
  <c r="J115" i="62" s="1"/>
  <c r="E115" i="62"/>
  <c r="K115" i="62" s="1"/>
  <c r="F115" i="62"/>
  <c r="L115" i="62" s="1"/>
  <c r="G115" i="62"/>
  <c r="M115" i="62" s="1"/>
  <c r="C116" i="62"/>
  <c r="I116" i="62" s="1"/>
  <c r="D116" i="62"/>
  <c r="J116" i="62" s="1"/>
  <c r="E116" i="62"/>
  <c r="K116" i="62" s="1"/>
  <c r="F116" i="62"/>
  <c r="L116" i="62" s="1"/>
  <c r="G116" i="62"/>
  <c r="M116" i="62" s="1"/>
  <c r="C117" i="62"/>
  <c r="I117" i="62" s="1"/>
  <c r="D117" i="62"/>
  <c r="J117" i="62" s="1"/>
  <c r="E117" i="62"/>
  <c r="K117" i="62" s="1"/>
  <c r="F117" i="62"/>
  <c r="L117" i="62" s="1"/>
  <c r="G117" i="62"/>
  <c r="M117" i="62" s="1"/>
  <c r="C118" i="62"/>
  <c r="I118" i="62" s="1"/>
  <c r="D118" i="62"/>
  <c r="J118" i="62" s="1"/>
  <c r="E118" i="62"/>
  <c r="K118" i="62" s="1"/>
  <c r="F118" i="62"/>
  <c r="L118" i="62" s="1"/>
  <c r="G118" i="62"/>
  <c r="M118" i="62" s="1"/>
  <c r="C119" i="62"/>
  <c r="I119" i="62" s="1"/>
  <c r="D119" i="62"/>
  <c r="J119" i="62" s="1"/>
  <c r="E119" i="62"/>
  <c r="K119" i="62" s="1"/>
  <c r="F119" i="62"/>
  <c r="L119" i="62" s="1"/>
  <c r="G119" i="62"/>
  <c r="M119" i="62" s="1"/>
  <c r="C120" i="62"/>
  <c r="I120" i="62" s="1"/>
  <c r="D120" i="62"/>
  <c r="J120" i="62" s="1"/>
  <c r="E120" i="62"/>
  <c r="K120" i="62" s="1"/>
  <c r="F120" i="62"/>
  <c r="L120" i="62" s="1"/>
  <c r="G120" i="62"/>
  <c r="M120" i="62" s="1"/>
  <c r="C121" i="62"/>
  <c r="I121" i="62" s="1"/>
  <c r="D121" i="62"/>
  <c r="J121" i="62" s="1"/>
  <c r="E121" i="62"/>
  <c r="K121" i="62" s="1"/>
  <c r="F121" i="62"/>
  <c r="L121" i="62" s="1"/>
  <c r="G121" i="62"/>
  <c r="M121" i="62" s="1"/>
  <c r="C122" i="62"/>
  <c r="I122" i="62" s="1"/>
  <c r="D122" i="62"/>
  <c r="J122" i="62" s="1"/>
  <c r="E122" i="62"/>
  <c r="K122" i="62" s="1"/>
  <c r="F122" i="62"/>
  <c r="L122" i="62" s="1"/>
  <c r="G122" i="62"/>
  <c r="M122" i="62" s="1"/>
  <c r="C123" i="62"/>
  <c r="I123" i="62" s="1"/>
  <c r="D123" i="62"/>
  <c r="J123" i="62" s="1"/>
  <c r="E123" i="62"/>
  <c r="K123" i="62" s="1"/>
  <c r="F123" i="62"/>
  <c r="L123" i="62" s="1"/>
  <c r="G123" i="62"/>
  <c r="M123" i="62" s="1"/>
  <c r="C124" i="62"/>
  <c r="I124" i="62" s="1"/>
  <c r="D124" i="62"/>
  <c r="J124" i="62" s="1"/>
  <c r="E124" i="62"/>
  <c r="K124" i="62" s="1"/>
  <c r="F124" i="62"/>
  <c r="L124" i="62" s="1"/>
  <c r="G124" i="62"/>
  <c r="M124" i="62" s="1"/>
  <c r="C125" i="62"/>
  <c r="I125" i="62" s="1"/>
  <c r="D125" i="62"/>
  <c r="J125" i="62" s="1"/>
  <c r="E125" i="62"/>
  <c r="K125" i="62" s="1"/>
  <c r="F125" i="62"/>
  <c r="L125" i="62" s="1"/>
  <c r="G125" i="62"/>
  <c r="M125" i="62" s="1"/>
  <c r="C126" i="62"/>
  <c r="I126" i="62" s="1"/>
  <c r="D126" i="62"/>
  <c r="J126" i="62" s="1"/>
  <c r="E126" i="62"/>
  <c r="K126" i="62" s="1"/>
  <c r="F126" i="62"/>
  <c r="L126" i="62" s="1"/>
  <c r="G126" i="62"/>
  <c r="M126" i="62" s="1"/>
  <c r="C127" i="62"/>
  <c r="I127" i="62" s="1"/>
  <c r="D127" i="62"/>
  <c r="J127" i="62" s="1"/>
  <c r="E127" i="62"/>
  <c r="K127" i="62" s="1"/>
  <c r="F127" i="62"/>
  <c r="L127" i="62" s="1"/>
  <c r="G127" i="62"/>
  <c r="M127" i="62" s="1"/>
  <c r="C128" i="62"/>
  <c r="I128" i="62" s="1"/>
  <c r="D128" i="62"/>
  <c r="J128" i="62" s="1"/>
  <c r="E128" i="62"/>
  <c r="K128" i="62" s="1"/>
  <c r="F128" i="62"/>
  <c r="L128" i="62" s="1"/>
  <c r="G128" i="62"/>
  <c r="M128" i="62" s="1"/>
  <c r="C129" i="62"/>
  <c r="I129" i="62" s="1"/>
  <c r="D129" i="62"/>
  <c r="J129" i="62" s="1"/>
  <c r="E129" i="62"/>
  <c r="K129" i="62" s="1"/>
  <c r="F129" i="62"/>
  <c r="L129" i="62" s="1"/>
  <c r="G129" i="62"/>
  <c r="M129" i="62" s="1"/>
  <c r="C130" i="62"/>
  <c r="I130" i="62" s="1"/>
  <c r="D130" i="62"/>
  <c r="J130" i="62" s="1"/>
  <c r="E130" i="62"/>
  <c r="K130" i="62" s="1"/>
  <c r="F130" i="62"/>
  <c r="L130" i="62" s="1"/>
  <c r="G130" i="62"/>
  <c r="M130" i="62" s="1"/>
  <c r="C131" i="62"/>
  <c r="I131" i="62" s="1"/>
  <c r="D131" i="62"/>
  <c r="J131" i="62" s="1"/>
  <c r="E131" i="62"/>
  <c r="K131" i="62" s="1"/>
  <c r="F131" i="62"/>
  <c r="L131" i="62" s="1"/>
  <c r="G131" i="62"/>
  <c r="M131" i="62" s="1"/>
  <c r="C132" i="62"/>
  <c r="I132" i="62" s="1"/>
  <c r="D132" i="62"/>
  <c r="J132" i="62" s="1"/>
  <c r="E132" i="62"/>
  <c r="K132" i="62" s="1"/>
  <c r="F132" i="62"/>
  <c r="L132" i="62" s="1"/>
  <c r="G132" i="62"/>
  <c r="M132" i="62" s="1"/>
  <c r="C133" i="62"/>
  <c r="I133" i="62" s="1"/>
  <c r="D133" i="62"/>
  <c r="J133" i="62" s="1"/>
  <c r="E133" i="62"/>
  <c r="K133" i="62" s="1"/>
  <c r="F133" i="62"/>
  <c r="L133" i="62" s="1"/>
  <c r="G133" i="62"/>
  <c r="M133" i="62" s="1"/>
  <c r="C134" i="62"/>
  <c r="I134" i="62" s="1"/>
  <c r="D134" i="62"/>
  <c r="J134" i="62" s="1"/>
  <c r="E134" i="62"/>
  <c r="K134" i="62" s="1"/>
  <c r="F134" i="62"/>
  <c r="L134" i="62" s="1"/>
  <c r="G134" i="62"/>
  <c r="M134" i="62" s="1"/>
  <c r="C135" i="62"/>
  <c r="I135" i="62" s="1"/>
  <c r="D135" i="62"/>
  <c r="J135" i="62" s="1"/>
  <c r="E135" i="62"/>
  <c r="K135" i="62" s="1"/>
  <c r="F135" i="62"/>
  <c r="L135" i="62" s="1"/>
  <c r="G135" i="62"/>
  <c r="M135" i="62" s="1"/>
  <c r="C136" i="62"/>
  <c r="I136" i="62" s="1"/>
  <c r="D136" i="62"/>
  <c r="J136" i="62" s="1"/>
  <c r="E136" i="62"/>
  <c r="K136" i="62" s="1"/>
  <c r="F136" i="62"/>
  <c r="L136" i="62" s="1"/>
  <c r="G136" i="62"/>
  <c r="M136" i="62" s="1"/>
  <c r="C137" i="62"/>
  <c r="I137" i="62" s="1"/>
  <c r="D137" i="62"/>
  <c r="J137" i="62" s="1"/>
  <c r="E137" i="62"/>
  <c r="K137" i="62" s="1"/>
  <c r="F137" i="62"/>
  <c r="L137" i="62" s="1"/>
  <c r="G137" i="62"/>
  <c r="M137" i="62" s="1"/>
  <c r="C138" i="62"/>
  <c r="I138" i="62" s="1"/>
  <c r="D138" i="62"/>
  <c r="J138" i="62" s="1"/>
  <c r="E138" i="62"/>
  <c r="K138" i="62" s="1"/>
  <c r="F138" i="62"/>
  <c r="L138" i="62" s="1"/>
  <c r="G138" i="62"/>
  <c r="M138" i="62" s="1"/>
  <c r="C139" i="62"/>
  <c r="I139" i="62" s="1"/>
  <c r="D139" i="62"/>
  <c r="J139" i="62" s="1"/>
  <c r="E139" i="62"/>
  <c r="K139" i="62" s="1"/>
  <c r="F139" i="62"/>
  <c r="L139" i="62" s="1"/>
  <c r="G139" i="62"/>
  <c r="M139" i="62" s="1"/>
  <c r="C140" i="62"/>
  <c r="I140" i="62" s="1"/>
  <c r="D140" i="62"/>
  <c r="J140" i="62" s="1"/>
  <c r="E140" i="62"/>
  <c r="K140" i="62" s="1"/>
  <c r="F140" i="62"/>
  <c r="L140" i="62" s="1"/>
  <c r="G140" i="62"/>
  <c r="M140" i="62" s="1"/>
  <c r="C141" i="62"/>
  <c r="I141" i="62" s="1"/>
  <c r="D141" i="62"/>
  <c r="J141" i="62" s="1"/>
  <c r="E141" i="62"/>
  <c r="K141" i="62" s="1"/>
  <c r="F141" i="62"/>
  <c r="L141" i="62" s="1"/>
  <c r="G141" i="62"/>
  <c r="M141" i="62" s="1"/>
  <c r="C142" i="62"/>
  <c r="I142" i="62" s="1"/>
  <c r="D142" i="62"/>
  <c r="J142" i="62" s="1"/>
  <c r="E142" i="62"/>
  <c r="K142" i="62" s="1"/>
  <c r="F142" i="62"/>
  <c r="L142" i="62" s="1"/>
  <c r="G142" i="62"/>
  <c r="M142" i="62" s="1"/>
  <c r="C143" i="62"/>
  <c r="I143" i="62" s="1"/>
  <c r="D143" i="62"/>
  <c r="J143" i="62" s="1"/>
  <c r="E143" i="62"/>
  <c r="K143" i="62" s="1"/>
  <c r="F143" i="62"/>
  <c r="L143" i="62" s="1"/>
  <c r="G143" i="62"/>
  <c r="M143" i="62" s="1"/>
  <c r="C144" i="62"/>
  <c r="I144" i="62" s="1"/>
  <c r="D144" i="62"/>
  <c r="J144" i="62" s="1"/>
  <c r="E144" i="62"/>
  <c r="K144" i="62" s="1"/>
  <c r="F144" i="62"/>
  <c r="L144" i="62" s="1"/>
  <c r="G144" i="62"/>
  <c r="M144" i="62" s="1"/>
  <c r="C145" i="62"/>
  <c r="I145" i="62" s="1"/>
  <c r="D145" i="62"/>
  <c r="J145" i="62" s="1"/>
  <c r="E145" i="62"/>
  <c r="K145" i="62" s="1"/>
  <c r="F145" i="62"/>
  <c r="L145" i="62" s="1"/>
  <c r="G145" i="62"/>
  <c r="M145" i="62" s="1"/>
  <c r="C146" i="62"/>
  <c r="I146" i="62" s="1"/>
  <c r="D146" i="62"/>
  <c r="J146" i="62" s="1"/>
  <c r="E146" i="62"/>
  <c r="K146" i="62" s="1"/>
  <c r="F146" i="62"/>
  <c r="L146" i="62" s="1"/>
  <c r="G146" i="62"/>
  <c r="M146" i="62" s="1"/>
  <c r="C147" i="62"/>
  <c r="I147" i="62" s="1"/>
  <c r="D147" i="62"/>
  <c r="J147" i="62" s="1"/>
  <c r="E147" i="62"/>
  <c r="K147" i="62" s="1"/>
  <c r="F147" i="62"/>
  <c r="L147" i="62" s="1"/>
  <c r="G147" i="62"/>
  <c r="M147" i="62" s="1"/>
  <c r="C148" i="62"/>
  <c r="I148" i="62" s="1"/>
  <c r="D148" i="62"/>
  <c r="J148" i="62" s="1"/>
  <c r="E148" i="62"/>
  <c r="K148" i="62" s="1"/>
  <c r="F148" i="62"/>
  <c r="L148" i="62" s="1"/>
  <c r="G148" i="62"/>
  <c r="M148" i="62" s="1"/>
  <c r="C149" i="62"/>
  <c r="I149" i="62" s="1"/>
  <c r="D149" i="62"/>
  <c r="J149" i="62" s="1"/>
  <c r="E149" i="62"/>
  <c r="K149" i="62" s="1"/>
  <c r="F149" i="62"/>
  <c r="L149" i="62" s="1"/>
  <c r="G149" i="62"/>
  <c r="M149" i="62" s="1"/>
  <c r="C150" i="62"/>
  <c r="I150" i="62" s="1"/>
  <c r="D150" i="62"/>
  <c r="J150" i="62" s="1"/>
  <c r="E150" i="62"/>
  <c r="K150" i="62" s="1"/>
  <c r="F150" i="62"/>
  <c r="L150" i="62" s="1"/>
  <c r="G150" i="62"/>
  <c r="M150" i="62" s="1"/>
  <c r="C151" i="62"/>
  <c r="I151" i="62" s="1"/>
  <c r="D151" i="62"/>
  <c r="J151" i="62" s="1"/>
  <c r="E151" i="62"/>
  <c r="K151" i="62" s="1"/>
  <c r="F151" i="62"/>
  <c r="L151" i="62" s="1"/>
  <c r="G151" i="62"/>
  <c r="M151" i="62" s="1"/>
  <c r="C152" i="62"/>
  <c r="I152" i="62" s="1"/>
  <c r="D152" i="62"/>
  <c r="J152" i="62" s="1"/>
  <c r="E152" i="62"/>
  <c r="K152" i="62" s="1"/>
  <c r="F152" i="62"/>
  <c r="L152" i="62" s="1"/>
  <c r="G152" i="62"/>
  <c r="M152" i="62" s="1"/>
  <c r="C153" i="62"/>
  <c r="I153" i="62" s="1"/>
  <c r="D153" i="62"/>
  <c r="J153" i="62" s="1"/>
  <c r="E153" i="62"/>
  <c r="K153" i="62" s="1"/>
  <c r="F153" i="62"/>
  <c r="L153" i="62" s="1"/>
  <c r="G153" i="62"/>
  <c r="M153" i="62" s="1"/>
  <c r="C154" i="62"/>
  <c r="I154" i="62" s="1"/>
  <c r="D154" i="62"/>
  <c r="J154" i="62" s="1"/>
  <c r="E154" i="62"/>
  <c r="K154" i="62" s="1"/>
  <c r="F154" i="62"/>
  <c r="L154" i="62" s="1"/>
  <c r="G154" i="62"/>
  <c r="M154" i="62" s="1"/>
  <c r="C155" i="62"/>
  <c r="I155" i="62" s="1"/>
  <c r="D155" i="62"/>
  <c r="J155" i="62" s="1"/>
  <c r="E155" i="62"/>
  <c r="K155" i="62" s="1"/>
  <c r="F155" i="62"/>
  <c r="L155" i="62" s="1"/>
  <c r="G155" i="62"/>
  <c r="M155" i="62" s="1"/>
  <c r="C156" i="62"/>
  <c r="I156" i="62" s="1"/>
  <c r="D156" i="62"/>
  <c r="J156" i="62" s="1"/>
  <c r="E156" i="62"/>
  <c r="K156" i="62" s="1"/>
  <c r="F156" i="62"/>
  <c r="L156" i="62" s="1"/>
  <c r="G156" i="62"/>
  <c r="M156" i="62" s="1"/>
  <c r="C157" i="62"/>
  <c r="I157" i="62" s="1"/>
  <c r="D157" i="62"/>
  <c r="J157" i="62" s="1"/>
  <c r="E157" i="62"/>
  <c r="K157" i="62" s="1"/>
  <c r="F157" i="62"/>
  <c r="L157" i="62" s="1"/>
  <c r="G157" i="62"/>
  <c r="M157" i="62" s="1"/>
  <c r="C158" i="62"/>
  <c r="I158" i="62" s="1"/>
  <c r="D158" i="62"/>
  <c r="J158" i="62" s="1"/>
  <c r="E158" i="62"/>
  <c r="K158" i="62" s="1"/>
  <c r="F158" i="62"/>
  <c r="L158" i="62" s="1"/>
  <c r="G158" i="62"/>
  <c r="M158" i="62" s="1"/>
  <c r="C159" i="62"/>
  <c r="I159" i="62" s="1"/>
  <c r="D159" i="62"/>
  <c r="J159" i="62" s="1"/>
  <c r="E159" i="62"/>
  <c r="K159" i="62" s="1"/>
  <c r="F159" i="62"/>
  <c r="L159" i="62" s="1"/>
  <c r="G159" i="62"/>
  <c r="M159" i="62" s="1"/>
  <c r="C160" i="62"/>
  <c r="I160" i="62" s="1"/>
  <c r="D160" i="62"/>
  <c r="J160" i="62" s="1"/>
  <c r="E160" i="62"/>
  <c r="K160" i="62" s="1"/>
  <c r="F160" i="62"/>
  <c r="L160" i="62" s="1"/>
  <c r="G160" i="62"/>
  <c r="M160" i="62" s="1"/>
  <c r="C161" i="62"/>
  <c r="I161" i="62" s="1"/>
  <c r="D161" i="62"/>
  <c r="J161" i="62" s="1"/>
  <c r="E161" i="62"/>
  <c r="K161" i="62" s="1"/>
  <c r="F161" i="62"/>
  <c r="L161" i="62" s="1"/>
  <c r="G161" i="62"/>
  <c r="M161" i="62" s="1"/>
  <c r="C162" i="62"/>
  <c r="I162" i="62" s="1"/>
  <c r="D162" i="62"/>
  <c r="J162" i="62" s="1"/>
  <c r="E162" i="62"/>
  <c r="K162" i="62" s="1"/>
  <c r="F162" i="62"/>
  <c r="L162" i="62" s="1"/>
  <c r="G162" i="62"/>
  <c r="M162" i="62" s="1"/>
  <c r="C163" i="62"/>
  <c r="I163" i="62" s="1"/>
  <c r="D163" i="62"/>
  <c r="J163" i="62" s="1"/>
  <c r="E163" i="62"/>
  <c r="K163" i="62" s="1"/>
  <c r="F163" i="62"/>
  <c r="L163" i="62" s="1"/>
  <c r="G163" i="62"/>
  <c r="M163" i="62" s="1"/>
  <c r="C164" i="62"/>
  <c r="I164" i="62" s="1"/>
  <c r="D164" i="62"/>
  <c r="J164" i="62" s="1"/>
  <c r="E164" i="62"/>
  <c r="K164" i="62" s="1"/>
  <c r="F164" i="62"/>
  <c r="L164" i="62" s="1"/>
  <c r="G164" i="62"/>
  <c r="M164" i="62" s="1"/>
  <c r="CG62" i="60"/>
  <c r="CG144" i="60"/>
  <c r="CG141" i="60"/>
  <c r="CH66" i="60"/>
  <c r="CF19" i="60"/>
  <c r="CF12" i="60"/>
  <c r="CI153" i="60"/>
  <c r="CG128" i="60"/>
  <c r="CG133" i="60"/>
  <c r="CI106" i="60"/>
  <c r="CG19" i="60"/>
  <c r="CG23" i="60"/>
  <c r="CH131" i="60"/>
  <c r="CH128" i="60"/>
  <c r="CI69" i="60"/>
  <c r="CH116" i="60"/>
  <c r="CI76" i="60"/>
  <c r="CF141" i="60"/>
  <c r="CF138" i="60"/>
  <c r="CH146" i="60"/>
  <c r="CF46" i="60"/>
  <c r="CH100" i="60"/>
  <c r="CH107" i="60"/>
  <c r="CH112" i="60"/>
  <c r="CH26" i="60"/>
  <c r="CF57" i="60"/>
  <c r="CH41" i="60"/>
  <c r="CI118" i="60"/>
  <c r="CI115" i="60"/>
  <c r="CF31" i="60"/>
  <c r="CF97" i="60"/>
  <c r="CF35" i="60"/>
  <c r="CH158" i="60"/>
  <c r="CH157" i="60"/>
  <c r="CI133" i="60"/>
  <c r="CF118" i="60"/>
  <c r="CF91" i="60"/>
  <c r="CG75" i="60"/>
  <c r="CG82" i="60"/>
  <c r="CG156" i="60"/>
  <c r="CG97" i="60"/>
  <c r="CF72" i="60"/>
  <c r="CF66" i="60"/>
  <c r="CH20" i="60"/>
  <c r="CH13" i="60"/>
  <c r="CF113" i="60"/>
  <c r="CG120" i="60"/>
  <c r="CG88" i="60"/>
  <c r="CG93" i="60"/>
  <c r="CH79" i="60"/>
  <c r="CH63" i="60"/>
  <c r="CI140" i="60"/>
  <c r="CG107" i="60"/>
  <c r="CG106" i="60"/>
  <c r="CH90" i="60"/>
  <c r="CI55" i="60"/>
  <c r="CG38" i="60"/>
  <c r="CH165" i="60"/>
  <c r="CG50" i="60"/>
  <c r="CF78" i="60"/>
  <c r="CG150" i="60"/>
  <c r="CH51" i="60"/>
  <c r="CH45" i="60"/>
  <c r="CI26" i="60"/>
  <c r="CI39" i="60"/>
  <c r="CH137" i="60"/>
  <c r="CF152" i="60"/>
  <c r="CF154" i="60"/>
  <c r="CI53" i="60"/>
  <c r="CF158" i="60"/>
  <c r="CI100" i="60"/>
  <c r="CI161" i="60"/>
  <c r="CI163" i="60"/>
  <c r="CF129" i="60"/>
  <c r="CI87" i="60"/>
  <c r="CG27" i="60"/>
  <c r="CI6" i="60"/>
  <c r="CI15" i="60"/>
  <c r="CI8" i="60"/>
  <c r="CG68" i="60"/>
  <c r="CE85" i="60"/>
  <c r="CE34" i="60"/>
  <c r="CE31" i="60"/>
  <c r="CE100" i="60"/>
  <c r="CE147" i="60"/>
  <c r="CE160" i="60"/>
  <c r="CE42" i="60"/>
  <c r="CE36" i="60"/>
  <c r="CE121" i="60"/>
  <c r="CE131" i="60"/>
  <c r="CE109" i="60"/>
  <c r="CE141" i="60"/>
  <c r="CE143" i="60"/>
  <c r="CE81" i="60"/>
  <c r="CE59" i="60"/>
  <c r="CE48" i="60"/>
  <c r="CE69" i="60"/>
  <c r="CE68" i="60"/>
  <c r="CE8" i="60"/>
  <c r="CE20" i="60"/>
  <c r="CG57" i="60"/>
  <c r="CG136" i="60"/>
  <c r="CH67" i="60"/>
  <c r="CH69" i="60"/>
  <c r="CF23" i="60"/>
  <c r="CG60" i="60"/>
  <c r="CG63" i="60"/>
  <c r="CG137" i="60"/>
  <c r="CH65" i="60"/>
  <c r="CG55" i="60"/>
  <c r="CG140" i="60"/>
  <c r="CH70" i="60"/>
  <c r="CF13" i="60"/>
  <c r="CF14" i="60"/>
  <c r="CF18" i="60"/>
  <c r="CI146" i="60"/>
  <c r="CG129" i="60"/>
  <c r="CI110" i="60"/>
  <c r="CG6" i="60"/>
  <c r="CG17" i="60"/>
  <c r="CG10" i="60"/>
  <c r="CH127" i="60"/>
  <c r="CI73" i="60"/>
  <c r="CH118" i="60"/>
  <c r="CH120" i="60"/>
  <c r="CI80" i="60"/>
  <c r="CF137" i="60"/>
  <c r="CH145" i="60"/>
  <c r="CF53" i="60"/>
  <c r="CF50" i="60"/>
  <c r="CH101" i="60"/>
  <c r="CH111" i="60"/>
  <c r="CH30" i="60"/>
  <c r="CF56" i="60"/>
  <c r="CF58" i="60"/>
  <c r="CH42" i="60"/>
  <c r="CI122" i="60"/>
  <c r="CF30" i="60"/>
  <c r="CF101" i="60"/>
  <c r="CF98" i="60"/>
  <c r="CF44" i="60"/>
  <c r="CH164" i="60"/>
  <c r="CI126" i="60"/>
  <c r="CF120" i="60"/>
  <c r="CF119" i="60"/>
  <c r="CF89" i="60"/>
  <c r="CG81" i="60"/>
  <c r="CG163" i="60"/>
  <c r="CG96" i="60"/>
  <c r="CG98" i="60"/>
  <c r="CF65" i="60"/>
  <c r="CH22" i="60"/>
  <c r="CH7" i="60"/>
  <c r="CF109" i="60"/>
  <c r="CF114" i="60"/>
  <c r="CG116" i="60"/>
  <c r="CG89" i="60"/>
  <c r="CH83" i="60"/>
  <c r="CH59" i="60"/>
  <c r="CH64" i="60"/>
  <c r="CI141" i="60"/>
  <c r="CG105" i="60"/>
  <c r="CH86" i="60"/>
  <c r="CI62" i="60"/>
  <c r="CI56" i="60"/>
  <c r="CG36" i="60"/>
  <c r="CG51" i="60"/>
  <c r="CF77" i="60"/>
  <c r="CF79" i="60"/>
  <c r="CG151" i="60"/>
  <c r="CH52" i="60"/>
  <c r="CI25" i="60"/>
  <c r="CI38" i="60"/>
  <c r="CI43" i="60"/>
  <c r="CH138" i="60"/>
  <c r="CF153" i="60"/>
  <c r="CI49" i="60"/>
  <c r="CF160" i="60"/>
  <c r="CF159" i="60"/>
  <c r="CI101" i="60"/>
  <c r="CI159" i="60"/>
  <c r="CF125" i="60"/>
  <c r="CI86" i="60"/>
  <c r="CI88" i="60"/>
  <c r="CG31" i="60"/>
  <c r="CI12" i="60"/>
  <c r="CI21" i="60"/>
  <c r="CG70" i="60"/>
  <c r="CG69" i="60"/>
  <c r="CE89" i="60"/>
  <c r="CE30" i="60"/>
  <c r="CE96" i="60"/>
  <c r="CE149" i="60"/>
  <c r="CE148" i="60"/>
  <c r="CE161" i="60"/>
  <c r="CE35" i="60"/>
  <c r="CE120" i="60"/>
  <c r="CE133" i="60"/>
  <c r="CE132" i="60"/>
  <c r="CE113" i="60"/>
  <c r="CE139" i="60"/>
  <c r="CE80" i="60"/>
  <c r="CE58" i="60"/>
  <c r="CE63" i="60"/>
  <c r="CE46" i="60"/>
  <c r="CE67" i="60"/>
  <c r="CE10" i="60"/>
  <c r="CE22" i="60"/>
  <c r="CE7" i="60"/>
  <c r="CG56" i="60"/>
  <c r="CG58" i="60"/>
  <c r="CG143" i="60"/>
  <c r="CH68" i="60"/>
  <c r="CF21" i="60"/>
  <c r="CF10" i="60"/>
  <c r="CI149" i="60"/>
  <c r="CG132" i="60"/>
  <c r="CI108" i="60"/>
  <c r="CG16" i="60"/>
  <c r="CG9" i="60"/>
  <c r="CG21" i="60"/>
  <c r="CH130" i="60"/>
  <c r="CI71" i="60"/>
  <c r="CH123" i="60"/>
  <c r="CI78" i="60"/>
  <c r="CI83" i="60"/>
  <c r="CF140" i="60"/>
  <c r="CF51" i="60"/>
  <c r="CH99" i="60"/>
  <c r="CH104" i="60"/>
  <c r="CH114" i="60"/>
  <c r="CH28" i="60"/>
  <c r="CH43" i="60"/>
  <c r="CH37" i="60"/>
  <c r="CI117" i="60"/>
  <c r="CF99" i="60"/>
  <c r="CF17" i="60"/>
  <c r="CH148" i="60"/>
  <c r="CF59" i="60"/>
  <c r="CF33" i="60"/>
  <c r="CG64" i="60"/>
  <c r="CH71" i="60"/>
  <c r="CF22" i="60"/>
  <c r="CI151" i="60"/>
  <c r="CG130" i="60"/>
  <c r="CI107" i="60"/>
  <c r="CG15" i="60"/>
  <c r="CH133" i="60"/>
  <c r="CI67" i="60"/>
  <c r="CI84" i="60"/>
  <c r="CF142" i="60"/>
  <c r="CH149" i="60"/>
  <c r="CH102" i="60"/>
  <c r="CH105" i="60"/>
  <c r="CH34" i="60"/>
  <c r="CF55" i="60"/>
  <c r="CI124" i="60"/>
  <c r="CF25" i="60"/>
  <c r="CF103" i="60"/>
  <c r="CF36" i="60"/>
  <c r="CH162" i="60"/>
  <c r="CI128" i="60"/>
  <c r="CF122" i="60"/>
  <c r="CF90" i="60"/>
  <c r="CG155" i="60"/>
  <c r="CG104" i="60"/>
  <c r="CF69" i="60"/>
  <c r="CH19" i="60"/>
  <c r="CH18" i="60"/>
  <c r="CF110" i="60"/>
  <c r="CG121" i="60"/>
  <c r="CG92" i="60"/>
  <c r="CH76" i="60"/>
  <c r="CH58" i="60"/>
  <c r="CI144" i="60"/>
  <c r="CG114" i="60"/>
  <c r="CH85" i="60"/>
  <c r="CI59" i="60"/>
  <c r="CG37" i="60"/>
  <c r="CG45" i="60"/>
  <c r="CF82" i="60"/>
  <c r="CG149" i="60"/>
  <c r="CI30" i="60"/>
  <c r="CI41" i="60"/>
  <c r="CH139" i="60"/>
  <c r="CF147" i="60"/>
  <c r="CI52" i="60"/>
  <c r="CF155" i="60"/>
  <c r="CI95" i="60"/>
  <c r="CI162" i="60"/>
  <c r="CF126" i="60"/>
  <c r="CI93" i="60"/>
  <c r="CG34" i="60"/>
  <c r="CI23" i="60"/>
  <c r="CI11" i="60"/>
  <c r="CE90" i="60"/>
  <c r="CE26" i="60"/>
  <c r="CE101" i="60"/>
  <c r="CE154" i="60"/>
  <c r="CE162" i="60"/>
  <c r="CE40" i="60"/>
  <c r="CE123" i="60"/>
  <c r="CE128" i="60"/>
  <c r="CE107" i="60"/>
  <c r="CE142" i="60"/>
  <c r="CE78" i="60"/>
  <c r="CE57" i="60"/>
  <c r="CE49" i="60"/>
  <c r="CE65" i="60"/>
  <c r="CE19" i="60"/>
  <c r="CG59" i="60"/>
  <c r="CH74" i="60"/>
  <c r="CF9" i="60"/>
  <c r="CI154" i="60"/>
  <c r="CG125" i="60"/>
  <c r="CG24" i="60"/>
  <c r="CG7" i="60"/>
  <c r="CH125" i="60"/>
  <c r="CH115" i="60"/>
  <c r="CI79" i="60"/>
  <c r="CF143" i="60"/>
  <c r="CH152" i="60"/>
  <c r="CH97" i="60"/>
  <c r="CH108" i="60"/>
  <c r="CH29" i="60"/>
  <c r="CH35" i="60"/>
  <c r="CI116" i="60"/>
  <c r="CF28" i="60"/>
  <c r="CF95" i="60"/>
  <c r="CF39" i="60"/>
  <c r="CH160" i="60"/>
  <c r="CI131" i="60"/>
  <c r="CF85" i="60"/>
  <c r="CG80" i="60"/>
  <c r="CG160" i="60"/>
  <c r="CG102" i="60"/>
  <c r="CF67" i="60"/>
  <c r="CH11" i="60"/>
  <c r="CH10" i="60"/>
  <c r="CF105" i="60"/>
  <c r="CG124" i="60"/>
  <c r="CG87" i="60"/>
  <c r="CH82" i="60"/>
  <c r="CH61" i="60"/>
  <c r="CI136" i="60"/>
  <c r="CG109" i="60"/>
  <c r="CH88" i="60"/>
  <c r="CG40" i="60"/>
  <c r="CG48" i="60"/>
  <c r="CI165" i="60"/>
  <c r="CG147" i="60"/>
  <c r="CH46" i="60"/>
  <c r="CI33" i="60"/>
  <c r="CI44" i="60"/>
  <c r="CH140" i="60"/>
  <c r="CF150" i="60"/>
  <c r="CI47" i="60"/>
  <c r="CF161" i="60"/>
  <c r="CI98" i="60"/>
  <c r="CI157" i="60"/>
  <c r="CF132" i="60"/>
  <c r="CI85" i="60"/>
  <c r="CG26" i="60"/>
  <c r="CI7" i="60"/>
  <c r="CG72" i="60"/>
  <c r="CE88" i="60"/>
  <c r="CE29" i="60"/>
  <c r="CG135" i="60"/>
  <c r="CF24" i="60"/>
  <c r="CI147" i="60"/>
  <c r="CI114" i="60"/>
  <c r="CG12" i="60"/>
  <c r="CH122" i="60"/>
  <c r="CF139" i="60"/>
  <c r="CF48" i="60"/>
  <c r="CH31" i="60"/>
  <c r="CF100" i="60"/>
  <c r="CG159" i="60"/>
  <c r="CH57" i="60"/>
  <c r="CF75" i="60"/>
  <c r="CH144" i="60"/>
  <c r="CI158" i="60"/>
  <c r="CG32" i="60"/>
  <c r="CI19" i="60"/>
  <c r="CE95" i="60"/>
  <c r="CE118" i="60"/>
  <c r="CE77" i="60"/>
  <c r="CE54" i="60"/>
  <c r="CF20" i="60"/>
  <c r="CI109" i="60"/>
  <c r="CI68" i="60"/>
  <c r="CH117" i="60"/>
  <c r="CF54" i="60"/>
  <c r="CH32" i="60"/>
  <c r="CF27" i="60"/>
  <c r="CH155" i="60"/>
  <c r="CF93" i="60"/>
  <c r="CG162" i="60"/>
  <c r="CH14" i="60"/>
  <c r="CG119" i="60"/>
  <c r="CH60" i="60"/>
  <c r="CH89" i="60"/>
  <c r="CG54" i="60"/>
  <c r="CG154" i="60"/>
  <c r="CI28" i="60"/>
  <c r="CH136" i="60"/>
  <c r="CF162" i="60"/>
  <c r="CF127" i="60"/>
  <c r="CI17" i="60"/>
  <c r="CE94" i="60"/>
  <c r="CE28" i="60"/>
  <c r="CE163" i="60"/>
  <c r="CE124" i="60"/>
  <c r="CE138" i="60"/>
  <c r="CE62" i="60"/>
  <c r="CE6" i="60"/>
  <c r="CF15" i="60"/>
  <c r="CF37" i="60"/>
  <c r="CF73" i="60"/>
  <c r="CG112" i="60"/>
  <c r="CG146" i="60"/>
  <c r="CF149" i="60"/>
  <c r="CG33" i="60"/>
  <c r="CE98" i="60"/>
  <c r="CE116" i="60"/>
  <c r="CE75" i="60"/>
  <c r="CE9" i="60"/>
  <c r="CI48" i="60"/>
  <c r="CG25" i="60"/>
  <c r="CE152" i="60"/>
  <c r="CE106" i="60"/>
  <c r="CE55" i="60"/>
  <c r="CE12" i="60"/>
  <c r="CE39" i="60"/>
  <c r="CE137" i="60"/>
  <c r="CG74" i="60"/>
  <c r="CE53" i="60"/>
  <c r="CI164" i="60"/>
  <c r="CF61" i="60"/>
  <c r="CF107" i="60"/>
  <c r="CI64" i="60"/>
  <c r="CI40" i="60"/>
  <c r="CI156" i="60"/>
  <c r="CI9" i="60"/>
  <c r="CE146" i="60"/>
  <c r="CE114" i="60"/>
  <c r="CE60" i="60"/>
  <c r="CI34" i="60"/>
  <c r="CE104" i="60"/>
  <c r="CE66" i="60"/>
  <c r="CE164" i="60"/>
  <c r="CE50" i="60"/>
  <c r="CI13" i="60"/>
  <c r="CE79" i="60"/>
  <c r="CH73" i="60"/>
  <c r="CG134" i="60"/>
  <c r="CI112" i="60"/>
  <c r="CI74" i="60"/>
  <c r="CI81" i="60"/>
  <c r="CF49" i="60"/>
  <c r="CH39" i="60"/>
  <c r="CH161" i="60"/>
  <c r="CF88" i="60"/>
  <c r="CH12" i="60"/>
  <c r="CH55" i="60"/>
  <c r="CF81" i="60"/>
  <c r="CI102" i="60"/>
  <c r="CG73" i="60"/>
  <c r="CE41" i="60"/>
  <c r="CE47" i="60"/>
  <c r="CI97" i="60"/>
  <c r="CI18" i="60"/>
  <c r="CE158" i="60"/>
  <c r="CE136" i="60"/>
  <c r="CE13" i="60"/>
  <c r="CE150" i="60"/>
  <c r="CE24" i="60"/>
  <c r="CE153" i="60"/>
  <c r="CE110" i="60"/>
  <c r="CE72" i="60"/>
  <c r="CH72" i="60"/>
  <c r="CF7" i="60"/>
  <c r="CG126" i="60"/>
  <c r="CG8" i="60"/>
  <c r="CH126" i="60"/>
  <c r="CI66" i="60"/>
  <c r="CI82" i="60"/>
  <c r="CH150" i="60"/>
  <c r="CF52" i="60"/>
  <c r="CH106" i="60"/>
  <c r="CF64" i="60"/>
  <c r="CH40" i="60"/>
  <c r="CF34" i="60"/>
  <c r="CF43" i="60"/>
  <c r="CH156" i="60"/>
  <c r="CF117" i="60"/>
  <c r="CF94" i="60"/>
  <c r="CG79" i="60"/>
  <c r="CG99" i="60"/>
  <c r="CF68" i="60"/>
  <c r="CH23" i="60"/>
  <c r="CF108" i="60"/>
  <c r="CG117" i="60"/>
  <c r="CH81" i="60"/>
  <c r="CH56" i="60"/>
  <c r="CG110" i="60"/>
  <c r="CH87" i="60"/>
  <c r="CG43" i="60"/>
  <c r="CG49" i="60"/>
  <c r="CF84" i="60"/>
  <c r="CH49" i="60"/>
  <c r="CI35" i="60"/>
  <c r="CI160" i="60"/>
  <c r="CI94" i="60"/>
  <c r="CE92" i="60"/>
  <c r="CE119" i="60"/>
  <c r="CE112" i="60"/>
  <c r="CE74" i="60"/>
  <c r="CG29" i="60"/>
  <c r="CE140" i="60"/>
  <c r="CF6" i="60"/>
  <c r="CI145" i="60"/>
  <c r="CG127" i="60"/>
  <c r="CG22" i="60"/>
  <c r="CH134" i="60"/>
  <c r="CI72" i="60"/>
  <c r="CI77" i="60"/>
  <c r="CH153" i="60"/>
  <c r="CF47" i="60"/>
  <c r="CH109" i="60"/>
  <c r="CF62" i="60"/>
  <c r="CI121" i="60"/>
  <c r="CF26" i="60"/>
  <c r="CF40" i="60"/>
  <c r="CH159" i="60"/>
  <c r="CF123" i="60"/>
  <c r="CF86" i="60"/>
  <c r="CG77" i="60"/>
  <c r="CG100" i="60"/>
  <c r="CF71" i="60"/>
  <c r="CH15" i="60"/>
  <c r="CF111" i="60"/>
  <c r="CG94" i="60"/>
  <c r="CH84" i="60"/>
  <c r="CI137" i="60"/>
  <c r="CG113" i="60"/>
  <c r="CH93" i="60"/>
  <c r="CG35" i="60"/>
  <c r="CG52" i="60"/>
  <c r="CF76" i="60"/>
  <c r="CH54" i="60"/>
  <c r="CI29" i="60"/>
  <c r="CH142" i="60"/>
  <c r="CF148" i="60"/>
  <c r="CI51" i="60"/>
  <c r="CI103" i="60"/>
  <c r="CI155" i="60"/>
  <c r="CI89" i="60"/>
  <c r="CG28" i="60"/>
  <c r="CI10" i="60"/>
  <c r="CG71" i="60"/>
  <c r="CE99" i="60"/>
  <c r="CE125" i="60"/>
  <c r="CE23" i="60"/>
  <c r="CE156" i="60"/>
  <c r="CE15" i="60"/>
  <c r="CG61" i="60"/>
  <c r="CF16" i="60"/>
  <c r="CI150" i="60"/>
  <c r="CI113" i="60"/>
  <c r="CG14" i="60"/>
  <c r="CH129" i="60"/>
  <c r="CH121" i="60"/>
  <c r="CI75" i="60"/>
  <c r="CH151" i="60"/>
  <c r="CH103" i="60"/>
  <c r="CH27" i="60"/>
  <c r="CF60" i="60"/>
  <c r="CI119" i="60"/>
  <c r="CF104" i="60"/>
  <c r="CF38" i="60"/>
  <c r="CI129" i="60"/>
  <c r="CF115" i="60"/>
  <c r="CF92" i="60"/>
  <c r="CG158" i="60"/>
  <c r="CG103" i="60"/>
  <c r="CF74" i="60"/>
  <c r="CH21" i="60"/>
  <c r="CF106" i="60"/>
  <c r="CG86" i="60"/>
  <c r="CH77" i="60"/>
  <c r="CI142" i="60"/>
  <c r="CG108" i="60"/>
  <c r="CI60" i="60"/>
  <c r="CG41" i="60"/>
  <c r="CG47" i="60"/>
  <c r="CG152" i="60"/>
  <c r="CH47" i="60"/>
  <c r="CI32" i="60"/>
  <c r="CH143" i="60"/>
  <c r="CF151" i="60"/>
  <c r="CF157" i="60"/>
  <c r="CI104" i="60"/>
  <c r="CF128" i="60"/>
  <c r="CI92" i="60"/>
  <c r="CE32" i="60"/>
  <c r="CE117" i="60"/>
  <c r="CG139" i="60"/>
  <c r="CF8" i="60"/>
  <c r="CI148" i="60"/>
  <c r="CI105" i="60"/>
  <c r="CG11" i="60"/>
  <c r="CH132" i="60"/>
  <c r="CH124" i="60"/>
  <c r="CF136" i="60"/>
  <c r="CH154" i="60"/>
  <c r="CH95" i="60"/>
  <c r="CH33" i="60"/>
  <c r="CF63" i="60"/>
  <c r="CI120" i="60"/>
  <c r="CF96" i="60"/>
  <c r="CF41" i="60"/>
  <c r="CI134" i="60"/>
  <c r="CF121" i="60"/>
  <c r="CF87" i="60"/>
  <c r="CG161" i="60"/>
  <c r="CG95" i="60"/>
  <c r="CH6" i="60"/>
  <c r="CH24" i="60"/>
  <c r="CG115" i="60"/>
  <c r="CG91" i="60"/>
  <c r="CH80" i="60"/>
  <c r="CI143" i="60"/>
  <c r="CG111" i="60"/>
  <c r="CI57" i="60"/>
  <c r="CG44" i="60"/>
  <c r="CG53" i="60"/>
  <c r="CG153" i="60"/>
  <c r="CH50" i="60"/>
  <c r="CI27" i="60"/>
  <c r="CH135" i="60"/>
  <c r="CF146" i="60"/>
  <c r="CF163" i="60"/>
  <c r="CI96" i="60"/>
  <c r="CF133" i="60"/>
  <c r="CI90" i="60"/>
  <c r="CI14" i="60"/>
  <c r="CI24" i="60"/>
  <c r="CG66" i="60"/>
  <c r="CE27" i="60"/>
  <c r="CE97" i="60"/>
  <c r="CE145" i="60"/>
  <c r="CE159" i="60"/>
  <c r="CE122" i="60"/>
  <c r="CE134" i="60"/>
  <c r="CE105" i="60"/>
  <c r="CE135" i="60"/>
  <c r="CE64" i="60"/>
  <c r="CE45" i="60"/>
  <c r="CE70" i="60"/>
  <c r="CE21" i="60"/>
  <c r="CG142" i="60"/>
  <c r="CF11" i="60"/>
  <c r="CI152" i="60"/>
  <c r="CI111" i="60"/>
  <c r="CG20" i="60"/>
  <c r="CI70" i="60"/>
  <c r="CH119" i="60"/>
  <c r="CF144" i="60"/>
  <c r="CF45" i="60"/>
  <c r="CH98" i="60"/>
  <c r="CH25" i="60"/>
  <c r="CH38" i="60"/>
  <c r="CI123" i="60"/>
  <c r="CF102" i="60"/>
  <c r="CF42" i="60"/>
  <c r="CI132" i="60"/>
  <c r="CF124" i="60"/>
  <c r="CG83" i="60"/>
  <c r="CG164" i="60"/>
  <c r="CG101" i="60"/>
  <c r="CH17" i="60"/>
  <c r="CH16" i="60"/>
  <c r="CG123" i="60"/>
  <c r="CG90" i="60"/>
  <c r="CH62" i="60"/>
  <c r="CI135" i="60"/>
  <c r="CH91" i="60"/>
  <c r="CI63" i="60"/>
  <c r="CG39" i="60"/>
  <c r="CF83" i="60"/>
  <c r="CG145" i="60"/>
  <c r="CH53" i="60"/>
  <c r="CI36" i="60"/>
  <c r="CH141" i="60"/>
  <c r="CI54" i="60"/>
  <c r="CF164" i="60"/>
  <c r="CI99" i="60"/>
  <c r="CF131" i="60"/>
  <c r="CI91" i="60"/>
  <c r="CI22" i="60"/>
  <c r="CI16" i="60"/>
  <c r="CE93" i="60"/>
  <c r="CE33" i="60"/>
  <c r="CE103" i="60"/>
  <c r="CE151" i="60"/>
  <c r="CE37" i="60"/>
  <c r="CE115" i="60"/>
  <c r="CE126" i="60"/>
  <c r="CE108" i="60"/>
  <c r="CE82" i="60"/>
  <c r="CE56" i="60"/>
  <c r="CE51" i="60"/>
  <c r="CE73" i="60"/>
  <c r="CE11" i="60"/>
  <c r="CI65" i="60"/>
  <c r="CH96" i="60"/>
  <c r="CH44" i="60"/>
  <c r="CF29" i="60"/>
  <c r="CH163" i="60"/>
  <c r="CI127" i="60"/>
  <c r="CF116" i="60"/>
  <c r="CG78" i="60"/>
  <c r="CG165" i="60"/>
  <c r="CH9" i="60"/>
  <c r="CH8" i="60"/>
  <c r="CG118" i="60"/>
  <c r="CG85" i="60"/>
  <c r="CI138" i="60"/>
  <c r="CH94" i="60"/>
  <c r="CI58" i="60"/>
  <c r="CG42" i="60"/>
  <c r="CG148" i="60"/>
  <c r="CH48" i="60"/>
  <c r="CI42" i="60"/>
  <c r="CI46" i="60"/>
  <c r="CF156" i="60"/>
  <c r="CF134" i="60"/>
  <c r="CI20" i="60"/>
  <c r="CE91" i="60"/>
  <c r="CE25" i="60"/>
  <c r="CE157" i="60"/>
  <c r="CE43" i="60"/>
  <c r="CE129" i="60"/>
  <c r="CE111" i="60"/>
  <c r="CE61" i="60"/>
  <c r="CE71" i="60"/>
  <c r="CE14" i="60"/>
  <c r="CG138" i="60"/>
  <c r="CG131" i="60"/>
  <c r="CG18" i="60"/>
  <c r="CF135" i="60"/>
  <c r="CH110" i="60"/>
  <c r="CH36" i="60"/>
  <c r="CF165" i="60"/>
  <c r="CI130" i="60"/>
  <c r="CG84" i="60"/>
  <c r="CF70" i="60"/>
  <c r="CF112" i="60"/>
  <c r="CH78" i="60"/>
  <c r="CI139" i="60"/>
  <c r="CI61" i="60"/>
  <c r="CF80" i="60"/>
  <c r="CI37" i="60"/>
  <c r="CI50" i="60"/>
  <c r="CG30" i="60"/>
  <c r="CG67" i="60"/>
  <c r="CE165" i="60"/>
  <c r="CE38" i="60"/>
  <c r="CE127" i="60"/>
  <c r="CE83" i="60"/>
  <c r="CE52" i="60"/>
  <c r="CE17" i="60"/>
  <c r="CG13" i="60"/>
  <c r="CH147" i="60"/>
  <c r="CH113" i="60"/>
  <c r="CF32" i="60"/>
  <c r="CI125" i="60"/>
  <c r="CG76" i="60"/>
  <c r="CG157" i="60"/>
  <c r="CG122" i="60"/>
  <c r="CH75" i="60"/>
  <c r="CH92" i="60"/>
  <c r="CG46" i="60"/>
  <c r="CI31" i="60"/>
  <c r="CI45" i="60"/>
  <c r="CF130" i="60"/>
  <c r="CE86" i="60"/>
  <c r="CE155" i="60"/>
  <c r="CE144" i="60"/>
  <c r="CE18" i="60"/>
  <c r="CF145" i="60"/>
  <c r="CG65" i="60"/>
  <c r="CE44" i="60"/>
  <c r="CE84" i="60"/>
  <c r="CE87" i="60"/>
  <c r="CE76" i="60"/>
  <c r="CE102" i="60"/>
  <c r="CE130" i="60"/>
  <c r="CE16" i="60"/>
  <c r="C5" i="62" l="1"/>
  <c r="I5" i="62" s="1"/>
  <c r="D5" i="62"/>
  <c r="J5" i="62" s="1"/>
  <c r="E5" i="62"/>
  <c r="K5" i="62" s="1"/>
  <c r="F5" i="62"/>
  <c r="L5" i="62" s="1"/>
  <c r="G5" i="62"/>
  <c r="M5" i="62" s="1"/>
  <c r="C24" i="60" l="1"/>
  <c r="C22" i="60"/>
  <c r="C23" i="60"/>
  <c r="C20" i="60"/>
  <c r="C21" i="60"/>
  <c r="C10" i="60"/>
  <c r="C11" i="60"/>
  <c r="C12" i="60"/>
  <c r="C13" i="60"/>
  <c r="C14" i="60"/>
  <c r="C15" i="60"/>
  <c r="C16" i="60"/>
  <c r="C17" i="60"/>
  <c r="C18" i="60"/>
  <c r="C19" i="60"/>
  <c r="C9" i="60"/>
  <c r="I8" i="50" l="1"/>
  <c r="I5" i="50"/>
  <c r="I4" i="50"/>
  <c r="M194" i="50"/>
  <c r="H137" i="49"/>
  <c r="AU137" i="50" s="1"/>
  <c r="G137" i="49"/>
  <c r="AZ137" i="50" s="1"/>
  <c r="F137" i="49"/>
  <c r="AS137" i="50" s="1"/>
  <c r="E137" i="49"/>
  <c r="AX137" i="50" s="1"/>
  <c r="D137" i="49"/>
  <c r="H136" i="49"/>
  <c r="G136" i="49"/>
  <c r="AZ136" i="50" s="1"/>
  <c r="F136" i="49"/>
  <c r="E136" i="49"/>
  <c r="AR136" i="50" s="1"/>
  <c r="D136" i="49"/>
  <c r="H135" i="49"/>
  <c r="G135" i="49"/>
  <c r="AT135" i="50" s="1"/>
  <c r="F135" i="49"/>
  <c r="E135" i="49"/>
  <c r="AX135" i="50" s="1"/>
  <c r="D135" i="49"/>
  <c r="H134" i="49"/>
  <c r="G134" i="49"/>
  <c r="AZ134" i="50" s="1"/>
  <c r="F134" i="49"/>
  <c r="E134" i="49"/>
  <c r="AX134" i="50" s="1"/>
  <c r="D134" i="49"/>
  <c r="H133" i="49"/>
  <c r="G133" i="49"/>
  <c r="AZ133" i="50" s="1"/>
  <c r="F133" i="49"/>
  <c r="E133" i="49"/>
  <c r="AR133" i="50" s="1"/>
  <c r="D133" i="49"/>
  <c r="H132" i="49"/>
  <c r="G132" i="49"/>
  <c r="AT132" i="50" s="1"/>
  <c r="F132" i="49"/>
  <c r="E132" i="49"/>
  <c r="AX132" i="50" s="1"/>
  <c r="D132" i="49"/>
  <c r="H131" i="49"/>
  <c r="G131" i="49"/>
  <c r="AZ131" i="50" s="1"/>
  <c r="F131" i="49"/>
  <c r="E131" i="49"/>
  <c r="AX131" i="50" s="1"/>
  <c r="D131" i="49"/>
  <c r="H130" i="49"/>
  <c r="G130" i="49"/>
  <c r="AZ130" i="50" s="1"/>
  <c r="F130" i="49"/>
  <c r="E130" i="49"/>
  <c r="AR130" i="50" s="1"/>
  <c r="D130" i="49"/>
  <c r="H129" i="49"/>
  <c r="G129" i="49"/>
  <c r="AZ129" i="50" s="1"/>
  <c r="F129" i="49"/>
  <c r="AS129" i="50" s="1"/>
  <c r="E129" i="49"/>
  <c r="AX129" i="50" s="1"/>
  <c r="D129" i="49"/>
  <c r="H128" i="49"/>
  <c r="G128" i="49"/>
  <c r="F128" i="49"/>
  <c r="AS128" i="50" s="1"/>
  <c r="E128" i="49"/>
  <c r="AX128" i="50" s="1"/>
  <c r="D128" i="49"/>
  <c r="AQ128" i="50" s="1"/>
  <c r="H127" i="49"/>
  <c r="G127" i="49"/>
  <c r="F127" i="49"/>
  <c r="E127" i="49"/>
  <c r="D127" i="49"/>
  <c r="AQ127" i="50" s="1"/>
  <c r="H126" i="49"/>
  <c r="G126" i="49"/>
  <c r="F126" i="49"/>
  <c r="E126" i="49"/>
  <c r="AX126" i="50" s="1"/>
  <c r="D126" i="49"/>
  <c r="H125" i="49"/>
  <c r="G125" i="49"/>
  <c r="F125" i="49"/>
  <c r="E125" i="49"/>
  <c r="D125" i="49"/>
  <c r="AQ125" i="50" s="1"/>
  <c r="H124" i="49"/>
  <c r="AU124" i="50" s="1"/>
  <c r="G124" i="49"/>
  <c r="F124" i="49"/>
  <c r="E124" i="49"/>
  <c r="D124" i="49"/>
  <c r="AQ124" i="50" s="1"/>
  <c r="H123" i="49"/>
  <c r="AU123" i="50" s="1"/>
  <c r="G123" i="49"/>
  <c r="AZ123" i="50" s="1"/>
  <c r="F123" i="49"/>
  <c r="E123" i="49"/>
  <c r="D123" i="49"/>
  <c r="H122" i="49"/>
  <c r="G122" i="49"/>
  <c r="F122" i="49"/>
  <c r="AS122" i="50" s="1"/>
  <c r="E122" i="49"/>
  <c r="D122" i="49"/>
  <c r="H108" i="49"/>
  <c r="AU108" i="50" s="1"/>
  <c r="G108" i="49"/>
  <c r="AZ108" i="50" s="1"/>
  <c r="F108" i="49"/>
  <c r="E108" i="49"/>
  <c r="D108" i="49"/>
  <c r="AQ108" i="50" s="1"/>
  <c r="H107" i="49"/>
  <c r="G107" i="49"/>
  <c r="AT107" i="50" s="1"/>
  <c r="F107" i="49"/>
  <c r="E107" i="49"/>
  <c r="AX107" i="50" s="1"/>
  <c r="D107" i="49"/>
  <c r="H106" i="49"/>
  <c r="G106" i="49"/>
  <c r="AZ106" i="50" s="1"/>
  <c r="F106" i="49"/>
  <c r="E106" i="49"/>
  <c r="AX106" i="50" s="1"/>
  <c r="D106" i="49"/>
  <c r="H105" i="49"/>
  <c r="G105" i="49"/>
  <c r="AZ105" i="50" s="1"/>
  <c r="F105" i="49"/>
  <c r="E105" i="49"/>
  <c r="AR105" i="50" s="1"/>
  <c r="D105" i="49"/>
  <c r="H104" i="49"/>
  <c r="G104" i="49"/>
  <c r="AT104" i="50" s="1"/>
  <c r="F104" i="49"/>
  <c r="E104" i="49"/>
  <c r="AX104" i="50" s="1"/>
  <c r="D104" i="49"/>
  <c r="H103" i="49"/>
  <c r="G103" i="49"/>
  <c r="AZ103" i="50" s="1"/>
  <c r="F103" i="49"/>
  <c r="E103" i="49"/>
  <c r="AX103" i="50" s="1"/>
  <c r="D103" i="49"/>
  <c r="H102" i="49"/>
  <c r="G102" i="49"/>
  <c r="AZ102" i="50" s="1"/>
  <c r="F102" i="49"/>
  <c r="E102" i="49"/>
  <c r="AR102" i="50" s="1"/>
  <c r="D102" i="49"/>
  <c r="H101" i="49"/>
  <c r="G101" i="49"/>
  <c r="AT101" i="50" s="1"/>
  <c r="F101" i="49"/>
  <c r="E101" i="49"/>
  <c r="AR101" i="50" s="1"/>
  <c r="D101" i="49"/>
  <c r="H100" i="49"/>
  <c r="G100" i="49"/>
  <c r="AZ100" i="50" s="1"/>
  <c r="F100" i="49"/>
  <c r="E100" i="49"/>
  <c r="D100" i="49"/>
  <c r="AQ100" i="50" s="1"/>
  <c r="H99" i="49"/>
  <c r="G99" i="49"/>
  <c r="F99" i="49"/>
  <c r="AS99" i="50" s="1"/>
  <c r="E99" i="49"/>
  <c r="AX99" i="50" s="1"/>
  <c r="D99" i="49"/>
  <c r="H98" i="49"/>
  <c r="G98" i="49"/>
  <c r="F98" i="49"/>
  <c r="AS98" i="50" s="1"/>
  <c r="E98" i="49"/>
  <c r="AX98" i="50" s="1"/>
  <c r="D98" i="49"/>
  <c r="AQ98" i="50" s="1"/>
  <c r="H97" i="49"/>
  <c r="G97" i="49"/>
  <c r="F97" i="49"/>
  <c r="E97" i="49"/>
  <c r="D97" i="49"/>
  <c r="AQ97" i="50" s="1"/>
  <c r="H96" i="49"/>
  <c r="AU96" i="50" s="1"/>
  <c r="G96" i="49"/>
  <c r="F96" i="49"/>
  <c r="E96" i="49"/>
  <c r="D96" i="49"/>
  <c r="H95" i="49"/>
  <c r="G95" i="49"/>
  <c r="F95" i="49"/>
  <c r="E95" i="49"/>
  <c r="D95" i="49"/>
  <c r="AQ95" i="50" s="1"/>
  <c r="H94" i="49"/>
  <c r="AU94" i="50" s="1"/>
  <c r="G94" i="49"/>
  <c r="AZ94" i="50" s="1"/>
  <c r="F94" i="49"/>
  <c r="E94" i="49"/>
  <c r="D94" i="49"/>
  <c r="H93" i="49"/>
  <c r="AU93" i="50" s="1"/>
  <c r="G93" i="49"/>
  <c r="AZ93" i="50" s="1"/>
  <c r="F93" i="49"/>
  <c r="AS93" i="50" s="1"/>
  <c r="E93" i="49"/>
  <c r="D93" i="49"/>
  <c r="H79" i="49"/>
  <c r="G79" i="49"/>
  <c r="F79" i="49"/>
  <c r="AS79" i="50" s="1"/>
  <c r="E79" i="49"/>
  <c r="AX79" i="50" s="1"/>
  <c r="D79" i="49"/>
  <c r="AQ79" i="50" s="1"/>
  <c r="H78" i="49"/>
  <c r="G78" i="49"/>
  <c r="AZ78" i="50" s="1"/>
  <c r="F78" i="49"/>
  <c r="E78" i="49"/>
  <c r="AX78" i="50" s="1"/>
  <c r="D78" i="49"/>
  <c r="H77" i="49"/>
  <c r="G77" i="49"/>
  <c r="AZ77" i="50" s="1"/>
  <c r="F77" i="49"/>
  <c r="E77" i="49"/>
  <c r="AR77" i="50" s="1"/>
  <c r="D77" i="49"/>
  <c r="H76" i="49"/>
  <c r="G76" i="49"/>
  <c r="AT76" i="50" s="1"/>
  <c r="F76" i="49"/>
  <c r="E76" i="49"/>
  <c r="AX76" i="50" s="1"/>
  <c r="D76" i="49"/>
  <c r="H75" i="49"/>
  <c r="G75" i="49"/>
  <c r="AZ75" i="50" s="1"/>
  <c r="F75" i="49"/>
  <c r="E75" i="49"/>
  <c r="AX75" i="50" s="1"/>
  <c r="D75" i="49"/>
  <c r="H74" i="49"/>
  <c r="G74" i="49"/>
  <c r="AZ74" i="50" s="1"/>
  <c r="F74" i="49"/>
  <c r="E74" i="49"/>
  <c r="AR74" i="50" s="1"/>
  <c r="D74" i="49"/>
  <c r="H73" i="49"/>
  <c r="G73" i="49"/>
  <c r="AT73" i="50" s="1"/>
  <c r="F73" i="49"/>
  <c r="AS73" i="50" s="1"/>
  <c r="E73" i="49"/>
  <c r="AX73" i="50" s="1"/>
  <c r="D73" i="49"/>
  <c r="AW73" i="50" s="1"/>
  <c r="H72" i="49"/>
  <c r="G72" i="49"/>
  <c r="AZ72" i="50" s="1"/>
  <c r="F72" i="49"/>
  <c r="AY72" i="50" s="1"/>
  <c r="E72" i="49"/>
  <c r="AX72" i="50" s="1"/>
  <c r="D72" i="49"/>
  <c r="H71" i="49"/>
  <c r="G71" i="49"/>
  <c r="F71" i="49"/>
  <c r="AS71" i="50" s="1"/>
  <c r="E71" i="49"/>
  <c r="AR71" i="50" s="1"/>
  <c r="D71" i="49"/>
  <c r="AW71" i="50" s="1"/>
  <c r="H70" i="49"/>
  <c r="G70" i="49"/>
  <c r="F70" i="49"/>
  <c r="E70" i="49"/>
  <c r="D70" i="49"/>
  <c r="AQ70" i="50" s="1"/>
  <c r="H69" i="49"/>
  <c r="G69" i="49"/>
  <c r="F69" i="49"/>
  <c r="AS69" i="50" s="1"/>
  <c r="E69" i="49"/>
  <c r="AX69" i="50" s="1"/>
  <c r="D69" i="49"/>
  <c r="H68" i="49"/>
  <c r="G68" i="49"/>
  <c r="F68" i="49"/>
  <c r="E68" i="49"/>
  <c r="AX68" i="50" s="1"/>
  <c r="D68" i="49"/>
  <c r="AW68" i="50" s="1"/>
  <c r="H67" i="49"/>
  <c r="BA67" i="50" s="1"/>
  <c r="G67" i="49"/>
  <c r="F67" i="49"/>
  <c r="E67" i="49"/>
  <c r="D67" i="49"/>
  <c r="AQ67" i="50" s="1"/>
  <c r="H66" i="49"/>
  <c r="AU66" i="50" s="1"/>
  <c r="G66" i="49"/>
  <c r="F66" i="49"/>
  <c r="E66" i="49"/>
  <c r="D66" i="49"/>
  <c r="H65" i="49"/>
  <c r="G65" i="49"/>
  <c r="F65" i="49"/>
  <c r="E65" i="49"/>
  <c r="D65" i="49"/>
  <c r="H64" i="49"/>
  <c r="AU64" i="50" s="1"/>
  <c r="G64" i="49"/>
  <c r="AZ64" i="50" s="1"/>
  <c r="F64" i="49"/>
  <c r="E64" i="49"/>
  <c r="D64" i="49"/>
  <c r="H50" i="49"/>
  <c r="AU50" i="50" s="1"/>
  <c r="G50" i="49"/>
  <c r="AZ50" i="50" s="1"/>
  <c r="F50" i="49"/>
  <c r="AS50" i="50" s="1"/>
  <c r="E50" i="49"/>
  <c r="AX50" i="50" s="1"/>
  <c r="D50" i="49"/>
  <c r="H49" i="49"/>
  <c r="G49" i="49"/>
  <c r="AZ49" i="50" s="1"/>
  <c r="F49" i="49"/>
  <c r="E49" i="49"/>
  <c r="AR49" i="50" s="1"/>
  <c r="D49" i="49"/>
  <c r="AQ49" i="50" s="1"/>
  <c r="H48" i="49"/>
  <c r="G48" i="49"/>
  <c r="AT48" i="50" s="1"/>
  <c r="F48" i="49"/>
  <c r="AS48" i="50" s="1"/>
  <c r="E48" i="49"/>
  <c r="AX48" i="50" s="1"/>
  <c r="D48" i="49"/>
  <c r="AW48" i="50" s="1"/>
  <c r="H47" i="49"/>
  <c r="G47" i="49"/>
  <c r="AT47" i="50" s="1"/>
  <c r="F47" i="49"/>
  <c r="AY47" i="50" s="1"/>
  <c r="E47" i="49"/>
  <c r="AX47" i="50" s="1"/>
  <c r="D47" i="49"/>
  <c r="H46" i="49"/>
  <c r="G46" i="49"/>
  <c r="AZ46" i="50" s="1"/>
  <c r="F46" i="49"/>
  <c r="E46" i="49"/>
  <c r="AR46" i="50" s="1"/>
  <c r="D46" i="49"/>
  <c r="AQ46" i="50" s="1"/>
  <c r="H45" i="49"/>
  <c r="G45" i="49"/>
  <c r="AT45" i="50" s="1"/>
  <c r="F45" i="49"/>
  <c r="AS45" i="50" s="1"/>
  <c r="E45" i="49"/>
  <c r="AX45" i="50" s="1"/>
  <c r="D45" i="49"/>
  <c r="AW45" i="50" s="1"/>
  <c r="H44" i="49"/>
  <c r="G44" i="49"/>
  <c r="AZ44" i="50" s="1"/>
  <c r="F44" i="49"/>
  <c r="AY44" i="50" s="1"/>
  <c r="E44" i="49"/>
  <c r="AX44" i="50" s="1"/>
  <c r="D44" i="49"/>
  <c r="H43" i="49"/>
  <c r="G43" i="49"/>
  <c r="AZ43" i="50" s="1"/>
  <c r="F43" i="49"/>
  <c r="E43" i="49"/>
  <c r="AR43" i="50" s="1"/>
  <c r="D43" i="49"/>
  <c r="AQ43" i="50" s="1"/>
  <c r="H42" i="49"/>
  <c r="G42" i="49"/>
  <c r="AZ42" i="50" s="1"/>
  <c r="F42" i="49"/>
  <c r="AY42" i="50" s="1"/>
  <c r="E42" i="49"/>
  <c r="AX42" i="50" s="1"/>
  <c r="D42" i="49"/>
  <c r="AQ42" i="50" s="1"/>
  <c r="H41" i="49"/>
  <c r="G41" i="49"/>
  <c r="F41" i="49"/>
  <c r="AS41" i="50" s="1"/>
  <c r="E41" i="49"/>
  <c r="AX41" i="50" s="1"/>
  <c r="D41" i="49"/>
  <c r="AW41" i="50" s="1"/>
  <c r="H40" i="49"/>
  <c r="G40" i="49"/>
  <c r="F40" i="49"/>
  <c r="AS40" i="50" s="1"/>
  <c r="E40" i="49"/>
  <c r="AR40" i="50" s="1"/>
  <c r="D40" i="49"/>
  <c r="AQ40" i="50" s="1"/>
  <c r="H39" i="49"/>
  <c r="G39" i="49"/>
  <c r="F39" i="49"/>
  <c r="E39" i="49"/>
  <c r="AX39" i="50" s="1"/>
  <c r="D39" i="49"/>
  <c r="AQ39" i="50" s="1"/>
  <c r="H38" i="49"/>
  <c r="AU38" i="50" s="1"/>
  <c r="G38" i="49"/>
  <c r="F38" i="49"/>
  <c r="E38" i="49"/>
  <c r="D38" i="49"/>
  <c r="AQ38" i="50" s="1"/>
  <c r="H37" i="49"/>
  <c r="BA37" i="50" s="1"/>
  <c r="G37" i="49"/>
  <c r="F37" i="49"/>
  <c r="E37" i="49"/>
  <c r="D37" i="49"/>
  <c r="AW37" i="50" s="1"/>
  <c r="H36" i="49"/>
  <c r="BA36" i="50" s="1"/>
  <c r="G36" i="49"/>
  <c r="AZ36" i="50" s="1"/>
  <c r="F36" i="49"/>
  <c r="E36" i="49"/>
  <c r="D36" i="49"/>
  <c r="H35" i="49"/>
  <c r="AU35" i="50" s="1"/>
  <c r="G35" i="49"/>
  <c r="AT35" i="50" s="1"/>
  <c r="F35" i="49"/>
  <c r="AS35" i="50" s="1"/>
  <c r="E35" i="49"/>
  <c r="D35" i="49"/>
  <c r="D7" i="49"/>
  <c r="E7" i="49"/>
  <c r="F7" i="49"/>
  <c r="G7" i="49"/>
  <c r="AZ7" i="50" s="1"/>
  <c r="H7" i="49"/>
  <c r="BA7" i="50" s="1"/>
  <c r="D8" i="49"/>
  <c r="AW8" i="50" s="1"/>
  <c r="E8" i="49"/>
  <c r="F8" i="49"/>
  <c r="G8" i="49"/>
  <c r="H8" i="49"/>
  <c r="BA8" i="50" s="1"/>
  <c r="D9" i="49"/>
  <c r="AW9" i="50" s="1"/>
  <c r="E9" i="49"/>
  <c r="F9" i="49"/>
  <c r="H9" i="49"/>
  <c r="AU9" i="50" s="1"/>
  <c r="D10" i="49"/>
  <c r="AQ10" i="50" s="1"/>
  <c r="E10" i="49"/>
  <c r="AR10" i="50" s="1"/>
  <c r="F10" i="49"/>
  <c r="G10" i="49"/>
  <c r="H10" i="49"/>
  <c r="D11" i="49"/>
  <c r="AW11" i="50" s="1"/>
  <c r="E11" i="49"/>
  <c r="AR11" i="50" s="1"/>
  <c r="F11" i="49"/>
  <c r="AS11" i="50" s="1"/>
  <c r="G11" i="49"/>
  <c r="H11" i="49"/>
  <c r="D12" i="49"/>
  <c r="AW12" i="50" s="1"/>
  <c r="E12" i="49"/>
  <c r="AR12" i="50" s="1"/>
  <c r="F12" i="49"/>
  <c r="AS12" i="50" s="1"/>
  <c r="G12" i="49"/>
  <c r="H12" i="49"/>
  <c r="D13" i="49"/>
  <c r="AQ13" i="50" s="1"/>
  <c r="E13" i="49"/>
  <c r="AR13" i="50" s="1"/>
  <c r="F13" i="49"/>
  <c r="AY13" i="50" s="1"/>
  <c r="G13" i="49"/>
  <c r="AZ13" i="50" s="1"/>
  <c r="H13" i="49"/>
  <c r="D14" i="49"/>
  <c r="AW14" i="50" s="1"/>
  <c r="E14" i="49"/>
  <c r="AR14" i="50" s="1"/>
  <c r="F14" i="49"/>
  <c r="AS14" i="50" s="1"/>
  <c r="G14" i="49"/>
  <c r="AT14" i="50" s="1"/>
  <c r="H14" i="49"/>
  <c r="D15" i="49"/>
  <c r="AQ15" i="50" s="1"/>
  <c r="E15" i="49"/>
  <c r="AR15" i="50" s="1"/>
  <c r="F15" i="49"/>
  <c r="AY15" i="50" s="1"/>
  <c r="G15" i="49"/>
  <c r="AZ15" i="50" s="1"/>
  <c r="H15" i="49"/>
  <c r="D16" i="49"/>
  <c r="AW16" i="50" s="1"/>
  <c r="E16" i="49"/>
  <c r="AX16" i="50" s="1"/>
  <c r="F16" i="49"/>
  <c r="AY16" i="50" s="1"/>
  <c r="G16" i="49"/>
  <c r="AT16" i="50" s="1"/>
  <c r="H16" i="49"/>
  <c r="D17" i="49"/>
  <c r="AQ17" i="50" s="1"/>
  <c r="E17" i="49"/>
  <c r="AR17" i="50" s="1"/>
  <c r="F17" i="49"/>
  <c r="AS17" i="50" s="1"/>
  <c r="G17" i="49"/>
  <c r="AT17" i="50" s="1"/>
  <c r="H17" i="49"/>
  <c r="D18" i="49"/>
  <c r="AQ18" i="50" s="1"/>
  <c r="E18" i="49"/>
  <c r="AR18" i="50" s="1"/>
  <c r="F18" i="49"/>
  <c r="AY18" i="50" s="1"/>
  <c r="G18" i="49"/>
  <c r="AZ18" i="50" s="1"/>
  <c r="H18" i="49"/>
  <c r="D19" i="49"/>
  <c r="AW19" i="50" s="1"/>
  <c r="E19" i="49"/>
  <c r="AX19" i="50" s="1"/>
  <c r="F19" i="49"/>
  <c r="AS19" i="50" s="1"/>
  <c r="G19" i="49"/>
  <c r="AT19" i="50" s="1"/>
  <c r="H19" i="49"/>
  <c r="D20" i="49"/>
  <c r="AW20" i="50" s="1"/>
  <c r="E20" i="49"/>
  <c r="AR20" i="50" s="1"/>
  <c r="F20" i="49"/>
  <c r="AS20" i="50" s="1"/>
  <c r="G20" i="49"/>
  <c r="AT20" i="50" s="1"/>
  <c r="H20" i="49"/>
  <c r="D21" i="49"/>
  <c r="AQ21" i="50" s="1"/>
  <c r="E21" i="49"/>
  <c r="AR21" i="50" s="1"/>
  <c r="F21" i="49"/>
  <c r="AY21" i="50" s="1"/>
  <c r="G21" i="49"/>
  <c r="AZ21" i="50" s="1"/>
  <c r="H21" i="49"/>
  <c r="AU21" i="50" s="1"/>
  <c r="F6" i="59"/>
  <c r="BA124" i="50" l="1"/>
  <c r="AU7" i="50"/>
  <c r="AY12" i="50"/>
  <c r="AX17" i="50"/>
  <c r="AY35" i="50"/>
  <c r="AW40" i="50"/>
  <c r="AT49" i="50"/>
  <c r="AY17" i="50"/>
  <c r="AQ41" i="50"/>
  <c r="AT50" i="50"/>
  <c r="AR72" i="50"/>
  <c r="AR98" i="50"/>
  <c r="AQ8" i="50"/>
  <c r="AT13" i="50"/>
  <c r="AT18" i="50"/>
  <c r="AT36" i="50"/>
  <c r="AR41" i="50"/>
  <c r="AY50" i="50"/>
  <c r="AR73" i="50"/>
  <c r="AY99" i="50"/>
  <c r="AR19" i="50"/>
  <c r="AW128" i="50"/>
  <c r="AZ19" i="50"/>
  <c r="AU37" i="50"/>
  <c r="AY41" i="50"/>
  <c r="BA64" i="50"/>
  <c r="AR75" i="50"/>
  <c r="AZ101" i="50"/>
  <c r="AY128" i="50"/>
  <c r="AQ14" i="50"/>
  <c r="AQ20" i="50"/>
  <c r="AS42" i="50"/>
  <c r="AT75" i="50"/>
  <c r="AR104" i="50"/>
  <c r="AT130" i="50"/>
  <c r="AX14" i="50"/>
  <c r="AX20" i="50"/>
  <c r="AT42" i="50"/>
  <c r="BA66" i="50"/>
  <c r="AT77" i="50"/>
  <c r="AR106" i="50"/>
  <c r="AX130" i="50"/>
  <c r="AT15" i="50"/>
  <c r="AT21" i="50"/>
  <c r="AT43" i="50"/>
  <c r="AX77" i="50"/>
  <c r="AT106" i="50"/>
  <c r="AZ132" i="50"/>
  <c r="AW15" i="50"/>
  <c r="AW21" i="50"/>
  <c r="AT44" i="50"/>
  <c r="AR68" i="50"/>
  <c r="AW79" i="50"/>
  <c r="AT108" i="50"/>
  <c r="AR135" i="50"/>
  <c r="AR16" i="50"/>
  <c r="AY79" i="50"/>
  <c r="AW108" i="50"/>
  <c r="AR137" i="50"/>
  <c r="AX11" i="50"/>
  <c r="AS16" i="50"/>
  <c r="AZ45" i="50"/>
  <c r="AY69" i="50"/>
  <c r="AT94" i="50"/>
  <c r="AT137" i="50"/>
  <c r="AT7" i="50"/>
  <c r="AZ16" i="50"/>
  <c r="AZ48" i="50"/>
  <c r="AW70" i="50"/>
  <c r="AT123" i="50"/>
  <c r="AY77" i="50"/>
  <c r="AS77" i="50"/>
  <c r="BA79" i="50"/>
  <c r="AU79" i="50"/>
  <c r="AY108" i="50"/>
  <c r="AS108" i="50"/>
  <c r="AY133" i="50"/>
  <c r="AS133" i="50"/>
  <c r="AW137" i="50"/>
  <c r="AQ137" i="50"/>
  <c r="AY71" i="50"/>
  <c r="AX101" i="50"/>
  <c r="AW99" i="50"/>
  <c r="AQ99" i="50"/>
  <c r="AR100" i="50"/>
  <c r="AX100" i="50"/>
  <c r="AS101" i="50"/>
  <c r="AY101" i="50"/>
  <c r="AQ105" i="50"/>
  <c r="AW105" i="50"/>
  <c r="AZ47" i="50"/>
  <c r="AQ76" i="50"/>
  <c r="AW76" i="50"/>
  <c r="AS78" i="50"/>
  <c r="AY78" i="50"/>
  <c r="AT79" i="50"/>
  <c r="AZ79" i="50"/>
  <c r="AQ101" i="50"/>
  <c r="AW101" i="50"/>
  <c r="AS103" i="50"/>
  <c r="AY103" i="50"/>
  <c r="AQ107" i="50"/>
  <c r="AW107" i="50"/>
  <c r="AR108" i="50"/>
  <c r="AX108" i="50"/>
  <c r="AW126" i="50"/>
  <c r="AQ126" i="50"/>
  <c r="AR127" i="50"/>
  <c r="AX127" i="50"/>
  <c r="AQ132" i="50"/>
  <c r="AW132" i="50"/>
  <c r="AS134" i="50"/>
  <c r="AY134" i="50"/>
  <c r="AU8" i="50"/>
  <c r="AQ9" i="50"/>
  <c r="AQ12" i="50"/>
  <c r="AX12" i="50"/>
  <c r="AS13" i="50"/>
  <c r="AS15" i="50"/>
  <c r="AQ16" i="50"/>
  <c r="AW17" i="50"/>
  <c r="AS18" i="50"/>
  <c r="AQ19" i="50"/>
  <c r="AY19" i="50"/>
  <c r="AS21" i="50"/>
  <c r="BA21" i="50"/>
  <c r="AW38" i="50"/>
  <c r="AR39" i="50"/>
  <c r="AR42" i="50"/>
  <c r="AS44" i="50"/>
  <c r="AY45" i="50"/>
  <c r="AS47" i="50"/>
  <c r="AY48" i="50"/>
  <c r="AQ68" i="50"/>
  <c r="AX71" i="50"/>
  <c r="AQ73" i="50"/>
  <c r="AX74" i="50"/>
  <c r="AZ76" i="50"/>
  <c r="AR79" i="50"/>
  <c r="BA93" i="50"/>
  <c r="AW97" i="50"/>
  <c r="AT103" i="50"/>
  <c r="AX105" i="50"/>
  <c r="AZ107" i="50"/>
  <c r="AY122" i="50"/>
  <c r="AW124" i="50"/>
  <c r="AR128" i="50"/>
  <c r="AR132" i="50"/>
  <c r="AT134" i="50"/>
  <c r="AX136" i="50"/>
  <c r="AW69" i="50"/>
  <c r="AQ69" i="50"/>
  <c r="AW75" i="50"/>
  <c r="AQ75" i="50"/>
  <c r="AY127" i="50"/>
  <c r="AS127" i="50"/>
  <c r="AW131" i="50"/>
  <c r="AQ131" i="50"/>
  <c r="AY64" i="50"/>
  <c r="AS64" i="50"/>
  <c r="AT65" i="50"/>
  <c r="AZ65" i="50"/>
  <c r="AY70" i="50"/>
  <c r="AS70" i="50"/>
  <c r="BA122" i="50"/>
  <c r="AU122" i="50"/>
  <c r="AQ11" i="50"/>
  <c r="AY14" i="50"/>
  <c r="AS107" i="50"/>
  <c r="AY107" i="50"/>
  <c r="AQ130" i="50"/>
  <c r="AW130" i="50"/>
  <c r="AW18" i="50"/>
  <c r="AY20" i="50"/>
  <c r="AT46" i="50"/>
  <c r="BA65" i="50"/>
  <c r="AU65" i="50"/>
  <c r="AS75" i="50"/>
  <c r="AY75" i="50"/>
  <c r="AY100" i="50"/>
  <c r="AS100" i="50"/>
  <c r="AQ104" i="50"/>
  <c r="AW104" i="50"/>
  <c r="AS106" i="50"/>
  <c r="AY106" i="50"/>
  <c r="AW129" i="50"/>
  <c r="AQ129" i="50"/>
  <c r="AS131" i="50"/>
  <c r="AY131" i="50"/>
  <c r="AQ135" i="50"/>
  <c r="AW135" i="50"/>
  <c r="BA9" i="50"/>
  <c r="AW10" i="50"/>
  <c r="AY11" i="50"/>
  <c r="AW13" i="50"/>
  <c r="AZ14" i="50"/>
  <c r="AX15" i="50"/>
  <c r="AZ17" i="50"/>
  <c r="AX18" i="50"/>
  <c r="AZ20" i="50"/>
  <c r="AX21" i="50"/>
  <c r="AZ35" i="50"/>
  <c r="AU36" i="50"/>
  <c r="AQ37" i="50"/>
  <c r="AX40" i="50"/>
  <c r="AW43" i="50"/>
  <c r="AQ45" i="50"/>
  <c r="AW46" i="50"/>
  <c r="AQ48" i="50"/>
  <c r="AW49" i="50"/>
  <c r="AU67" i="50"/>
  <c r="AQ71" i="50"/>
  <c r="AS72" i="50"/>
  <c r="AY73" i="50"/>
  <c r="AR78" i="50"/>
  <c r="BA94" i="50"/>
  <c r="AW98" i="50"/>
  <c r="AT100" i="50"/>
  <c r="AT102" i="50"/>
  <c r="BA108" i="50"/>
  <c r="AW125" i="50"/>
  <c r="AR129" i="50"/>
  <c r="AR131" i="50"/>
  <c r="AT133" i="50"/>
  <c r="AY137" i="50"/>
  <c r="AW44" i="50"/>
  <c r="AQ44" i="50"/>
  <c r="AY46" i="50"/>
  <c r="AS46" i="50"/>
  <c r="AQ74" i="50"/>
  <c r="AW74" i="50"/>
  <c r="AY43" i="50"/>
  <c r="AS43" i="50"/>
  <c r="AW47" i="50"/>
  <c r="AQ47" i="50"/>
  <c r="AY49" i="50"/>
  <c r="AS49" i="50"/>
  <c r="AW66" i="50"/>
  <c r="AQ66" i="50"/>
  <c r="AW72" i="50"/>
  <c r="AQ72" i="50"/>
  <c r="AY74" i="50"/>
  <c r="AS74" i="50"/>
  <c r="AW78" i="50"/>
  <c r="AQ78" i="50"/>
  <c r="BA95" i="50"/>
  <c r="AU95" i="50"/>
  <c r="AW103" i="50"/>
  <c r="AQ103" i="50"/>
  <c r="AY105" i="50"/>
  <c r="AS105" i="50"/>
  <c r="AY130" i="50"/>
  <c r="AS130" i="50"/>
  <c r="AW134" i="50"/>
  <c r="AQ134" i="50"/>
  <c r="AY136" i="50"/>
  <c r="AS136" i="50"/>
  <c r="AX10" i="50"/>
  <c r="AX13" i="50"/>
  <c r="BA35" i="50"/>
  <c r="BA38" i="50"/>
  <c r="AW39" i="50"/>
  <c r="AY40" i="50"/>
  <c r="AW42" i="50"/>
  <c r="AX43" i="50"/>
  <c r="AR45" i="50"/>
  <c r="AX46" i="50"/>
  <c r="AR48" i="50"/>
  <c r="AX49" i="50"/>
  <c r="BA50" i="50"/>
  <c r="AW67" i="50"/>
  <c r="AT72" i="50"/>
  <c r="AZ73" i="50"/>
  <c r="AR76" i="50"/>
  <c r="AT78" i="50"/>
  <c r="AT93" i="50"/>
  <c r="BA96" i="50"/>
  <c r="AY98" i="50"/>
  <c r="AW100" i="50"/>
  <c r="AX102" i="50"/>
  <c r="AZ104" i="50"/>
  <c r="AR107" i="50"/>
  <c r="BA123" i="50"/>
  <c r="AW127" i="50"/>
  <c r="AT129" i="50"/>
  <c r="AT131" i="50"/>
  <c r="AX133" i="50"/>
  <c r="AZ135" i="50"/>
  <c r="BA137" i="50"/>
  <c r="AW50" i="50"/>
  <c r="AQ50" i="50"/>
  <c r="AR70" i="50"/>
  <c r="AX70" i="50"/>
  <c r="AY102" i="50"/>
  <c r="AS102" i="50"/>
  <c r="AW106" i="50"/>
  <c r="AQ106" i="50"/>
  <c r="AT122" i="50"/>
  <c r="AZ122" i="50"/>
  <c r="AT71" i="50"/>
  <c r="AZ71" i="50"/>
  <c r="AS76" i="50"/>
  <c r="AY76" i="50"/>
  <c r="AS132" i="50"/>
  <c r="AY132" i="50"/>
  <c r="AQ136" i="50"/>
  <c r="AW136" i="50"/>
  <c r="AQ77" i="50"/>
  <c r="AW77" i="50"/>
  <c r="AW96" i="50"/>
  <c r="AQ96" i="50"/>
  <c r="AR97" i="50"/>
  <c r="AX97" i="50"/>
  <c r="AQ102" i="50"/>
  <c r="AW102" i="50"/>
  <c r="AS104" i="50"/>
  <c r="AY104" i="50"/>
  <c r="BA125" i="50"/>
  <c r="AU125" i="50"/>
  <c r="AQ133" i="50"/>
  <c r="AW133" i="50"/>
  <c r="AS135" i="50"/>
  <c r="AY135" i="50"/>
  <c r="AR44" i="50"/>
  <c r="AR47" i="50"/>
  <c r="AR50" i="50"/>
  <c r="AT64" i="50"/>
  <c r="AR69" i="50"/>
  <c r="AT74" i="50"/>
  <c r="AY93" i="50"/>
  <c r="AW95" i="50"/>
  <c r="AR99" i="50"/>
  <c r="AR103" i="50"/>
  <c r="AT105" i="50"/>
  <c r="AR126" i="50"/>
  <c r="AY129" i="50"/>
  <c r="AR134" i="50"/>
  <c r="AT136" i="50"/>
  <c r="B14" i="54"/>
  <c r="B15" i="54"/>
  <c r="B16" i="54"/>
  <c r="B17" i="54"/>
  <c r="B18" i="54"/>
  <c r="B19" i="54"/>
  <c r="B20" i="54"/>
  <c r="AB187" i="51"/>
  <c r="AB188" i="51"/>
  <c r="AB189" i="51"/>
  <c r="AB190" i="51"/>
  <c r="AB191" i="51"/>
  <c r="AB192" i="51"/>
  <c r="AB193" i="51"/>
  <c r="AB194" i="51"/>
  <c r="AB195" i="51"/>
  <c r="AB196" i="51"/>
  <c r="AB197" i="51"/>
  <c r="AB198" i="51"/>
  <c r="AB199" i="51"/>
  <c r="AB200" i="51"/>
  <c r="AB201" i="51"/>
  <c r="AB186" i="51"/>
  <c r="AB142" i="51"/>
  <c r="AB143" i="51"/>
  <c r="AB144" i="51"/>
  <c r="AB145" i="51"/>
  <c r="AB146" i="51"/>
  <c r="AB147" i="51"/>
  <c r="AB148" i="51"/>
  <c r="AB149" i="51"/>
  <c r="AB150" i="51"/>
  <c r="AB151" i="51"/>
  <c r="AB152" i="51"/>
  <c r="AB153" i="51"/>
  <c r="AB154" i="51"/>
  <c r="AB155" i="51"/>
  <c r="AB156" i="51"/>
  <c r="AB141" i="51"/>
  <c r="V10" i="49"/>
  <c r="C21" i="59"/>
  <c r="G18" i="59"/>
  <c r="E20" i="59"/>
  <c r="E18" i="59"/>
  <c r="F13" i="59"/>
  <c r="C13" i="59"/>
  <c r="D7" i="59"/>
  <c r="C18" i="59"/>
  <c r="G13" i="59"/>
  <c r="G21" i="59"/>
  <c r="E13" i="59"/>
  <c r="E21" i="59"/>
  <c r="C7" i="59"/>
  <c r="C9" i="59"/>
  <c r="D12" i="59"/>
  <c r="E6" i="59"/>
  <c r="G17" i="59"/>
  <c r="G7" i="59"/>
  <c r="E19" i="59"/>
  <c r="G6" i="59"/>
  <c r="D8" i="59"/>
  <c r="G14" i="59"/>
  <c r="F7" i="59"/>
  <c r="C20" i="59"/>
  <c r="G15" i="59"/>
  <c r="E17" i="59"/>
  <c r="C6" i="59"/>
  <c r="F12" i="59"/>
  <c r="F21" i="59"/>
  <c r="E16" i="59"/>
  <c r="F19" i="59"/>
  <c r="C8" i="59"/>
  <c r="D6" i="59"/>
  <c r="F11" i="59"/>
  <c r="F10" i="59"/>
  <c r="G9" i="59"/>
  <c r="C19" i="59"/>
  <c r="C10" i="59"/>
  <c r="F18" i="59"/>
  <c r="E12" i="59"/>
  <c r="F20" i="59"/>
  <c r="G16" i="59"/>
  <c r="F15" i="59"/>
  <c r="D18" i="59"/>
  <c r="F17" i="59"/>
  <c r="C15" i="59"/>
  <c r="G20" i="59"/>
  <c r="E7" i="59"/>
  <c r="C12" i="59"/>
  <c r="F8" i="59"/>
  <c r="F16" i="59"/>
  <c r="G11" i="59"/>
  <c r="D19" i="59"/>
  <c r="G8" i="59"/>
  <c r="D17" i="59"/>
  <c r="C17" i="59"/>
  <c r="C14" i="59"/>
  <c r="C11" i="59"/>
  <c r="F9" i="59"/>
  <c r="D9" i="59"/>
  <c r="E9" i="59"/>
  <c r="D10" i="59"/>
  <c r="G10" i="59"/>
  <c r="D13" i="59"/>
  <c r="D16" i="59"/>
  <c r="E15" i="59"/>
  <c r="D14" i="59"/>
  <c r="G12" i="59"/>
  <c r="E14" i="59"/>
  <c r="C16" i="59"/>
  <c r="D20" i="59"/>
  <c r="G19" i="59"/>
  <c r="D21" i="59"/>
  <c r="D15" i="59"/>
  <c r="E11" i="59"/>
  <c r="E8" i="59"/>
  <c r="D11" i="59"/>
  <c r="F14" i="59"/>
  <c r="E10" i="59"/>
  <c r="H21" i="59" l="1"/>
  <c r="H17" i="59"/>
  <c r="I16" i="59"/>
  <c r="I19" i="59"/>
  <c r="K17" i="59"/>
  <c r="H15" i="59"/>
  <c r="I20" i="59"/>
  <c r="J17" i="59"/>
  <c r="H18" i="59"/>
  <c r="I15" i="59"/>
  <c r="H19" i="59"/>
  <c r="L21" i="59"/>
  <c r="L18" i="59"/>
  <c r="L16" i="59"/>
  <c r="L17" i="59"/>
  <c r="H20" i="59"/>
  <c r="K20" i="59"/>
  <c r="K19" i="59"/>
  <c r="L15" i="59"/>
  <c r="K15" i="59"/>
  <c r="J18" i="59"/>
  <c r="K16" i="59"/>
  <c r="J16" i="59"/>
  <c r="L20" i="59"/>
  <c r="J19" i="59"/>
  <c r="H16" i="59"/>
  <c r="K21" i="59"/>
  <c r="J15" i="59"/>
  <c r="I17" i="59"/>
  <c r="I18" i="59"/>
  <c r="L19" i="59"/>
  <c r="J20" i="59"/>
  <c r="I21" i="59"/>
  <c r="K18" i="59"/>
  <c r="J21" i="59"/>
  <c r="AB97" i="51"/>
  <c r="AB98" i="51"/>
  <c r="AB99" i="51"/>
  <c r="AB100" i="51"/>
  <c r="AB101" i="51"/>
  <c r="AB102" i="51"/>
  <c r="AB103" i="51"/>
  <c r="AB104" i="51"/>
  <c r="AB105" i="51"/>
  <c r="AH105" i="51" s="1"/>
  <c r="AB106" i="51"/>
  <c r="AH106" i="51" s="1"/>
  <c r="AB107" i="51"/>
  <c r="AH107" i="51" s="1"/>
  <c r="AB108" i="51"/>
  <c r="AH108" i="51" s="1"/>
  <c r="AB109" i="51"/>
  <c r="AH109" i="51" s="1"/>
  <c r="AB110" i="51"/>
  <c r="AH110" i="51" s="1"/>
  <c r="AB111" i="51"/>
  <c r="AH111" i="51" s="1"/>
  <c r="AB96" i="51"/>
  <c r="AB52" i="51"/>
  <c r="AB53" i="51"/>
  <c r="AB54" i="51"/>
  <c r="AB55" i="51"/>
  <c r="AB56" i="51"/>
  <c r="AB57" i="51"/>
  <c r="AB58" i="51"/>
  <c r="AB59" i="51"/>
  <c r="AB60" i="51"/>
  <c r="AH60" i="51" s="1"/>
  <c r="AB61" i="51"/>
  <c r="AH61" i="51" s="1"/>
  <c r="AB62" i="51"/>
  <c r="AH62" i="51" s="1"/>
  <c r="AB63" i="51"/>
  <c r="AH63" i="51" s="1"/>
  <c r="AB64" i="51"/>
  <c r="AH64" i="51" s="1"/>
  <c r="AB65" i="51"/>
  <c r="AH65" i="51" s="1"/>
  <c r="AB66" i="51"/>
  <c r="AH66" i="51" s="1"/>
  <c r="AB51" i="51"/>
  <c r="AB7" i="51"/>
  <c r="AB9" i="51"/>
  <c r="AB10" i="51"/>
  <c r="AB11" i="51"/>
  <c r="AB12" i="51"/>
  <c r="AB13" i="51"/>
  <c r="AB14" i="51"/>
  <c r="AH14" i="51" s="1"/>
  <c r="AB15" i="51"/>
  <c r="AH15" i="51" s="1"/>
  <c r="AB16" i="51"/>
  <c r="AH16" i="51" s="1"/>
  <c r="AB17" i="51"/>
  <c r="AH17" i="51" s="1"/>
  <c r="AB18" i="51"/>
  <c r="AH18" i="51" s="1"/>
  <c r="AB19" i="51"/>
  <c r="AH19" i="51" s="1"/>
  <c r="AB20" i="51"/>
  <c r="AH20" i="51" s="1"/>
  <c r="AH21" i="51"/>
  <c r="AB6" i="51"/>
  <c r="AH195" i="51"/>
  <c r="AH196" i="51"/>
  <c r="AH197" i="51"/>
  <c r="AH198" i="51"/>
  <c r="AH199" i="51"/>
  <c r="AH200" i="51"/>
  <c r="AH201" i="51"/>
  <c r="AH150" i="51"/>
  <c r="AH151" i="51"/>
  <c r="AH152" i="51"/>
  <c r="AH153" i="51"/>
  <c r="AH154" i="51"/>
  <c r="AH155" i="51"/>
  <c r="AH156" i="51"/>
  <c r="D81" i="51"/>
  <c r="E81" i="51"/>
  <c r="F81" i="51"/>
  <c r="G81" i="51"/>
  <c r="D82" i="51"/>
  <c r="E82" i="51"/>
  <c r="F82" i="51"/>
  <c r="G82" i="51"/>
  <c r="D83" i="51"/>
  <c r="E83" i="51"/>
  <c r="F83" i="51"/>
  <c r="G83" i="51"/>
  <c r="D84" i="51"/>
  <c r="E84" i="51"/>
  <c r="F84" i="51"/>
  <c r="G84" i="51"/>
  <c r="D85" i="51"/>
  <c r="E85" i="51"/>
  <c r="F85" i="51"/>
  <c r="G85" i="51"/>
  <c r="D75" i="51"/>
  <c r="E75" i="51"/>
  <c r="D76" i="51"/>
  <c r="E76" i="51"/>
  <c r="D77" i="51"/>
  <c r="E77" i="51"/>
  <c r="F77" i="51"/>
  <c r="D78" i="51"/>
  <c r="E78" i="51"/>
  <c r="F78" i="51"/>
  <c r="G78" i="51"/>
  <c r="D79" i="51"/>
  <c r="E79" i="51"/>
  <c r="F79" i="51"/>
  <c r="G79" i="51"/>
  <c r="D80" i="51"/>
  <c r="E80" i="51"/>
  <c r="F80" i="51"/>
  <c r="G80" i="51"/>
  <c r="F41" i="51"/>
  <c r="G41" i="51" s="1"/>
  <c r="G75" i="51" s="1"/>
  <c r="D58" i="51"/>
  <c r="E58" i="51"/>
  <c r="F58" i="51"/>
  <c r="G58" i="51"/>
  <c r="H58" i="51"/>
  <c r="D59" i="51"/>
  <c r="E59" i="51"/>
  <c r="F59" i="51"/>
  <c r="G59" i="51"/>
  <c r="P10" i="51" s="1"/>
  <c r="H59" i="51"/>
  <c r="D60" i="51"/>
  <c r="E60" i="51"/>
  <c r="F60" i="51"/>
  <c r="G60" i="51"/>
  <c r="H60" i="51"/>
  <c r="D61" i="51"/>
  <c r="E61" i="51"/>
  <c r="F61" i="51"/>
  <c r="G61" i="51"/>
  <c r="H61" i="51"/>
  <c r="D62" i="51"/>
  <c r="E62" i="51"/>
  <c r="F62" i="51"/>
  <c r="G62" i="51"/>
  <c r="H62" i="51"/>
  <c r="D63" i="51"/>
  <c r="E63" i="51"/>
  <c r="F63" i="51"/>
  <c r="G63" i="51"/>
  <c r="H63" i="51"/>
  <c r="D64" i="51"/>
  <c r="E64" i="51"/>
  <c r="F64" i="51"/>
  <c r="G64" i="51"/>
  <c r="H64" i="51"/>
  <c r="D65" i="51"/>
  <c r="E65" i="51"/>
  <c r="F65" i="51"/>
  <c r="G65" i="51"/>
  <c r="H65" i="51"/>
  <c r="D66" i="51"/>
  <c r="E66" i="51"/>
  <c r="F66" i="51"/>
  <c r="G66" i="51"/>
  <c r="H66" i="51"/>
  <c r="D67" i="51"/>
  <c r="E67" i="51"/>
  <c r="F67" i="51"/>
  <c r="G67" i="51"/>
  <c r="H67" i="51"/>
  <c r="D68" i="51"/>
  <c r="E68" i="51"/>
  <c r="F68" i="51"/>
  <c r="G68" i="51"/>
  <c r="H68" i="51"/>
  <c r="M301" i="50"/>
  <c r="M302" i="50"/>
  <c r="O302" i="50" s="1"/>
  <c r="AC302" i="50" s="1"/>
  <c r="M303" i="50"/>
  <c r="N303" i="50" s="1"/>
  <c r="AB303" i="50" s="1"/>
  <c r="M304" i="50"/>
  <c r="O304" i="50" s="1"/>
  <c r="AC304" i="50" s="1"/>
  <c r="M292" i="50"/>
  <c r="AA292" i="50" s="1"/>
  <c r="M293" i="50"/>
  <c r="O293" i="50" s="1"/>
  <c r="M294" i="50"/>
  <c r="N294" i="50" s="1"/>
  <c r="AB294" i="50" s="1"/>
  <c r="M295" i="50"/>
  <c r="O295" i="50" s="1"/>
  <c r="AC295" i="50" s="1"/>
  <c r="M296" i="50"/>
  <c r="N296" i="50" s="1"/>
  <c r="AB296" i="50" s="1"/>
  <c r="M297" i="50"/>
  <c r="O297" i="50" s="1"/>
  <c r="AC297" i="50" s="1"/>
  <c r="M298" i="50"/>
  <c r="N298" i="50" s="1"/>
  <c r="AB298" i="50" s="1"/>
  <c r="M299" i="50"/>
  <c r="O299" i="50" s="1"/>
  <c r="AC299" i="50" s="1"/>
  <c r="M300" i="50"/>
  <c r="N300" i="50" s="1"/>
  <c r="AB300" i="50" s="1"/>
  <c r="M277" i="50"/>
  <c r="O277" i="50" s="1"/>
  <c r="AC277" i="50" s="1"/>
  <c r="M278" i="50"/>
  <c r="O278" i="50" s="1"/>
  <c r="M279" i="50"/>
  <c r="P279" i="50" s="1"/>
  <c r="AD279" i="50" s="1"/>
  <c r="M280" i="50"/>
  <c r="O280" i="50" s="1"/>
  <c r="AC280" i="50" s="1"/>
  <c r="M281" i="50"/>
  <c r="Q281" i="50" s="1"/>
  <c r="AE281" i="50" s="1"/>
  <c r="M282" i="50"/>
  <c r="O282" i="50" s="1"/>
  <c r="AC282" i="50" s="1"/>
  <c r="M283" i="50"/>
  <c r="O283" i="50" s="1"/>
  <c r="AC283" i="50" s="1"/>
  <c r="M284" i="50"/>
  <c r="O284" i="50" s="1"/>
  <c r="AC284" i="50" s="1"/>
  <c r="M285" i="50"/>
  <c r="P285" i="50" s="1"/>
  <c r="AD285" i="50" s="1"/>
  <c r="M286" i="50"/>
  <c r="O286" i="50" s="1"/>
  <c r="AC286" i="50" s="1"/>
  <c r="M287" i="50"/>
  <c r="Q287" i="50" s="1"/>
  <c r="AE287" i="50" s="1"/>
  <c r="M288" i="50"/>
  <c r="O288" i="50" s="1"/>
  <c r="AC288" i="50" s="1"/>
  <c r="M289" i="50"/>
  <c r="O289" i="50" s="1"/>
  <c r="AC289" i="50" s="1"/>
  <c r="M290" i="50"/>
  <c r="O290" i="50" s="1"/>
  <c r="AC290" i="50" s="1"/>
  <c r="M291" i="50"/>
  <c r="P291" i="50" s="1"/>
  <c r="AD291" i="50" s="1"/>
  <c r="M262" i="50"/>
  <c r="P262" i="50" s="1"/>
  <c r="M263" i="50"/>
  <c r="O263" i="50" s="1"/>
  <c r="M264" i="50"/>
  <c r="Q264" i="50" s="1"/>
  <c r="AE264" i="50" s="1"/>
  <c r="M265" i="50"/>
  <c r="O265" i="50" s="1"/>
  <c r="AC265" i="50" s="1"/>
  <c r="M266" i="50"/>
  <c r="Q266" i="50" s="1"/>
  <c r="AE266" i="50" s="1"/>
  <c r="M267" i="50"/>
  <c r="O267" i="50" s="1"/>
  <c r="AC267" i="50" s="1"/>
  <c r="M268" i="50"/>
  <c r="N268" i="50" s="1"/>
  <c r="AB268" i="50" s="1"/>
  <c r="M269" i="50"/>
  <c r="O269" i="50" s="1"/>
  <c r="AC269" i="50" s="1"/>
  <c r="M270" i="50"/>
  <c r="N270" i="50" s="1"/>
  <c r="AB270" i="50" s="1"/>
  <c r="M271" i="50"/>
  <c r="O271" i="50" s="1"/>
  <c r="AC271" i="50" s="1"/>
  <c r="M272" i="50"/>
  <c r="N272" i="50" s="1"/>
  <c r="AB272" i="50" s="1"/>
  <c r="M273" i="50"/>
  <c r="O273" i="50" s="1"/>
  <c r="AC273" i="50" s="1"/>
  <c r="M274" i="50"/>
  <c r="N274" i="50" s="1"/>
  <c r="AB274" i="50" s="1"/>
  <c r="M275" i="50"/>
  <c r="O275" i="50" s="1"/>
  <c r="AC275" i="50" s="1"/>
  <c r="M276" i="50"/>
  <c r="N276" i="50" s="1"/>
  <c r="AB276" i="50" s="1"/>
  <c r="M239" i="50"/>
  <c r="O239" i="50" s="1"/>
  <c r="M240" i="50"/>
  <c r="P240" i="50" s="1"/>
  <c r="M241" i="50"/>
  <c r="Q241" i="50" s="1"/>
  <c r="AE241" i="50" s="1"/>
  <c r="M242" i="50"/>
  <c r="P242" i="50" s="1"/>
  <c r="AD242" i="50" s="1"/>
  <c r="M243" i="50"/>
  <c r="O243" i="50" s="1"/>
  <c r="AC243" i="50" s="1"/>
  <c r="M244" i="50"/>
  <c r="P244" i="50" s="1"/>
  <c r="AD244" i="50" s="1"/>
  <c r="M245" i="50"/>
  <c r="O245" i="50" s="1"/>
  <c r="AC245" i="50" s="1"/>
  <c r="M246" i="50"/>
  <c r="P246" i="50" s="1"/>
  <c r="AD246" i="50" s="1"/>
  <c r="M247" i="50"/>
  <c r="O247" i="50" s="1"/>
  <c r="AC247" i="50" s="1"/>
  <c r="M248" i="50"/>
  <c r="P248" i="50" s="1"/>
  <c r="AD248" i="50" s="1"/>
  <c r="M249" i="50"/>
  <c r="O249" i="50" s="1"/>
  <c r="AC249" i="50" s="1"/>
  <c r="M250" i="50"/>
  <c r="P250" i="50" s="1"/>
  <c r="AD250" i="50" s="1"/>
  <c r="M251" i="50"/>
  <c r="O251" i="50" s="1"/>
  <c r="AC251" i="50" s="1"/>
  <c r="M252" i="50"/>
  <c r="P252" i="50" s="1"/>
  <c r="AD252" i="50" s="1"/>
  <c r="M253" i="50"/>
  <c r="O253" i="50" s="1"/>
  <c r="AC253" i="50" s="1"/>
  <c r="M254" i="50"/>
  <c r="P254" i="50" s="1"/>
  <c r="AD254" i="50" s="1"/>
  <c r="M255" i="50"/>
  <c r="O255" i="50" s="1"/>
  <c r="AC255" i="50" s="1"/>
  <c r="M256" i="50"/>
  <c r="P256" i="50" s="1"/>
  <c r="AD256" i="50" s="1"/>
  <c r="M257" i="50"/>
  <c r="O257" i="50" s="1"/>
  <c r="AC257" i="50" s="1"/>
  <c r="M258" i="50"/>
  <c r="P258" i="50" s="1"/>
  <c r="AD258" i="50" s="1"/>
  <c r="M259" i="50"/>
  <c r="O259" i="50" s="1"/>
  <c r="AC259" i="50" s="1"/>
  <c r="M260" i="50"/>
  <c r="P260" i="50" s="1"/>
  <c r="AD260" i="50" s="1"/>
  <c r="M261" i="50"/>
  <c r="O261" i="50" s="1"/>
  <c r="AC261" i="50" s="1"/>
  <c r="M205" i="50"/>
  <c r="AA205" i="50" s="1"/>
  <c r="M206" i="50"/>
  <c r="M207" i="50"/>
  <c r="M208" i="50"/>
  <c r="P208" i="50" s="1"/>
  <c r="AD208" i="50" s="1"/>
  <c r="M209" i="50"/>
  <c r="Q209" i="50" s="1"/>
  <c r="AE209" i="50" s="1"/>
  <c r="M210" i="50"/>
  <c r="N210" i="50" s="1"/>
  <c r="AB210" i="50" s="1"/>
  <c r="M211" i="50"/>
  <c r="P211" i="50" s="1"/>
  <c r="AD211" i="50" s="1"/>
  <c r="M212" i="50"/>
  <c r="M213" i="50"/>
  <c r="M214" i="50"/>
  <c r="P214" i="50" s="1"/>
  <c r="AD214" i="50" s="1"/>
  <c r="M215" i="50"/>
  <c r="Q215" i="50" s="1"/>
  <c r="AE215" i="50" s="1"/>
  <c r="M216" i="50"/>
  <c r="N216" i="50" s="1"/>
  <c r="AB216" i="50" s="1"/>
  <c r="M217" i="50"/>
  <c r="AA217" i="50" s="1"/>
  <c r="M218" i="50"/>
  <c r="M219" i="50"/>
  <c r="M220" i="50"/>
  <c r="P220" i="50" s="1"/>
  <c r="AD220" i="50" s="1"/>
  <c r="M221" i="50"/>
  <c r="Q221" i="50" s="1"/>
  <c r="AE221" i="50" s="1"/>
  <c r="M222" i="50"/>
  <c r="N222" i="50" s="1"/>
  <c r="AB222" i="50" s="1"/>
  <c r="M223" i="50"/>
  <c r="P223" i="50" s="1"/>
  <c r="AD223" i="50" s="1"/>
  <c r="M224" i="50"/>
  <c r="N224" i="50" s="1"/>
  <c r="AB224" i="50" s="1"/>
  <c r="M225" i="50"/>
  <c r="P225" i="50" s="1"/>
  <c r="AD225" i="50" s="1"/>
  <c r="M226" i="50"/>
  <c r="P226" i="50" s="1"/>
  <c r="AD226" i="50" s="1"/>
  <c r="M227" i="50"/>
  <c r="Q227" i="50" s="1"/>
  <c r="AE227" i="50" s="1"/>
  <c r="M228" i="50"/>
  <c r="P228" i="50" s="1"/>
  <c r="AD228" i="50" s="1"/>
  <c r="M229" i="50"/>
  <c r="Q229" i="50" s="1"/>
  <c r="AE229" i="50" s="1"/>
  <c r="M230" i="50"/>
  <c r="O230" i="50" s="1"/>
  <c r="AC230" i="50" s="1"/>
  <c r="M231" i="50"/>
  <c r="N231" i="50" s="1"/>
  <c r="AB231" i="50" s="1"/>
  <c r="M232" i="50"/>
  <c r="N232" i="50" s="1"/>
  <c r="AB232" i="50" s="1"/>
  <c r="M233" i="50"/>
  <c r="N233" i="50" s="1"/>
  <c r="AB233" i="50" s="1"/>
  <c r="M234" i="50"/>
  <c r="N234" i="50" s="1"/>
  <c r="AB234" i="50" s="1"/>
  <c r="M235" i="50"/>
  <c r="N235" i="50" s="1"/>
  <c r="AB235" i="50" s="1"/>
  <c r="M236" i="50"/>
  <c r="P236" i="50" s="1"/>
  <c r="AD236" i="50" s="1"/>
  <c r="M237" i="50"/>
  <c r="N237" i="50" s="1"/>
  <c r="AB237" i="50" s="1"/>
  <c r="M238" i="50"/>
  <c r="N238" i="50" s="1"/>
  <c r="AB238" i="50" s="1"/>
  <c r="AP131" i="50"/>
  <c r="BC131" i="50"/>
  <c r="BD131" i="50"/>
  <c r="BE131" i="50"/>
  <c r="BF131" i="50"/>
  <c r="BG131" i="50"/>
  <c r="BI131" i="50"/>
  <c r="BJ131" i="50"/>
  <c r="BK131" i="50"/>
  <c r="BL131" i="50"/>
  <c r="AP132" i="50"/>
  <c r="BC132" i="50"/>
  <c r="BD132" i="50"/>
  <c r="BE132" i="50"/>
  <c r="BF132" i="50"/>
  <c r="BG132" i="50"/>
  <c r="BI132" i="50"/>
  <c r="BJ132" i="50"/>
  <c r="BK132" i="50"/>
  <c r="BL132" i="50"/>
  <c r="AP133" i="50"/>
  <c r="BC133" i="50"/>
  <c r="BD133" i="50"/>
  <c r="BE133" i="50"/>
  <c r="BF133" i="50"/>
  <c r="BG133" i="50"/>
  <c r="BI133" i="50"/>
  <c r="BJ133" i="50"/>
  <c r="BK133" i="50"/>
  <c r="BL133" i="50"/>
  <c r="AP134" i="50"/>
  <c r="BC134" i="50"/>
  <c r="BD134" i="50"/>
  <c r="BE134" i="50"/>
  <c r="BF134" i="50"/>
  <c r="BG134" i="50"/>
  <c r="BI134" i="50"/>
  <c r="BJ134" i="50"/>
  <c r="BK134" i="50"/>
  <c r="BL134" i="50"/>
  <c r="AP135" i="50"/>
  <c r="BC135" i="50"/>
  <c r="BD135" i="50"/>
  <c r="BE135" i="50"/>
  <c r="BF135" i="50"/>
  <c r="BG135" i="50"/>
  <c r="BI135" i="50"/>
  <c r="BJ135" i="50"/>
  <c r="BK135" i="50"/>
  <c r="BL135" i="50"/>
  <c r="AP136" i="50"/>
  <c r="BC136" i="50"/>
  <c r="BD136" i="50"/>
  <c r="BE136" i="50"/>
  <c r="BF136" i="50"/>
  <c r="BG136" i="50"/>
  <c r="BI136" i="50"/>
  <c r="BJ136" i="50"/>
  <c r="BK136" i="50"/>
  <c r="BL136" i="50"/>
  <c r="AP137" i="50"/>
  <c r="BC137" i="50"/>
  <c r="BD137" i="50"/>
  <c r="BE137" i="50"/>
  <c r="BF137" i="50"/>
  <c r="BG137" i="50"/>
  <c r="BI137" i="50"/>
  <c r="BJ137" i="50"/>
  <c r="BK137" i="50"/>
  <c r="BL137" i="50"/>
  <c r="AP102" i="50"/>
  <c r="BC102" i="50"/>
  <c r="BD102" i="50"/>
  <c r="BE102" i="50"/>
  <c r="BF102" i="50"/>
  <c r="BG102" i="50"/>
  <c r="BI102" i="50"/>
  <c r="BJ102" i="50"/>
  <c r="BK102" i="50"/>
  <c r="BL102" i="50"/>
  <c r="AP103" i="50"/>
  <c r="BC103" i="50"/>
  <c r="BD103" i="50"/>
  <c r="BE103" i="50"/>
  <c r="BF103" i="50"/>
  <c r="BG103" i="50"/>
  <c r="BI103" i="50"/>
  <c r="BJ103" i="50"/>
  <c r="BK103" i="50"/>
  <c r="BL103" i="50"/>
  <c r="AP104" i="50"/>
  <c r="BC104" i="50"/>
  <c r="BD104" i="50"/>
  <c r="BE104" i="50"/>
  <c r="BF104" i="50"/>
  <c r="BG104" i="50"/>
  <c r="BI104" i="50"/>
  <c r="BJ104" i="50"/>
  <c r="BK104" i="50"/>
  <c r="BL104" i="50"/>
  <c r="AP105" i="50"/>
  <c r="BC105" i="50"/>
  <c r="BD105" i="50"/>
  <c r="BE105" i="50"/>
  <c r="BF105" i="50"/>
  <c r="BG105" i="50"/>
  <c r="BI105" i="50"/>
  <c r="BJ105" i="50"/>
  <c r="BK105" i="50"/>
  <c r="BL105" i="50"/>
  <c r="AP106" i="50"/>
  <c r="BC106" i="50"/>
  <c r="BD106" i="50"/>
  <c r="BE106" i="50"/>
  <c r="BF106" i="50"/>
  <c r="BG106" i="50"/>
  <c r="BI106" i="50"/>
  <c r="BJ106" i="50"/>
  <c r="BK106" i="50"/>
  <c r="BL106" i="50"/>
  <c r="AP107" i="50"/>
  <c r="BC107" i="50"/>
  <c r="BD107" i="50"/>
  <c r="BE107" i="50"/>
  <c r="BF107" i="50"/>
  <c r="BG107" i="50"/>
  <c r="BI107" i="50"/>
  <c r="BJ107" i="50"/>
  <c r="BK107" i="50"/>
  <c r="BL107" i="50"/>
  <c r="AP108" i="50"/>
  <c r="BC108" i="50"/>
  <c r="BD108" i="50"/>
  <c r="BE108" i="50"/>
  <c r="BF108" i="50"/>
  <c r="BG108" i="50"/>
  <c r="BI108" i="50"/>
  <c r="BJ108" i="50"/>
  <c r="BK108" i="50"/>
  <c r="BL108" i="50"/>
  <c r="AP73" i="50"/>
  <c r="BC73" i="50"/>
  <c r="BD73" i="50"/>
  <c r="BE73" i="50"/>
  <c r="BF73" i="50"/>
  <c r="BG73" i="50"/>
  <c r="BI73" i="50"/>
  <c r="BJ73" i="50"/>
  <c r="BK73" i="50"/>
  <c r="BL73" i="50"/>
  <c r="AP74" i="50"/>
  <c r="BC74" i="50"/>
  <c r="BD74" i="50"/>
  <c r="BE74" i="50"/>
  <c r="BF74" i="50"/>
  <c r="BG74" i="50"/>
  <c r="BI74" i="50"/>
  <c r="BJ74" i="50"/>
  <c r="BK74" i="50"/>
  <c r="BL74" i="50"/>
  <c r="AP75" i="50"/>
  <c r="BC75" i="50"/>
  <c r="BD75" i="50"/>
  <c r="BE75" i="50"/>
  <c r="BF75" i="50"/>
  <c r="BG75" i="50"/>
  <c r="BI75" i="50"/>
  <c r="BJ75" i="50"/>
  <c r="BK75" i="50"/>
  <c r="BL75" i="50"/>
  <c r="AP76" i="50"/>
  <c r="BC76" i="50"/>
  <c r="BD76" i="50"/>
  <c r="BE76" i="50"/>
  <c r="BF76" i="50"/>
  <c r="BG76" i="50"/>
  <c r="BI76" i="50"/>
  <c r="BJ76" i="50"/>
  <c r="BK76" i="50"/>
  <c r="BL76" i="50"/>
  <c r="AP77" i="50"/>
  <c r="BC77" i="50"/>
  <c r="BD77" i="50"/>
  <c r="BE77" i="50"/>
  <c r="BF77" i="50"/>
  <c r="BG77" i="50"/>
  <c r="BI77" i="50"/>
  <c r="BJ77" i="50"/>
  <c r="BK77" i="50"/>
  <c r="BL77" i="50"/>
  <c r="AP78" i="50"/>
  <c r="BC78" i="50"/>
  <c r="BD78" i="50"/>
  <c r="BE78" i="50"/>
  <c r="BF78" i="50"/>
  <c r="BG78" i="50"/>
  <c r="BI78" i="50"/>
  <c r="BJ78" i="50"/>
  <c r="BK78" i="50"/>
  <c r="BL78" i="50"/>
  <c r="AP79" i="50"/>
  <c r="BC79" i="50"/>
  <c r="BD79" i="50"/>
  <c r="BE79" i="50"/>
  <c r="BF79" i="50"/>
  <c r="BG79" i="50"/>
  <c r="BI79" i="50"/>
  <c r="BJ79" i="50"/>
  <c r="BK79" i="50"/>
  <c r="BL79" i="50"/>
  <c r="AP44" i="50"/>
  <c r="BC44" i="50"/>
  <c r="BD44" i="50"/>
  <c r="BE44" i="50"/>
  <c r="BF44" i="50"/>
  <c r="BG44" i="50"/>
  <c r="BI44" i="50"/>
  <c r="BJ44" i="50"/>
  <c r="BK44" i="50"/>
  <c r="BL44" i="50"/>
  <c r="AP45" i="50"/>
  <c r="BC45" i="50"/>
  <c r="BD45" i="50"/>
  <c r="BE45" i="50"/>
  <c r="BF45" i="50"/>
  <c r="BG45" i="50"/>
  <c r="BI45" i="50"/>
  <c r="BJ45" i="50"/>
  <c r="BK45" i="50"/>
  <c r="BL45" i="50"/>
  <c r="AP46" i="50"/>
  <c r="BC46" i="50"/>
  <c r="BD46" i="50"/>
  <c r="BE46" i="50"/>
  <c r="BF46" i="50"/>
  <c r="BG46" i="50"/>
  <c r="BI46" i="50"/>
  <c r="BJ46" i="50"/>
  <c r="BK46" i="50"/>
  <c r="BL46" i="50"/>
  <c r="AP47" i="50"/>
  <c r="BC47" i="50"/>
  <c r="BD47" i="50"/>
  <c r="BE47" i="50"/>
  <c r="BF47" i="50"/>
  <c r="BG47" i="50"/>
  <c r="BI47" i="50"/>
  <c r="BJ47" i="50"/>
  <c r="BK47" i="50"/>
  <c r="BL47" i="50"/>
  <c r="AP48" i="50"/>
  <c r="BC48" i="50"/>
  <c r="BD48" i="50"/>
  <c r="BE48" i="50"/>
  <c r="BF48" i="50"/>
  <c r="BG48" i="50"/>
  <c r="BI48" i="50"/>
  <c r="BJ48" i="50"/>
  <c r="BK48" i="50"/>
  <c r="BL48" i="50"/>
  <c r="AP49" i="50"/>
  <c r="BC49" i="50"/>
  <c r="BD49" i="50"/>
  <c r="BE49" i="50"/>
  <c r="BF49" i="50"/>
  <c r="BG49" i="50"/>
  <c r="BI49" i="50"/>
  <c r="BJ49" i="50"/>
  <c r="BK49" i="50"/>
  <c r="BL49" i="50"/>
  <c r="AP50" i="50"/>
  <c r="BC50" i="50"/>
  <c r="BD50" i="50"/>
  <c r="BE50" i="50"/>
  <c r="BF50" i="50"/>
  <c r="BG50" i="50"/>
  <c r="BI50" i="50"/>
  <c r="BJ50" i="50"/>
  <c r="BK50" i="50"/>
  <c r="BL50" i="50"/>
  <c r="AP15" i="50"/>
  <c r="BC15" i="50"/>
  <c r="BD15" i="50"/>
  <c r="BE15" i="50"/>
  <c r="BF15" i="50"/>
  <c r="BG15" i="50"/>
  <c r="BI15" i="50"/>
  <c r="BJ15" i="50"/>
  <c r="BK15" i="50"/>
  <c r="BL15" i="50"/>
  <c r="AP16" i="50"/>
  <c r="BC16" i="50"/>
  <c r="BD16" i="50"/>
  <c r="BE16" i="50"/>
  <c r="BF16" i="50"/>
  <c r="BG16" i="50"/>
  <c r="BI16" i="50"/>
  <c r="BJ16" i="50"/>
  <c r="BK16" i="50"/>
  <c r="BL16" i="50"/>
  <c r="AP17" i="50"/>
  <c r="BC17" i="50"/>
  <c r="BD17" i="50"/>
  <c r="BE17" i="50"/>
  <c r="BF17" i="50"/>
  <c r="BG17" i="50"/>
  <c r="BI17" i="50"/>
  <c r="BJ17" i="50"/>
  <c r="BK17" i="50"/>
  <c r="BL17" i="50"/>
  <c r="AP18" i="50"/>
  <c r="BC18" i="50"/>
  <c r="BD18" i="50"/>
  <c r="BE18" i="50"/>
  <c r="BF18" i="50"/>
  <c r="BG18" i="50"/>
  <c r="BI18" i="50"/>
  <c r="BJ18" i="50"/>
  <c r="BK18" i="50"/>
  <c r="BL18" i="50"/>
  <c r="AP19" i="50"/>
  <c r="BC19" i="50"/>
  <c r="BD19" i="50"/>
  <c r="BE19" i="50"/>
  <c r="BF19" i="50"/>
  <c r="BG19" i="50"/>
  <c r="BI19" i="50"/>
  <c r="BJ19" i="50"/>
  <c r="BK19" i="50"/>
  <c r="BL19" i="50"/>
  <c r="AP20" i="50"/>
  <c r="BC20" i="50"/>
  <c r="BD20" i="50"/>
  <c r="BE20" i="50"/>
  <c r="BF20" i="50"/>
  <c r="BG20" i="50"/>
  <c r="BI20" i="50"/>
  <c r="BJ20" i="50"/>
  <c r="BK20" i="50"/>
  <c r="BL20" i="50"/>
  <c r="AP21" i="50"/>
  <c r="BC21" i="50"/>
  <c r="BD21" i="50"/>
  <c r="BE21" i="50"/>
  <c r="BF21" i="50"/>
  <c r="BG21" i="50"/>
  <c r="BI21" i="50"/>
  <c r="BJ21" i="50"/>
  <c r="BK21" i="50"/>
  <c r="BL21" i="50"/>
  <c r="S131" i="49"/>
  <c r="T131" i="49"/>
  <c r="U131" i="49"/>
  <c r="V131" i="49"/>
  <c r="W131" i="49"/>
  <c r="S132" i="49"/>
  <c r="T132" i="49"/>
  <c r="U132" i="49"/>
  <c r="V132" i="49"/>
  <c r="W132" i="49"/>
  <c r="S133" i="49"/>
  <c r="T133" i="49"/>
  <c r="U133" i="49"/>
  <c r="V133" i="49"/>
  <c r="W133" i="49"/>
  <c r="S134" i="49"/>
  <c r="T134" i="49"/>
  <c r="U134" i="49"/>
  <c r="V134" i="49"/>
  <c r="W134" i="49"/>
  <c r="S135" i="49"/>
  <c r="T135" i="49"/>
  <c r="U135" i="49"/>
  <c r="V135" i="49"/>
  <c r="W135" i="49"/>
  <c r="S136" i="49"/>
  <c r="T136" i="49"/>
  <c r="U136" i="49"/>
  <c r="V136" i="49"/>
  <c r="W136" i="49"/>
  <c r="S137" i="49"/>
  <c r="T137" i="49"/>
  <c r="U137" i="49"/>
  <c r="V137" i="49"/>
  <c r="W137" i="49"/>
  <c r="S102" i="49"/>
  <c r="T102" i="49"/>
  <c r="U102" i="49"/>
  <c r="V102" i="49"/>
  <c r="W102" i="49"/>
  <c r="S103" i="49"/>
  <c r="T103" i="49"/>
  <c r="U103" i="49"/>
  <c r="V103" i="49"/>
  <c r="W103" i="49"/>
  <c r="S104" i="49"/>
  <c r="T104" i="49"/>
  <c r="U104" i="49"/>
  <c r="V104" i="49"/>
  <c r="W104" i="49"/>
  <c r="S105" i="49"/>
  <c r="T105" i="49"/>
  <c r="U105" i="49"/>
  <c r="V105" i="49"/>
  <c r="W105" i="49"/>
  <c r="S106" i="49"/>
  <c r="T106" i="49"/>
  <c r="U106" i="49"/>
  <c r="V106" i="49"/>
  <c r="W106" i="49"/>
  <c r="S107" i="49"/>
  <c r="T107" i="49"/>
  <c r="U107" i="49"/>
  <c r="V107" i="49"/>
  <c r="W107" i="49"/>
  <c r="S108" i="49"/>
  <c r="T108" i="49"/>
  <c r="U108" i="49"/>
  <c r="V108" i="49"/>
  <c r="W108" i="49"/>
  <c r="S73" i="49"/>
  <c r="T73" i="49"/>
  <c r="U73" i="49"/>
  <c r="V73" i="49"/>
  <c r="W73" i="49"/>
  <c r="S74" i="49"/>
  <c r="T74" i="49"/>
  <c r="U74" i="49"/>
  <c r="V74" i="49"/>
  <c r="W74" i="49"/>
  <c r="S75" i="49"/>
  <c r="T75" i="49"/>
  <c r="U75" i="49"/>
  <c r="V75" i="49"/>
  <c r="W75" i="49"/>
  <c r="S76" i="49"/>
  <c r="T76" i="49"/>
  <c r="U76" i="49"/>
  <c r="V76" i="49"/>
  <c r="W76" i="49"/>
  <c r="S77" i="49"/>
  <c r="T77" i="49"/>
  <c r="U77" i="49"/>
  <c r="V77" i="49"/>
  <c r="W77" i="49"/>
  <c r="S78" i="49"/>
  <c r="T78" i="49"/>
  <c r="U78" i="49"/>
  <c r="V78" i="49"/>
  <c r="W78" i="49"/>
  <c r="S79" i="49"/>
  <c r="T79" i="49"/>
  <c r="U79" i="49"/>
  <c r="V79" i="49"/>
  <c r="W79" i="49"/>
  <c r="S44" i="49"/>
  <c r="T44" i="49"/>
  <c r="U44" i="49"/>
  <c r="V44" i="49"/>
  <c r="W44" i="49"/>
  <c r="S45" i="49"/>
  <c r="T45" i="49"/>
  <c r="U45" i="49"/>
  <c r="V45" i="49"/>
  <c r="W45" i="49"/>
  <c r="S46" i="49"/>
  <c r="T46" i="49"/>
  <c r="U46" i="49"/>
  <c r="V46" i="49"/>
  <c r="W46" i="49"/>
  <c r="S47" i="49"/>
  <c r="T47" i="49"/>
  <c r="U47" i="49"/>
  <c r="V47" i="49"/>
  <c r="W47" i="49"/>
  <c r="S48" i="49"/>
  <c r="T48" i="49"/>
  <c r="U48" i="49"/>
  <c r="V48" i="49"/>
  <c r="W48" i="49"/>
  <c r="S49" i="49"/>
  <c r="T49" i="49"/>
  <c r="U49" i="49"/>
  <c r="V49" i="49"/>
  <c r="W49" i="49"/>
  <c r="S50" i="49"/>
  <c r="T50" i="49"/>
  <c r="U50" i="49"/>
  <c r="V50" i="49"/>
  <c r="W50" i="49"/>
  <c r="S15" i="49"/>
  <c r="T15" i="49"/>
  <c r="U15" i="49"/>
  <c r="V15" i="49"/>
  <c r="W15" i="49"/>
  <c r="S16" i="49"/>
  <c r="T16" i="49"/>
  <c r="U16" i="49"/>
  <c r="V16" i="49"/>
  <c r="W16" i="49"/>
  <c r="S17" i="49"/>
  <c r="T17" i="49"/>
  <c r="U17" i="49"/>
  <c r="V17" i="49"/>
  <c r="W17" i="49"/>
  <c r="S18" i="49"/>
  <c r="T18" i="49"/>
  <c r="U18" i="49"/>
  <c r="V18" i="49"/>
  <c r="W18" i="49"/>
  <c r="Q18" i="51" s="1"/>
  <c r="S19" i="49"/>
  <c r="T19" i="49"/>
  <c r="U19" i="49"/>
  <c r="V19" i="49"/>
  <c r="W19" i="49"/>
  <c r="Q19" i="51" s="1"/>
  <c r="S20" i="49"/>
  <c r="T20" i="49"/>
  <c r="U20" i="49"/>
  <c r="V20" i="49"/>
  <c r="W20" i="49"/>
  <c r="Q20" i="51" s="1"/>
  <c r="S21" i="49"/>
  <c r="T21" i="49"/>
  <c r="U21" i="49"/>
  <c r="V21" i="49"/>
  <c r="W21" i="49"/>
  <c r="AM54" i="52"/>
  <c r="AN54" i="52"/>
  <c r="AO54" i="52"/>
  <c r="AP54" i="52"/>
  <c r="AQ54" i="52"/>
  <c r="AT54" i="52"/>
  <c r="AU54" i="52"/>
  <c r="AV54" i="52"/>
  <c r="AW54" i="52"/>
  <c r="AX54" i="52"/>
  <c r="AM55" i="52"/>
  <c r="AN55" i="52"/>
  <c r="AO55" i="52"/>
  <c r="AP55" i="52"/>
  <c r="AQ55" i="52"/>
  <c r="AT55" i="52"/>
  <c r="AU55" i="52"/>
  <c r="AV55" i="52"/>
  <c r="AW55" i="52"/>
  <c r="AX55" i="52"/>
  <c r="AM56" i="52"/>
  <c r="AN56" i="52"/>
  <c r="AO56" i="52"/>
  <c r="AP56" i="52"/>
  <c r="AQ56" i="52"/>
  <c r="AT56" i="52"/>
  <c r="AU56" i="52"/>
  <c r="AV56" i="52"/>
  <c r="AW56" i="52"/>
  <c r="AX56" i="52"/>
  <c r="AM57" i="52"/>
  <c r="AN57" i="52"/>
  <c r="AO57" i="52"/>
  <c r="AP57" i="52"/>
  <c r="AQ57" i="52"/>
  <c r="AT57" i="52"/>
  <c r="AU57" i="52"/>
  <c r="AV57" i="52"/>
  <c r="AW57" i="52"/>
  <c r="AX57" i="52"/>
  <c r="AM58" i="52"/>
  <c r="AN58" i="52"/>
  <c r="AO58" i="52"/>
  <c r="AP58" i="52"/>
  <c r="AQ58" i="52"/>
  <c r="AT58" i="52"/>
  <c r="AU58" i="52"/>
  <c r="AV58" i="52"/>
  <c r="AW58" i="52"/>
  <c r="AX58" i="52"/>
  <c r="AM59" i="52"/>
  <c r="AN59" i="52"/>
  <c r="AO59" i="52"/>
  <c r="AP59" i="52"/>
  <c r="AQ59" i="52"/>
  <c r="AT59" i="52"/>
  <c r="AU59" i="52"/>
  <c r="AV59" i="52"/>
  <c r="AW59" i="52"/>
  <c r="AX59" i="52"/>
  <c r="AM60" i="52"/>
  <c r="AN60" i="52"/>
  <c r="AO60" i="52"/>
  <c r="AP60" i="52"/>
  <c r="AQ60" i="52"/>
  <c r="AT60" i="52"/>
  <c r="AU60" i="52"/>
  <c r="AV60" i="52"/>
  <c r="AW60" i="52"/>
  <c r="AX60" i="52"/>
  <c r="AM61" i="52"/>
  <c r="AN61" i="52"/>
  <c r="AO61" i="52"/>
  <c r="AP61" i="52"/>
  <c r="AQ61" i="52"/>
  <c r="AT61" i="52"/>
  <c r="AU61" i="52"/>
  <c r="AV61" i="52"/>
  <c r="AW61" i="52"/>
  <c r="AX61" i="52"/>
  <c r="AM62" i="52"/>
  <c r="AN62" i="52"/>
  <c r="AO62" i="52"/>
  <c r="AP62" i="52"/>
  <c r="AQ62" i="52"/>
  <c r="AT62" i="52"/>
  <c r="AU62" i="52"/>
  <c r="AV62" i="52"/>
  <c r="AW62" i="52"/>
  <c r="AX62" i="52"/>
  <c r="AM63" i="52"/>
  <c r="AN63" i="52"/>
  <c r="AO63" i="52"/>
  <c r="AP63" i="52"/>
  <c r="AQ63" i="52"/>
  <c r="AT63" i="52"/>
  <c r="AU63" i="52"/>
  <c r="AV63" i="52"/>
  <c r="AW63" i="52"/>
  <c r="AX63" i="52"/>
  <c r="AM64" i="52"/>
  <c r="AN64" i="52"/>
  <c r="AO64" i="52"/>
  <c r="AP64" i="52"/>
  <c r="AQ64" i="52"/>
  <c r="AT64" i="52"/>
  <c r="AU64" i="52"/>
  <c r="AV64" i="52"/>
  <c r="AW64" i="52"/>
  <c r="AX64" i="52"/>
  <c r="AM65" i="52"/>
  <c r="AN65" i="52"/>
  <c r="AO65" i="52"/>
  <c r="AP65" i="52"/>
  <c r="AQ65" i="52"/>
  <c r="AT65" i="52"/>
  <c r="AU65" i="52"/>
  <c r="AV65" i="52"/>
  <c r="AW65" i="52"/>
  <c r="AX65" i="52"/>
  <c r="AM66" i="52"/>
  <c r="AN66" i="52"/>
  <c r="AO66" i="52"/>
  <c r="AP66" i="52"/>
  <c r="AQ66" i="52"/>
  <c r="AT66" i="52"/>
  <c r="AU66" i="52"/>
  <c r="AV66" i="52"/>
  <c r="AW66" i="52"/>
  <c r="AX66" i="52"/>
  <c r="AM67" i="52"/>
  <c r="AN67" i="52"/>
  <c r="AO67" i="52"/>
  <c r="AP67" i="52"/>
  <c r="AQ67" i="52"/>
  <c r="AT67" i="52"/>
  <c r="AU67" i="52"/>
  <c r="AV67" i="52"/>
  <c r="AW67" i="52"/>
  <c r="AX67" i="52"/>
  <c r="AM68" i="52"/>
  <c r="AN68" i="52"/>
  <c r="AO68" i="52"/>
  <c r="AP68" i="52"/>
  <c r="AQ68" i="52"/>
  <c r="AT68" i="52"/>
  <c r="AU68" i="52"/>
  <c r="AV68" i="52"/>
  <c r="AW68" i="52"/>
  <c r="AX68" i="52"/>
  <c r="AM69" i="52"/>
  <c r="AN69" i="52"/>
  <c r="AO69" i="52"/>
  <c r="AP69" i="52"/>
  <c r="AQ69" i="52"/>
  <c r="AT69" i="52"/>
  <c r="AU69" i="52"/>
  <c r="AV69" i="52"/>
  <c r="AW69" i="52"/>
  <c r="AX69" i="52"/>
  <c r="AM70" i="52"/>
  <c r="AN70" i="52"/>
  <c r="AO70" i="52"/>
  <c r="AP70" i="52"/>
  <c r="AQ70" i="52"/>
  <c r="AT70" i="52"/>
  <c r="AU70" i="52"/>
  <c r="AV70" i="52"/>
  <c r="AW70" i="52"/>
  <c r="AX70" i="52"/>
  <c r="AM71" i="52"/>
  <c r="AN71" i="52"/>
  <c r="AO71" i="52"/>
  <c r="AP71" i="52"/>
  <c r="AQ71" i="52"/>
  <c r="AT71" i="52"/>
  <c r="AU71" i="52"/>
  <c r="AV71" i="52"/>
  <c r="AW71" i="52"/>
  <c r="AX71" i="52"/>
  <c r="AM72" i="52"/>
  <c r="AN72" i="52"/>
  <c r="AO72" i="52"/>
  <c r="AP72" i="52"/>
  <c r="AQ72" i="52"/>
  <c r="AT72" i="52"/>
  <c r="AU72" i="52"/>
  <c r="AV72" i="52"/>
  <c r="AW72" i="52"/>
  <c r="AX72" i="52"/>
  <c r="AM73" i="52"/>
  <c r="AN73" i="52"/>
  <c r="AO73" i="52"/>
  <c r="AP73" i="52"/>
  <c r="AQ73" i="52"/>
  <c r="AT73" i="52"/>
  <c r="AU73" i="52"/>
  <c r="AV73" i="52"/>
  <c r="AW73" i="52"/>
  <c r="AX73" i="52"/>
  <c r="AM74" i="52"/>
  <c r="AN74" i="52"/>
  <c r="AO74" i="52"/>
  <c r="AP74" i="52"/>
  <c r="AQ74" i="52"/>
  <c r="AT74" i="52"/>
  <c r="AU74" i="52"/>
  <c r="AV74" i="52"/>
  <c r="AW74" i="52"/>
  <c r="AX74" i="52"/>
  <c r="AM75" i="52"/>
  <c r="AN75" i="52"/>
  <c r="AO75" i="52"/>
  <c r="AP75" i="52"/>
  <c r="AQ75" i="52"/>
  <c r="AT75" i="52"/>
  <c r="AU75" i="52"/>
  <c r="AV75" i="52"/>
  <c r="AW75" i="52"/>
  <c r="AX75" i="52"/>
  <c r="AM76" i="52"/>
  <c r="AN76" i="52"/>
  <c r="AO76" i="52"/>
  <c r="AP76" i="52"/>
  <c r="AQ76" i="52"/>
  <c r="AT76" i="52"/>
  <c r="AU76" i="52"/>
  <c r="AV76" i="52"/>
  <c r="AW76" i="52"/>
  <c r="AX76" i="52"/>
  <c r="AM77" i="52"/>
  <c r="AN77" i="52"/>
  <c r="AO77" i="52"/>
  <c r="AP77" i="52"/>
  <c r="AQ77" i="52"/>
  <c r="AT77" i="52"/>
  <c r="AU77" i="52"/>
  <c r="AV77" i="52"/>
  <c r="AW77" i="52"/>
  <c r="AX77" i="52"/>
  <c r="AM78" i="52"/>
  <c r="AN78" i="52"/>
  <c r="AO78" i="52"/>
  <c r="AP78" i="52"/>
  <c r="AQ78" i="52"/>
  <c r="AT78" i="52"/>
  <c r="AU78" i="52"/>
  <c r="AV78" i="52"/>
  <c r="AW78" i="52"/>
  <c r="AX78" i="52"/>
  <c r="AM79" i="52"/>
  <c r="AN79" i="52"/>
  <c r="AO79" i="52"/>
  <c r="AP79" i="52"/>
  <c r="AQ79" i="52"/>
  <c r="AT79" i="52"/>
  <c r="AU79" i="52"/>
  <c r="AV79" i="52"/>
  <c r="AW79" i="52"/>
  <c r="AX79" i="52"/>
  <c r="AM80" i="52"/>
  <c r="AN80" i="52"/>
  <c r="AO80" i="52"/>
  <c r="AP80" i="52"/>
  <c r="AQ80" i="52"/>
  <c r="AT80" i="52"/>
  <c r="AU80" i="52"/>
  <c r="AV80" i="52"/>
  <c r="AW80" i="52"/>
  <c r="AX80" i="52"/>
  <c r="AM81" i="52"/>
  <c r="AN81" i="52"/>
  <c r="AO81" i="52"/>
  <c r="AP81" i="52"/>
  <c r="AQ81" i="52"/>
  <c r="AT81" i="52"/>
  <c r="AU81" i="52"/>
  <c r="AV81" i="52"/>
  <c r="AW81" i="52"/>
  <c r="AX81" i="52"/>
  <c r="AM82" i="52"/>
  <c r="AN82" i="52"/>
  <c r="AO82" i="52"/>
  <c r="AP82" i="52"/>
  <c r="AQ82" i="52"/>
  <c r="AT82" i="52"/>
  <c r="AU82" i="52"/>
  <c r="AV82" i="52"/>
  <c r="AW82" i="52"/>
  <c r="AX82" i="52"/>
  <c r="AM83" i="52"/>
  <c r="AN83" i="52"/>
  <c r="AO83" i="52"/>
  <c r="AP83" i="52"/>
  <c r="AQ83" i="52"/>
  <c r="AT83" i="52"/>
  <c r="AU83" i="52"/>
  <c r="AV83" i="52"/>
  <c r="AW83" i="52"/>
  <c r="AX83" i="52"/>
  <c r="N114" i="52"/>
  <c r="P114" i="52"/>
  <c r="Q114" i="52"/>
  <c r="R114" i="52"/>
  <c r="S114" i="52"/>
  <c r="T114" i="52"/>
  <c r="W114" i="52"/>
  <c r="X114" i="52"/>
  <c r="Y114" i="52"/>
  <c r="Z114" i="52"/>
  <c r="AA114" i="52"/>
  <c r="N115" i="52"/>
  <c r="P115" i="52"/>
  <c r="Q115" i="52"/>
  <c r="R115" i="52"/>
  <c r="S115" i="52"/>
  <c r="T115" i="52"/>
  <c r="W115" i="52"/>
  <c r="X115" i="52"/>
  <c r="Y115" i="52"/>
  <c r="Z115" i="52"/>
  <c r="AA115" i="52"/>
  <c r="N116" i="52"/>
  <c r="P116" i="52"/>
  <c r="Q116" i="52"/>
  <c r="R116" i="52"/>
  <c r="S116" i="52"/>
  <c r="T116" i="52"/>
  <c r="W116" i="52"/>
  <c r="X116" i="52"/>
  <c r="Y116" i="52"/>
  <c r="Z116" i="52"/>
  <c r="AA116" i="52"/>
  <c r="N117" i="52"/>
  <c r="P117" i="52"/>
  <c r="Q117" i="52"/>
  <c r="R117" i="52"/>
  <c r="S117" i="52"/>
  <c r="T117" i="52"/>
  <c r="W117" i="52"/>
  <c r="X117" i="52"/>
  <c r="Y117" i="52"/>
  <c r="Z117" i="52"/>
  <c r="AA117" i="52"/>
  <c r="N118" i="52"/>
  <c r="P118" i="52"/>
  <c r="Q118" i="52"/>
  <c r="R118" i="52"/>
  <c r="S118" i="52"/>
  <c r="T118" i="52"/>
  <c r="W118" i="52"/>
  <c r="X118" i="52"/>
  <c r="Y118" i="52"/>
  <c r="Z118" i="52"/>
  <c r="AA118" i="52"/>
  <c r="N119" i="52"/>
  <c r="P119" i="52"/>
  <c r="Q119" i="52"/>
  <c r="R119" i="52"/>
  <c r="S119" i="52"/>
  <c r="T119" i="52"/>
  <c r="W119" i="52"/>
  <c r="X119" i="52"/>
  <c r="Y119" i="52"/>
  <c r="Z119" i="52"/>
  <c r="AA119" i="52"/>
  <c r="N120" i="52"/>
  <c r="P120" i="52"/>
  <c r="Q120" i="52"/>
  <c r="R120" i="52"/>
  <c r="S120" i="52"/>
  <c r="T120" i="52"/>
  <c r="W120" i="52"/>
  <c r="X120" i="52"/>
  <c r="Y120" i="52"/>
  <c r="Z120" i="52"/>
  <c r="AA120" i="52"/>
  <c r="N121" i="52"/>
  <c r="P121" i="52"/>
  <c r="Q121" i="52"/>
  <c r="R121" i="52"/>
  <c r="S121" i="52"/>
  <c r="T121" i="52"/>
  <c r="W121" i="52"/>
  <c r="X121" i="52"/>
  <c r="Y121" i="52"/>
  <c r="Z121" i="52"/>
  <c r="AA121" i="52"/>
  <c r="N122" i="52"/>
  <c r="P122" i="52"/>
  <c r="Q122" i="52"/>
  <c r="R122" i="52"/>
  <c r="S122" i="52"/>
  <c r="T122" i="52"/>
  <c r="W122" i="52"/>
  <c r="X122" i="52"/>
  <c r="Y122" i="52"/>
  <c r="Z122" i="52"/>
  <c r="AA122" i="52"/>
  <c r="N123" i="52"/>
  <c r="P123" i="52"/>
  <c r="C17" i="49" s="1"/>
  <c r="Q123" i="52"/>
  <c r="C46" i="49" s="1"/>
  <c r="R123" i="52"/>
  <c r="C75" i="49" s="1"/>
  <c r="S123" i="52"/>
  <c r="C104" i="49" s="1"/>
  <c r="T123" i="52"/>
  <c r="C133" i="49" s="1"/>
  <c r="W123" i="52"/>
  <c r="X123" i="52"/>
  <c r="Y123" i="52"/>
  <c r="Z123" i="52"/>
  <c r="AA123" i="52"/>
  <c r="N124" i="52"/>
  <c r="P124" i="52"/>
  <c r="Q124" i="52"/>
  <c r="R124" i="52"/>
  <c r="S124" i="52"/>
  <c r="T124" i="52"/>
  <c r="W124" i="52"/>
  <c r="X124" i="52"/>
  <c r="Y124" i="52"/>
  <c r="Z124" i="52"/>
  <c r="AA124" i="52"/>
  <c r="N125" i="52"/>
  <c r="P125" i="52"/>
  <c r="Q125" i="52"/>
  <c r="R125" i="52"/>
  <c r="S125" i="52"/>
  <c r="T125" i="52"/>
  <c r="W125" i="52"/>
  <c r="X125" i="52"/>
  <c r="Y125" i="52"/>
  <c r="Z125" i="52"/>
  <c r="AA125" i="52"/>
  <c r="N126" i="52"/>
  <c r="P126" i="52"/>
  <c r="Q126" i="52"/>
  <c r="R126" i="52"/>
  <c r="S126" i="52"/>
  <c r="T126" i="52"/>
  <c r="W126" i="52"/>
  <c r="X126" i="52"/>
  <c r="Y126" i="52"/>
  <c r="Z126" i="52"/>
  <c r="AA126" i="52"/>
  <c r="N127" i="52"/>
  <c r="P127" i="52"/>
  <c r="Q127" i="52"/>
  <c r="R127" i="52"/>
  <c r="S127" i="52"/>
  <c r="T127" i="52"/>
  <c r="W127" i="52"/>
  <c r="X127" i="52"/>
  <c r="Y127" i="52"/>
  <c r="Z127" i="52"/>
  <c r="AA127" i="52"/>
  <c r="N128" i="52"/>
  <c r="P128" i="52"/>
  <c r="Q128" i="52"/>
  <c r="R128" i="52"/>
  <c r="S128" i="52"/>
  <c r="T128" i="52"/>
  <c r="W128" i="52"/>
  <c r="X128" i="52"/>
  <c r="Y128" i="52"/>
  <c r="Z128" i="52"/>
  <c r="AA128" i="52"/>
  <c r="N129" i="52"/>
  <c r="P129" i="52"/>
  <c r="Q129" i="52"/>
  <c r="R129" i="52"/>
  <c r="S129" i="52"/>
  <c r="T129" i="52"/>
  <c r="W129" i="52"/>
  <c r="X129" i="52"/>
  <c r="Y129" i="52"/>
  <c r="Z129" i="52"/>
  <c r="AA129" i="52"/>
  <c r="N130" i="52"/>
  <c r="P130" i="52"/>
  <c r="Q130" i="52"/>
  <c r="R130" i="52"/>
  <c r="S130" i="52"/>
  <c r="T130" i="52"/>
  <c r="W130" i="52"/>
  <c r="X130" i="52"/>
  <c r="Y130" i="52"/>
  <c r="Z130" i="52"/>
  <c r="AA130" i="52"/>
  <c r="N131" i="52"/>
  <c r="P131" i="52"/>
  <c r="Q131" i="52"/>
  <c r="R131" i="52"/>
  <c r="S131" i="52"/>
  <c r="T131" i="52"/>
  <c r="W131" i="52"/>
  <c r="X131" i="52"/>
  <c r="Y131" i="52"/>
  <c r="Z131" i="52"/>
  <c r="AA131" i="52"/>
  <c r="N132" i="52"/>
  <c r="P132" i="52"/>
  <c r="Q132" i="52"/>
  <c r="R132" i="52"/>
  <c r="S132" i="52"/>
  <c r="T132" i="52"/>
  <c r="W132" i="52"/>
  <c r="X132" i="52"/>
  <c r="Y132" i="52"/>
  <c r="Z132" i="52"/>
  <c r="AA132" i="52"/>
  <c r="N133" i="52"/>
  <c r="P133" i="52"/>
  <c r="C18" i="49" s="1"/>
  <c r="Q133" i="52"/>
  <c r="C47" i="49" s="1"/>
  <c r="R133" i="52"/>
  <c r="C76" i="49" s="1"/>
  <c r="S133" i="52"/>
  <c r="C105" i="49" s="1"/>
  <c r="T133" i="52"/>
  <c r="C134" i="49" s="1"/>
  <c r="W133" i="52"/>
  <c r="X133" i="52"/>
  <c r="Y133" i="52"/>
  <c r="Z133" i="52"/>
  <c r="AA133" i="52"/>
  <c r="N134" i="52"/>
  <c r="P134" i="52"/>
  <c r="Q134" i="52"/>
  <c r="R134" i="52"/>
  <c r="S134" i="52"/>
  <c r="T134" i="52"/>
  <c r="W134" i="52"/>
  <c r="X134" i="52"/>
  <c r="Y134" i="52"/>
  <c r="Z134" i="52"/>
  <c r="AA134" i="52"/>
  <c r="N135" i="52"/>
  <c r="P135" i="52"/>
  <c r="Q135" i="52"/>
  <c r="R135" i="52"/>
  <c r="S135" i="52"/>
  <c r="T135" i="52"/>
  <c r="W135" i="52"/>
  <c r="X135" i="52"/>
  <c r="Y135" i="52"/>
  <c r="Z135" i="52"/>
  <c r="AA135" i="52"/>
  <c r="N136" i="52"/>
  <c r="P136" i="52"/>
  <c r="Q136" i="52"/>
  <c r="R136" i="52"/>
  <c r="S136" i="52"/>
  <c r="T136" i="52"/>
  <c r="W136" i="52"/>
  <c r="X136" i="52"/>
  <c r="Y136" i="52"/>
  <c r="Z136" i="52"/>
  <c r="AA136" i="52"/>
  <c r="N137" i="52"/>
  <c r="P137" i="52"/>
  <c r="Q137" i="52"/>
  <c r="R137" i="52"/>
  <c r="S137" i="52"/>
  <c r="T137" i="52"/>
  <c r="W137" i="52"/>
  <c r="X137" i="52"/>
  <c r="Y137" i="52"/>
  <c r="Z137" i="52"/>
  <c r="AA137" i="52"/>
  <c r="N138" i="52"/>
  <c r="P138" i="52"/>
  <c r="Q138" i="52"/>
  <c r="R138" i="52"/>
  <c r="S138" i="52"/>
  <c r="T138" i="52"/>
  <c r="W138" i="52"/>
  <c r="X138" i="52"/>
  <c r="Y138" i="52"/>
  <c r="Z138" i="52"/>
  <c r="AA138" i="52"/>
  <c r="N139" i="52"/>
  <c r="P139" i="52"/>
  <c r="Q139" i="52"/>
  <c r="R139" i="52"/>
  <c r="S139" i="52"/>
  <c r="T139" i="52"/>
  <c r="W139" i="52"/>
  <c r="X139" i="52"/>
  <c r="Y139" i="52"/>
  <c r="Z139" i="52"/>
  <c r="AA139" i="52"/>
  <c r="N140" i="52"/>
  <c r="P140" i="52"/>
  <c r="Q140" i="52"/>
  <c r="R140" i="52"/>
  <c r="S140" i="52"/>
  <c r="T140" i="52"/>
  <c r="W140" i="52"/>
  <c r="X140" i="52"/>
  <c r="Y140" i="52"/>
  <c r="Z140" i="52"/>
  <c r="AA140" i="52"/>
  <c r="N141" i="52"/>
  <c r="P141" i="52"/>
  <c r="Q141" i="52"/>
  <c r="R141" i="52"/>
  <c r="S141" i="52"/>
  <c r="T141" i="52"/>
  <c r="W141" i="52"/>
  <c r="X141" i="52"/>
  <c r="Y141" i="52"/>
  <c r="Z141" i="52"/>
  <c r="AA141" i="52"/>
  <c r="N142" i="52"/>
  <c r="P142" i="52"/>
  <c r="Q142" i="52"/>
  <c r="R142" i="52"/>
  <c r="S142" i="52"/>
  <c r="T142" i="52"/>
  <c r="W142" i="52"/>
  <c r="X142" i="52"/>
  <c r="Y142" i="52"/>
  <c r="Z142" i="52"/>
  <c r="AA142" i="52"/>
  <c r="N143" i="52"/>
  <c r="P143" i="52"/>
  <c r="C19" i="49" s="1"/>
  <c r="Q143" i="52"/>
  <c r="C48" i="49" s="1"/>
  <c r="R143" i="52"/>
  <c r="C77" i="49" s="1"/>
  <c r="S143" i="52"/>
  <c r="C106" i="49" s="1"/>
  <c r="T143" i="52"/>
  <c r="C135" i="49" s="1"/>
  <c r="W143" i="52"/>
  <c r="X143" i="52"/>
  <c r="Y143" i="52"/>
  <c r="Z143" i="52"/>
  <c r="AA143" i="52"/>
  <c r="N144" i="52"/>
  <c r="P144" i="52"/>
  <c r="Q144" i="52"/>
  <c r="R144" i="52"/>
  <c r="S144" i="52"/>
  <c r="T144" i="52"/>
  <c r="W144" i="52"/>
  <c r="X144" i="52"/>
  <c r="Y144" i="52"/>
  <c r="Z144" i="52"/>
  <c r="AA144" i="52"/>
  <c r="N145" i="52"/>
  <c r="P145" i="52"/>
  <c r="Q145" i="52"/>
  <c r="R145" i="52"/>
  <c r="S145" i="52"/>
  <c r="T145" i="52"/>
  <c r="W145" i="52"/>
  <c r="X145" i="52"/>
  <c r="Y145" i="52"/>
  <c r="Z145" i="52"/>
  <c r="AA145" i="52"/>
  <c r="N146" i="52"/>
  <c r="P146" i="52"/>
  <c r="Q146" i="52"/>
  <c r="R146" i="52"/>
  <c r="S146" i="52"/>
  <c r="T146" i="52"/>
  <c r="W146" i="52"/>
  <c r="X146" i="52"/>
  <c r="Y146" i="52"/>
  <c r="Z146" i="52"/>
  <c r="AA146" i="52"/>
  <c r="N147" i="52"/>
  <c r="P147" i="52"/>
  <c r="Q147" i="52"/>
  <c r="R147" i="52"/>
  <c r="S147" i="52"/>
  <c r="T147" i="52"/>
  <c r="W147" i="52"/>
  <c r="X147" i="52"/>
  <c r="Y147" i="52"/>
  <c r="Z147" i="52"/>
  <c r="AA147" i="52"/>
  <c r="N148" i="52"/>
  <c r="P148" i="52"/>
  <c r="Q148" i="52"/>
  <c r="R148" i="52"/>
  <c r="S148" i="52"/>
  <c r="T148" i="52"/>
  <c r="W148" i="52"/>
  <c r="X148" i="52"/>
  <c r="Y148" i="52"/>
  <c r="Z148" i="52"/>
  <c r="AA148" i="52"/>
  <c r="N149" i="52"/>
  <c r="P149" i="52"/>
  <c r="Q149" i="52"/>
  <c r="R149" i="52"/>
  <c r="S149" i="52"/>
  <c r="T149" i="52"/>
  <c r="W149" i="52"/>
  <c r="X149" i="52"/>
  <c r="Y149" i="52"/>
  <c r="Z149" i="52"/>
  <c r="AA149" i="52"/>
  <c r="N150" i="52"/>
  <c r="P150" i="52"/>
  <c r="Q150" i="52"/>
  <c r="R150" i="52"/>
  <c r="S150" i="52"/>
  <c r="T150" i="52"/>
  <c r="W150" i="52"/>
  <c r="X150" i="52"/>
  <c r="Y150" i="52"/>
  <c r="Z150" i="52"/>
  <c r="AA150" i="52"/>
  <c r="N151" i="52"/>
  <c r="P151" i="52"/>
  <c r="Q151" i="52"/>
  <c r="R151" i="52"/>
  <c r="S151" i="52"/>
  <c r="T151" i="52"/>
  <c r="W151" i="52"/>
  <c r="X151" i="52"/>
  <c r="Y151" i="52"/>
  <c r="Z151" i="52"/>
  <c r="AA151" i="52"/>
  <c r="N152" i="52"/>
  <c r="P152" i="52"/>
  <c r="Q152" i="52"/>
  <c r="R152" i="52"/>
  <c r="S152" i="52"/>
  <c r="T152" i="52"/>
  <c r="W152" i="52"/>
  <c r="X152" i="52"/>
  <c r="Y152" i="52"/>
  <c r="Z152" i="52"/>
  <c r="AA152" i="52"/>
  <c r="N153" i="52"/>
  <c r="P153" i="52"/>
  <c r="C20" i="49" s="1"/>
  <c r="Q153" i="52"/>
  <c r="C49" i="49" s="1"/>
  <c r="R153" i="52"/>
  <c r="C78" i="49" s="1"/>
  <c r="S153" i="52"/>
  <c r="C107" i="49" s="1"/>
  <c r="T153" i="52"/>
  <c r="C136" i="49" s="1"/>
  <c r="W153" i="52"/>
  <c r="X153" i="52"/>
  <c r="Y153" i="52"/>
  <c r="Z153" i="52"/>
  <c r="AA153" i="52"/>
  <c r="N154" i="52"/>
  <c r="P154" i="52"/>
  <c r="Q154" i="52"/>
  <c r="R154" i="52"/>
  <c r="S154" i="52"/>
  <c r="T154" i="52"/>
  <c r="W154" i="52"/>
  <c r="X154" i="52"/>
  <c r="Y154" i="52"/>
  <c r="Z154" i="52"/>
  <c r="AA154" i="52"/>
  <c r="N155" i="52"/>
  <c r="P155" i="52"/>
  <c r="Q155" i="52"/>
  <c r="R155" i="52"/>
  <c r="S155" i="52"/>
  <c r="T155" i="52"/>
  <c r="W155" i="52"/>
  <c r="X155" i="52"/>
  <c r="Y155" i="52"/>
  <c r="Z155" i="52"/>
  <c r="AA155" i="52"/>
  <c r="N156" i="52"/>
  <c r="P156" i="52"/>
  <c r="Q156" i="52"/>
  <c r="R156" i="52"/>
  <c r="S156" i="52"/>
  <c r="T156" i="52"/>
  <c r="W156" i="52"/>
  <c r="X156" i="52"/>
  <c r="Y156" i="52"/>
  <c r="Z156" i="52"/>
  <c r="AA156" i="52"/>
  <c r="N157" i="52"/>
  <c r="P157" i="52"/>
  <c r="Q157" i="52"/>
  <c r="R157" i="52"/>
  <c r="S157" i="52"/>
  <c r="T157" i="52"/>
  <c r="W157" i="52"/>
  <c r="X157" i="52"/>
  <c r="Y157" i="52"/>
  <c r="Z157" i="52"/>
  <c r="AA157" i="52"/>
  <c r="N158" i="52"/>
  <c r="P158" i="52"/>
  <c r="Q158" i="52"/>
  <c r="R158" i="52"/>
  <c r="S158" i="52"/>
  <c r="T158" i="52"/>
  <c r="W158" i="52"/>
  <c r="X158" i="52"/>
  <c r="Y158" i="52"/>
  <c r="Z158" i="52"/>
  <c r="AA158" i="52"/>
  <c r="N159" i="52"/>
  <c r="P159" i="52"/>
  <c r="Q159" i="52"/>
  <c r="R159" i="52"/>
  <c r="S159" i="52"/>
  <c r="T159" i="52"/>
  <c r="W159" i="52"/>
  <c r="X159" i="52"/>
  <c r="Y159" i="52"/>
  <c r="Z159" i="52"/>
  <c r="AA159" i="52"/>
  <c r="N160" i="52"/>
  <c r="P160" i="52"/>
  <c r="Q160" i="52"/>
  <c r="R160" i="52"/>
  <c r="S160" i="52"/>
  <c r="T160" i="52"/>
  <c r="W160" i="52"/>
  <c r="X160" i="52"/>
  <c r="Y160" i="52"/>
  <c r="Z160" i="52"/>
  <c r="AA160" i="52"/>
  <c r="N161" i="52"/>
  <c r="P161" i="52"/>
  <c r="Q161" i="52"/>
  <c r="R161" i="52"/>
  <c r="S161" i="52"/>
  <c r="T161" i="52"/>
  <c r="W161" i="52"/>
  <c r="X161" i="52"/>
  <c r="Y161" i="52"/>
  <c r="Z161" i="52"/>
  <c r="AA161" i="52"/>
  <c r="N162" i="52"/>
  <c r="P162" i="52"/>
  <c r="Q162" i="52"/>
  <c r="R162" i="52"/>
  <c r="S162" i="52"/>
  <c r="T162" i="52"/>
  <c r="W162" i="52"/>
  <c r="X162" i="52"/>
  <c r="Y162" i="52"/>
  <c r="Z162" i="52"/>
  <c r="AA162" i="52"/>
  <c r="N163" i="52"/>
  <c r="P163" i="52"/>
  <c r="C21" i="49" s="1"/>
  <c r="Q163" i="52"/>
  <c r="C50" i="49" s="1"/>
  <c r="R163" i="52"/>
  <c r="C79" i="49" s="1"/>
  <c r="S163" i="52"/>
  <c r="C108" i="49" s="1"/>
  <c r="T163" i="52"/>
  <c r="C137" i="49" s="1"/>
  <c r="W163" i="52"/>
  <c r="X163" i="52"/>
  <c r="Y163" i="52"/>
  <c r="Z163" i="52"/>
  <c r="AA163" i="52"/>
  <c r="F153" i="52"/>
  <c r="G153" i="52"/>
  <c r="F154" i="52"/>
  <c r="G154" i="52"/>
  <c r="F155" i="52"/>
  <c r="G155" i="52"/>
  <c r="F156" i="52"/>
  <c r="G156" i="52"/>
  <c r="F157" i="52"/>
  <c r="G157" i="52"/>
  <c r="F158" i="52"/>
  <c r="G158" i="52"/>
  <c r="F159" i="52"/>
  <c r="G159" i="52"/>
  <c r="F160" i="52"/>
  <c r="G160" i="52"/>
  <c r="F161" i="52"/>
  <c r="G161" i="52"/>
  <c r="F162" i="52"/>
  <c r="G162" i="52"/>
  <c r="I74" i="52"/>
  <c r="J74" i="52"/>
  <c r="K74" i="52"/>
  <c r="I75" i="52"/>
  <c r="J75" i="52"/>
  <c r="K75" i="52"/>
  <c r="I76" i="52"/>
  <c r="J76" i="52"/>
  <c r="K76" i="52"/>
  <c r="I77" i="52"/>
  <c r="J77" i="52"/>
  <c r="K77" i="52"/>
  <c r="I78" i="52"/>
  <c r="J78" i="52"/>
  <c r="K78" i="52"/>
  <c r="I79" i="52"/>
  <c r="J79" i="52"/>
  <c r="K79" i="52"/>
  <c r="I80" i="52"/>
  <c r="J80" i="52"/>
  <c r="K80" i="52"/>
  <c r="I81" i="52"/>
  <c r="J81" i="52"/>
  <c r="K81" i="52"/>
  <c r="I82" i="52"/>
  <c r="J82" i="52"/>
  <c r="K82" i="52"/>
  <c r="I53" i="52"/>
  <c r="J53" i="52"/>
  <c r="K53" i="52"/>
  <c r="I54" i="52"/>
  <c r="J54" i="52"/>
  <c r="K54" i="52"/>
  <c r="I55" i="52"/>
  <c r="J55" i="52"/>
  <c r="K55" i="52"/>
  <c r="I56" i="52"/>
  <c r="J56" i="52"/>
  <c r="K56" i="52"/>
  <c r="I57" i="52"/>
  <c r="J57" i="52"/>
  <c r="K57" i="52"/>
  <c r="I58" i="52"/>
  <c r="J58" i="52"/>
  <c r="K58" i="52"/>
  <c r="I59" i="52"/>
  <c r="J59" i="52"/>
  <c r="K59" i="52"/>
  <c r="I60" i="52"/>
  <c r="J60" i="52"/>
  <c r="K60" i="52"/>
  <c r="I61" i="52"/>
  <c r="J61" i="52"/>
  <c r="K61" i="52"/>
  <c r="I62" i="52"/>
  <c r="J62" i="52"/>
  <c r="K62" i="52"/>
  <c r="I63" i="52"/>
  <c r="J63" i="52"/>
  <c r="K63" i="52"/>
  <c r="I64" i="52"/>
  <c r="J64" i="52"/>
  <c r="K64" i="52"/>
  <c r="I65" i="52"/>
  <c r="J65" i="52"/>
  <c r="K65" i="52"/>
  <c r="I66" i="52"/>
  <c r="J66" i="52"/>
  <c r="K66" i="52"/>
  <c r="I67" i="52"/>
  <c r="J67" i="52"/>
  <c r="K67" i="52"/>
  <c r="I68" i="52"/>
  <c r="J68" i="52"/>
  <c r="K68" i="52"/>
  <c r="I69" i="52"/>
  <c r="J69" i="52"/>
  <c r="K69" i="52"/>
  <c r="I70" i="52"/>
  <c r="J70" i="52"/>
  <c r="K70" i="52"/>
  <c r="I71" i="52"/>
  <c r="J71" i="52"/>
  <c r="K71" i="52"/>
  <c r="I72" i="52"/>
  <c r="J72" i="52"/>
  <c r="K72" i="52"/>
  <c r="I73" i="52"/>
  <c r="J73" i="52"/>
  <c r="K73" i="52"/>
  <c r="D35" i="52"/>
  <c r="C35" i="52"/>
  <c r="B35" i="52"/>
  <c r="D34" i="52"/>
  <c r="C34" i="52"/>
  <c r="B34" i="52"/>
  <c r="D33" i="52"/>
  <c r="C33" i="52"/>
  <c r="B33" i="52"/>
  <c r="D32" i="52"/>
  <c r="C32" i="52"/>
  <c r="B32" i="52"/>
  <c r="D31" i="52"/>
  <c r="C31" i="52"/>
  <c r="B31" i="52"/>
  <c r="D30" i="52"/>
  <c r="C30" i="52"/>
  <c r="B30" i="52"/>
  <c r="D29" i="52"/>
  <c r="C29" i="52"/>
  <c r="B29" i="52"/>
  <c r="D28" i="52"/>
  <c r="C28" i="52"/>
  <c r="B28" i="52"/>
  <c r="D27" i="52"/>
  <c r="C27" i="52"/>
  <c r="B27" i="52"/>
  <c r="D26" i="52"/>
  <c r="C26" i="52"/>
  <c r="B26" i="52"/>
  <c r="D25" i="52"/>
  <c r="C25" i="52"/>
  <c r="B25" i="52"/>
  <c r="D24" i="52"/>
  <c r="C24" i="52"/>
  <c r="B24" i="52"/>
  <c r="D17" i="52"/>
  <c r="C17" i="52"/>
  <c r="B17" i="52"/>
  <c r="D16" i="52"/>
  <c r="C16" i="52"/>
  <c r="B16" i="52"/>
  <c r="D15" i="52"/>
  <c r="C15" i="52"/>
  <c r="B15" i="52"/>
  <c r="D14" i="52"/>
  <c r="C14" i="52"/>
  <c r="B14" i="52"/>
  <c r="D13" i="52"/>
  <c r="C13" i="52"/>
  <c r="B13" i="52"/>
  <c r="D12" i="52"/>
  <c r="C12" i="52"/>
  <c r="B12" i="52"/>
  <c r="D11" i="52"/>
  <c r="C11" i="52"/>
  <c r="B11" i="52"/>
  <c r="D10" i="52"/>
  <c r="C10" i="52"/>
  <c r="B10" i="52"/>
  <c r="D9" i="52"/>
  <c r="C9" i="52"/>
  <c r="B9" i="52"/>
  <c r="D8" i="52"/>
  <c r="C8" i="52"/>
  <c r="B8" i="52"/>
  <c r="I4" i="52"/>
  <c r="J4" i="52"/>
  <c r="K4" i="52"/>
  <c r="I5" i="52"/>
  <c r="J5" i="52"/>
  <c r="K5" i="52"/>
  <c r="I6" i="52"/>
  <c r="J6" i="52"/>
  <c r="K6" i="52"/>
  <c r="I7" i="52"/>
  <c r="J7" i="52"/>
  <c r="K7" i="52"/>
  <c r="I8" i="52"/>
  <c r="J8" i="52"/>
  <c r="K8" i="52"/>
  <c r="I9" i="52"/>
  <c r="J9" i="52"/>
  <c r="K9" i="52"/>
  <c r="I10" i="52"/>
  <c r="J10" i="52"/>
  <c r="K10" i="52"/>
  <c r="I11" i="52"/>
  <c r="J11" i="52"/>
  <c r="K11" i="52"/>
  <c r="I12" i="52"/>
  <c r="J12" i="52"/>
  <c r="K12" i="52"/>
  <c r="I13" i="52"/>
  <c r="J13" i="52"/>
  <c r="K13" i="52"/>
  <c r="I14" i="52"/>
  <c r="J14" i="52"/>
  <c r="K14" i="52"/>
  <c r="I15" i="52"/>
  <c r="J15" i="52"/>
  <c r="K15" i="52"/>
  <c r="I16" i="52"/>
  <c r="J16" i="52"/>
  <c r="K16" i="52"/>
  <c r="I17" i="52"/>
  <c r="J17" i="52"/>
  <c r="K17" i="52"/>
  <c r="I18" i="52"/>
  <c r="J18" i="52"/>
  <c r="K18" i="52"/>
  <c r="I19" i="52"/>
  <c r="J19" i="52"/>
  <c r="K19" i="52"/>
  <c r="I20" i="52"/>
  <c r="J20" i="52"/>
  <c r="K20" i="52"/>
  <c r="I21" i="52"/>
  <c r="J21" i="52"/>
  <c r="K21" i="52"/>
  <c r="I22" i="52"/>
  <c r="J22" i="52"/>
  <c r="K22" i="52"/>
  <c r="I23" i="52"/>
  <c r="J23" i="52"/>
  <c r="K23" i="52"/>
  <c r="I24" i="52"/>
  <c r="J24" i="52"/>
  <c r="K24" i="52"/>
  <c r="I25" i="52"/>
  <c r="J25" i="52"/>
  <c r="K25" i="52"/>
  <c r="I26" i="52"/>
  <c r="J26" i="52"/>
  <c r="K26" i="52"/>
  <c r="I27" i="52"/>
  <c r="J27" i="52"/>
  <c r="K27" i="52"/>
  <c r="I28" i="52"/>
  <c r="J28" i="52"/>
  <c r="K28" i="52"/>
  <c r="I29" i="52"/>
  <c r="J29" i="52"/>
  <c r="K29" i="52"/>
  <c r="I30" i="52"/>
  <c r="J30" i="52"/>
  <c r="K30" i="52"/>
  <c r="I31" i="52"/>
  <c r="J31" i="52"/>
  <c r="K31" i="52"/>
  <c r="I32" i="52"/>
  <c r="J32" i="52"/>
  <c r="K32" i="52"/>
  <c r="I33" i="52"/>
  <c r="J33" i="52"/>
  <c r="K33" i="52"/>
  <c r="I34" i="52"/>
  <c r="J34" i="52"/>
  <c r="K34" i="52"/>
  <c r="I35" i="52"/>
  <c r="J35" i="52"/>
  <c r="K35" i="52"/>
  <c r="I36" i="52"/>
  <c r="J36" i="52"/>
  <c r="K36" i="52"/>
  <c r="I37" i="52"/>
  <c r="J37" i="52"/>
  <c r="K37" i="52"/>
  <c r="I38" i="52"/>
  <c r="J38" i="52"/>
  <c r="K38" i="52"/>
  <c r="I39" i="52"/>
  <c r="J39" i="52"/>
  <c r="K39" i="52"/>
  <c r="I40" i="52"/>
  <c r="J40" i="52"/>
  <c r="K40" i="52"/>
  <c r="I41" i="52"/>
  <c r="J41" i="52"/>
  <c r="K41" i="52"/>
  <c r="I42" i="52"/>
  <c r="J42" i="52"/>
  <c r="K42" i="52"/>
  <c r="I43" i="52"/>
  <c r="J43" i="52"/>
  <c r="K43" i="52"/>
  <c r="I44" i="52"/>
  <c r="J44" i="52"/>
  <c r="K44" i="52"/>
  <c r="I45" i="52"/>
  <c r="J45" i="52"/>
  <c r="K45" i="52"/>
  <c r="I46" i="52"/>
  <c r="J46" i="52"/>
  <c r="K46" i="52"/>
  <c r="I47" i="52"/>
  <c r="J47" i="52"/>
  <c r="K47" i="52"/>
  <c r="I48" i="52"/>
  <c r="J48" i="52"/>
  <c r="K48" i="52"/>
  <c r="I49" i="52"/>
  <c r="J49" i="52"/>
  <c r="K49" i="52"/>
  <c r="I50" i="52"/>
  <c r="J50" i="52"/>
  <c r="K50" i="52"/>
  <c r="I51" i="52"/>
  <c r="J51" i="52"/>
  <c r="K51" i="52"/>
  <c r="I52" i="52"/>
  <c r="J52" i="52"/>
  <c r="K52" i="52"/>
  <c r="K3" i="52"/>
  <c r="J3" i="52"/>
  <c r="I3" i="52"/>
  <c r="F4" i="52"/>
  <c r="G4" i="52"/>
  <c r="F5" i="52"/>
  <c r="G5" i="52"/>
  <c r="F6" i="52"/>
  <c r="G6" i="52"/>
  <c r="F7" i="52"/>
  <c r="G7" i="52"/>
  <c r="F8" i="52"/>
  <c r="G8" i="52"/>
  <c r="F9" i="52"/>
  <c r="G9" i="52"/>
  <c r="F10" i="52"/>
  <c r="G10" i="52"/>
  <c r="F11" i="52"/>
  <c r="G11" i="52"/>
  <c r="F12" i="52"/>
  <c r="G12" i="52"/>
  <c r="F13" i="52"/>
  <c r="G13" i="52"/>
  <c r="F14" i="52"/>
  <c r="G14" i="52"/>
  <c r="F15" i="52"/>
  <c r="G15" i="52"/>
  <c r="F16" i="52"/>
  <c r="G16" i="52"/>
  <c r="F17" i="52"/>
  <c r="G17" i="52"/>
  <c r="F18" i="52"/>
  <c r="G18" i="52"/>
  <c r="F19" i="52"/>
  <c r="G19" i="52"/>
  <c r="F20" i="52"/>
  <c r="G20" i="52"/>
  <c r="F21" i="52"/>
  <c r="G21" i="52"/>
  <c r="F22" i="52"/>
  <c r="G22" i="52"/>
  <c r="F23" i="52"/>
  <c r="G23" i="52"/>
  <c r="F24" i="52"/>
  <c r="G24" i="52"/>
  <c r="F25" i="52"/>
  <c r="G25" i="52"/>
  <c r="F26" i="52"/>
  <c r="G26" i="52"/>
  <c r="F27" i="52"/>
  <c r="G27" i="52"/>
  <c r="F28" i="52"/>
  <c r="G28" i="52"/>
  <c r="F29" i="52"/>
  <c r="G29" i="52"/>
  <c r="F30" i="52"/>
  <c r="G30" i="52"/>
  <c r="F31" i="52"/>
  <c r="G31" i="52"/>
  <c r="F32" i="52"/>
  <c r="G32" i="52"/>
  <c r="F33" i="52"/>
  <c r="G33" i="52"/>
  <c r="F34" i="52"/>
  <c r="G34" i="52"/>
  <c r="F35" i="52"/>
  <c r="G35" i="52"/>
  <c r="F36" i="52"/>
  <c r="G36" i="52"/>
  <c r="F37" i="52"/>
  <c r="G37" i="52"/>
  <c r="F38" i="52"/>
  <c r="G38" i="52"/>
  <c r="F39" i="52"/>
  <c r="G39" i="52"/>
  <c r="F40" i="52"/>
  <c r="G40" i="52"/>
  <c r="F41" i="52"/>
  <c r="G41" i="52"/>
  <c r="F42" i="52"/>
  <c r="G42" i="52"/>
  <c r="F43" i="52"/>
  <c r="G43" i="52"/>
  <c r="F44" i="52"/>
  <c r="G44" i="52"/>
  <c r="F45" i="52"/>
  <c r="G45" i="52"/>
  <c r="F46" i="52"/>
  <c r="G46" i="52"/>
  <c r="F47" i="52"/>
  <c r="G47" i="52"/>
  <c r="F48" i="52"/>
  <c r="G48" i="52"/>
  <c r="F49" i="52"/>
  <c r="G49" i="52"/>
  <c r="F50" i="52"/>
  <c r="G50" i="52"/>
  <c r="F51" i="52"/>
  <c r="G51" i="52"/>
  <c r="F52" i="52"/>
  <c r="G52" i="52"/>
  <c r="F53" i="52"/>
  <c r="G53" i="52"/>
  <c r="F54" i="52"/>
  <c r="G54" i="52"/>
  <c r="F55" i="52"/>
  <c r="G55" i="52"/>
  <c r="F56" i="52"/>
  <c r="G56" i="52"/>
  <c r="F57" i="52"/>
  <c r="G57" i="52"/>
  <c r="F58" i="52"/>
  <c r="G58" i="52"/>
  <c r="F59" i="52"/>
  <c r="G59" i="52"/>
  <c r="F60" i="52"/>
  <c r="G60" i="52"/>
  <c r="F61" i="52"/>
  <c r="G61" i="52"/>
  <c r="F62" i="52"/>
  <c r="G62" i="52"/>
  <c r="F63" i="52"/>
  <c r="G63" i="52"/>
  <c r="F64" i="52"/>
  <c r="G64" i="52"/>
  <c r="F65" i="52"/>
  <c r="G65" i="52"/>
  <c r="F66" i="52"/>
  <c r="G66" i="52"/>
  <c r="F67" i="52"/>
  <c r="G67" i="52"/>
  <c r="F68" i="52"/>
  <c r="G68" i="52"/>
  <c r="F69" i="52"/>
  <c r="G69" i="52"/>
  <c r="F70" i="52"/>
  <c r="G70" i="52"/>
  <c r="F71" i="52"/>
  <c r="G71" i="52"/>
  <c r="F72" i="52"/>
  <c r="G72" i="52"/>
  <c r="F73" i="52"/>
  <c r="G73" i="52"/>
  <c r="F74" i="52"/>
  <c r="G74" i="52"/>
  <c r="F75" i="52"/>
  <c r="G75" i="52"/>
  <c r="F76" i="52"/>
  <c r="G76" i="52"/>
  <c r="F77" i="52"/>
  <c r="G77" i="52"/>
  <c r="F78" i="52"/>
  <c r="G78" i="52"/>
  <c r="F79" i="52"/>
  <c r="G79" i="52"/>
  <c r="F80" i="52"/>
  <c r="G80" i="52"/>
  <c r="F81" i="52"/>
  <c r="G81" i="52"/>
  <c r="F82" i="52"/>
  <c r="G82" i="52"/>
  <c r="F83" i="52"/>
  <c r="G83" i="52"/>
  <c r="F84" i="52"/>
  <c r="G84" i="52"/>
  <c r="F85" i="52"/>
  <c r="G85" i="52"/>
  <c r="F86" i="52"/>
  <c r="G86" i="52"/>
  <c r="F87" i="52"/>
  <c r="G87" i="52"/>
  <c r="F88" i="52"/>
  <c r="G88" i="52"/>
  <c r="F89" i="52"/>
  <c r="G89" i="52"/>
  <c r="F90" i="52"/>
  <c r="G90" i="52"/>
  <c r="F91" i="52"/>
  <c r="G91" i="52"/>
  <c r="F92" i="52"/>
  <c r="G92" i="52"/>
  <c r="F93" i="52"/>
  <c r="G93" i="52"/>
  <c r="F94" i="52"/>
  <c r="G94" i="52"/>
  <c r="F95" i="52"/>
  <c r="G95" i="52"/>
  <c r="F96" i="52"/>
  <c r="G96" i="52"/>
  <c r="F97" i="52"/>
  <c r="G97" i="52"/>
  <c r="F98" i="52"/>
  <c r="G98" i="52"/>
  <c r="F99" i="52"/>
  <c r="G99" i="52"/>
  <c r="F100" i="52"/>
  <c r="G100" i="52"/>
  <c r="F101" i="52"/>
  <c r="G101" i="52"/>
  <c r="F102" i="52"/>
  <c r="G102" i="52"/>
  <c r="F103" i="52"/>
  <c r="G103" i="52"/>
  <c r="F104" i="52"/>
  <c r="G104" i="52"/>
  <c r="F105" i="52"/>
  <c r="G105" i="52"/>
  <c r="F106" i="52"/>
  <c r="G106" i="52"/>
  <c r="F107" i="52"/>
  <c r="G107" i="52"/>
  <c r="F108" i="52"/>
  <c r="G108" i="52"/>
  <c r="F109" i="52"/>
  <c r="G109" i="52"/>
  <c r="F110" i="52"/>
  <c r="G110" i="52"/>
  <c r="F111" i="52"/>
  <c r="G111" i="52"/>
  <c r="F112" i="52"/>
  <c r="G112" i="52"/>
  <c r="F113" i="52"/>
  <c r="G113" i="52"/>
  <c r="F114" i="52"/>
  <c r="G114" i="52"/>
  <c r="F115" i="52"/>
  <c r="G115" i="52"/>
  <c r="F116" i="52"/>
  <c r="G116" i="52"/>
  <c r="F117" i="52"/>
  <c r="G117" i="52"/>
  <c r="F118" i="52"/>
  <c r="G118" i="52"/>
  <c r="F119" i="52"/>
  <c r="G119" i="52"/>
  <c r="F120" i="52"/>
  <c r="G120" i="52"/>
  <c r="F121" i="52"/>
  <c r="G121" i="52"/>
  <c r="F122" i="52"/>
  <c r="G122" i="52"/>
  <c r="F123" i="52"/>
  <c r="G123" i="52"/>
  <c r="F124" i="52"/>
  <c r="G124" i="52"/>
  <c r="F125" i="52"/>
  <c r="G125" i="52"/>
  <c r="F126" i="52"/>
  <c r="G126" i="52"/>
  <c r="F127" i="52"/>
  <c r="G127" i="52"/>
  <c r="F128" i="52"/>
  <c r="G128" i="52"/>
  <c r="F129" i="52"/>
  <c r="G129" i="52"/>
  <c r="F130" i="52"/>
  <c r="G130" i="52"/>
  <c r="F131" i="52"/>
  <c r="G131" i="52"/>
  <c r="F132" i="52"/>
  <c r="G132" i="52"/>
  <c r="F133" i="52"/>
  <c r="G133" i="52"/>
  <c r="F134" i="52"/>
  <c r="G134" i="52"/>
  <c r="F135" i="52"/>
  <c r="G135" i="52"/>
  <c r="F136" i="52"/>
  <c r="G136" i="52"/>
  <c r="F137" i="52"/>
  <c r="G137" i="52"/>
  <c r="F138" i="52"/>
  <c r="G138" i="52"/>
  <c r="F139" i="52"/>
  <c r="G139" i="52"/>
  <c r="F140" i="52"/>
  <c r="G140" i="52"/>
  <c r="F141" i="52"/>
  <c r="G141" i="52"/>
  <c r="F142" i="52"/>
  <c r="G142" i="52"/>
  <c r="F143" i="52"/>
  <c r="G143" i="52"/>
  <c r="F144" i="52"/>
  <c r="G144" i="52"/>
  <c r="F145" i="52"/>
  <c r="G145" i="52"/>
  <c r="F146" i="52"/>
  <c r="G146" i="52"/>
  <c r="F147" i="52"/>
  <c r="G147" i="52"/>
  <c r="F148" i="52"/>
  <c r="G148" i="52"/>
  <c r="F149" i="52"/>
  <c r="G149" i="52"/>
  <c r="F150" i="52"/>
  <c r="G150" i="52"/>
  <c r="F151" i="52"/>
  <c r="G151" i="52"/>
  <c r="F152" i="52"/>
  <c r="G152" i="52"/>
  <c r="G3" i="52"/>
  <c r="F3" i="52"/>
  <c r="Q17" i="51" l="1"/>
  <c r="Q61" i="51"/>
  <c r="Q199" i="51"/>
  <c r="Q109" i="51"/>
  <c r="Q64" i="51"/>
  <c r="Q60" i="51"/>
  <c r="Q106" i="51"/>
  <c r="Q201" i="51"/>
  <c r="Q21" i="51"/>
  <c r="Q15" i="51"/>
  <c r="Q16" i="51"/>
  <c r="Q196" i="51"/>
  <c r="Q217" i="50"/>
  <c r="AE217" i="50" s="1"/>
  <c r="Q234" i="50"/>
  <c r="AE234" i="50" s="1"/>
  <c r="N289" i="50"/>
  <c r="AB289" i="50" s="1"/>
  <c r="AA232" i="50"/>
  <c r="N283" i="50"/>
  <c r="AB283" i="50" s="1"/>
  <c r="P232" i="50"/>
  <c r="AD232" i="50" s="1"/>
  <c r="AA237" i="50"/>
  <c r="P234" i="50"/>
  <c r="AD234" i="50" s="1"/>
  <c r="Q237" i="50"/>
  <c r="AE237" i="50" s="1"/>
  <c r="AA260" i="50"/>
  <c r="N290" i="50"/>
  <c r="AB290" i="50" s="1"/>
  <c r="N286" i="50"/>
  <c r="AB286" i="50" s="1"/>
  <c r="AA238" i="50"/>
  <c r="Q260" i="50"/>
  <c r="AE260" i="50" s="1"/>
  <c r="N255" i="50"/>
  <c r="AB255" i="50" s="1"/>
  <c r="P264" i="50"/>
  <c r="AD264" i="50" s="1"/>
  <c r="AA234" i="50"/>
  <c r="Q232" i="50"/>
  <c r="AE232" i="50" s="1"/>
  <c r="Q205" i="50"/>
  <c r="AE205" i="50" s="1"/>
  <c r="N279" i="50"/>
  <c r="AB279" i="50" s="1"/>
  <c r="Q238" i="50"/>
  <c r="AE238" i="50" s="1"/>
  <c r="O234" i="50"/>
  <c r="AC234" i="50" s="1"/>
  <c r="P209" i="50"/>
  <c r="AD209" i="50" s="1"/>
  <c r="N262" i="50"/>
  <c r="AB262" i="50" s="1"/>
  <c r="N284" i="50"/>
  <c r="AB284" i="50" s="1"/>
  <c r="N280" i="50"/>
  <c r="AB280" i="50" s="1"/>
  <c r="N277" i="50"/>
  <c r="AB277" i="50" s="1"/>
  <c r="P249" i="50"/>
  <c r="AD249" i="50" s="1"/>
  <c r="O260" i="50"/>
  <c r="AC260" i="50" s="1"/>
  <c r="P255" i="50"/>
  <c r="AD255" i="50" s="1"/>
  <c r="N247" i="50"/>
  <c r="AB247" i="50" s="1"/>
  <c r="P268" i="50"/>
  <c r="AD268" i="50" s="1"/>
  <c r="N278" i="50"/>
  <c r="AB278" i="50" s="1"/>
  <c r="P238" i="50"/>
  <c r="AD238" i="50" s="1"/>
  <c r="O232" i="50"/>
  <c r="AC232" i="50" s="1"/>
  <c r="AA227" i="50"/>
  <c r="P224" i="50"/>
  <c r="AD224" i="50" s="1"/>
  <c r="P217" i="50"/>
  <c r="AD217" i="50" s="1"/>
  <c r="N208" i="50"/>
  <c r="AB208" i="50" s="1"/>
  <c r="P261" i="50"/>
  <c r="AD261" i="50" s="1"/>
  <c r="AA256" i="50"/>
  <c r="N249" i="50"/>
  <c r="AB249" i="50" s="1"/>
  <c r="O268" i="50"/>
  <c r="AC268" i="50" s="1"/>
  <c r="AA291" i="50"/>
  <c r="AA289" i="50"/>
  <c r="AA285" i="50"/>
  <c r="AA283" i="50"/>
  <c r="AA279" i="50"/>
  <c r="AA277" i="50"/>
  <c r="O238" i="50"/>
  <c r="AC238" i="50" s="1"/>
  <c r="AA236" i="50"/>
  <c r="P227" i="50"/>
  <c r="AD227" i="50" s="1"/>
  <c r="N220" i="50"/>
  <c r="AB220" i="50" s="1"/>
  <c r="P259" i="50"/>
  <c r="AD259" i="50" s="1"/>
  <c r="Q256" i="50"/>
  <c r="AE256" i="50" s="1"/>
  <c r="AA250" i="50"/>
  <c r="P270" i="50"/>
  <c r="AD270" i="50" s="1"/>
  <c r="O291" i="50"/>
  <c r="AC291" i="50" s="1"/>
  <c r="Q289" i="50"/>
  <c r="AE289" i="50" s="1"/>
  <c r="AA287" i="50"/>
  <c r="O285" i="50"/>
  <c r="AC285" i="50" s="1"/>
  <c r="Q283" i="50"/>
  <c r="AE283" i="50" s="1"/>
  <c r="AA281" i="50"/>
  <c r="O279" i="50"/>
  <c r="AC279" i="50" s="1"/>
  <c r="Q277" i="50"/>
  <c r="AE277" i="50" s="1"/>
  <c r="O236" i="50"/>
  <c r="AC236" i="50" s="1"/>
  <c r="AA223" i="50"/>
  <c r="P216" i="50"/>
  <c r="AD216" i="50" s="1"/>
  <c r="N259" i="50"/>
  <c r="AB259" i="50" s="1"/>
  <c r="P253" i="50"/>
  <c r="AD253" i="50" s="1"/>
  <c r="Q250" i="50"/>
  <c r="AE250" i="50" s="1"/>
  <c r="AA244" i="50"/>
  <c r="AA240" i="50"/>
  <c r="P274" i="50"/>
  <c r="AD274" i="50" s="1"/>
  <c r="O270" i="50"/>
  <c r="AC270" i="50" s="1"/>
  <c r="AA262" i="50"/>
  <c r="N291" i="50"/>
  <c r="AB291" i="50" s="1"/>
  <c r="P289" i="50"/>
  <c r="AD289" i="50" s="1"/>
  <c r="P287" i="50"/>
  <c r="AD287" i="50" s="1"/>
  <c r="N285" i="50"/>
  <c r="AB285" i="50" s="1"/>
  <c r="P283" i="50"/>
  <c r="AD283" i="50" s="1"/>
  <c r="P281" i="50"/>
  <c r="AD281" i="50" s="1"/>
  <c r="P277" i="50"/>
  <c r="AD277" i="50" s="1"/>
  <c r="Q292" i="50"/>
  <c r="AE292" i="50" s="1"/>
  <c r="N236" i="50"/>
  <c r="AB236" i="50" s="1"/>
  <c r="N226" i="50"/>
  <c r="AB226" i="50" s="1"/>
  <c r="N253" i="50"/>
  <c r="AB253" i="50" s="1"/>
  <c r="P247" i="50"/>
  <c r="AD247" i="50" s="1"/>
  <c r="Q244" i="50"/>
  <c r="AE244" i="50" s="1"/>
  <c r="Q240" i="50"/>
  <c r="AE240" i="50" s="1"/>
  <c r="O262" i="50"/>
  <c r="AC262" i="50" s="1"/>
  <c r="O237" i="50"/>
  <c r="AC237" i="50" s="1"/>
  <c r="Q236" i="50"/>
  <c r="AE236" i="50" s="1"/>
  <c r="AA235" i="50"/>
  <c r="Q223" i="50"/>
  <c r="AE223" i="50" s="1"/>
  <c r="P221" i="50"/>
  <c r="AD221" i="50" s="1"/>
  <c r="P210" i="50"/>
  <c r="AD210" i="50" s="1"/>
  <c r="P205" i="50"/>
  <c r="AD205" i="50" s="1"/>
  <c r="N261" i="50"/>
  <c r="AB261" i="50" s="1"/>
  <c r="AA258" i="50"/>
  <c r="P257" i="50"/>
  <c r="AD257" i="50" s="1"/>
  <c r="O256" i="50"/>
  <c r="AC256" i="50" s="1"/>
  <c r="AA252" i="50"/>
  <c r="P251" i="50"/>
  <c r="AD251" i="50" s="1"/>
  <c r="O250" i="50"/>
  <c r="AC250" i="50" s="1"/>
  <c r="AA246" i="50"/>
  <c r="P245" i="50"/>
  <c r="AD245" i="50" s="1"/>
  <c r="O244" i="50"/>
  <c r="AC244" i="50" s="1"/>
  <c r="AA242" i="50"/>
  <c r="P241" i="50"/>
  <c r="AD241" i="50" s="1"/>
  <c r="O240" i="50"/>
  <c r="AC240" i="50" s="1"/>
  <c r="P276" i="50"/>
  <c r="AD276" i="50" s="1"/>
  <c r="P272" i="50"/>
  <c r="AD272" i="50" s="1"/>
  <c r="P266" i="50"/>
  <c r="AD266" i="50" s="1"/>
  <c r="O264" i="50"/>
  <c r="AC264" i="50" s="1"/>
  <c r="Q262" i="50"/>
  <c r="AE262" i="50" s="1"/>
  <c r="Q291" i="50"/>
  <c r="AE291" i="50" s="1"/>
  <c r="O287" i="50"/>
  <c r="AC287" i="50" s="1"/>
  <c r="Q285" i="50"/>
  <c r="AE285" i="50" s="1"/>
  <c r="O281" i="50"/>
  <c r="AC281" i="50" s="1"/>
  <c r="Q279" i="50"/>
  <c r="AE279" i="50" s="1"/>
  <c r="P292" i="50"/>
  <c r="AD292" i="50" s="1"/>
  <c r="Q235" i="50"/>
  <c r="AE235" i="50" s="1"/>
  <c r="P230" i="50"/>
  <c r="AD230" i="50" s="1"/>
  <c r="Q225" i="50"/>
  <c r="AE225" i="50" s="1"/>
  <c r="O205" i="50"/>
  <c r="AC205" i="50" s="1"/>
  <c r="Q258" i="50"/>
  <c r="AE258" i="50" s="1"/>
  <c r="N257" i="50"/>
  <c r="AB257" i="50" s="1"/>
  <c r="Q252" i="50"/>
  <c r="AE252" i="50" s="1"/>
  <c r="N251" i="50"/>
  <c r="AB251" i="50" s="1"/>
  <c r="Q246" i="50"/>
  <c r="AE246" i="50" s="1"/>
  <c r="N245" i="50"/>
  <c r="AB245" i="50" s="1"/>
  <c r="Q242" i="50"/>
  <c r="AE242" i="50" s="1"/>
  <c r="O241" i="50"/>
  <c r="AC241" i="50" s="1"/>
  <c r="O266" i="50"/>
  <c r="AC266" i="50" s="1"/>
  <c r="N264" i="50"/>
  <c r="AB264" i="50" s="1"/>
  <c r="N288" i="50"/>
  <c r="AB288" i="50" s="1"/>
  <c r="N287" i="50"/>
  <c r="AB287" i="50" s="1"/>
  <c r="N282" i="50"/>
  <c r="AB282" i="50" s="1"/>
  <c r="N281" i="50"/>
  <c r="AB281" i="50" s="1"/>
  <c r="P300" i="50"/>
  <c r="AD300" i="50" s="1"/>
  <c r="P296" i="50"/>
  <c r="AD296" i="50" s="1"/>
  <c r="O292" i="50"/>
  <c r="AC292" i="50" s="1"/>
  <c r="O235" i="50"/>
  <c r="AC235" i="50" s="1"/>
  <c r="AA233" i="50"/>
  <c r="AA231" i="50"/>
  <c r="P215" i="50"/>
  <c r="AD215" i="50" s="1"/>
  <c r="AA211" i="50"/>
  <c r="N205" i="50"/>
  <c r="AB205" i="50" s="1"/>
  <c r="O258" i="50"/>
  <c r="AC258" i="50" s="1"/>
  <c r="AA254" i="50"/>
  <c r="O252" i="50"/>
  <c r="AC252" i="50" s="1"/>
  <c r="AA248" i="50"/>
  <c r="O246" i="50"/>
  <c r="AC246" i="50" s="1"/>
  <c r="O242" i="50"/>
  <c r="AC242" i="50" s="1"/>
  <c r="N241" i="50"/>
  <c r="AB241" i="50" s="1"/>
  <c r="N266" i="50"/>
  <c r="AB266" i="50" s="1"/>
  <c r="N292" i="50"/>
  <c r="AB292" i="50" s="1"/>
  <c r="Q233" i="50"/>
  <c r="AE233" i="50" s="1"/>
  <c r="Q231" i="50"/>
  <c r="AE231" i="50" s="1"/>
  <c r="AA229" i="50"/>
  <c r="P222" i="50"/>
  <c r="AD222" i="50" s="1"/>
  <c r="Q211" i="50"/>
  <c r="AE211" i="50" s="1"/>
  <c r="Q254" i="50"/>
  <c r="AE254" i="50" s="1"/>
  <c r="Q248" i="50"/>
  <c r="AE248" i="50" s="1"/>
  <c r="P243" i="50"/>
  <c r="AD243" i="50" s="1"/>
  <c r="P239" i="50"/>
  <c r="AD239" i="50" s="1"/>
  <c r="O233" i="50"/>
  <c r="AC233" i="50" s="1"/>
  <c r="O231" i="50"/>
  <c r="AC231" i="50" s="1"/>
  <c r="N214" i="50"/>
  <c r="AB214" i="50" s="1"/>
  <c r="O254" i="50"/>
  <c r="AC254" i="50" s="1"/>
  <c r="O248" i="50"/>
  <c r="AC248" i="50" s="1"/>
  <c r="N243" i="50"/>
  <c r="AB243" i="50" s="1"/>
  <c r="N239" i="50"/>
  <c r="AB239" i="50" s="1"/>
  <c r="P298" i="50"/>
  <c r="AD298" i="50" s="1"/>
  <c r="P294" i="50"/>
  <c r="AD294" i="50" s="1"/>
  <c r="P304" i="50"/>
  <c r="AD304" i="50" s="1"/>
  <c r="BH17" i="50"/>
  <c r="BH19" i="50"/>
  <c r="BH47" i="50"/>
  <c r="BH45" i="50"/>
  <c r="BH79" i="50"/>
  <c r="BH107" i="50"/>
  <c r="BH105" i="50"/>
  <c r="BH103" i="50"/>
  <c r="BH137" i="50"/>
  <c r="BH133" i="50"/>
  <c r="BH15" i="50"/>
  <c r="BH49" i="50"/>
  <c r="BH21" i="50"/>
  <c r="BH77" i="50"/>
  <c r="BH75" i="50"/>
  <c r="BH135" i="50"/>
  <c r="Q65" i="51"/>
  <c r="Q110" i="51"/>
  <c r="Q197" i="51"/>
  <c r="Q198" i="51"/>
  <c r="Q62" i="51"/>
  <c r="Q107" i="51"/>
  <c r="BH20" i="50"/>
  <c r="BH18" i="50"/>
  <c r="BH16" i="50"/>
  <c r="BH50" i="50"/>
  <c r="BH48" i="50"/>
  <c r="BH46" i="50"/>
  <c r="BH78" i="50"/>
  <c r="BH76" i="50"/>
  <c r="BH74" i="50"/>
  <c r="BH108" i="50"/>
  <c r="BH106" i="50"/>
  <c r="BH104" i="50"/>
  <c r="BH136" i="50"/>
  <c r="BH134" i="50"/>
  <c r="BH132" i="50"/>
  <c r="Q200" i="51"/>
  <c r="Q111" i="51"/>
  <c r="Q105" i="51"/>
  <c r="Q66" i="51"/>
  <c r="Q63" i="51"/>
  <c r="Q108" i="51"/>
  <c r="Q151" i="51"/>
  <c r="Q150" i="51"/>
  <c r="Q152" i="51"/>
  <c r="Q153" i="51"/>
  <c r="Q195" i="51"/>
  <c r="Q156" i="51"/>
  <c r="Q155" i="51"/>
  <c r="Q154" i="51"/>
  <c r="F42" i="51"/>
  <c r="F76" i="51" s="1"/>
  <c r="F75" i="51"/>
  <c r="H41" i="51"/>
  <c r="G42" i="51"/>
  <c r="N304" i="50"/>
  <c r="AB304" i="50" s="1"/>
  <c r="AA303" i="50"/>
  <c r="Q303" i="50"/>
  <c r="AE303" i="50" s="1"/>
  <c r="N302" i="50"/>
  <c r="AB302" i="50" s="1"/>
  <c r="AA301" i="50"/>
  <c r="Q301" i="50"/>
  <c r="P301" i="50"/>
  <c r="O303" i="50"/>
  <c r="AC303" i="50" s="1"/>
  <c r="O301" i="50"/>
  <c r="P303" i="50"/>
  <c r="AD303" i="50" s="1"/>
  <c r="AA304" i="50"/>
  <c r="Q304" i="50"/>
  <c r="AE304" i="50" s="1"/>
  <c r="AA302" i="50"/>
  <c r="Q302" i="50"/>
  <c r="AE302" i="50" s="1"/>
  <c r="N301" i="50"/>
  <c r="P302" i="50"/>
  <c r="AD302" i="50" s="1"/>
  <c r="AC293" i="50"/>
  <c r="AA300" i="50"/>
  <c r="Q300" i="50"/>
  <c r="AE300" i="50" s="1"/>
  <c r="N299" i="50"/>
  <c r="AB299" i="50" s="1"/>
  <c r="AA298" i="50"/>
  <c r="Q298" i="50"/>
  <c r="AE298" i="50" s="1"/>
  <c r="N297" i="50"/>
  <c r="AB297" i="50" s="1"/>
  <c r="AA296" i="50"/>
  <c r="Q296" i="50"/>
  <c r="AE296" i="50" s="1"/>
  <c r="N295" i="50"/>
  <c r="AB295" i="50" s="1"/>
  <c r="AA294" i="50"/>
  <c r="Q294" i="50"/>
  <c r="AE294" i="50" s="1"/>
  <c r="N293" i="50"/>
  <c r="O300" i="50"/>
  <c r="AC300" i="50" s="1"/>
  <c r="O298" i="50"/>
  <c r="AC298" i="50" s="1"/>
  <c r="O296" i="50"/>
  <c r="AC296" i="50" s="1"/>
  <c r="O294" i="50"/>
  <c r="AC294" i="50" s="1"/>
  <c r="AA299" i="50"/>
  <c r="Q299" i="50"/>
  <c r="AE299" i="50" s="1"/>
  <c r="AA297" i="50"/>
  <c r="Q297" i="50"/>
  <c r="AE297" i="50" s="1"/>
  <c r="AA295" i="50"/>
  <c r="Q295" i="50"/>
  <c r="AE295" i="50" s="1"/>
  <c r="AA293" i="50"/>
  <c r="Q293" i="50"/>
  <c r="P299" i="50"/>
  <c r="AD299" i="50" s="1"/>
  <c r="P297" i="50"/>
  <c r="AD297" i="50" s="1"/>
  <c r="P295" i="50"/>
  <c r="AD295" i="50" s="1"/>
  <c r="P293" i="50"/>
  <c r="AD293" i="50" s="1"/>
  <c r="AC278" i="50"/>
  <c r="AA290" i="50"/>
  <c r="Q290" i="50"/>
  <c r="AE290" i="50" s="1"/>
  <c r="AA288" i="50"/>
  <c r="Q288" i="50"/>
  <c r="AE288" i="50" s="1"/>
  <c r="AA286" i="50"/>
  <c r="Q286" i="50"/>
  <c r="AE286" i="50" s="1"/>
  <c r="AA284" i="50"/>
  <c r="Q284" i="50"/>
  <c r="AE284" i="50" s="1"/>
  <c r="AA282" i="50"/>
  <c r="Q282" i="50"/>
  <c r="AE282" i="50" s="1"/>
  <c r="Q280" i="50"/>
  <c r="AE280" i="50" s="1"/>
  <c r="AA280" i="50"/>
  <c r="AA278" i="50"/>
  <c r="P290" i="50"/>
  <c r="AD290" i="50" s="1"/>
  <c r="P288" i="50"/>
  <c r="AD288" i="50" s="1"/>
  <c r="P286" i="50"/>
  <c r="AD286" i="50" s="1"/>
  <c r="P284" i="50"/>
  <c r="AD284" i="50" s="1"/>
  <c r="P282" i="50"/>
  <c r="AD282" i="50" s="1"/>
  <c r="P280" i="50"/>
  <c r="AD280" i="50" s="1"/>
  <c r="P278" i="50"/>
  <c r="AD278" i="50" s="1"/>
  <c r="Q278" i="50"/>
  <c r="AE278" i="50" s="1"/>
  <c r="AC263" i="50"/>
  <c r="AA276" i="50"/>
  <c r="Q276" i="50"/>
  <c r="AE276" i="50" s="1"/>
  <c r="N275" i="50"/>
  <c r="AB275" i="50" s="1"/>
  <c r="AA274" i="50"/>
  <c r="Q274" i="50"/>
  <c r="AE274" i="50" s="1"/>
  <c r="N273" i="50"/>
  <c r="AB273" i="50" s="1"/>
  <c r="AA272" i="50"/>
  <c r="Q272" i="50"/>
  <c r="AE272" i="50" s="1"/>
  <c r="N271" i="50"/>
  <c r="AB271" i="50" s="1"/>
  <c r="AA270" i="50"/>
  <c r="Q270" i="50"/>
  <c r="AE270" i="50" s="1"/>
  <c r="N269" i="50"/>
  <c r="AB269" i="50" s="1"/>
  <c r="AA268" i="50"/>
  <c r="Q268" i="50"/>
  <c r="AE268" i="50" s="1"/>
  <c r="N267" i="50"/>
  <c r="AB267" i="50" s="1"/>
  <c r="AA266" i="50"/>
  <c r="N265" i="50"/>
  <c r="AB265" i="50" s="1"/>
  <c r="AA264" i="50"/>
  <c r="N263" i="50"/>
  <c r="O276" i="50"/>
  <c r="AC276" i="50" s="1"/>
  <c r="O274" i="50"/>
  <c r="AC274" i="50" s="1"/>
  <c r="O272" i="50"/>
  <c r="AC272" i="50" s="1"/>
  <c r="AA275" i="50"/>
  <c r="Q275" i="50"/>
  <c r="AE275" i="50" s="1"/>
  <c r="AA273" i="50"/>
  <c r="Q273" i="50"/>
  <c r="AE273" i="50" s="1"/>
  <c r="AA271" i="50"/>
  <c r="Q271" i="50"/>
  <c r="AE271" i="50" s="1"/>
  <c r="AA269" i="50"/>
  <c r="Q269" i="50"/>
  <c r="AE269" i="50" s="1"/>
  <c r="AA267" i="50"/>
  <c r="Q267" i="50"/>
  <c r="AE267" i="50" s="1"/>
  <c r="AA265" i="50"/>
  <c r="Q265" i="50"/>
  <c r="AE265" i="50" s="1"/>
  <c r="AA263" i="50"/>
  <c r="Q263" i="50"/>
  <c r="AD262" i="50"/>
  <c r="P275" i="50"/>
  <c r="AD275" i="50" s="1"/>
  <c r="P273" i="50"/>
  <c r="AD273" i="50" s="1"/>
  <c r="P271" i="50"/>
  <c r="AD271" i="50" s="1"/>
  <c r="P269" i="50"/>
  <c r="AD269" i="50" s="1"/>
  <c r="P267" i="50"/>
  <c r="AD267" i="50" s="1"/>
  <c r="P265" i="50"/>
  <c r="AD265" i="50" s="1"/>
  <c r="P263" i="50"/>
  <c r="AD263" i="50" s="1"/>
  <c r="AD240" i="50"/>
  <c r="AC239" i="50"/>
  <c r="AA261" i="50"/>
  <c r="Q261" i="50"/>
  <c r="AE261" i="50" s="1"/>
  <c r="N260" i="50"/>
  <c r="AB260" i="50" s="1"/>
  <c r="AA259" i="50"/>
  <c r="Q259" i="50"/>
  <c r="AE259" i="50" s="1"/>
  <c r="N258" i="50"/>
  <c r="AB258" i="50" s="1"/>
  <c r="AA257" i="50"/>
  <c r="Q257" i="50"/>
  <c r="AE257" i="50" s="1"/>
  <c r="N256" i="50"/>
  <c r="AB256" i="50" s="1"/>
  <c r="AA255" i="50"/>
  <c r="Q255" i="50"/>
  <c r="AE255" i="50" s="1"/>
  <c r="N254" i="50"/>
  <c r="AB254" i="50" s="1"/>
  <c r="AA253" i="50"/>
  <c r="Q253" i="50"/>
  <c r="AE253" i="50" s="1"/>
  <c r="N252" i="50"/>
  <c r="AB252" i="50" s="1"/>
  <c r="AA251" i="50"/>
  <c r="Q251" i="50"/>
  <c r="AE251" i="50" s="1"/>
  <c r="N250" i="50"/>
  <c r="AB250" i="50" s="1"/>
  <c r="AA249" i="50"/>
  <c r="Q249" i="50"/>
  <c r="AE249" i="50" s="1"/>
  <c r="N248" i="50"/>
  <c r="AB248" i="50" s="1"/>
  <c r="AA247" i="50"/>
  <c r="Q247" i="50"/>
  <c r="AE247" i="50" s="1"/>
  <c r="N246" i="50"/>
  <c r="AB246" i="50" s="1"/>
  <c r="AA245" i="50"/>
  <c r="Q245" i="50"/>
  <c r="AE245" i="50" s="1"/>
  <c r="N244" i="50"/>
  <c r="AB244" i="50" s="1"/>
  <c r="AA243" i="50"/>
  <c r="Q243" i="50"/>
  <c r="AE243" i="50" s="1"/>
  <c r="N242" i="50"/>
  <c r="AB242" i="50" s="1"/>
  <c r="AA241" i="50"/>
  <c r="N240" i="50"/>
  <c r="AB240" i="50" s="1"/>
  <c r="AA239" i="50"/>
  <c r="Q239" i="50"/>
  <c r="N207" i="50"/>
  <c r="AB207" i="50" s="1"/>
  <c r="O207" i="50"/>
  <c r="AC207" i="50" s="1"/>
  <c r="Q207" i="50"/>
  <c r="AE207" i="50" s="1"/>
  <c r="AA207" i="50"/>
  <c r="P207" i="50"/>
  <c r="AD207" i="50" s="1"/>
  <c r="N219" i="50"/>
  <c r="AB219" i="50" s="1"/>
  <c r="O219" i="50"/>
  <c r="AC219" i="50" s="1"/>
  <c r="Q219" i="50"/>
  <c r="AE219" i="50" s="1"/>
  <c r="AA219" i="50"/>
  <c r="P219" i="50"/>
  <c r="AD219" i="50" s="1"/>
  <c r="O206" i="50"/>
  <c r="Q206" i="50"/>
  <c r="AA206" i="50"/>
  <c r="P206" i="50"/>
  <c r="N206" i="50"/>
  <c r="O218" i="50"/>
  <c r="AC218" i="50" s="1"/>
  <c r="Q218" i="50"/>
  <c r="AE218" i="50" s="1"/>
  <c r="AA218" i="50"/>
  <c r="P218" i="50"/>
  <c r="AD218" i="50" s="1"/>
  <c r="N218" i="50"/>
  <c r="AB218" i="50" s="1"/>
  <c r="N213" i="50"/>
  <c r="AB213" i="50" s="1"/>
  <c r="O213" i="50"/>
  <c r="AC213" i="50" s="1"/>
  <c r="O212" i="50"/>
  <c r="AC212" i="50" s="1"/>
  <c r="Q212" i="50"/>
  <c r="AE212" i="50" s="1"/>
  <c r="AA212" i="50"/>
  <c r="N229" i="50"/>
  <c r="AB229" i="50" s="1"/>
  <c r="O229" i="50"/>
  <c r="AC229" i="50" s="1"/>
  <c r="O228" i="50"/>
  <c r="AC228" i="50" s="1"/>
  <c r="Q228" i="50"/>
  <c r="AE228" i="50" s="1"/>
  <c r="AA228" i="50"/>
  <c r="N217" i="50"/>
  <c r="AB217" i="50" s="1"/>
  <c r="O217" i="50"/>
  <c r="AC217" i="50" s="1"/>
  <c r="O216" i="50"/>
  <c r="AC216" i="50" s="1"/>
  <c r="Q216" i="50"/>
  <c r="AE216" i="50" s="1"/>
  <c r="AA216" i="50"/>
  <c r="AA215" i="50"/>
  <c r="N221" i="50"/>
  <c r="AB221" i="50" s="1"/>
  <c r="O221" i="50"/>
  <c r="AC221" i="50" s="1"/>
  <c r="O220" i="50"/>
  <c r="AC220" i="50" s="1"/>
  <c r="Q220" i="50"/>
  <c r="AE220" i="50" s="1"/>
  <c r="AA220" i="50"/>
  <c r="Q213" i="50"/>
  <c r="AE213" i="50" s="1"/>
  <c r="P212" i="50"/>
  <c r="AD212" i="50" s="1"/>
  <c r="N209" i="50"/>
  <c r="AB209" i="50" s="1"/>
  <c r="O209" i="50"/>
  <c r="AC209" i="50" s="1"/>
  <c r="O208" i="50"/>
  <c r="AC208" i="50" s="1"/>
  <c r="Q208" i="50"/>
  <c r="AE208" i="50" s="1"/>
  <c r="AA208" i="50"/>
  <c r="P237" i="50"/>
  <c r="AD237" i="50" s="1"/>
  <c r="P235" i="50"/>
  <c r="AD235" i="50" s="1"/>
  <c r="P233" i="50"/>
  <c r="AD233" i="50" s="1"/>
  <c r="P231" i="50"/>
  <c r="AD231" i="50" s="1"/>
  <c r="Q230" i="50"/>
  <c r="AE230" i="50" s="1"/>
  <c r="N223" i="50"/>
  <c r="AB223" i="50" s="1"/>
  <c r="O223" i="50"/>
  <c r="AC223" i="50" s="1"/>
  <c r="O222" i="50"/>
  <c r="AC222" i="50" s="1"/>
  <c r="Q222" i="50"/>
  <c r="AE222" i="50" s="1"/>
  <c r="AA222" i="50"/>
  <c r="AA221" i="50"/>
  <c r="P213" i="50"/>
  <c r="AD213" i="50" s="1"/>
  <c r="N212" i="50"/>
  <c r="AB212" i="50" s="1"/>
  <c r="N211" i="50"/>
  <c r="AB211" i="50" s="1"/>
  <c r="O211" i="50"/>
  <c r="AC211" i="50" s="1"/>
  <c r="O210" i="50"/>
  <c r="AC210" i="50" s="1"/>
  <c r="Q210" i="50"/>
  <c r="AE210" i="50" s="1"/>
  <c r="AA210" i="50"/>
  <c r="AA209" i="50"/>
  <c r="N225" i="50"/>
  <c r="AB225" i="50" s="1"/>
  <c r="O225" i="50"/>
  <c r="AC225" i="50" s="1"/>
  <c r="O224" i="50"/>
  <c r="AC224" i="50" s="1"/>
  <c r="Q224" i="50"/>
  <c r="AE224" i="50" s="1"/>
  <c r="AA224" i="50"/>
  <c r="AA230" i="50"/>
  <c r="N230" i="50"/>
  <c r="AB230" i="50" s="1"/>
  <c r="P229" i="50"/>
  <c r="AD229" i="50" s="1"/>
  <c r="N228" i="50"/>
  <c r="AB228" i="50" s="1"/>
  <c r="N227" i="50"/>
  <c r="AB227" i="50" s="1"/>
  <c r="O227" i="50"/>
  <c r="AC227" i="50" s="1"/>
  <c r="O226" i="50"/>
  <c r="AC226" i="50" s="1"/>
  <c r="Q226" i="50"/>
  <c r="AE226" i="50" s="1"/>
  <c r="AA226" i="50"/>
  <c r="AA225" i="50"/>
  <c r="N215" i="50"/>
  <c r="AB215" i="50" s="1"/>
  <c r="O215" i="50"/>
  <c r="AC215" i="50" s="1"/>
  <c r="O214" i="50"/>
  <c r="AC214" i="50" s="1"/>
  <c r="Q214" i="50"/>
  <c r="AE214" i="50" s="1"/>
  <c r="AA214" i="50"/>
  <c r="AA213" i="50"/>
  <c r="F9" i="50"/>
  <c r="BZ66" i="50" l="1"/>
  <c r="T20" i="56"/>
  <c r="BZ197" i="50"/>
  <c r="W16" i="56"/>
  <c r="BZ19" i="50"/>
  <c r="S18" i="56"/>
  <c r="Z18" i="56" s="1"/>
  <c r="BZ64" i="50"/>
  <c r="T18" i="56"/>
  <c r="BZ154" i="50"/>
  <c r="V18" i="56"/>
  <c r="BZ16" i="50"/>
  <c r="S15" i="56"/>
  <c r="Z15" i="56" s="1"/>
  <c r="BZ201" i="50"/>
  <c r="W20" i="56"/>
  <c r="BZ17" i="50"/>
  <c r="S16" i="56"/>
  <c r="Z16" i="56" s="1"/>
  <c r="BZ63" i="50"/>
  <c r="T17" i="56"/>
  <c r="BZ156" i="50"/>
  <c r="V20" i="56"/>
  <c r="BZ18" i="50"/>
  <c r="S17" i="56"/>
  <c r="Z17" i="56" s="1"/>
  <c r="BZ199" i="50"/>
  <c r="W18" i="56"/>
  <c r="BZ151" i="50"/>
  <c r="V15" i="56"/>
  <c r="BZ152" i="50"/>
  <c r="V16" i="56"/>
  <c r="BZ106" i="50"/>
  <c r="U15" i="56"/>
  <c r="BZ20" i="50"/>
  <c r="S19" i="56"/>
  <c r="Z19" i="56" s="1"/>
  <c r="BZ107" i="50"/>
  <c r="U16" i="56"/>
  <c r="BZ153" i="50"/>
  <c r="V17" i="56"/>
  <c r="BZ200" i="50"/>
  <c r="W19" i="56"/>
  <c r="BZ108" i="50"/>
  <c r="U17" i="56"/>
  <c r="BZ109" i="50"/>
  <c r="U18" i="56"/>
  <c r="BZ155" i="50"/>
  <c r="V19" i="56"/>
  <c r="BZ196" i="50"/>
  <c r="W15" i="56"/>
  <c r="BZ110" i="50"/>
  <c r="U19" i="56"/>
  <c r="BZ21" i="50"/>
  <c r="S20" i="56"/>
  <c r="Z20" i="56" s="1"/>
  <c r="BZ111" i="50"/>
  <c r="U20" i="56"/>
  <c r="BZ15" i="50"/>
  <c r="S14" i="56"/>
  <c r="Z14" i="56" s="1"/>
  <c r="BZ198" i="50"/>
  <c r="W17" i="56"/>
  <c r="BZ62" i="50"/>
  <c r="T16" i="56"/>
  <c r="BZ65" i="50"/>
  <c r="T19" i="56"/>
  <c r="BZ61" i="50"/>
  <c r="T15" i="56"/>
  <c r="H42" i="51"/>
  <c r="H75" i="51"/>
  <c r="G43" i="51"/>
  <c r="G77" i="51" s="1"/>
  <c r="G76" i="51"/>
  <c r="AE301" i="50"/>
  <c r="AB301" i="50"/>
  <c r="AC301" i="50"/>
  <c r="AD301" i="50"/>
  <c r="AE293" i="50"/>
  <c r="AB293" i="50"/>
  <c r="AB263" i="50"/>
  <c r="AE263" i="50"/>
  <c r="AE239" i="50"/>
  <c r="AE206" i="50"/>
  <c r="AD206" i="50"/>
  <c r="AB206" i="50"/>
  <c r="AC206" i="50"/>
  <c r="Y17" i="56" l="1"/>
  <c r="Y19" i="56"/>
  <c r="Y20" i="56"/>
  <c r="Y16" i="56"/>
  <c r="Y18" i="56"/>
  <c r="Y15" i="56"/>
  <c r="Y14" i="56"/>
  <c r="H43" i="51"/>
  <c r="H76" i="51"/>
  <c r="M6" i="50"/>
  <c r="M7" i="50"/>
  <c r="M8" i="50"/>
  <c r="M9" i="50"/>
  <c r="M10" i="50"/>
  <c r="M11" i="50"/>
  <c r="M12" i="50"/>
  <c r="M13" i="50"/>
  <c r="M14" i="50"/>
  <c r="M15" i="50"/>
  <c r="M16" i="50"/>
  <c r="M17" i="50"/>
  <c r="M18" i="50"/>
  <c r="M19" i="50"/>
  <c r="M20" i="50"/>
  <c r="M21" i="50"/>
  <c r="M22" i="50"/>
  <c r="M23" i="50"/>
  <c r="M24" i="50"/>
  <c r="M25" i="50"/>
  <c r="M26" i="50"/>
  <c r="M27" i="50"/>
  <c r="M28" i="50"/>
  <c r="M29" i="50"/>
  <c r="M30" i="50"/>
  <c r="M31" i="50"/>
  <c r="M32" i="50"/>
  <c r="M33" i="50"/>
  <c r="M34" i="50"/>
  <c r="M35" i="50"/>
  <c r="M36" i="50"/>
  <c r="M37" i="50"/>
  <c r="M38" i="50"/>
  <c r="M39" i="50"/>
  <c r="M40" i="50"/>
  <c r="M41" i="50"/>
  <c r="M42" i="50"/>
  <c r="M43" i="50"/>
  <c r="M44" i="50"/>
  <c r="M45" i="50"/>
  <c r="M46" i="50"/>
  <c r="M47" i="50"/>
  <c r="M48" i="50"/>
  <c r="M49" i="50"/>
  <c r="M50" i="50"/>
  <c r="M51" i="50"/>
  <c r="M52" i="50"/>
  <c r="M53" i="50"/>
  <c r="M54" i="50"/>
  <c r="M55" i="50"/>
  <c r="M56" i="50"/>
  <c r="M57" i="50"/>
  <c r="M58" i="50"/>
  <c r="M59" i="50"/>
  <c r="M60" i="50"/>
  <c r="M61" i="50"/>
  <c r="M62" i="50"/>
  <c r="M63" i="50"/>
  <c r="M64" i="50"/>
  <c r="M65" i="50"/>
  <c r="M66" i="50"/>
  <c r="M67" i="50"/>
  <c r="M68" i="50"/>
  <c r="M69" i="50"/>
  <c r="M70" i="50"/>
  <c r="M71" i="50"/>
  <c r="M72" i="50"/>
  <c r="M73" i="50"/>
  <c r="M74" i="50"/>
  <c r="M75" i="50"/>
  <c r="M76" i="50"/>
  <c r="M77" i="50"/>
  <c r="M78" i="50"/>
  <c r="M79" i="50"/>
  <c r="M80" i="50"/>
  <c r="M81" i="50"/>
  <c r="M82" i="50"/>
  <c r="M83" i="50"/>
  <c r="M84" i="50"/>
  <c r="M85" i="50"/>
  <c r="M86" i="50"/>
  <c r="M87" i="50"/>
  <c r="M88" i="50"/>
  <c r="M89" i="50"/>
  <c r="M90" i="50"/>
  <c r="M91" i="50"/>
  <c r="M92" i="50"/>
  <c r="M93" i="50"/>
  <c r="M94" i="50"/>
  <c r="M95" i="50"/>
  <c r="M96" i="50"/>
  <c r="M97" i="50"/>
  <c r="M98" i="50"/>
  <c r="M99" i="50"/>
  <c r="M100" i="50"/>
  <c r="M101" i="50"/>
  <c r="M102" i="50"/>
  <c r="M103" i="50"/>
  <c r="M104" i="50"/>
  <c r="M105" i="50"/>
  <c r="M106" i="50"/>
  <c r="M107" i="50"/>
  <c r="M108" i="50"/>
  <c r="M109" i="50"/>
  <c r="M110" i="50"/>
  <c r="M111" i="50"/>
  <c r="M112" i="50"/>
  <c r="M113" i="50"/>
  <c r="M114" i="50"/>
  <c r="M115" i="50"/>
  <c r="M116" i="50"/>
  <c r="M117" i="50"/>
  <c r="M118" i="50"/>
  <c r="M119" i="50"/>
  <c r="M120" i="50"/>
  <c r="M121" i="50"/>
  <c r="M122" i="50"/>
  <c r="M123" i="50"/>
  <c r="M124" i="50"/>
  <c r="M125" i="50"/>
  <c r="M126" i="50"/>
  <c r="M127" i="50"/>
  <c r="M128" i="50"/>
  <c r="M129" i="50"/>
  <c r="M130" i="50"/>
  <c r="M131" i="50"/>
  <c r="M132" i="50"/>
  <c r="M133" i="50"/>
  <c r="M134" i="50"/>
  <c r="M135" i="50"/>
  <c r="M136" i="50"/>
  <c r="M137" i="50"/>
  <c r="M138" i="50"/>
  <c r="M139" i="50"/>
  <c r="M140" i="50"/>
  <c r="M141" i="50"/>
  <c r="M142" i="50"/>
  <c r="M143" i="50"/>
  <c r="M144" i="50"/>
  <c r="M145" i="50"/>
  <c r="M146" i="50"/>
  <c r="M147" i="50"/>
  <c r="M148" i="50"/>
  <c r="M149" i="50"/>
  <c r="M150" i="50"/>
  <c r="M151" i="50"/>
  <c r="M152" i="50"/>
  <c r="M153" i="50"/>
  <c r="M154" i="50"/>
  <c r="M155" i="50"/>
  <c r="M156" i="50"/>
  <c r="M157" i="50"/>
  <c r="M158" i="50"/>
  <c r="M159" i="50"/>
  <c r="M160" i="50"/>
  <c r="M161" i="50"/>
  <c r="M162" i="50"/>
  <c r="M163" i="50"/>
  <c r="M164" i="50"/>
  <c r="M165" i="50"/>
  <c r="M166" i="50"/>
  <c r="M167" i="50"/>
  <c r="M168" i="50"/>
  <c r="M169" i="50"/>
  <c r="M170" i="50"/>
  <c r="M171" i="50"/>
  <c r="M172" i="50"/>
  <c r="M173" i="50"/>
  <c r="M174" i="50"/>
  <c r="M175" i="50"/>
  <c r="M176" i="50"/>
  <c r="M177" i="50"/>
  <c r="M178" i="50"/>
  <c r="M179" i="50"/>
  <c r="M180" i="50"/>
  <c r="M181" i="50"/>
  <c r="M182" i="50"/>
  <c r="M183" i="50"/>
  <c r="M184" i="50"/>
  <c r="M185" i="50"/>
  <c r="M186" i="50"/>
  <c r="M187" i="50"/>
  <c r="M188" i="50"/>
  <c r="M189" i="50"/>
  <c r="M190" i="50"/>
  <c r="M191" i="50"/>
  <c r="M192" i="50"/>
  <c r="M193" i="50"/>
  <c r="M195" i="50"/>
  <c r="M196" i="50"/>
  <c r="M197" i="50"/>
  <c r="M198" i="50"/>
  <c r="M199" i="50"/>
  <c r="M200" i="50"/>
  <c r="M201" i="50"/>
  <c r="M202" i="50"/>
  <c r="M203" i="50"/>
  <c r="M204" i="50"/>
  <c r="M5" i="50"/>
  <c r="T255" i="50" l="1"/>
  <c r="T243" i="50"/>
  <c r="T253" i="50"/>
  <c r="T235" i="50"/>
  <c r="T257" i="50"/>
  <c r="T251" i="50"/>
  <c r="T261" i="50"/>
  <c r="T292" i="50"/>
  <c r="T245" i="50"/>
  <c r="T277" i="50"/>
  <c r="T262" i="50"/>
  <c r="T241" i="50"/>
  <c r="T249" i="50"/>
  <c r="T247" i="50"/>
  <c r="T259" i="50"/>
  <c r="T205" i="50"/>
  <c r="T239" i="50"/>
  <c r="T236" i="50"/>
  <c r="T281" i="50"/>
  <c r="T273" i="50"/>
  <c r="T265" i="50"/>
  <c r="T268" i="50"/>
  <c r="T260" i="50"/>
  <c r="T248" i="50"/>
  <c r="T211" i="50"/>
  <c r="T223" i="50"/>
  <c r="T206" i="50"/>
  <c r="T218" i="50"/>
  <c r="T230" i="50"/>
  <c r="T246" i="50"/>
  <c r="T213" i="50"/>
  <c r="T208" i="50"/>
  <c r="T238" i="50"/>
  <c r="T226" i="50"/>
  <c r="T301" i="50"/>
  <c r="T283" i="50"/>
  <c r="T303" i="50"/>
  <c r="T295" i="50"/>
  <c r="T300" i="50"/>
  <c r="T278" i="50"/>
  <c r="T291" i="50"/>
  <c r="T279" i="50"/>
  <c r="T263" i="50"/>
  <c r="T258" i="50"/>
  <c r="T225" i="50"/>
  <c r="T220" i="50"/>
  <c r="T240" i="50"/>
  <c r="T214" i="50"/>
  <c r="T294" i="50"/>
  <c r="T280" i="50"/>
  <c r="T270" i="50"/>
  <c r="T209" i="50"/>
  <c r="T304" i="50"/>
  <c r="T290" i="50"/>
  <c r="T289" i="50"/>
  <c r="T271" i="50"/>
  <c r="T276" i="50"/>
  <c r="T266" i="50"/>
  <c r="T256" i="50"/>
  <c r="T244" i="50"/>
  <c r="T215" i="50"/>
  <c r="T227" i="50"/>
  <c r="T210" i="50"/>
  <c r="T222" i="50"/>
  <c r="T232" i="50"/>
  <c r="T302" i="50"/>
  <c r="T293" i="50"/>
  <c r="T282" i="50"/>
  <c r="T285" i="50"/>
  <c r="T275" i="50"/>
  <c r="T272" i="50"/>
  <c r="T252" i="50"/>
  <c r="T219" i="50"/>
  <c r="T267" i="50"/>
  <c r="T250" i="50"/>
  <c r="T221" i="50"/>
  <c r="T233" i="50"/>
  <c r="T299" i="50"/>
  <c r="T298" i="50"/>
  <c r="T286" i="50"/>
  <c r="T288" i="50"/>
  <c r="T287" i="50"/>
  <c r="T269" i="50"/>
  <c r="T274" i="50"/>
  <c r="T254" i="50"/>
  <c r="T242" i="50"/>
  <c r="T234" i="50"/>
  <c r="T217" i="50"/>
  <c r="T229" i="50"/>
  <c r="T212" i="50"/>
  <c r="T224" i="50"/>
  <c r="T296" i="50"/>
  <c r="T284" i="50"/>
  <c r="T264" i="50"/>
  <c r="T207" i="50"/>
  <c r="T231" i="50"/>
  <c r="T297" i="50"/>
  <c r="T237" i="50"/>
  <c r="T228" i="50"/>
  <c r="T216" i="50"/>
  <c r="H44" i="51"/>
  <c r="H77" i="51"/>
  <c r="G9" i="50"/>
  <c r="H45" i="51" l="1"/>
  <c r="H78" i="51"/>
  <c r="M130" i="49"/>
  <c r="M131" i="49" s="1"/>
  <c r="M129" i="49"/>
  <c r="M128" i="49"/>
  <c r="L128" i="49"/>
  <c r="L129" i="49" s="1"/>
  <c r="L130" i="49" s="1"/>
  <c r="L131" i="49" s="1"/>
  <c r="M127" i="49"/>
  <c r="L127" i="49"/>
  <c r="M126" i="49"/>
  <c r="L126" i="49"/>
  <c r="K126" i="49"/>
  <c r="K127" i="49" s="1"/>
  <c r="K128" i="49" s="1"/>
  <c r="K129" i="49" s="1"/>
  <c r="K130" i="49" s="1"/>
  <c r="K131" i="49" s="1"/>
  <c r="M125" i="49"/>
  <c r="L125" i="49"/>
  <c r="K125" i="49"/>
  <c r="M124" i="49"/>
  <c r="L124" i="49"/>
  <c r="K124" i="49"/>
  <c r="J124" i="49"/>
  <c r="J125" i="49" s="1"/>
  <c r="J126" i="49" s="1"/>
  <c r="J127" i="49" s="1"/>
  <c r="J128" i="49" s="1"/>
  <c r="J129" i="49" s="1"/>
  <c r="J130" i="49" s="1"/>
  <c r="J131" i="49" s="1"/>
  <c r="M123" i="49"/>
  <c r="L123" i="49"/>
  <c r="K123" i="49"/>
  <c r="J123" i="49"/>
  <c r="M122" i="49"/>
  <c r="L122" i="49"/>
  <c r="K122" i="49"/>
  <c r="J122" i="49"/>
  <c r="I122" i="49"/>
  <c r="I123" i="49" s="1"/>
  <c r="I124" i="49" s="1"/>
  <c r="I125" i="49" s="1"/>
  <c r="I126" i="49" s="1"/>
  <c r="I127" i="49" s="1"/>
  <c r="I128" i="49" s="1"/>
  <c r="I129" i="49" s="1"/>
  <c r="I130" i="49" s="1"/>
  <c r="I131" i="49" s="1"/>
  <c r="M101" i="49"/>
  <c r="M102" i="49" s="1"/>
  <c r="M100" i="49"/>
  <c r="M99" i="49"/>
  <c r="L99" i="49"/>
  <c r="L100" i="49" s="1"/>
  <c r="L101" i="49" s="1"/>
  <c r="L102" i="49" s="1"/>
  <c r="M98" i="49"/>
  <c r="L98" i="49"/>
  <c r="M97" i="49"/>
  <c r="L97" i="49"/>
  <c r="K97" i="49"/>
  <c r="K98" i="49" s="1"/>
  <c r="K99" i="49" s="1"/>
  <c r="K100" i="49" s="1"/>
  <c r="K101" i="49" s="1"/>
  <c r="K102" i="49" s="1"/>
  <c r="M96" i="49"/>
  <c r="L96" i="49"/>
  <c r="K96" i="49"/>
  <c r="M95" i="49"/>
  <c r="L95" i="49"/>
  <c r="K95" i="49"/>
  <c r="J95" i="49"/>
  <c r="J96" i="49" s="1"/>
  <c r="J97" i="49" s="1"/>
  <c r="J98" i="49" s="1"/>
  <c r="J99" i="49" s="1"/>
  <c r="J100" i="49" s="1"/>
  <c r="J101" i="49" s="1"/>
  <c r="J102" i="49" s="1"/>
  <c r="M94" i="49"/>
  <c r="L94" i="49"/>
  <c r="K94" i="49"/>
  <c r="J94" i="49"/>
  <c r="M93" i="49"/>
  <c r="L93" i="49"/>
  <c r="K93" i="49"/>
  <c r="J93" i="49"/>
  <c r="I93" i="49"/>
  <c r="I94" i="49" s="1"/>
  <c r="I95" i="49" s="1"/>
  <c r="I96" i="49" s="1"/>
  <c r="I97" i="49" s="1"/>
  <c r="I98" i="49" s="1"/>
  <c r="I99" i="49" s="1"/>
  <c r="I100" i="49" s="1"/>
  <c r="I101" i="49" s="1"/>
  <c r="I102" i="49" s="1"/>
  <c r="M72" i="49"/>
  <c r="M73" i="49" s="1"/>
  <c r="M71" i="49"/>
  <c r="M70" i="49"/>
  <c r="L70" i="49"/>
  <c r="L71" i="49" s="1"/>
  <c r="L72" i="49" s="1"/>
  <c r="L73" i="49" s="1"/>
  <c r="M69" i="49"/>
  <c r="L69" i="49"/>
  <c r="M68" i="49"/>
  <c r="L68" i="49"/>
  <c r="K68" i="49"/>
  <c r="K69" i="49" s="1"/>
  <c r="K70" i="49" s="1"/>
  <c r="K71" i="49" s="1"/>
  <c r="K72" i="49" s="1"/>
  <c r="K73" i="49" s="1"/>
  <c r="M67" i="49"/>
  <c r="L67" i="49"/>
  <c r="K67" i="49"/>
  <c r="M66" i="49"/>
  <c r="L66" i="49"/>
  <c r="K66" i="49"/>
  <c r="J66" i="49"/>
  <c r="J67" i="49" s="1"/>
  <c r="J68" i="49" s="1"/>
  <c r="J69" i="49" s="1"/>
  <c r="J70" i="49" s="1"/>
  <c r="J71" i="49" s="1"/>
  <c r="J72" i="49" s="1"/>
  <c r="J73" i="49" s="1"/>
  <c r="M65" i="49"/>
  <c r="L65" i="49"/>
  <c r="K65" i="49"/>
  <c r="J65" i="49"/>
  <c r="M64" i="49"/>
  <c r="L64" i="49"/>
  <c r="K64" i="49"/>
  <c r="J64" i="49"/>
  <c r="I64" i="49"/>
  <c r="I65" i="49" s="1"/>
  <c r="I66" i="49" s="1"/>
  <c r="I67" i="49" s="1"/>
  <c r="I68" i="49" s="1"/>
  <c r="I69" i="49" s="1"/>
  <c r="I70" i="49" s="1"/>
  <c r="I71" i="49" s="1"/>
  <c r="I72" i="49" s="1"/>
  <c r="I73" i="49" s="1"/>
  <c r="M43" i="49"/>
  <c r="M44" i="49" s="1"/>
  <c r="M42" i="49"/>
  <c r="M41" i="49"/>
  <c r="L41" i="49"/>
  <c r="L42" i="49" s="1"/>
  <c r="L43" i="49" s="1"/>
  <c r="L44" i="49" s="1"/>
  <c r="M40" i="49"/>
  <c r="L40" i="49"/>
  <c r="M39" i="49"/>
  <c r="L39" i="49"/>
  <c r="K39" i="49"/>
  <c r="K40" i="49" s="1"/>
  <c r="K41" i="49" s="1"/>
  <c r="K42" i="49" s="1"/>
  <c r="K43" i="49" s="1"/>
  <c r="K44" i="49" s="1"/>
  <c r="M38" i="49"/>
  <c r="L38" i="49"/>
  <c r="K38" i="49"/>
  <c r="M37" i="49"/>
  <c r="L37" i="49"/>
  <c r="K37" i="49"/>
  <c r="J37" i="49"/>
  <c r="J38" i="49" s="1"/>
  <c r="J39" i="49" s="1"/>
  <c r="J40" i="49" s="1"/>
  <c r="J41" i="49" s="1"/>
  <c r="J42" i="49" s="1"/>
  <c r="J43" i="49" s="1"/>
  <c r="J44" i="49" s="1"/>
  <c r="M36" i="49"/>
  <c r="L36" i="49"/>
  <c r="K36" i="49"/>
  <c r="J36" i="49"/>
  <c r="M35" i="49"/>
  <c r="L35" i="49"/>
  <c r="K35" i="49"/>
  <c r="J35" i="49"/>
  <c r="I35" i="49"/>
  <c r="I36" i="49" s="1"/>
  <c r="I37" i="49" s="1"/>
  <c r="I38" i="49" s="1"/>
  <c r="I39" i="49" s="1"/>
  <c r="I40" i="49" s="1"/>
  <c r="I41" i="49" s="1"/>
  <c r="I42" i="49" s="1"/>
  <c r="I43" i="49" s="1"/>
  <c r="I44" i="49" s="1"/>
  <c r="J7" i="49"/>
  <c r="K7" i="49"/>
  <c r="L7" i="49"/>
  <c r="M7" i="49"/>
  <c r="J8" i="49"/>
  <c r="J9" i="49" s="1"/>
  <c r="J10" i="49" s="1"/>
  <c r="J11" i="49" s="1"/>
  <c r="J12" i="49" s="1"/>
  <c r="J13" i="49" s="1"/>
  <c r="J14" i="49" s="1"/>
  <c r="J15" i="49" s="1"/>
  <c r="K8" i="49"/>
  <c r="L8" i="49"/>
  <c r="M8" i="49"/>
  <c r="K9" i="49"/>
  <c r="L9" i="49"/>
  <c r="M9" i="49"/>
  <c r="K10" i="49"/>
  <c r="K11" i="49" s="1"/>
  <c r="K12" i="49" s="1"/>
  <c r="K13" i="49" s="1"/>
  <c r="K14" i="49" s="1"/>
  <c r="K15" i="49" s="1"/>
  <c r="L10" i="49"/>
  <c r="M10" i="49"/>
  <c r="L11" i="49"/>
  <c r="M11" i="49"/>
  <c r="L12" i="49"/>
  <c r="L13" i="49" s="1"/>
  <c r="L14" i="49" s="1"/>
  <c r="L15" i="49" s="1"/>
  <c r="M12" i="49"/>
  <c r="M13" i="49"/>
  <c r="M14" i="49"/>
  <c r="M15" i="49" s="1"/>
  <c r="J6" i="49"/>
  <c r="K6" i="49"/>
  <c r="L6" i="49"/>
  <c r="M6" i="49"/>
  <c r="I6" i="49"/>
  <c r="I7" i="49" s="1"/>
  <c r="I8" i="49" s="1"/>
  <c r="I9" i="49" s="1"/>
  <c r="I10" i="49" s="1"/>
  <c r="I11" i="49" s="1"/>
  <c r="I12" i="49" s="1"/>
  <c r="I13" i="49" s="1"/>
  <c r="I14" i="49" s="1"/>
  <c r="I15" i="49" s="1"/>
  <c r="H79" i="51" l="1"/>
  <c r="V15" i="51" s="1"/>
  <c r="H46" i="51"/>
  <c r="I103" i="49"/>
  <c r="M16" i="49"/>
  <c r="BS15" i="50"/>
  <c r="K45" i="49"/>
  <c r="J74" i="49"/>
  <c r="L74" i="49"/>
  <c r="I16" i="49"/>
  <c r="BO15" i="50"/>
  <c r="K74" i="49"/>
  <c r="L103" i="49"/>
  <c r="K16" i="49"/>
  <c r="BQ15" i="50"/>
  <c r="I45" i="49"/>
  <c r="M45" i="49"/>
  <c r="K103" i="49"/>
  <c r="J132" i="49"/>
  <c r="L132" i="49"/>
  <c r="J103" i="49"/>
  <c r="L16" i="49"/>
  <c r="BR15" i="50"/>
  <c r="BP15" i="50"/>
  <c r="J16" i="49"/>
  <c r="I74" i="49"/>
  <c r="M74" i="49"/>
  <c r="K132" i="49"/>
  <c r="M103" i="49"/>
  <c r="J45" i="49"/>
  <c r="L45" i="49"/>
  <c r="I132" i="49"/>
  <c r="M132" i="49"/>
  <c r="E74" i="51"/>
  <c r="F74" i="51"/>
  <c r="G74" i="51"/>
  <c r="H74" i="51"/>
  <c r="D74" i="51"/>
  <c r="T20" i="51" l="1"/>
  <c r="T17" i="51"/>
  <c r="T18" i="51"/>
  <c r="T16" i="51"/>
  <c r="T19" i="51"/>
  <c r="T21" i="51"/>
  <c r="T15" i="51"/>
  <c r="R16" i="51"/>
  <c r="R19" i="51"/>
  <c r="R21" i="51"/>
  <c r="R20" i="51"/>
  <c r="R18" i="51"/>
  <c r="R17" i="51"/>
  <c r="R15" i="51"/>
  <c r="U18" i="51"/>
  <c r="U16" i="51"/>
  <c r="U19" i="51"/>
  <c r="U15" i="51"/>
  <c r="U21" i="51"/>
  <c r="U17" i="51"/>
  <c r="U20" i="51"/>
  <c r="S15" i="51"/>
  <c r="S18" i="51"/>
  <c r="S21" i="51"/>
  <c r="S20" i="51"/>
  <c r="S17" i="51"/>
  <c r="S16" i="51"/>
  <c r="S19" i="51"/>
  <c r="BR132" i="50"/>
  <c r="L133" i="49"/>
  <c r="BS16" i="50"/>
  <c r="M17" i="49"/>
  <c r="BP74" i="50"/>
  <c r="J75" i="49"/>
  <c r="BS74" i="50"/>
  <c r="M75" i="49"/>
  <c r="BR16" i="50"/>
  <c r="L17" i="49"/>
  <c r="BP132" i="50"/>
  <c r="J133" i="49"/>
  <c r="BO103" i="50"/>
  <c r="I104" i="49"/>
  <c r="BP16" i="50"/>
  <c r="J17" i="49"/>
  <c r="BQ132" i="50"/>
  <c r="K133" i="49"/>
  <c r="BS132" i="50"/>
  <c r="M133" i="49"/>
  <c r="BQ74" i="50"/>
  <c r="K75" i="49"/>
  <c r="BS103" i="50"/>
  <c r="M104" i="49"/>
  <c r="BO74" i="50"/>
  <c r="I75" i="49"/>
  <c r="BR103" i="50"/>
  <c r="L104" i="49"/>
  <c r="BR45" i="50"/>
  <c r="L46" i="49"/>
  <c r="BS45" i="50"/>
  <c r="M46" i="49"/>
  <c r="BR74" i="50"/>
  <c r="L75" i="49"/>
  <c r="BO45" i="50"/>
  <c r="I46" i="49"/>
  <c r="BP45" i="50"/>
  <c r="J46" i="49"/>
  <c r="BO132" i="50"/>
  <c r="I133" i="49"/>
  <c r="BP103" i="50"/>
  <c r="J104" i="49"/>
  <c r="BQ103" i="50"/>
  <c r="K104" i="49"/>
  <c r="BQ16" i="50"/>
  <c r="K17" i="49"/>
  <c r="BO16" i="50"/>
  <c r="I17" i="49"/>
  <c r="BQ45" i="50"/>
  <c r="K46" i="49"/>
  <c r="U153" i="51"/>
  <c r="U110" i="51"/>
  <c r="U152" i="51"/>
  <c r="U109" i="51"/>
  <c r="U151" i="51"/>
  <c r="U108" i="51"/>
  <c r="U197" i="51"/>
  <c r="U156" i="51"/>
  <c r="U154" i="51"/>
  <c r="U107" i="51"/>
  <c r="U111" i="51"/>
  <c r="U155" i="51"/>
  <c r="U106" i="51"/>
  <c r="U63" i="51"/>
  <c r="U201" i="51"/>
  <c r="U66" i="51"/>
  <c r="U199" i="51"/>
  <c r="U200" i="51"/>
  <c r="U65" i="51"/>
  <c r="U62" i="51"/>
  <c r="U198" i="51"/>
  <c r="U64" i="51"/>
  <c r="U61" i="51"/>
  <c r="U196" i="51"/>
  <c r="T152" i="51"/>
  <c r="T62" i="51"/>
  <c r="T151" i="51"/>
  <c r="T61" i="51"/>
  <c r="T66" i="51"/>
  <c r="T199" i="51"/>
  <c r="T200" i="51"/>
  <c r="T201" i="51"/>
  <c r="T65" i="51"/>
  <c r="T153" i="51"/>
  <c r="T198" i="51"/>
  <c r="T64" i="51"/>
  <c r="T196" i="51"/>
  <c r="T110" i="51"/>
  <c r="T197" i="51"/>
  <c r="T154" i="51"/>
  <c r="T155" i="51"/>
  <c r="T156" i="51"/>
  <c r="T63" i="51"/>
  <c r="T106" i="51"/>
  <c r="T108" i="51"/>
  <c r="T111" i="51"/>
  <c r="T107" i="51"/>
  <c r="T109" i="51"/>
  <c r="S108" i="51"/>
  <c r="S61" i="51"/>
  <c r="S66" i="51"/>
  <c r="S199" i="51"/>
  <c r="S200" i="51"/>
  <c r="S201" i="51"/>
  <c r="S65" i="51"/>
  <c r="S198" i="51"/>
  <c r="S107" i="51"/>
  <c r="S111" i="51"/>
  <c r="S64" i="51"/>
  <c r="S109" i="51"/>
  <c r="S62" i="51"/>
  <c r="S197" i="51"/>
  <c r="S106" i="51"/>
  <c r="S63" i="51"/>
  <c r="S196" i="51"/>
  <c r="S110" i="51"/>
  <c r="S152" i="51"/>
  <c r="S153" i="51"/>
  <c r="S151" i="51"/>
  <c r="S155" i="51"/>
  <c r="S156" i="51"/>
  <c r="S154" i="51"/>
  <c r="R107" i="51"/>
  <c r="R111" i="51"/>
  <c r="R66" i="51"/>
  <c r="R154" i="51"/>
  <c r="R155" i="51"/>
  <c r="R156" i="51"/>
  <c r="R106" i="51"/>
  <c r="R153" i="51"/>
  <c r="R110" i="51"/>
  <c r="R61" i="51"/>
  <c r="R152" i="51"/>
  <c r="R109" i="51"/>
  <c r="R151" i="51"/>
  <c r="R108" i="51"/>
  <c r="R197" i="51"/>
  <c r="R65" i="51"/>
  <c r="R201" i="51"/>
  <c r="R64" i="51"/>
  <c r="R63" i="51"/>
  <c r="R62" i="51"/>
  <c r="R198" i="51"/>
  <c r="R200" i="51"/>
  <c r="R196" i="51"/>
  <c r="R199" i="51"/>
  <c r="H80" i="51"/>
  <c r="V16" i="51" s="1"/>
  <c r="H47" i="51"/>
  <c r="BT15" i="50"/>
  <c r="BY15" i="50" s="1"/>
  <c r="W16" i="51" l="1"/>
  <c r="AD16" i="51" s="1"/>
  <c r="W15" i="51"/>
  <c r="BT45" i="50"/>
  <c r="BY61" i="50" s="1"/>
  <c r="C14" i="56"/>
  <c r="BT16" i="50"/>
  <c r="BY16" i="50" s="1"/>
  <c r="BT132" i="50"/>
  <c r="BY196" i="50" s="1"/>
  <c r="BT74" i="50"/>
  <c r="BY106" i="50" s="1"/>
  <c r="BT103" i="50"/>
  <c r="BY151" i="50" s="1"/>
  <c r="BO17" i="50"/>
  <c r="I18" i="49"/>
  <c r="BP104" i="50"/>
  <c r="J105" i="49"/>
  <c r="BO46" i="50"/>
  <c r="I47" i="49"/>
  <c r="BR46" i="50"/>
  <c r="L47" i="49"/>
  <c r="BS104" i="50"/>
  <c r="M105" i="49"/>
  <c r="BQ133" i="50"/>
  <c r="K134" i="49"/>
  <c r="BP133" i="50"/>
  <c r="J134" i="49"/>
  <c r="BP75" i="50"/>
  <c r="J76" i="49"/>
  <c r="BQ17" i="50"/>
  <c r="K18" i="49"/>
  <c r="BO133" i="50"/>
  <c r="I134" i="49"/>
  <c r="BR75" i="50"/>
  <c r="L76" i="49"/>
  <c r="BR104" i="50"/>
  <c r="L105" i="49"/>
  <c r="BQ75" i="50"/>
  <c r="K76" i="49"/>
  <c r="BP17" i="50"/>
  <c r="J18" i="49"/>
  <c r="BR17" i="50"/>
  <c r="L18" i="49"/>
  <c r="BS17" i="50"/>
  <c r="M18" i="49"/>
  <c r="BQ46" i="50"/>
  <c r="K47" i="49"/>
  <c r="BQ104" i="50"/>
  <c r="K105" i="49"/>
  <c r="BP46" i="50"/>
  <c r="J47" i="49"/>
  <c r="BS46" i="50"/>
  <c r="M47" i="49"/>
  <c r="BO75" i="50"/>
  <c r="I76" i="49"/>
  <c r="BS133" i="50"/>
  <c r="M134" i="49"/>
  <c r="BO104" i="50"/>
  <c r="I105" i="49"/>
  <c r="BS75" i="50"/>
  <c r="M76" i="49"/>
  <c r="BR133" i="50"/>
  <c r="L134" i="49"/>
  <c r="V106" i="51"/>
  <c r="V196" i="51"/>
  <c r="V61" i="51"/>
  <c r="V151" i="51"/>
  <c r="H48" i="51"/>
  <c r="H81" i="51"/>
  <c r="V17" i="51" s="1"/>
  <c r="W17" i="51" s="1"/>
  <c r="N4" i="52"/>
  <c r="N5" i="52"/>
  <c r="N6" i="52"/>
  <c r="N7" i="52"/>
  <c r="N8" i="52"/>
  <c r="N9" i="52"/>
  <c r="N10" i="52"/>
  <c r="N11" i="52"/>
  <c r="N12" i="52"/>
  <c r="N13" i="52"/>
  <c r="N14" i="52"/>
  <c r="N15" i="52"/>
  <c r="N16" i="52"/>
  <c r="N17" i="52"/>
  <c r="N18" i="52"/>
  <c r="N19" i="52"/>
  <c r="N20" i="52"/>
  <c r="N21" i="52"/>
  <c r="N22" i="52"/>
  <c r="N23" i="52"/>
  <c r="N24" i="52"/>
  <c r="N25" i="52"/>
  <c r="N26" i="52"/>
  <c r="N27" i="52"/>
  <c r="N28" i="52"/>
  <c r="N29" i="52"/>
  <c r="N30" i="52"/>
  <c r="N31" i="52"/>
  <c r="N32" i="52"/>
  <c r="N33" i="52"/>
  <c r="N34" i="52"/>
  <c r="N35" i="52"/>
  <c r="N36" i="52"/>
  <c r="N37" i="52"/>
  <c r="N38" i="52"/>
  <c r="N39" i="52"/>
  <c r="N40" i="52"/>
  <c r="N41" i="52"/>
  <c r="N42" i="52"/>
  <c r="N43" i="52"/>
  <c r="N44" i="52"/>
  <c r="N45" i="52"/>
  <c r="N46" i="52"/>
  <c r="N47" i="52"/>
  <c r="N48" i="52"/>
  <c r="N49" i="52"/>
  <c r="N50" i="52"/>
  <c r="N51" i="52"/>
  <c r="N52" i="52"/>
  <c r="N53" i="52"/>
  <c r="N54" i="52"/>
  <c r="N55" i="52"/>
  <c r="N56" i="52"/>
  <c r="N57" i="52"/>
  <c r="N58" i="52"/>
  <c r="N59" i="52"/>
  <c r="N60" i="52"/>
  <c r="N61" i="52"/>
  <c r="N62" i="52"/>
  <c r="N63" i="52"/>
  <c r="N64" i="52"/>
  <c r="N65" i="52"/>
  <c r="N66" i="52"/>
  <c r="N67" i="52"/>
  <c r="N68" i="52"/>
  <c r="N69" i="52"/>
  <c r="N70" i="52"/>
  <c r="N71" i="52"/>
  <c r="N72" i="52"/>
  <c r="N73" i="52"/>
  <c r="N74" i="52"/>
  <c r="N75" i="52"/>
  <c r="N76" i="52"/>
  <c r="N77" i="52"/>
  <c r="N78" i="52"/>
  <c r="N79" i="52"/>
  <c r="N80" i="52"/>
  <c r="N81" i="52"/>
  <c r="N82" i="52"/>
  <c r="N83" i="52"/>
  <c r="N84" i="52"/>
  <c r="N85" i="52"/>
  <c r="N86" i="52"/>
  <c r="N87" i="52"/>
  <c r="N88" i="52"/>
  <c r="N89" i="52"/>
  <c r="N90" i="52"/>
  <c r="N91" i="52"/>
  <c r="N92" i="52"/>
  <c r="N93" i="52"/>
  <c r="N94" i="52"/>
  <c r="N95" i="52"/>
  <c r="N96" i="52"/>
  <c r="N97" i="52"/>
  <c r="N98" i="52"/>
  <c r="N99" i="52"/>
  <c r="N100" i="52"/>
  <c r="N101" i="52"/>
  <c r="N102" i="52"/>
  <c r="N103" i="52"/>
  <c r="N104" i="52"/>
  <c r="N105" i="52"/>
  <c r="N106" i="52"/>
  <c r="N107" i="52"/>
  <c r="N108" i="52"/>
  <c r="N109" i="52"/>
  <c r="N110" i="52"/>
  <c r="N111" i="52"/>
  <c r="N112" i="52"/>
  <c r="N113" i="52"/>
  <c r="N3" i="52"/>
  <c r="AD15" i="51" l="1"/>
  <c r="D15" i="56"/>
  <c r="F15" i="56"/>
  <c r="E15" i="56"/>
  <c r="G15" i="56"/>
  <c r="C15" i="56"/>
  <c r="BT46" i="50"/>
  <c r="BY62" i="50" s="1"/>
  <c r="BS76" i="50"/>
  <c r="M77" i="49"/>
  <c r="BQ105" i="50"/>
  <c r="K106" i="49"/>
  <c r="BR105" i="50"/>
  <c r="L106" i="49"/>
  <c r="BQ134" i="50"/>
  <c r="K135" i="49"/>
  <c r="BO47" i="50"/>
  <c r="I48" i="49"/>
  <c r="BO76" i="50"/>
  <c r="I77" i="49"/>
  <c r="BR18" i="50"/>
  <c r="L19" i="49"/>
  <c r="BQ18" i="50"/>
  <c r="K19" i="49"/>
  <c r="BT75" i="50"/>
  <c r="BY107" i="50" s="1"/>
  <c r="BO105" i="50"/>
  <c r="I106" i="49"/>
  <c r="BS47" i="50"/>
  <c r="M48" i="49"/>
  <c r="BQ47" i="50"/>
  <c r="K48" i="49"/>
  <c r="BP18" i="50"/>
  <c r="J19" i="49"/>
  <c r="BR76" i="50"/>
  <c r="L77" i="49"/>
  <c r="BP76" i="50"/>
  <c r="J77" i="49"/>
  <c r="BS105" i="50"/>
  <c r="M106" i="49"/>
  <c r="BP105" i="50"/>
  <c r="J106" i="49"/>
  <c r="BT104" i="50"/>
  <c r="BY152" i="50" s="1"/>
  <c r="BR134" i="50"/>
  <c r="L135" i="49"/>
  <c r="BS134" i="50"/>
  <c r="M135" i="49"/>
  <c r="BP47" i="50"/>
  <c r="J48" i="49"/>
  <c r="BS18" i="50"/>
  <c r="M19" i="49"/>
  <c r="BQ76" i="50"/>
  <c r="K77" i="49"/>
  <c r="BO134" i="50"/>
  <c r="I135" i="49"/>
  <c r="BP134" i="50"/>
  <c r="J135" i="49"/>
  <c r="BR47" i="50"/>
  <c r="L48" i="49"/>
  <c r="BO18" i="50"/>
  <c r="I19" i="49"/>
  <c r="BT133" i="50"/>
  <c r="BY197" i="50" s="1"/>
  <c r="BT17" i="50"/>
  <c r="BY17" i="50" s="1"/>
  <c r="V197" i="51"/>
  <c r="V62" i="51"/>
  <c r="V107" i="51"/>
  <c r="AD17" i="51"/>
  <c r="V152" i="51"/>
  <c r="H49" i="51"/>
  <c r="H82" i="51"/>
  <c r="V18" i="51" s="1"/>
  <c r="W18" i="51" s="1"/>
  <c r="AA113" i="50"/>
  <c r="AA126" i="50"/>
  <c r="C16" i="56" l="1"/>
  <c r="E16" i="56"/>
  <c r="D16" i="56"/>
  <c r="G16" i="56"/>
  <c r="F16" i="56"/>
  <c r="BT76" i="50"/>
  <c r="BY108" i="50" s="1"/>
  <c r="BO19" i="50"/>
  <c r="I20" i="49"/>
  <c r="BO135" i="50"/>
  <c r="I136" i="49"/>
  <c r="BP48" i="50"/>
  <c r="J49" i="49"/>
  <c r="BO48" i="50"/>
  <c r="I49" i="49"/>
  <c r="BT18" i="50"/>
  <c r="BY18" i="50" s="1"/>
  <c r="BP106" i="50"/>
  <c r="J107" i="49"/>
  <c r="BS48" i="50"/>
  <c r="M49" i="49"/>
  <c r="BP135" i="50"/>
  <c r="J136" i="49"/>
  <c r="BS19" i="50"/>
  <c r="M20" i="49"/>
  <c r="BR135" i="50"/>
  <c r="L136" i="49"/>
  <c r="BT105" i="50"/>
  <c r="BY153" i="50" s="1"/>
  <c r="BO77" i="50"/>
  <c r="I78" i="49"/>
  <c r="BR106" i="50"/>
  <c r="L107" i="49"/>
  <c r="BP77" i="50"/>
  <c r="J78" i="49"/>
  <c r="BQ48" i="50"/>
  <c r="K49" i="49"/>
  <c r="BQ19" i="50"/>
  <c r="K20" i="49"/>
  <c r="BQ106" i="50"/>
  <c r="K107" i="49"/>
  <c r="BT134" i="50"/>
  <c r="BY198" i="50" s="1"/>
  <c r="BR77" i="50"/>
  <c r="L78" i="49"/>
  <c r="BT47" i="50"/>
  <c r="BY63" i="50" s="1"/>
  <c r="BR48" i="50"/>
  <c r="L49" i="49"/>
  <c r="BQ77" i="50"/>
  <c r="K78" i="49"/>
  <c r="BS135" i="50"/>
  <c r="M136" i="49"/>
  <c r="BR19" i="50"/>
  <c r="L20" i="49"/>
  <c r="BQ135" i="50"/>
  <c r="K136" i="49"/>
  <c r="BS77" i="50"/>
  <c r="M78" i="49"/>
  <c r="BS106" i="50"/>
  <c r="M107" i="49"/>
  <c r="BP19" i="50"/>
  <c r="J20" i="49"/>
  <c r="BO106" i="50"/>
  <c r="I107" i="49"/>
  <c r="V63" i="51"/>
  <c r="V108" i="51"/>
  <c r="V198" i="51"/>
  <c r="AD18" i="51"/>
  <c r="V153" i="51"/>
  <c r="H50" i="51"/>
  <c r="H83" i="51"/>
  <c r="V19" i="51" s="1"/>
  <c r="W19" i="51" s="1"/>
  <c r="N111" i="50"/>
  <c r="AB111" i="50" s="1"/>
  <c r="O111" i="50"/>
  <c r="AC111" i="50" s="1"/>
  <c r="P111" i="50"/>
  <c r="AD111" i="50" s="1"/>
  <c r="Q111" i="50"/>
  <c r="AE111" i="50" s="1"/>
  <c r="P81" i="50"/>
  <c r="N81" i="50"/>
  <c r="Q81" i="50"/>
  <c r="O81" i="50"/>
  <c r="P75" i="50"/>
  <c r="Q75" i="50"/>
  <c r="N75" i="50"/>
  <c r="O75" i="50"/>
  <c r="P69" i="50"/>
  <c r="Q69" i="50"/>
  <c r="N69" i="50"/>
  <c r="O69" i="50"/>
  <c r="P63" i="50"/>
  <c r="Q63" i="50"/>
  <c r="N63" i="50"/>
  <c r="O63" i="50"/>
  <c r="P57" i="50"/>
  <c r="Q57" i="50"/>
  <c r="N57" i="50"/>
  <c r="O57" i="50"/>
  <c r="P51" i="50"/>
  <c r="N51" i="50"/>
  <c r="Q51" i="50"/>
  <c r="O51" i="50"/>
  <c r="P45" i="50"/>
  <c r="Q45" i="50"/>
  <c r="N45" i="50"/>
  <c r="O45" i="50"/>
  <c r="P39" i="50"/>
  <c r="Q39" i="50"/>
  <c r="N39" i="50"/>
  <c r="O39" i="50"/>
  <c r="P33" i="50"/>
  <c r="O33" i="50"/>
  <c r="Q33" i="50"/>
  <c r="N33" i="50"/>
  <c r="P27" i="50"/>
  <c r="Q27" i="50"/>
  <c r="N27" i="50"/>
  <c r="O27" i="50"/>
  <c r="P21" i="50"/>
  <c r="O21" i="50"/>
  <c r="Q21" i="50"/>
  <c r="N21" i="50"/>
  <c r="P15" i="50"/>
  <c r="Q15" i="50"/>
  <c r="N15" i="50"/>
  <c r="O15" i="50"/>
  <c r="P9" i="50"/>
  <c r="Q9" i="50"/>
  <c r="N9" i="50"/>
  <c r="O9" i="50"/>
  <c r="AA110" i="50"/>
  <c r="P110" i="50"/>
  <c r="AD110" i="50" s="1"/>
  <c r="N110" i="50"/>
  <c r="AB110" i="50" s="1"/>
  <c r="Q110" i="50"/>
  <c r="AE110" i="50" s="1"/>
  <c r="O110" i="50"/>
  <c r="AC110" i="50" s="1"/>
  <c r="P104" i="50"/>
  <c r="Q104" i="50"/>
  <c r="N104" i="50"/>
  <c r="O104" i="50"/>
  <c r="N80" i="50"/>
  <c r="O80" i="50"/>
  <c r="P80" i="50"/>
  <c r="Q80" i="50"/>
  <c r="N74" i="50"/>
  <c r="O74" i="50"/>
  <c r="P74" i="50"/>
  <c r="Q74" i="50"/>
  <c r="N68" i="50"/>
  <c r="O68" i="50"/>
  <c r="P68" i="50"/>
  <c r="Q68" i="50"/>
  <c r="N62" i="50"/>
  <c r="O62" i="50"/>
  <c r="P62" i="50"/>
  <c r="Q62" i="50"/>
  <c r="N56" i="50"/>
  <c r="O56" i="50"/>
  <c r="P56" i="50"/>
  <c r="Q56" i="50"/>
  <c r="N50" i="50"/>
  <c r="O50" i="50"/>
  <c r="P50" i="50"/>
  <c r="Q50" i="50"/>
  <c r="N44" i="50"/>
  <c r="O44" i="50"/>
  <c r="P44" i="50"/>
  <c r="Q44" i="50"/>
  <c r="N38" i="50"/>
  <c r="O38" i="50"/>
  <c r="P38" i="50"/>
  <c r="Q38" i="50"/>
  <c r="N32" i="50"/>
  <c r="O32" i="50"/>
  <c r="P32" i="50"/>
  <c r="Q32" i="50"/>
  <c r="N26" i="50"/>
  <c r="O26" i="50"/>
  <c r="P26" i="50"/>
  <c r="Q26" i="50"/>
  <c r="N20" i="50"/>
  <c r="O20" i="50"/>
  <c r="P20" i="50"/>
  <c r="Q20" i="50"/>
  <c r="N14" i="50"/>
  <c r="O14" i="50"/>
  <c r="P14" i="50"/>
  <c r="Q14" i="50"/>
  <c r="N8" i="50"/>
  <c r="O8" i="50"/>
  <c r="P8" i="50"/>
  <c r="Q8" i="50"/>
  <c r="P105" i="50"/>
  <c r="N105" i="50"/>
  <c r="O105" i="50"/>
  <c r="Q105" i="50"/>
  <c r="O5" i="50"/>
  <c r="Q5" i="50"/>
  <c r="P5" i="50"/>
  <c r="N5" i="50"/>
  <c r="P79" i="50"/>
  <c r="N79" i="50"/>
  <c r="O79" i="50"/>
  <c r="Q79" i="50"/>
  <c r="P61" i="50"/>
  <c r="N61" i="50"/>
  <c r="O61" i="50"/>
  <c r="Q61" i="50"/>
  <c r="Q43" i="50"/>
  <c r="N43" i="50"/>
  <c r="P43" i="50"/>
  <c r="O43" i="50"/>
  <c r="P25" i="50"/>
  <c r="N25" i="50"/>
  <c r="O25" i="50"/>
  <c r="Q25" i="50"/>
  <c r="P19" i="50"/>
  <c r="N19" i="50"/>
  <c r="Q19" i="50"/>
  <c r="O19" i="50"/>
  <c r="AA108" i="50"/>
  <c r="N108" i="50"/>
  <c r="AB108" i="50" s="1"/>
  <c r="P108" i="50"/>
  <c r="AD108" i="50" s="1"/>
  <c r="O108" i="50"/>
  <c r="AC108" i="50" s="1"/>
  <c r="Q108" i="50"/>
  <c r="AE108" i="50" s="1"/>
  <c r="P78" i="50"/>
  <c r="Q78" i="50"/>
  <c r="N78" i="50"/>
  <c r="O78" i="50"/>
  <c r="P72" i="50"/>
  <c r="N72" i="50"/>
  <c r="Q72" i="50"/>
  <c r="O72" i="50"/>
  <c r="P66" i="50"/>
  <c r="N66" i="50"/>
  <c r="Q66" i="50"/>
  <c r="O66" i="50"/>
  <c r="P60" i="50"/>
  <c r="Q60" i="50"/>
  <c r="N60" i="50"/>
  <c r="O60" i="50"/>
  <c r="P54" i="50"/>
  <c r="Q54" i="50"/>
  <c r="N54" i="50"/>
  <c r="O54" i="50"/>
  <c r="P48" i="50"/>
  <c r="Q48" i="50"/>
  <c r="N48" i="50"/>
  <c r="O48" i="50"/>
  <c r="P42" i="50"/>
  <c r="Q42" i="50"/>
  <c r="N42" i="50"/>
  <c r="O42" i="50"/>
  <c r="P36" i="50"/>
  <c r="Q36" i="50"/>
  <c r="N36" i="50"/>
  <c r="O36" i="50"/>
  <c r="P30" i="50"/>
  <c r="Q30" i="50"/>
  <c r="N30" i="50"/>
  <c r="O30" i="50"/>
  <c r="P24" i="50"/>
  <c r="Q24" i="50"/>
  <c r="N24" i="50"/>
  <c r="O24" i="50"/>
  <c r="P18" i="50"/>
  <c r="Q18" i="50"/>
  <c r="N18" i="50"/>
  <c r="O18" i="50"/>
  <c r="P12" i="50"/>
  <c r="O12" i="50"/>
  <c r="Q12" i="50"/>
  <c r="N12" i="50"/>
  <c r="P6" i="50"/>
  <c r="Q6" i="50"/>
  <c r="N6" i="50"/>
  <c r="O6" i="50"/>
  <c r="N67" i="50"/>
  <c r="O67" i="50"/>
  <c r="P67" i="50"/>
  <c r="Q67" i="50"/>
  <c r="N49" i="50"/>
  <c r="P49" i="50"/>
  <c r="O49" i="50"/>
  <c r="Q49" i="50"/>
  <c r="P31" i="50"/>
  <c r="N31" i="50"/>
  <c r="O31" i="50"/>
  <c r="Q31" i="50"/>
  <c r="P13" i="50"/>
  <c r="N13" i="50"/>
  <c r="O13" i="50"/>
  <c r="Q13" i="50"/>
  <c r="P113" i="50"/>
  <c r="AD113" i="50" s="1"/>
  <c r="Q113" i="50"/>
  <c r="AE113" i="50" s="1"/>
  <c r="N113" i="50"/>
  <c r="AB113" i="50" s="1"/>
  <c r="O113" i="50"/>
  <c r="AC113" i="50" s="1"/>
  <c r="AA107" i="50"/>
  <c r="P107" i="50"/>
  <c r="AD107" i="50" s="1"/>
  <c r="Q107" i="50"/>
  <c r="AE107" i="50" s="1"/>
  <c r="N107" i="50"/>
  <c r="AB107" i="50" s="1"/>
  <c r="O107" i="50"/>
  <c r="AC107" i="50" s="1"/>
  <c r="N83" i="50"/>
  <c r="O83" i="50"/>
  <c r="P83" i="50"/>
  <c r="Q83" i="50"/>
  <c r="N77" i="50"/>
  <c r="O77" i="50"/>
  <c r="P77" i="50"/>
  <c r="Q77" i="50"/>
  <c r="N71" i="50"/>
  <c r="O71" i="50"/>
  <c r="P71" i="50"/>
  <c r="Q71" i="50"/>
  <c r="N65" i="50"/>
  <c r="O65" i="50"/>
  <c r="P65" i="50"/>
  <c r="Q65" i="50"/>
  <c r="N59" i="50"/>
  <c r="O59" i="50"/>
  <c r="P59" i="50"/>
  <c r="Q59" i="50"/>
  <c r="N53" i="50"/>
  <c r="O53" i="50"/>
  <c r="P53" i="50"/>
  <c r="Q53" i="50"/>
  <c r="N47" i="50"/>
  <c r="O47" i="50"/>
  <c r="P47" i="50"/>
  <c r="Q47" i="50"/>
  <c r="N41" i="50"/>
  <c r="O41" i="50"/>
  <c r="P41" i="50"/>
  <c r="Q41" i="50"/>
  <c r="N35" i="50"/>
  <c r="O35" i="50"/>
  <c r="P35" i="50"/>
  <c r="Q35" i="50"/>
  <c r="N29" i="50"/>
  <c r="O29" i="50"/>
  <c r="P29" i="50"/>
  <c r="Q29" i="50"/>
  <c r="N23" i="50"/>
  <c r="O23" i="50"/>
  <c r="P23" i="50"/>
  <c r="Q23" i="50"/>
  <c r="N17" i="50"/>
  <c r="O17" i="50"/>
  <c r="P17" i="50"/>
  <c r="Q17" i="50"/>
  <c r="N11" i="50"/>
  <c r="O11" i="50"/>
  <c r="P11" i="50"/>
  <c r="Q11" i="50"/>
  <c r="AA109" i="50"/>
  <c r="N109" i="50"/>
  <c r="AB109" i="50" s="1"/>
  <c r="O109" i="50"/>
  <c r="AC109" i="50" s="1"/>
  <c r="P109" i="50"/>
  <c r="AD109" i="50" s="1"/>
  <c r="Q109" i="50"/>
  <c r="P73" i="50"/>
  <c r="N73" i="50"/>
  <c r="O73" i="50"/>
  <c r="Q73" i="50"/>
  <c r="P55" i="50"/>
  <c r="N55" i="50"/>
  <c r="O55" i="50"/>
  <c r="Q55" i="50"/>
  <c r="Q37" i="50"/>
  <c r="P37" i="50"/>
  <c r="N37" i="50"/>
  <c r="O37" i="50"/>
  <c r="P7" i="50"/>
  <c r="Q7" i="50"/>
  <c r="N7" i="50"/>
  <c r="O7" i="50"/>
  <c r="AA112" i="50"/>
  <c r="N112" i="50"/>
  <c r="AB112" i="50" s="1"/>
  <c r="O112" i="50"/>
  <c r="AC112" i="50" s="1"/>
  <c r="P112" i="50"/>
  <c r="AD112" i="50" s="1"/>
  <c r="Q112" i="50"/>
  <c r="AE112" i="50" s="1"/>
  <c r="N106" i="50"/>
  <c r="AB106" i="50" s="1"/>
  <c r="O106" i="50"/>
  <c r="AC106" i="50" s="1"/>
  <c r="P106" i="50"/>
  <c r="Q106" i="50"/>
  <c r="N82" i="50"/>
  <c r="P82" i="50"/>
  <c r="O82" i="50"/>
  <c r="Q82" i="50"/>
  <c r="N76" i="50"/>
  <c r="P76" i="50"/>
  <c r="O76" i="50"/>
  <c r="Q76" i="50"/>
  <c r="N70" i="50"/>
  <c r="P70" i="50"/>
  <c r="O70" i="50"/>
  <c r="Q70" i="50"/>
  <c r="N64" i="50"/>
  <c r="P64" i="50"/>
  <c r="O64" i="50"/>
  <c r="Q64" i="50"/>
  <c r="P58" i="50"/>
  <c r="N58" i="50"/>
  <c r="O58" i="50"/>
  <c r="Q58" i="50"/>
  <c r="P52" i="50"/>
  <c r="N52" i="50"/>
  <c r="O52" i="50"/>
  <c r="Q52" i="50"/>
  <c r="N46" i="50"/>
  <c r="O46" i="50"/>
  <c r="P46" i="50"/>
  <c r="Q46" i="50"/>
  <c r="P40" i="50"/>
  <c r="N40" i="50"/>
  <c r="Q40" i="50"/>
  <c r="O40" i="50"/>
  <c r="P34" i="50"/>
  <c r="N34" i="50"/>
  <c r="Q34" i="50"/>
  <c r="O34" i="50"/>
  <c r="Q28" i="50"/>
  <c r="P28" i="50"/>
  <c r="N28" i="50"/>
  <c r="O28" i="50"/>
  <c r="P22" i="50"/>
  <c r="N22" i="50"/>
  <c r="O22" i="50"/>
  <c r="Q22" i="50"/>
  <c r="Q16" i="50"/>
  <c r="P16" i="50"/>
  <c r="N16" i="50"/>
  <c r="O16" i="50"/>
  <c r="P10" i="50"/>
  <c r="N10" i="50"/>
  <c r="O10" i="50"/>
  <c r="Q10" i="50"/>
  <c r="N97" i="50"/>
  <c r="O97" i="50"/>
  <c r="P97" i="50"/>
  <c r="Q97" i="50"/>
  <c r="N89" i="50"/>
  <c r="O89" i="50"/>
  <c r="P89" i="50"/>
  <c r="Q89" i="50"/>
  <c r="P98" i="50"/>
  <c r="Q98" i="50"/>
  <c r="O98" i="50"/>
  <c r="N98" i="50"/>
  <c r="P96" i="50"/>
  <c r="Q96" i="50"/>
  <c r="N96" i="50"/>
  <c r="O96" i="50"/>
  <c r="P88" i="50"/>
  <c r="Q88" i="50"/>
  <c r="N88" i="50"/>
  <c r="O88" i="50"/>
  <c r="P90" i="50"/>
  <c r="Q90" i="50"/>
  <c r="N90" i="50"/>
  <c r="O90" i="50"/>
  <c r="O103" i="50"/>
  <c r="Q103" i="50"/>
  <c r="N103" i="50"/>
  <c r="P103" i="50"/>
  <c r="N95" i="50"/>
  <c r="Q95" i="50"/>
  <c r="O95" i="50"/>
  <c r="P95" i="50"/>
  <c r="N87" i="50"/>
  <c r="Q87" i="50"/>
  <c r="O87" i="50"/>
  <c r="P87" i="50"/>
  <c r="O91" i="50"/>
  <c r="N91" i="50"/>
  <c r="Q91" i="50"/>
  <c r="P91" i="50"/>
  <c r="P102" i="50"/>
  <c r="Q102" i="50"/>
  <c r="O102" i="50"/>
  <c r="N102" i="50"/>
  <c r="P94" i="50"/>
  <c r="Q94" i="50"/>
  <c r="N94" i="50"/>
  <c r="O94" i="50"/>
  <c r="P86" i="50"/>
  <c r="Q86" i="50"/>
  <c r="O86" i="50"/>
  <c r="N86" i="50"/>
  <c r="N101" i="50"/>
  <c r="P101" i="50"/>
  <c r="Q101" i="50"/>
  <c r="O101" i="50"/>
  <c r="N93" i="50"/>
  <c r="P93" i="50"/>
  <c r="Q93" i="50"/>
  <c r="O93" i="50"/>
  <c r="N85" i="50"/>
  <c r="P85" i="50"/>
  <c r="Q85" i="50"/>
  <c r="O85" i="50"/>
  <c r="O99" i="50"/>
  <c r="N99" i="50"/>
  <c r="Q99" i="50"/>
  <c r="P99" i="50"/>
  <c r="P100" i="50"/>
  <c r="Q100" i="50"/>
  <c r="N100" i="50"/>
  <c r="O100" i="50"/>
  <c r="P92" i="50"/>
  <c r="Q92" i="50"/>
  <c r="O92" i="50"/>
  <c r="N92" i="50"/>
  <c r="N84" i="50"/>
  <c r="O84" i="50"/>
  <c r="P84" i="50"/>
  <c r="Q84" i="50"/>
  <c r="N203" i="50"/>
  <c r="O203" i="50"/>
  <c r="Q203" i="50"/>
  <c r="P203" i="50"/>
  <c r="AA139" i="50"/>
  <c r="N139" i="50"/>
  <c r="AB139" i="50" s="1"/>
  <c r="O139" i="50"/>
  <c r="AC139" i="50" s="1"/>
  <c r="P139" i="50"/>
  <c r="AD139" i="50" s="1"/>
  <c r="Q139" i="50"/>
  <c r="AE139" i="50" s="1"/>
  <c r="N202" i="50"/>
  <c r="O202" i="50"/>
  <c r="Q202" i="50"/>
  <c r="P202" i="50"/>
  <c r="AA194" i="50"/>
  <c r="N194" i="50"/>
  <c r="AB194" i="50" s="1"/>
  <c r="P194" i="50"/>
  <c r="AD194" i="50" s="1"/>
  <c r="O194" i="50"/>
  <c r="AC194" i="50" s="1"/>
  <c r="Q194" i="50"/>
  <c r="AE194" i="50" s="1"/>
  <c r="AA186" i="50"/>
  <c r="N186" i="50"/>
  <c r="AB186" i="50" s="1"/>
  <c r="O186" i="50"/>
  <c r="AC186" i="50" s="1"/>
  <c r="Q186" i="50"/>
  <c r="AE186" i="50" s="1"/>
  <c r="P186" i="50"/>
  <c r="AD186" i="50" s="1"/>
  <c r="AA178" i="50"/>
  <c r="N178" i="50"/>
  <c r="AB178" i="50" s="1"/>
  <c r="P178" i="50"/>
  <c r="AD178" i="50" s="1"/>
  <c r="O178" i="50"/>
  <c r="AC178" i="50" s="1"/>
  <c r="Q178" i="50"/>
  <c r="AE178" i="50" s="1"/>
  <c r="AA170" i="50"/>
  <c r="N170" i="50"/>
  <c r="AB170" i="50" s="1"/>
  <c r="P170" i="50"/>
  <c r="AD170" i="50" s="1"/>
  <c r="O170" i="50"/>
  <c r="AC170" i="50" s="1"/>
  <c r="Q170" i="50"/>
  <c r="AE170" i="50" s="1"/>
  <c r="AA162" i="50"/>
  <c r="N162" i="50"/>
  <c r="AB162" i="50" s="1"/>
  <c r="O162" i="50"/>
  <c r="AC162" i="50" s="1"/>
  <c r="P162" i="50"/>
  <c r="AD162" i="50" s="1"/>
  <c r="Q162" i="50"/>
  <c r="N154" i="50"/>
  <c r="O154" i="50"/>
  <c r="P154" i="50"/>
  <c r="Q154" i="50"/>
  <c r="N146" i="50"/>
  <c r="O146" i="50"/>
  <c r="P146" i="50"/>
  <c r="Q146" i="50"/>
  <c r="N138" i="50"/>
  <c r="O138" i="50"/>
  <c r="P138" i="50"/>
  <c r="Q138" i="50"/>
  <c r="AA130" i="50"/>
  <c r="N130" i="50"/>
  <c r="AB130" i="50" s="1"/>
  <c r="O130" i="50"/>
  <c r="AC130" i="50" s="1"/>
  <c r="P130" i="50"/>
  <c r="AD130" i="50" s="1"/>
  <c r="Q130" i="50"/>
  <c r="AE130" i="50" s="1"/>
  <c r="AA122" i="50"/>
  <c r="N122" i="50"/>
  <c r="AB122" i="50" s="1"/>
  <c r="P122" i="50"/>
  <c r="AD122" i="50" s="1"/>
  <c r="O122" i="50"/>
  <c r="AC122" i="50" s="1"/>
  <c r="Q122" i="50"/>
  <c r="AE122" i="50" s="1"/>
  <c r="N114" i="50"/>
  <c r="AB114" i="50" s="1"/>
  <c r="P114" i="50"/>
  <c r="AD114" i="50" s="1"/>
  <c r="O114" i="50"/>
  <c r="AC114" i="50" s="1"/>
  <c r="Q114" i="50"/>
  <c r="AE114" i="50" s="1"/>
  <c r="N163" i="50"/>
  <c r="Q163" i="50"/>
  <c r="O163" i="50"/>
  <c r="P163" i="50"/>
  <c r="AA201" i="50"/>
  <c r="N201" i="50"/>
  <c r="AB201" i="50" s="1"/>
  <c r="Q201" i="50"/>
  <c r="AE201" i="50" s="1"/>
  <c r="O201" i="50"/>
  <c r="AC201" i="50" s="1"/>
  <c r="P201" i="50"/>
  <c r="AD201" i="50" s="1"/>
  <c r="N193" i="50"/>
  <c r="AB193" i="50" s="1"/>
  <c r="Q193" i="50"/>
  <c r="AE193" i="50" s="1"/>
  <c r="O193" i="50"/>
  <c r="AC193" i="50" s="1"/>
  <c r="P193" i="50"/>
  <c r="AD193" i="50" s="1"/>
  <c r="N185" i="50"/>
  <c r="Q185" i="50"/>
  <c r="O185" i="50"/>
  <c r="P185" i="50"/>
  <c r="N177" i="50"/>
  <c r="AB177" i="50" s="1"/>
  <c r="O177" i="50"/>
  <c r="AC177" i="50" s="1"/>
  <c r="Q177" i="50"/>
  <c r="P177" i="50"/>
  <c r="N169" i="50"/>
  <c r="O169" i="50"/>
  <c r="Q169" i="50"/>
  <c r="P169" i="50"/>
  <c r="N161" i="50"/>
  <c r="O161" i="50"/>
  <c r="Q161" i="50"/>
  <c r="P161" i="50"/>
  <c r="N153" i="50"/>
  <c r="O153" i="50"/>
  <c r="Q153" i="50"/>
  <c r="P153" i="50"/>
  <c r="Q145" i="50"/>
  <c r="N145" i="50"/>
  <c r="O145" i="50"/>
  <c r="P145" i="50"/>
  <c r="AA137" i="50"/>
  <c r="N137" i="50"/>
  <c r="AB137" i="50" s="1"/>
  <c r="Q137" i="50"/>
  <c r="AE137" i="50" s="1"/>
  <c r="O137" i="50"/>
  <c r="AC137" i="50" s="1"/>
  <c r="P137" i="50"/>
  <c r="AD137" i="50" s="1"/>
  <c r="AA129" i="50"/>
  <c r="N129" i="50"/>
  <c r="AB129" i="50" s="1"/>
  <c r="O129" i="50"/>
  <c r="AC129" i="50" s="1"/>
  <c r="P129" i="50"/>
  <c r="AD129" i="50" s="1"/>
  <c r="Q129" i="50"/>
  <c r="AE129" i="50" s="1"/>
  <c r="N121" i="50"/>
  <c r="O121" i="50"/>
  <c r="P121" i="50"/>
  <c r="Q121" i="50"/>
  <c r="N195" i="50"/>
  <c r="O195" i="50"/>
  <c r="Q195" i="50"/>
  <c r="P195" i="50"/>
  <c r="N115" i="50"/>
  <c r="Q115" i="50"/>
  <c r="O115" i="50"/>
  <c r="P115" i="50"/>
  <c r="N200" i="50"/>
  <c r="O200" i="50"/>
  <c r="Q200" i="50"/>
  <c r="P200" i="50"/>
  <c r="N192" i="50"/>
  <c r="O192" i="50"/>
  <c r="P192" i="50"/>
  <c r="Q192" i="50"/>
  <c r="AA184" i="50"/>
  <c r="N184" i="50"/>
  <c r="AB184" i="50" s="1"/>
  <c r="P184" i="50"/>
  <c r="AD184" i="50" s="1"/>
  <c r="O184" i="50"/>
  <c r="AC184" i="50" s="1"/>
  <c r="Q184" i="50"/>
  <c r="AE184" i="50" s="1"/>
  <c r="N176" i="50"/>
  <c r="O176" i="50"/>
  <c r="P176" i="50"/>
  <c r="AD176" i="50" s="1"/>
  <c r="Q176" i="50"/>
  <c r="AE176" i="50" s="1"/>
  <c r="N168" i="50"/>
  <c r="O168" i="50"/>
  <c r="P168" i="50"/>
  <c r="Q168" i="50"/>
  <c r="N160" i="50"/>
  <c r="AB160" i="50" s="1"/>
  <c r="P160" i="50"/>
  <c r="AD160" i="50" s="1"/>
  <c r="O160" i="50"/>
  <c r="AC160" i="50" s="1"/>
  <c r="Q160" i="50"/>
  <c r="AE160" i="50" s="1"/>
  <c r="AA152" i="50"/>
  <c r="N152" i="50"/>
  <c r="AB152" i="50" s="1"/>
  <c r="P152" i="50"/>
  <c r="AD152" i="50" s="1"/>
  <c r="O152" i="50"/>
  <c r="AC152" i="50" s="1"/>
  <c r="Q152" i="50"/>
  <c r="AE152" i="50" s="1"/>
  <c r="AA144" i="50"/>
  <c r="N144" i="50"/>
  <c r="AB144" i="50" s="1"/>
  <c r="P144" i="50"/>
  <c r="AD144" i="50" s="1"/>
  <c r="O144" i="50"/>
  <c r="AC144" i="50" s="1"/>
  <c r="Q144" i="50"/>
  <c r="AE144" i="50" s="1"/>
  <c r="AA136" i="50"/>
  <c r="N136" i="50"/>
  <c r="AB136" i="50" s="1"/>
  <c r="P136" i="50"/>
  <c r="O136" i="50"/>
  <c r="AC136" i="50" s="1"/>
  <c r="Q136" i="50"/>
  <c r="AE136" i="50" s="1"/>
  <c r="AA128" i="50"/>
  <c r="N128" i="50"/>
  <c r="AB128" i="50" s="1"/>
  <c r="P128" i="50"/>
  <c r="AD128" i="50" s="1"/>
  <c r="O128" i="50"/>
  <c r="AC128" i="50" s="1"/>
  <c r="Q128" i="50"/>
  <c r="AE128" i="50" s="1"/>
  <c r="N120" i="50"/>
  <c r="O120" i="50"/>
  <c r="P120" i="50"/>
  <c r="Q120" i="50"/>
  <c r="N131" i="50"/>
  <c r="AB131" i="50" s="1"/>
  <c r="Q131" i="50"/>
  <c r="AE131" i="50" s="1"/>
  <c r="O131" i="50"/>
  <c r="AC131" i="50" s="1"/>
  <c r="P131" i="50"/>
  <c r="AD131" i="50" s="1"/>
  <c r="AA199" i="50"/>
  <c r="Q199" i="50"/>
  <c r="AE199" i="50" s="1"/>
  <c r="N199" i="50"/>
  <c r="AB199" i="50" s="1"/>
  <c r="O199" i="50"/>
  <c r="AC199" i="50" s="1"/>
  <c r="P199" i="50"/>
  <c r="AD199" i="50" s="1"/>
  <c r="AA191" i="50"/>
  <c r="N191" i="50"/>
  <c r="AB191" i="50" s="1"/>
  <c r="O191" i="50"/>
  <c r="AC191" i="50" s="1"/>
  <c r="P191" i="50"/>
  <c r="AD191" i="50" s="1"/>
  <c r="Q191" i="50"/>
  <c r="AE191" i="50" s="1"/>
  <c r="AA183" i="50"/>
  <c r="N183" i="50"/>
  <c r="AB183" i="50" s="1"/>
  <c r="O183" i="50"/>
  <c r="AC183" i="50" s="1"/>
  <c r="Q183" i="50"/>
  <c r="AE183" i="50" s="1"/>
  <c r="P183" i="50"/>
  <c r="AD183" i="50" s="1"/>
  <c r="Q175" i="50"/>
  <c r="N175" i="50"/>
  <c r="O175" i="50"/>
  <c r="P175" i="50"/>
  <c r="N167" i="50"/>
  <c r="AB167" i="50" s="1"/>
  <c r="O167" i="50"/>
  <c r="AC167" i="50" s="1"/>
  <c r="P167" i="50"/>
  <c r="AD167" i="50" s="1"/>
  <c r="Q167" i="50"/>
  <c r="AE167" i="50" s="1"/>
  <c r="N159" i="50"/>
  <c r="O159" i="50"/>
  <c r="P159" i="50"/>
  <c r="Q159" i="50"/>
  <c r="N151" i="50"/>
  <c r="Q151" i="50"/>
  <c r="O151" i="50"/>
  <c r="P151" i="50"/>
  <c r="N143" i="50"/>
  <c r="Q143" i="50"/>
  <c r="O143" i="50"/>
  <c r="P143" i="50"/>
  <c r="Q135" i="50"/>
  <c r="N135" i="50"/>
  <c r="O135" i="50"/>
  <c r="P135" i="50"/>
  <c r="AA127" i="50"/>
  <c r="N127" i="50"/>
  <c r="AB127" i="50" s="1"/>
  <c r="O127" i="50"/>
  <c r="AC127" i="50" s="1"/>
  <c r="Q127" i="50"/>
  <c r="AE127" i="50" s="1"/>
  <c r="P127" i="50"/>
  <c r="AD127" i="50" s="1"/>
  <c r="Q119" i="50"/>
  <c r="AE119" i="50" s="1"/>
  <c r="N119" i="50"/>
  <c r="AB119" i="50" s="1"/>
  <c r="O119" i="50"/>
  <c r="AC119" i="50" s="1"/>
  <c r="P119" i="50"/>
  <c r="AD119" i="50" s="1"/>
  <c r="AA179" i="50"/>
  <c r="N179" i="50"/>
  <c r="AB179" i="50" s="1"/>
  <c r="Q179" i="50"/>
  <c r="AE179" i="50" s="1"/>
  <c r="O179" i="50"/>
  <c r="AC179" i="50" s="1"/>
  <c r="P179" i="50"/>
  <c r="AD179" i="50" s="1"/>
  <c r="N123" i="50"/>
  <c r="AB123" i="50" s="1"/>
  <c r="Q123" i="50"/>
  <c r="O123" i="50"/>
  <c r="AC123" i="50" s="1"/>
  <c r="P123" i="50"/>
  <c r="N198" i="50"/>
  <c r="AB198" i="50" s="1"/>
  <c r="O198" i="50"/>
  <c r="AC198" i="50" s="1"/>
  <c r="Q198" i="50"/>
  <c r="AE198" i="50" s="1"/>
  <c r="P198" i="50"/>
  <c r="AD198" i="50" s="1"/>
  <c r="AA190" i="50"/>
  <c r="N190" i="50"/>
  <c r="AB190" i="50" s="1"/>
  <c r="O190" i="50"/>
  <c r="AC190" i="50" s="1"/>
  <c r="Q190" i="50"/>
  <c r="AE190" i="50" s="1"/>
  <c r="P190" i="50"/>
  <c r="AD190" i="50" s="1"/>
  <c r="AA182" i="50"/>
  <c r="N182" i="50"/>
  <c r="AB182" i="50" s="1"/>
  <c r="O182" i="50"/>
  <c r="AC182" i="50" s="1"/>
  <c r="Q182" i="50"/>
  <c r="AE182" i="50" s="1"/>
  <c r="P182" i="50"/>
  <c r="AD182" i="50" s="1"/>
  <c r="AA174" i="50"/>
  <c r="N174" i="50"/>
  <c r="P174" i="50"/>
  <c r="O174" i="50"/>
  <c r="Q174" i="50"/>
  <c r="N166" i="50"/>
  <c r="P166" i="50"/>
  <c r="O166" i="50"/>
  <c r="Q166" i="50"/>
  <c r="N158" i="50"/>
  <c r="O158" i="50"/>
  <c r="P158" i="50"/>
  <c r="Q158" i="50"/>
  <c r="AA150" i="50"/>
  <c r="N150" i="50"/>
  <c r="AB150" i="50" s="1"/>
  <c r="O150" i="50"/>
  <c r="AC150" i="50" s="1"/>
  <c r="P150" i="50"/>
  <c r="AD150" i="50" s="1"/>
  <c r="Q150" i="50"/>
  <c r="AE150" i="50" s="1"/>
  <c r="AA142" i="50"/>
  <c r="N142" i="50"/>
  <c r="AB142" i="50" s="1"/>
  <c r="O142" i="50"/>
  <c r="AC142" i="50" s="1"/>
  <c r="P142" i="50"/>
  <c r="AD142" i="50" s="1"/>
  <c r="Q142" i="50"/>
  <c r="AE142" i="50" s="1"/>
  <c r="AA134" i="50"/>
  <c r="N134" i="50"/>
  <c r="AB134" i="50" s="1"/>
  <c r="O134" i="50"/>
  <c r="AC134" i="50" s="1"/>
  <c r="P134" i="50"/>
  <c r="AD134" i="50" s="1"/>
  <c r="Q134" i="50"/>
  <c r="AE134" i="50" s="1"/>
  <c r="N126" i="50"/>
  <c r="AB126" i="50" s="1"/>
  <c r="P126" i="50"/>
  <c r="AD126" i="50" s="1"/>
  <c r="O126" i="50"/>
  <c r="AC126" i="50" s="1"/>
  <c r="Q126" i="50"/>
  <c r="AE126" i="50" s="1"/>
  <c r="AA118" i="50"/>
  <c r="N118" i="50"/>
  <c r="P118" i="50"/>
  <c r="AD118" i="50" s="1"/>
  <c r="O118" i="50"/>
  <c r="AC118" i="50" s="1"/>
  <c r="Q118" i="50"/>
  <c r="AE118" i="50" s="1"/>
  <c r="N171" i="50"/>
  <c r="Q171" i="50"/>
  <c r="O171" i="50"/>
  <c r="P171" i="50"/>
  <c r="N155" i="50"/>
  <c r="Q155" i="50"/>
  <c r="O155" i="50"/>
  <c r="P155" i="50"/>
  <c r="N197" i="50"/>
  <c r="O197" i="50"/>
  <c r="P197" i="50"/>
  <c r="Q197" i="50"/>
  <c r="AA189" i="50"/>
  <c r="N189" i="50"/>
  <c r="AB189" i="50" s="1"/>
  <c r="O189" i="50"/>
  <c r="AC189" i="50" s="1"/>
  <c r="Q189" i="50"/>
  <c r="AE189" i="50" s="1"/>
  <c r="P189" i="50"/>
  <c r="AD189" i="50" s="1"/>
  <c r="AA181" i="50"/>
  <c r="N181" i="50"/>
  <c r="AB181" i="50" s="1"/>
  <c r="O181" i="50"/>
  <c r="AC181" i="50" s="1"/>
  <c r="P181" i="50"/>
  <c r="AD181" i="50" s="1"/>
  <c r="Q181" i="50"/>
  <c r="AE181" i="50" s="1"/>
  <c r="N173" i="50"/>
  <c r="O173" i="50"/>
  <c r="P173" i="50"/>
  <c r="Q173" i="50"/>
  <c r="Q165" i="50"/>
  <c r="N165" i="50"/>
  <c r="O165" i="50"/>
  <c r="P165" i="50"/>
  <c r="AA157" i="50"/>
  <c r="Q157" i="50"/>
  <c r="AE157" i="50" s="1"/>
  <c r="N157" i="50"/>
  <c r="AB157" i="50" s="1"/>
  <c r="O157" i="50"/>
  <c r="AC157" i="50" s="1"/>
  <c r="P157" i="50"/>
  <c r="AD157" i="50" s="1"/>
  <c r="N149" i="50"/>
  <c r="O149" i="50"/>
  <c r="Q149" i="50"/>
  <c r="P149" i="50"/>
  <c r="N141" i="50"/>
  <c r="O141" i="50"/>
  <c r="Q141" i="50"/>
  <c r="P141" i="50"/>
  <c r="N133" i="50"/>
  <c r="AB133" i="50" s="1"/>
  <c r="O133" i="50"/>
  <c r="AC133" i="50" s="1"/>
  <c r="Q133" i="50"/>
  <c r="AE133" i="50" s="1"/>
  <c r="P133" i="50"/>
  <c r="AD133" i="50" s="1"/>
  <c r="Q125" i="50"/>
  <c r="N125" i="50"/>
  <c r="O125" i="50"/>
  <c r="P125" i="50"/>
  <c r="AA117" i="50"/>
  <c r="N117" i="50"/>
  <c r="AB117" i="50" s="1"/>
  <c r="O117" i="50"/>
  <c r="AC117" i="50" s="1"/>
  <c r="Q117" i="50"/>
  <c r="AE117" i="50" s="1"/>
  <c r="P117" i="50"/>
  <c r="AD117" i="50" s="1"/>
  <c r="Q187" i="50"/>
  <c r="N187" i="50"/>
  <c r="O187" i="50"/>
  <c r="P187" i="50"/>
  <c r="AA147" i="50"/>
  <c r="N147" i="50"/>
  <c r="AB147" i="50" s="1"/>
  <c r="O147" i="50"/>
  <c r="AC147" i="50" s="1"/>
  <c r="P147" i="50"/>
  <c r="AD147" i="50" s="1"/>
  <c r="Q147" i="50"/>
  <c r="AE147" i="50" s="1"/>
  <c r="N204" i="50"/>
  <c r="AB204" i="50" s="1"/>
  <c r="P204" i="50"/>
  <c r="O204" i="50"/>
  <c r="AC204" i="50" s="1"/>
  <c r="Q204" i="50"/>
  <c r="AE204" i="50" s="1"/>
  <c r="AA196" i="50"/>
  <c r="N196" i="50"/>
  <c r="AB196" i="50" s="1"/>
  <c r="O196" i="50"/>
  <c r="AC196" i="50" s="1"/>
  <c r="Q196" i="50"/>
  <c r="AE196" i="50" s="1"/>
  <c r="P196" i="50"/>
  <c r="AD196" i="50" s="1"/>
  <c r="AA188" i="50"/>
  <c r="N188" i="50"/>
  <c r="AB188" i="50" s="1"/>
  <c r="O188" i="50"/>
  <c r="AC188" i="50" s="1"/>
  <c r="Q188" i="50"/>
  <c r="AE188" i="50" s="1"/>
  <c r="P188" i="50"/>
  <c r="AD188" i="50" s="1"/>
  <c r="AA180" i="50"/>
  <c r="N180" i="50"/>
  <c r="AB180" i="50" s="1"/>
  <c r="O180" i="50"/>
  <c r="AC180" i="50" s="1"/>
  <c r="P180" i="50"/>
  <c r="AD180" i="50" s="1"/>
  <c r="Q180" i="50"/>
  <c r="AE180" i="50" s="1"/>
  <c r="N172" i="50"/>
  <c r="O172" i="50"/>
  <c r="P172" i="50"/>
  <c r="Q172" i="50"/>
  <c r="N164" i="50"/>
  <c r="P164" i="50"/>
  <c r="O164" i="50"/>
  <c r="Q164" i="50"/>
  <c r="N156" i="50"/>
  <c r="P156" i="50"/>
  <c r="O156" i="50"/>
  <c r="Q156" i="50"/>
  <c r="N148" i="50"/>
  <c r="P148" i="50"/>
  <c r="O148" i="50"/>
  <c r="Q148" i="50"/>
  <c r="AA140" i="50"/>
  <c r="N140" i="50"/>
  <c r="AB140" i="50" s="1"/>
  <c r="P140" i="50"/>
  <c r="AD140" i="50" s="1"/>
  <c r="O140" i="50"/>
  <c r="AC140" i="50" s="1"/>
  <c r="Q140" i="50"/>
  <c r="AE140" i="50" s="1"/>
  <c r="AA132" i="50"/>
  <c r="N132" i="50"/>
  <c r="AB132" i="50" s="1"/>
  <c r="P132" i="50"/>
  <c r="AD132" i="50" s="1"/>
  <c r="O132" i="50"/>
  <c r="AC132" i="50" s="1"/>
  <c r="Q132" i="50"/>
  <c r="AE132" i="50" s="1"/>
  <c r="AA124" i="50"/>
  <c r="N124" i="50"/>
  <c r="AB124" i="50" s="1"/>
  <c r="O124" i="50"/>
  <c r="AC124" i="50" s="1"/>
  <c r="P124" i="50"/>
  <c r="AD124" i="50" s="1"/>
  <c r="Q124" i="50"/>
  <c r="AE124" i="50" s="1"/>
  <c r="N116" i="50"/>
  <c r="O116" i="50"/>
  <c r="P116" i="50"/>
  <c r="Q116" i="50"/>
  <c r="AA204" i="50"/>
  <c r="AA198" i="50"/>
  <c r="AA193" i="50"/>
  <c r="AA176" i="50"/>
  <c r="AA167" i="50"/>
  <c r="AA131" i="50"/>
  <c r="AE162" i="50"/>
  <c r="AA160" i="50"/>
  <c r="AA123" i="50"/>
  <c r="AD136" i="50"/>
  <c r="AA133" i="50"/>
  <c r="AA119" i="50"/>
  <c r="AA111" i="50"/>
  <c r="AA114" i="50"/>
  <c r="AA106" i="50"/>
  <c r="AB118" i="50"/>
  <c r="AE109" i="50"/>
  <c r="AB174" i="50" l="1"/>
  <c r="U292" i="50"/>
  <c r="U205" i="50"/>
  <c r="U289" i="50"/>
  <c r="U288" i="50"/>
  <c r="U281" i="50"/>
  <c r="U278" i="50"/>
  <c r="U279" i="50"/>
  <c r="U286" i="50"/>
  <c r="U262" i="50"/>
  <c r="U280" i="50"/>
  <c r="U290" i="50"/>
  <c r="U283" i="50"/>
  <c r="U277" i="50"/>
  <c r="U239" i="50"/>
  <c r="U285" i="50"/>
  <c r="U282" i="50"/>
  <c r="U291" i="50"/>
  <c r="U287" i="50"/>
  <c r="U284" i="50"/>
  <c r="U296" i="50"/>
  <c r="U297" i="50"/>
  <c r="U274" i="50"/>
  <c r="U275" i="50"/>
  <c r="U298" i="50"/>
  <c r="U299" i="50"/>
  <c r="U264" i="50"/>
  <c r="U276" i="50"/>
  <c r="U240" i="50"/>
  <c r="U247" i="50"/>
  <c r="U245" i="50"/>
  <c r="U303" i="50"/>
  <c r="U300" i="50"/>
  <c r="U266" i="50"/>
  <c r="U273" i="50"/>
  <c r="U263" i="50"/>
  <c r="U251" i="50"/>
  <c r="U250" i="50"/>
  <c r="U302" i="50"/>
  <c r="U295" i="50"/>
  <c r="U268" i="50"/>
  <c r="U265" i="50"/>
  <c r="U269" i="50"/>
  <c r="U261" i="50"/>
  <c r="U244" i="50"/>
  <c r="U253" i="50"/>
  <c r="U304" i="50"/>
  <c r="U270" i="50"/>
  <c r="U267" i="50"/>
  <c r="U257" i="50"/>
  <c r="U249" i="50"/>
  <c r="U260" i="50"/>
  <c r="U255" i="50"/>
  <c r="U241" i="50"/>
  <c r="U301" i="50"/>
  <c r="U294" i="50"/>
  <c r="U293" i="50"/>
  <c r="U272" i="50"/>
  <c r="U271" i="50"/>
  <c r="U242" i="50"/>
  <c r="U248" i="50"/>
  <c r="U243" i="50"/>
  <c r="U256" i="50"/>
  <c r="U258" i="50"/>
  <c r="U207" i="50"/>
  <c r="U229" i="50"/>
  <c r="U215" i="50"/>
  <c r="U223" i="50"/>
  <c r="U224" i="50"/>
  <c r="U254" i="50"/>
  <c r="U208" i="50"/>
  <c r="U218" i="50"/>
  <c r="U232" i="50"/>
  <c r="U226" i="50"/>
  <c r="U231" i="50"/>
  <c r="U212" i="50"/>
  <c r="U252" i="50"/>
  <c r="U259" i="50"/>
  <c r="U209" i="50"/>
  <c r="U219" i="50"/>
  <c r="U234" i="50"/>
  <c r="U227" i="50"/>
  <c r="U233" i="50"/>
  <c r="U230" i="50"/>
  <c r="U206" i="50"/>
  <c r="U222" i="50"/>
  <c r="U246" i="50"/>
  <c r="U220" i="50"/>
  <c r="U216" i="50"/>
  <c r="U236" i="50"/>
  <c r="U210" i="50"/>
  <c r="U235" i="50"/>
  <c r="U213" i="50"/>
  <c r="U228" i="50"/>
  <c r="U225" i="50"/>
  <c r="U221" i="50"/>
  <c r="U217" i="50"/>
  <c r="U238" i="50"/>
  <c r="U211" i="50"/>
  <c r="U237" i="50"/>
  <c r="U214" i="50"/>
  <c r="AD174" i="50"/>
  <c r="W277" i="50"/>
  <c r="W252" i="50"/>
  <c r="W242" i="50"/>
  <c r="W251" i="50"/>
  <c r="W209" i="50"/>
  <c r="W208" i="50"/>
  <c r="W205" i="50"/>
  <c r="W267" i="50"/>
  <c r="W250" i="50"/>
  <c r="W241" i="50"/>
  <c r="W253" i="50"/>
  <c r="W240" i="50"/>
  <c r="W215" i="50"/>
  <c r="W239" i="50"/>
  <c r="W249" i="50"/>
  <c r="W293" i="50"/>
  <c r="W294" i="50"/>
  <c r="W299" i="50"/>
  <c r="W262" i="50"/>
  <c r="W260" i="50"/>
  <c r="W248" i="50"/>
  <c r="W243" i="50"/>
  <c r="W255" i="50"/>
  <c r="W218" i="50"/>
  <c r="W227" i="50"/>
  <c r="W259" i="50"/>
  <c r="W292" i="50"/>
  <c r="W279" i="50"/>
  <c r="W254" i="50"/>
  <c r="W244" i="50"/>
  <c r="W265" i="50"/>
  <c r="W258" i="50"/>
  <c r="W246" i="50"/>
  <c r="W245" i="50"/>
  <c r="W257" i="50"/>
  <c r="W220" i="50"/>
  <c r="W268" i="50"/>
  <c r="W256" i="50"/>
  <c r="W247" i="50"/>
  <c r="W261" i="50"/>
  <c r="W301" i="50"/>
  <c r="W285" i="50"/>
  <c r="W284" i="50"/>
  <c r="W282" i="50"/>
  <c r="W278" i="50"/>
  <c r="W303" i="50"/>
  <c r="W298" i="50"/>
  <c r="W283" i="50"/>
  <c r="W288" i="50"/>
  <c r="W269" i="50"/>
  <c r="W281" i="50"/>
  <c r="W291" i="50"/>
  <c r="W264" i="50"/>
  <c r="W275" i="50"/>
  <c r="W302" i="50"/>
  <c r="W280" i="50"/>
  <c r="W270" i="50"/>
  <c r="W273" i="50"/>
  <c r="W263" i="50"/>
  <c r="W234" i="50"/>
  <c r="W231" i="50"/>
  <c r="W304" i="50"/>
  <c r="W300" i="50"/>
  <c r="W296" i="50"/>
  <c r="W286" i="50"/>
  <c r="W287" i="50"/>
  <c r="W274" i="50"/>
  <c r="W214" i="50"/>
  <c r="W235" i="50"/>
  <c r="W219" i="50"/>
  <c r="W295" i="50"/>
  <c r="W297" i="50"/>
  <c r="W289" i="50"/>
  <c r="W290" i="50"/>
  <c r="W271" i="50"/>
  <c r="W272" i="50"/>
  <c r="W232" i="50"/>
  <c r="W207" i="50"/>
  <c r="W229" i="50"/>
  <c r="W224" i="50"/>
  <c r="W221" i="50"/>
  <c r="W266" i="50"/>
  <c r="W276" i="50"/>
  <c r="W212" i="50"/>
  <c r="W226" i="50"/>
  <c r="W233" i="50"/>
  <c r="W223" i="50"/>
  <c r="W238" i="50"/>
  <c r="W217" i="50"/>
  <c r="W206" i="50"/>
  <c r="W225" i="50"/>
  <c r="W211" i="50"/>
  <c r="W228" i="50"/>
  <c r="W237" i="50"/>
  <c r="W210" i="50"/>
  <c r="W236" i="50"/>
  <c r="W222" i="50"/>
  <c r="W213" i="50"/>
  <c r="W230" i="50"/>
  <c r="W216" i="50"/>
  <c r="AE174" i="50"/>
  <c r="X205" i="50"/>
  <c r="X292" i="50"/>
  <c r="X262" i="50"/>
  <c r="X279" i="50"/>
  <c r="X287" i="50"/>
  <c r="X288" i="50"/>
  <c r="X277" i="50"/>
  <c r="X281" i="50"/>
  <c r="X282" i="50"/>
  <c r="X289" i="50"/>
  <c r="X295" i="50"/>
  <c r="X280" i="50"/>
  <c r="X297" i="50"/>
  <c r="X291" i="50"/>
  <c r="X286" i="50"/>
  <c r="X269" i="50"/>
  <c r="X264" i="50"/>
  <c r="X248" i="50"/>
  <c r="X260" i="50"/>
  <c r="X247" i="50"/>
  <c r="X259" i="50"/>
  <c r="X211" i="50"/>
  <c r="X222" i="50"/>
  <c r="X302" i="50"/>
  <c r="X299" i="50"/>
  <c r="X283" i="50"/>
  <c r="X271" i="50"/>
  <c r="X272" i="50"/>
  <c r="X250" i="50"/>
  <c r="X249" i="50"/>
  <c r="X261" i="50"/>
  <c r="X304" i="50"/>
  <c r="X294" i="50"/>
  <c r="X298" i="50"/>
  <c r="X278" i="50"/>
  <c r="X285" i="50"/>
  <c r="X273" i="50"/>
  <c r="X274" i="50"/>
  <c r="X240" i="50"/>
  <c r="X252" i="50"/>
  <c r="X239" i="50"/>
  <c r="X251" i="50"/>
  <c r="X223" i="50"/>
  <c r="X208" i="50"/>
  <c r="X237" i="50"/>
  <c r="X225" i="50"/>
  <c r="X238" i="50"/>
  <c r="X216" i="50"/>
  <c r="X301" i="50"/>
  <c r="X296" i="50"/>
  <c r="X300" i="50"/>
  <c r="X284" i="50"/>
  <c r="X263" i="50"/>
  <c r="X275" i="50"/>
  <c r="X276" i="50"/>
  <c r="X242" i="50"/>
  <c r="X254" i="50"/>
  <c r="X241" i="50"/>
  <c r="X253" i="50"/>
  <c r="X224" i="50"/>
  <c r="X219" i="50"/>
  <c r="X206" i="50"/>
  <c r="X226" i="50"/>
  <c r="X209" i="50"/>
  <c r="X303" i="50"/>
  <c r="X293" i="50"/>
  <c r="X290" i="50"/>
  <c r="X265" i="50"/>
  <c r="X268" i="50"/>
  <c r="X266" i="50"/>
  <c r="X244" i="50"/>
  <c r="X256" i="50"/>
  <c r="X243" i="50"/>
  <c r="X255" i="50"/>
  <c r="X210" i="50"/>
  <c r="X220" i="50"/>
  <c r="X217" i="50"/>
  <c r="X230" i="50"/>
  <c r="X215" i="50"/>
  <c r="X267" i="50"/>
  <c r="X270" i="50"/>
  <c r="X245" i="50"/>
  <c r="X231" i="50"/>
  <c r="X232" i="50"/>
  <c r="X257" i="50"/>
  <c r="X233" i="50"/>
  <c r="X234" i="50"/>
  <c r="X235" i="50"/>
  <c r="X236" i="50"/>
  <c r="X246" i="50"/>
  <c r="X212" i="50"/>
  <c r="X218" i="50"/>
  <c r="X227" i="50"/>
  <c r="X207" i="50"/>
  <c r="X229" i="50"/>
  <c r="X258" i="50"/>
  <c r="X221" i="50"/>
  <c r="X213" i="50"/>
  <c r="X228" i="50"/>
  <c r="X214" i="50"/>
  <c r="AC174" i="50"/>
  <c r="V205" i="50"/>
  <c r="V292" i="50"/>
  <c r="V286" i="50"/>
  <c r="V261" i="50"/>
  <c r="V280" i="50"/>
  <c r="V262" i="50"/>
  <c r="V293" i="50"/>
  <c r="V290" i="50"/>
  <c r="V278" i="50"/>
  <c r="V288" i="50"/>
  <c r="V281" i="50"/>
  <c r="V257" i="50"/>
  <c r="V245" i="50"/>
  <c r="V246" i="50"/>
  <c r="V258" i="50"/>
  <c r="V242" i="50"/>
  <c r="V247" i="50"/>
  <c r="V241" i="50"/>
  <c r="V284" i="50"/>
  <c r="V299" i="50"/>
  <c r="V282" i="50"/>
  <c r="V291" i="50"/>
  <c r="V265" i="50"/>
  <c r="V263" i="50"/>
  <c r="V255" i="50"/>
  <c r="V239" i="50"/>
  <c r="V248" i="50"/>
  <c r="V260" i="50"/>
  <c r="V283" i="50"/>
  <c r="V270" i="50"/>
  <c r="V256" i="50"/>
  <c r="V279" i="50"/>
  <c r="V289" i="50"/>
  <c r="V264" i="50"/>
  <c r="V267" i="50"/>
  <c r="V253" i="50"/>
  <c r="V250" i="50"/>
  <c r="V243" i="50"/>
  <c r="V277" i="50"/>
  <c r="V268" i="50"/>
  <c r="V249" i="50"/>
  <c r="V244" i="50"/>
  <c r="V298" i="50"/>
  <c r="V287" i="50"/>
  <c r="V266" i="50"/>
  <c r="V269" i="50"/>
  <c r="V251" i="50"/>
  <c r="V240" i="50"/>
  <c r="V252" i="50"/>
  <c r="V300" i="50"/>
  <c r="V285" i="50"/>
  <c r="V271" i="50"/>
  <c r="V254" i="50"/>
  <c r="V273" i="50"/>
  <c r="V259" i="50"/>
  <c r="V274" i="50"/>
  <c r="V301" i="50"/>
  <c r="V275" i="50"/>
  <c r="V303" i="50"/>
  <c r="V297" i="50"/>
  <c r="V295" i="50"/>
  <c r="V302" i="50"/>
  <c r="V296" i="50"/>
  <c r="V294" i="50"/>
  <c r="V304" i="50"/>
  <c r="V276" i="50"/>
  <c r="V272" i="50"/>
  <c r="V211" i="50"/>
  <c r="V223" i="50"/>
  <c r="V231" i="50"/>
  <c r="V206" i="50"/>
  <c r="V232" i="50"/>
  <c r="V238" i="50"/>
  <c r="V213" i="50"/>
  <c r="V225" i="50"/>
  <c r="V233" i="50"/>
  <c r="V215" i="50"/>
  <c r="V227" i="50"/>
  <c r="V235" i="50"/>
  <c r="V216" i="50"/>
  <c r="V214" i="50"/>
  <c r="V221" i="50"/>
  <c r="V224" i="50"/>
  <c r="V230" i="50"/>
  <c r="V226" i="50"/>
  <c r="V217" i="50"/>
  <c r="V229" i="50"/>
  <c r="V237" i="50"/>
  <c r="V228" i="50"/>
  <c r="V234" i="50"/>
  <c r="V210" i="50"/>
  <c r="V222" i="50"/>
  <c r="V236" i="50"/>
  <c r="V207" i="50"/>
  <c r="V219" i="50"/>
  <c r="V208" i="50"/>
  <c r="V212" i="50"/>
  <c r="V209" i="50"/>
  <c r="V220" i="50"/>
  <c r="V218" i="50"/>
  <c r="D17" i="56"/>
  <c r="E17" i="56"/>
  <c r="G17" i="56"/>
  <c r="C17" i="56"/>
  <c r="F17" i="56"/>
  <c r="BT106" i="50"/>
  <c r="BY154" i="50" s="1"/>
  <c r="BR78" i="50"/>
  <c r="L79" i="49"/>
  <c r="BR79" i="50" s="1"/>
  <c r="BP107" i="50"/>
  <c r="J108" i="49"/>
  <c r="BP108" i="50" s="1"/>
  <c r="BQ136" i="50"/>
  <c r="K137" i="49"/>
  <c r="BQ137" i="50" s="1"/>
  <c r="BQ49" i="50"/>
  <c r="K50" i="49"/>
  <c r="BQ50" i="50" s="1"/>
  <c r="BO136" i="50"/>
  <c r="I137" i="49"/>
  <c r="BO137" i="50" s="1"/>
  <c r="BT135" i="50"/>
  <c r="BY199" i="50" s="1"/>
  <c r="BS107" i="50"/>
  <c r="M108" i="49"/>
  <c r="BS108" i="50" s="1"/>
  <c r="BR20" i="50"/>
  <c r="L21" i="49"/>
  <c r="BR21" i="50" s="1"/>
  <c r="BQ107" i="50"/>
  <c r="K108" i="49"/>
  <c r="BQ108" i="50" s="1"/>
  <c r="BP78" i="50"/>
  <c r="J79" i="49"/>
  <c r="BP79" i="50" s="1"/>
  <c r="BO20" i="50"/>
  <c r="I21" i="49"/>
  <c r="BO21" i="50" s="1"/>
  <c r="BO107" i="50"/>
  <c r="I108" i="49"/>
  <c r="BO108" i="50" s="1"/>
  <c r="BS78" i="50"/>
  <c r="M79" i="49"/>
  <c r="BS79" i="50" s="1"/>
  <c r="BS136" i="50"/>
  <c r="M137" i="49"/>
  <c r="BS137" i="50" s="1"/>
  <c r="BQ20" i="50"/>
  <c r="K21" i="49"/>
  <c r="BQ21" i="50" s="1"/>
  <c r="BR107" i="50"/>
  <c r="L108" i="49"/>
  <c r="BR108" i="50" s="1"/>
  <c r="BP49" i="50"/>
  <c r="J50" i="49"/>
  <c r="BP50" i="50" s="1"/>
  <c r="BS20" i="50"/>
  <c r="M21" i="49"/>
  <c r="BS21" i="50" s="1"/>
  <c r="BP20" i="50"/>
  <c r="J21" i="49"/>
  <c r="BP21" i="50" s="1"/>
  <c r="BQ78" i="50"/>
  <c r="K79" i="49"/>
  <c r="BQ79" i="50" s="1"/>
  <c r="BO78" i="50"/>
  <c r="I79" i="49"/>
  <c r="BO79" i="50" s="1"/>
  <c r="BT77" i="50"/>
  <c r="BY109" i="50" s="1"/>
  <c r="BP136" i="50"/>
  <c r="J137" i="49"/>
  <c r="BP137" i="50" s="1"/>
  <c r="BR49" i="50"/>
  <c r="L50" i="49"/>
  <c r="BR50" i="50" s="1"/>
  <c r="BO49" i="50"/>
  <c r="I50" i="49"/>
  <c r="BO50" i="50" s="1"/>
  <c r="BR136" i="50"/>
  <c r="L137" i="49"/>
  <c r="BR137" i="50" s="1"/>
  <c r="BS49" i="50"/>
  <c r="M50" i="49"/>
  <c r="BS50" i="50" s="1"/>
  <c r="BT48" i="50"/>
  <c r="BY64" i="50" s="1"/>
  <c r="BT19" i="50"/>
  <c r="BY19" i="50" s="1"/>
  <c r="V64" i="51"/>
  <c r="V109" i="51"/>
  <c r="V199" i="51"/>
  <c r="V154" i="51"/>
  <c r="AD19" i="51"/>
  <c r="H51" i="51"/>
  <c r="H84" i="51"/>
  <c r="V20" i="51" s="1"/>
  <c r="W20" i="51" s="1"/>
  <c r="AD204" i="50"/>
  <c r="AA203" i="50"/>
  <c r="AB203" i="50"/>
  <c r="AC203" i="50"/>
  <c r="AD203" i="50"/>
  <c r="AE203" i="50"/>
  <c r="AA200" i="50"/>
  <c r="AB200" i="50"/>
  <c r="AC200" i="50"/>
  <c r="AE200" i="50"/>
  <c r="AD200" i="50"/>
  <c r="AB176" i="50"/>
  <c r="AB187" i="50"/>
  <c r="AC187" i="50"/>
  <c r="AC176" i="50"/>
  <c r="AA177" i="50"/>
  <c r="AD192" i="50"/>
  <c r="AA192" i="50"/>
  <c r="AB192" i="50"/>
  <c r="AC192" i="50"/>
  <c r="AE192" i="50"/>
  <c r="AD177" i="50"/>
  <c r="AE177" i="50"/>
  <c r="AA138" i="50"/>
  <c r="AB138" i="50"/>
  <c r="AC138" i="50"/>
  <c r="AD138" i="50"/>
  <c r="AE138" i="50"/>
  <c r="AA141" i="50"/>
  <c r="AB141" i="50"/>
  <c r="AC141" i="50"/>
  <c r="AD141" i="50"/>
  <c r="AE141" i="50"/>
  <c r="AA172" i="50"/>
  <c r="AD172" i="50"/>
  <c r="AB172" i="50"/>
  <c r="AC172" i="50"/>
  <c r="AE172" i="50"/>
  <c r="AD123" i="50"/>
  <c r="AA146" i="50"/>
  <c r="AB146" i="50"/>
  <c r="AC146" i="50"/>
  <c r="AD146" i="50"/>
  <c r="AE146" i="50"/>
  <c r="AA143" i="50"/>
  <c r="AB143" i="50"/>
  <c r="AC143" i="50"/>
  <c r="AD143" i="50"/>
  <c r="AE143" i="50"/>
  <c r="AA149" i="50"/>
  <c r="AB149" i="50"/>
  <c r="AC149" i="50"/>
  <c r="AD149" i="50"/>
  <c r="AE149" i="50"/>
  <c r="AA154" i="50"/>
  <c r="AB154" i="50"/>
  <c r="AD154" i="50"/>
  <c r="AE154" i="50"/>
  <c r="AC154" i="50"/>
  <c r="AE123" i="50"/>
  <c r="AD106" i="50"/>
  <c r="AA116" i="50"/>
  <c r="AC116" i="50"/>
  <c r="AD116" i="50"/>
  <c r="AB116" i="50"/>
  <c r="AA121" i="50"/>
  <c r="AD121" i="50"/>
  <c r="AB121" i="50"/>
  <c r="AC121" i="50"/>
  <c r="AE121" i="50"/>
  <c r="AE120" i="50"/>
  <c r="AB120" i="50"/>
  <c r="AA120" i="50"/>
  <c r="AC120" i="50"/>
  <c r="AD120" i="50"/>
  <c r="AE106" i="50"/>
  <c r="BA78" i="50" l="1"/>
  <c r="BA20" i="50"/>
  <c r="BA107" i="50"/>
  <c r="BA136" i="50"/>
  <c r="BA49" i="50"/>
  <c r="BA16" i="50"/>
  <c r="BA103" i="50"/>
  <c r="BA132" i="50"/>
  <c r="BA45" i="50"/>
  <c r="BA74" i="50"/>
  <c r="BA134" i="50"/>
  <c r="BA47" i="50"/>
  <c r="BA76" i="50"/>
  <c r="BA18" i="50"/>
  <c r="BA105" i="50"/>
  <c r="BA75" i="50"/>
  <c r="BA17" i="50"/>
  <c r="BA104" i="50"/>
  <c r="BA133" i="50"/>
  <c r="BA46" i="50"/>
  <c r="BA19" i="50"/>
  <c r="BA106" i="50"/>
  <c r="BA135" i="50"/>
  <c r="BA48" i="50"/>
  <c r="BA77" i="50"/>
  <c r="C18" i="56"/>
  <c r="E18" i="56"/>
  <c r="F18" i="56"/>
  <c r="D18" i="56"/>
  <c r="G18" i="56"/>
  <c r="BT49" i="50"/>
  <c r="BY65" i="50" s="1"/>
  <c r="BT79" i="50"/>
  <c r="BY111" i="50" s="1"/>
  <c r="BT108" i="50"/>
  <c r="BY156" i="50" s="1"/>
  <c r="BT50" i="50"/>
  <c r="BY66" i="50" s="1"/>
  <c r="BT78" i="50"/>
  <c r="BY110" i="50" s="1"/>
  <c r="BT107" i="50"/>
  <c r="BY155" i="50" s="1"/>
  <c r="BT21" i="50"/>
  <c r="BY21" i="50" s="1"/>
  <c r="BT136" i="50"/>
  <c r="BY200" i="50" s="1"/>
  <c r="BT20" i="50"/>
  <c r="BY20" i="50" s="1"/>
  <c r="BT137" i="50"/>
  <c r="BY201" i="50" s="1"/>
  <c r="V110" i="51"/>
  <c r="V200" i="51"/>
  <c r="V65" i="51"/>
  <c r="AD20" i="51"/>
  <c r="V155" i="51"/>
  <c r="H85" i="51"/>
  <c r="V21" i="51" s="1"/>
  <c r="W21" i="51" s="1"/>
  <c r="AE202" i="50"/>
  <c r="AA202" i="50"/>
  <c r="AD202" i="50"/>
  <c r="AC202" i="50"/>
  <c r="AB202" i="50"/>
  <c r="AD187" i="50"/>
  <c r="AE187" i="50"/>
  <c r="AA187" i="50"/>
  <c r="AA197" i="50"/>
  <c r="AE197" i="50"/>
  <c r="AA159" i="50"/>
  <c r="AB159" i="50"/>
  <c r="AC159" i="50"/>
  <c r="AD159" i="50"/>
  <c r="AE159" i="50"/>
  <c r="AA148" i="50"/>
  <c r="AB148" i="50"/>
  <c r="AC148" i="50"/>
  <c r="AD148" i="50"/>
  <c r="AE148" i="50"/>
  <c r="AA164" i="50"/>
  <c r="AB164" i="50"/>
  <c r="AC164" i="50"/>
  <c r="AD164" i="50"/>
  <c r="AE164" i="50"/>
  <c r="AE153" i="50"/>
  <c r="AA153" i="50"/>
  <c r="AB153" i="50"/>
  <c r="AC153" i="50"/>
  <c r="AD153" i="50"/>
  <c r="AA156" i="50"/>
  <c r="AB156" i="50"/>
  <c r="AC156" i="50"/>
  <c r="AD156" i="50"/>
  <c r="AE156" i="50"/>
  <c r="AA151" i="50"/>
  <c r="AB151" i="50"/>
  <c r="AC151" i="50"/>
  <c r="AD151" i="50"/>
  <c r="AE151" i="50"/>
  <c r="AE116" i="50"/>
  <c r="D19" i="56" l="1"/>
  <c r="D20" i="56"/>
  <c r="G19" i="56"/>
  <c r="E20" i="56"/>
  <c r="F19" i="56"/>
  <c r="C20" i="56"/>
  <c r="E19" i="56"/>
  <c r="G20" i="56"/>
  <c r="C19" i="56"/>
  <c r="F20" i="56"/>
  <c r="V111" i="51"/>
  <c r="V66" i="51"/>
  <c r="V201" i="51"/>
  <c r="AD21" i="51"/>
  <c r="V156" i="51"/>
  <c r="AB197" i="50"/>
  <c r="AD197" i="50"/>
  <c r="AC197" i="50"/>
  <c r="AA166" i="50"/>
  <c r="AB166" i="50"/>
  <c r="AC166" i="50"/>
  <c r="AE166" i="50"/>
  <c r="AD166" i="50"/>
  <c r="AA161" i="50"/>
  <c r="AB161" i="50"/>
  <c r="AC161" i="50"/>
  <c r="AD161" i="50"/>
  <c r="AE161" i="50"/>
  <c r="AA158" i="50"/>
  <c r="AB158" i="50"/>
  <c r="AC158" i="50"/>
  <c r="AE158" i="50"/>
  <c r="AD158" i="50"/>
  <c r="AC169" i="50"/>
  <c r="AA169" i="50"/>
  <c r="AB169" i="50"/>
  <c r="AD169" i="50"/>
  <c r="AE169" i="50"/>
  <c r="AE163" i="50"/>
  <c r="AA163" i="50"/>
  <c r="AB163" i="50"/>
  <c r="AD163" i="50"/>
  <c r="AC163" i="50"/>
  <c r="AC173" i="50" l="1"/>
  <c r="AD173" i="50"/>
  <c r="AE173" i="50"/>
  <c r="AA173" i="50"/>
  <c r="AB173" i="50"/>
  <c r="AD168" i="50"/>
  <c r="AE168" i="50"/>
  <c r="AA168" i="50"/>
  <c r="AB168" i="50"/>
  <c r="AC168" i="50"/>
  <c r="AE171" i="50"/>
  <c r="AA171" i="50"/>
  <c r="AB171" i="50"/>
  <c r="AC171" i="50"/>
  <c r="AD171" i="50"/>
  <c r="W130" i="49" l="1"/>
  <c r="V130" i="49"/>
  <c r="U130" i="49"/>
  <c r="T130" i="49"/>
  <c r="S130" i="49"/>
  <c r="W129" i="49"/>
  <c r="V129" i="49"/>
  <c r="U129" i="49"/>
  <c r="T129" i="49"/>
  <c r="S129" i="49"/>
  <c r="W128" i="49"/>
  <c r="V128" i="49"/>
  <c r="U128" i="49"/>
  <c r="T128" i="49"/>
  <c r="S128" i="49"/>
  <c r="W127" i="49"/>
  <c r="V127" i="49"/>
  <c r="U127" i="49"/>
  <c r="T127" i="49"/>
  <c r="S127" i="49"/>
  <c r="W126" i="49"/>
  <c r="V126" i="49"/>
  <c r="U126" i="49"/>
  <c r="T126" i="49"/>
  <c r="S126" i="49"/>
  <c r="W125" i="49"/>
  <c r="V125" i="49"/>
  <c r="U125" i="49"/>
  <c r="T125" i="49"/>
  <c r="S125" i="49"/>
  <c r="W124" i="49"/>
  <c r="V124" i="49"/>
  <c r="U124" i="49"/>
  <c r="T124" i="49"/>
  <c r="S124" i="49"/>
  <c r="W123" i="49"/>
  <c r="V123" i="49"/>
  <c r="U123" i="49"/>
  <c r="T123" i="49"/>
  <c r="S123" i="49"/>
  <c r="W122" i="49"/>
  <c r="V122" i="49"/>
  <c r="U122" i="49"/>
  <c r="T122" i="49"/>
  <c r="S122" i="49"/>
  <c r="W101" i="49"/>
  <c r="V101" i="49"/>
  <c r="U101" i="49"/>
  <c r="T101" i="49"/>
  <c r="S101" i="49"/>
  <c r="W100" i="49"/>
  <c r="V100" i="49"/>
  <c r="U100" i="49"/>
  <c r="T100" i="49"/>
  <c r="S100" i="49"/>
  <c r="W99" i="49"/>
  <c r="V99" i="49"/>
  <c r="U99" i="49"/>
  <c r="T99" i="49"/>
  <c r="S99" i="49"/>
  <c r="W98" i="49"/>
  <c r="V98" i="49"/>
  <c r="U98" i="49"/>
  <c r="T98" i="49"/>
  <c r="S98" i="49"/>
  <c r="W97" i="49"/>
  <c r="V97" i="49"/>
  <c r="U97" i="49"/>
  <c r="T97" i="49"/>
  <c r="S97" i="49"/>
  <c r="W96" i="49"/>
  <c r="V96" i="49"/>
  <c r="U96" i="49"/>
  <c r="T96" i="49"/>
  <c r="S96" i="49"/>
  <c r="W95" i="49"/>
  <c r="V95" i="49"/>
  <c r="U95" i="49"/>
  <c r="T95" i="49"/>
  <c r="S95" i="49"/>
  <c r="W94" i="49"/>
  <c r="V94" i="49"/>
  <c r="U94" i="49"/>
  <c r="T94" i="49"/>
  <c r="S94" i="49"/>
  <c r="W93" i="49"/>
  <c r="V93" i="49"/>
  <c r="U93" i="49"/>
  <c r="T93" i="49"/>
  <c r="S93" i="49"/>
  <c r="W72" i="49"/>
  <c r="V72" i="49"/>
  <c r="U72" i="49"/>
  <c r="T72" i="49"/>
  <c r="S72" i="49"/>
  <c r="W71" i="49"/>
  <c r="V71" i="49"/>
  <c r="U71" i="49"/>
  <c r="T71" i="49"/>
  <c r="S71" i="49"/>
  <c r="W70" i="49"/>
  <c r="V70" i="49"/>
  <c r="U70" i="49"/>
  <c r="T70" i="49"/>
  <c r="S70" i="49"/>
  <c r="W69" i="49"/>
  <c r="V69" i="49"/>
  <c r="U69" i="49"/>
  <c r="T69" i="49"/>
  <c r="S69" i="49"/>
  <c r="W68" i="49"/>
  <c r="V68" i="49"/>
  <c r="U68" i="49"/>
  <c r="T68" i="49"/>
  <c r="S68" i="49"/>
  <c r="W67" i="49"/>
  <c r="V67" i="49"/>
  <c r="U67" i="49"/>
  <c r="T67" i="49"/>
  <c r="S67" i="49"/>
  <c r="W66" i="49"/>
  <c r="V66" i="49"/>
  <c r="U66" i="49"/>
  <c r="T66" i="49"/>
  <c r="S66" i="49"/>
  <c r="W65" i="49"/>
  <c r="V65" i="49"/>
  <c r="U65" i="49"/>
  <c r="T65" i="49"/>
  <c r="S65" i="49"/>
  <c r="W64" i="49"/>
  <c r="V64" i="49"/>
  <c r="U64" i="49"/>
  <c r="T64" i="49"/>
  <c r="S64" i="49"/>
  <c r="W43" i="49"/>
  <c r="V43" i="49"/>
  <c r="U43" i="49"/>
  <c r="T43" i="49"/>
  <c r="S43" i="49"/>
  <c r="W42" i="49"/>
  <c r="V42" i="49"/>
  <c r="U42" i="49"/>
  <c r="T42" i="49"/>
  <c r="S42" i="49"/>
  <c r="W41" i="49"/>
  <c r="V41" i="49"/>
  <c r="U41" i="49"/>
  <c r="T41" i="49"/>
  <c r="S41" i="49"/>
  <c r="W40" i="49"/>
  <c r="V40" i="49"/>
  <c r="U40" i="49"/>
  <c r="T40" i="49"/>
  <c r="S40" i="49"/>
  <c r="W39" i="49"/>
  <c r="V39" i="49"/>
  <c r="U39" i="49"/>
  <c r="T39" i="49"/>
  <c r="S39" i="49"/>
  <c r="W38" i="49"/>
  <c r="V38" i="49"/>
  <c r="U38" i="49"/>
  <c r="T38" i="49"/>
  <c r="S38" i="49"/>
  <c r="W37" i="49"/>
  <c r="V37" i="49"/>
  <c r="U37" i="49"/>
  <c r="T37" i="49"/>
  <c r="S37" i="49"/>
  <c r="W36" i="49"/>
  <c r="V36" i="49"/>
  <c r="U36" i="49"/>
  <c r="T36" i="49"/>
  <c r="S36" i="49"/>
  <c r="W35" i="49"/>
  <c r="V35" i="49"/>
  <c r="U35" i="49"/>
  <c r="T35" i="49"/>
  <c r="S35" i="49"/>
  <c r="S7" i="49"/>
  <c r="T7" i="49"/>
  <c r="N7" i="51" s="1"/>
  <c r="U7" i="49"/>
  <c r="V7" i="49"/>
  <c r="W7" i="49"/>
  <c r="S8" i="49"/>
  <c r="T8" i="49"/>
  <c r="N8" i="51" s="1"/>
  <c r="U8" i="49"/>
  <c r="O8" i="51" s="1"/>
  <c r="V8" i="49"/>
  <c r="W8" i="49"/>
  <c r="S9" i="49"/>
  <c r="T9" i="49"/>
  <c r="N9" i="51" s="1"/>
  <c r="U9" i="49"/>
  <c r="O9" i="51" s="1"/>
  <c r="V9" i="49"/>
  <c r="P9" i="51" s="1"/>
  <c r="W9" i="49"/>
  <c r="S10" i="49"/>
  <c r="T10" i="49"/>
  <c r="U10" i="49"/>
  <c r="O10" i="51" s="1"/>
  <c r="W10" i="49"/>
  <c r="S11" i="49"/>
  <c r="T11" i="49"/>
  <c r="U11" i="49"/>
  <c r="V11" i="49"/>
  <c r="P11" i="51" s="1"/>
  <c r="W11" i="49"/>
  <c r="Q11" i="51" s="1"/>
  <c r="S12" i="49"/>
  <c r="T12" i="49"/>
  <c r="U12" i="49"/>
  <c r="V12" i="49"/>
  <c r="P12" i="51" s="1"/>
  <c r="W12" i="49"/>
  <c r="Q12" i="51" s="1"/>
  <c r="S13" i="49"/>
  <c r="T13" i="49"/>
  <c r="U13" i="49"/>
  <c r="V13" i="49"/>
  <c r="W13" i="49"/>
  <c r="Q13" i="51" s="1"/>
  <c r="S14" i="49"/>
  <c r="T14" i="49"/>
  <c r="U14" i="49"/>
  <c r="V14" i="49"/>
  <c r="W14" i="49"/>
  <c r="Q14" i="51" s="1"/>
  <c r="T6" i="49"/>
  <c r="U6" i="49"/>
  <c r="V6" i="49"/>
  <c r="W6" i="49"/>
  <c r="S6" i="49"/>
  <c r="AH363" i="52" l="1"/>
  <c r="AG363" i="52"/>
  <c r="AF363" i="52"/>
  <c r="AE363" i="52"/>
  <c r="AD363" i="52"/>
  <c r="AH362" i="52"/>
  <c r="AG362" i="52"/>
  <c r="AF362" i="52"/>
  <c r="AE362" i="52"/>
  <c r="AD362" i="52"/>
  <c r="AH361" i="52"/>
  <c r="AG361" i="52"/>
  <c r="AF361" i="52"/>
  <c r="AE361" i="52"/>
  <c r="AD361" i="52"/>
  <c r="AH360" i="52"/>
  <c r="AG360" i="52"/>
  <c r="AF360" i="52"/>
  <c r="AE360" i="52"/>
  <c r="AD360" i="52"/>
  <c r="AH359" i="52"/>
  <c r="AG359" i="52"/>
  <c r="AF359" i="52"/>
  <c r="AE359" i="52"/>
  <c r="AD359" i="52"/>
  <c r="AH358" i="52"/>
  <c r="AG358" i="52"/>
  <c r="AF358" i="52"/>
  <c r="AE358" i="52"/>
  <c r="AD358" i="52"/>
  <c r="AH357" i="52"/>
  <c r="AG357" i="52"/>
  <c r="AF357" i="52"/>
  <c r="AE357" i="52"/>
  <c r="AD357" i="52"/>
  <c r="AH356" i="52"/>
  <c r="AG356" i="52"/>
  <c r="AF356" i="52"/>
  <c r="AE356" i="52"/>
  <c r="AD356" i="52"/>
  <c r="AH355" i="52"/>
  <c r="AG355" i="52"/>
  <c r="AF355" i="52"/>
  <c r="AE355" i="52"/>
  <c r="AD355" i="52"/>
  <c r="AH354" i="52"/>
  <c r="AG354" i="52"/>
  <c r="AF354" i="52"/>
  <c r="AE354" i="52"/>
  <c r="AD354" i="52"/>
  <c r="AH353" i="52"/>
  <c r="AG353" i="52"/>
  <c r="AF353" i="52"/>
  <c r="AE353" i="52"/>
  <c r="AD353" i="52"/>
  <c r="AH352" i="52"/>
  <c r="AG352" i="52"/>
  <c r="AF352" i="52"/>
  <c r="AE352" i="52"/>
  <c r="AD352" i="52"/>
  <c r="AH351" i="52"/>
  <c r="AG351" i="52"/>
  <c r="AF351" i="52"/>
  <c r="AE351" i="52"/>
  <c r="AD351" i="52"/>
  <c r="AH350" i="52"/>
  <c r="AG350" i="52"/>
  <c r="AF350" i="52"/>
  <c r="AE350" i="52"/>
  <c r="AD350" i="52"/>
  <c r="AH349" i="52"/>
  <c r="AG349" i="52"/>
  <c r="AF349" i="52"/>
  <c r="AE349" i="52"/>
  <c r="AD349" i="52"/>
  <c r="AH348" i="52"/>
  <c r="AG348" i="52"/>
  <c r="AF348" i="52"/>
  <c r="AE348" i="52"/>
  <c r="AD348" i="52"/>
  <c r="AH347" i="52"/>
  <c r="AG347" i="52"/>
  <c r="AF347" i="52"/>
  <c r="AE347" i="52"/>
  <c r="AD347" i="52"/>
  <c r="AH346" i="52"/>
  <c r="AG346" i="52"/>
  <c r="AF346" i="52"/>
  <c r="AE346" i="52"/>
  <c r="AD346" i="52"/>
  <c r="AH345" i="52"/>
  <c r="AG345" i="52"/>
  <c r="AF345" i="52"/>
  <c r="AE345" i="52"/>
  <c r="AD345" i="52"/>
  <c r="AH344" i="52"/>
  <c r="AG344" i="52"/>
  <c r="AF344" i="52"/>
  <c r="AE344" i="52"/>
  <c r="AD344" i="52"/>
  <c r="AH343" i="52"/>
  <c r="AG343" i="52"/>
  <c r="AF343" i="52"/>
  <c r="AE343" i="52"/>
  <c r="AD343" i="52"/>
  <c r="AH342" i="52"/>
  <c r="AG342" i="52"/>
  <c r="AF342" i="52"/>
  <c r="AE342" i="52"/>
  <c r="AD342" i="52"/>
  <c r="AH341" i="52"/>
  <c r="AG341" i="52"/>
  <c r="AF341" i="52"/>
  <c r="AE341" i="52"/>
  <c r="AD341" i="52"/>
  <c r="AH340" i="52"/>
  <c r="AG340" i="52"/>
  <c r="AF340" i="52"/>
  <c r="AE340" i="52"/>
  <c r="AD340" i="52"/>
  <c r="AH339" i="52"/>
  <c r="AG339" i="52"/>
  <c r="AF339" i="52"/>
  <c r="AE339" i="52"/>
  <c r="AD339" i="52"/>
  <c r="AH338" i="52"/>
  <c r="AG338" i="52"/>
  <c r="AF338" i="52"/>
  <c r="AE338" i="52"/>
  <c r="AD338" i="52"/>
  <c r="AH337" i="52"/>
  <c r="AG337" i="52"/>
  <c r="AF337" i="52"/>
  <c r="AE337" i="52"/>
  <c r="AD337" i="52"/>
  <c r="AH336" i="52"/>
  <c r="AG336" i="52"/>
  <c r="AF336" i="52"/>
  <c r="AE336" i="52"/>
  <c r="AD336" i="52"/>
  <c r="AH335" i="52"/>
  <c r="AG335" i="52"/>
  <c r="AF335" i="52"/>
  <c r="AE335" i="52"/>
  <c r="AD335" i="52"/>
  <c r="AH334" i="52"/>
  <c r="AG334" i="52"/>
  <c r="AF334" i="52"/>
  <c r="AE334" i="52"/>
  <c r="AD334" i="52"/>
  <c r="AH333" i="52"/>
  <c r="AG333" i="52"/>
  <c r="AF333" i="52"/>
  <c r="AE333" i="52"/>
  <c r="AD333" i="52"/>
  <c r="AH332" i="52"/>
  <c r="AG332" i="52"/>
  <c r="AF332" i="52"/>
  <c r="AE332" i="52"/>
  <c r="AD332" i="52"/>
  <c r="AH331" i="52"/>
  <c r="AG331" i="52"/>
  <c r="AF331" i="52"/>
  <c r="AE331" i="52"/>
  <c r="AD331" i="52"/>
  <c r="AH330" i="52"/>
  <c r="AG330" i="52"/>
  <c r="AF330" i="52"/>
  <c r="AE330" i="52"/>
  <c r="AD330" i="52"/>
  <c r="AH329" i="52"/>
  <c r="AG329" i="52"/>
  <c r="AF329" i="52"/>
  <c r="AE329" i="52"/>
  <c r="AD329" i="52"/>
  <c r="AH328" i="52"/>
  <c r="AG328" i="52"/>
  <c r="AF328" i="52"/>
  <c r="AE328" i="52"/>
  <c r="AD328" i="52"/>
  <c r="AH327" i="52"/>
  <c r="AG327" i="52"/>
  <c r="AF327" i="52"/>
  <c r="AE327" i="52"/>
  <c r="AD327" i="52"/>
  <c r="AH326" i="52"/>
  <c r="AG326" i="52"/>
  <c r="AF326" i="52"/>
  <c r="AE326" i="52"/>
  <c r="AD326" i="52"/>
  <c r="AH325" i="52"/>
  <c r="AG325" i="52"/>
  <c r="AF325" i="52"/>
  <c r="AE325" i="52"/>
  <c r="AD325" i="52"/>
  <c r="AH324" i="52"/>
  <c r="AG324" i="52"/>
  <c r="AF324" i="52"/>
  <c r="AE324" i="52"/>
  <c r="AD324" i="52"/>
  <c r="AH323" i="52"/>
  <c r="AG323" i="52"/>
  <c r="AF323" i="52"/>
  <c r="AE323" i="52"/>
  <c r="AD323" i="52"/>
  <c r="AH322" i="52"/>
  <c r="AG322" i="52"/>
  <c r="AF322" i="52"/>
  <c r="AE322" i="52"/>
  <c r="AD322" i="52"/>
  <c r="AH321" i="52"/>
  <c r="AG321" i="52"/>
  <c r="AF321" i="52"/>
  <c r="AE321" i="52"/>
  <c r="AD321" i="52"/>
  <c r="AH320" i="52"/>
  <c r="AG320" i="52"/>
  <c r="AF320" i="52"/>
  <c r="AE320" i="52"/>
  <c r="AD320" i="52"/>
  <c r="AH319" i="52"/>
  <c r="AG319" i="52"/>
  <c r="AF319" i="52"/>
  <c r="AE319" i="52"/>
  <c r="AD319" i="52"/>
  <c r="AH318" i="52"/>
  <c r="AG318" i="52"/>
  <c r="AF318" i="52"/>
  <c r="AE318" i="52"/>
  <c r="AD318" i="52"/>
  <c r="AH317" i="52"/>
  <c r="AG317" i="52"/>
  <c r="AF317" i="52"/>
  <c r="AE317" i="52"/>
  <c r="AD317" i="52"/>
  <c r="AH316" i="52"/>
  <c r="AG316" i="52"/>
  <c r="AF316" i="52"/>
  <c r="AE316" i="52"/>
  <c r="AD316" i="52"/>
  <c r="AH315" i="52"/>
  <c r="AG315" i="52"/>
  <c r="AF315" i="52"/>
  <c r="AE315" i="52"/>
  <c r="AD315" i="52"/>
  <c r="AH314" i="52"/>
  <c r="AG314" i="52"/>
  <c r="AF314" i="52"/>
  <c r="AE314" i="52"/>
  <c r="AD314" i="52"/>
  <c r="AH313" i="52"/>
  <c r="AG313" i="52"/>
  <c r="AF313" i="52"/>
  <c r="AE313" i="52"/>
  <c r="AD313" i="52"/>
  <c r="AH312" i="52"/>
  <c r="AG312" i="52"/>
  <c r="AF312" i="52"/>
  <c r="AE312" i="52"/>
  <c r="AD312" i="52"/>
  <c r="AH311" i="52"/>
  <c r="AG311" i="52"/>
  <c r="AF311" i="52"/>
  <c r="AE311" i="52"/>
  <c r="AD311" i="52"/>
  <c r="AH310" i="52"/>
  <c r="AG310" i="52"/>
  <c r="AF310" i="52"/>
  <c r="AE310" i="52"/>
  <c r="AD310" i="52"/>
  <c r="AH309" i="52"/>
  <c r="AG309" i="52"/>
  <c r="AF309" i="52"/>
  <c r="AE309" i="52"/>
  <c r="AD309" i="52"/>
  <c r="AH308" i="52"/>
  <c r="AG308" i="52"/>
  <c r="AF308" i="52"/>
  <c r="AE308" i="52"/>
  <c r="AD308" i="52"/>
  <c r="AH307" i="52"/>
  <c r="AG307" i="52"/>
  <c r="AF307" i="52"/>
  <c r="AE307" i="52"/>
  <c r="AD307" i="52"/>
  <c r="AH306" i="52"/>
  <c r="AG306" i="52"/>
  <c r="AF306" i="52"/>
  <c r="AE306" i="52"/>
  <c r="AD306" i="52"/>
  <c r="AH305" i="52"/>
  <c r="AG305" i="52"/>
  <c r="AF305" i="52"/>
  <c r="AE305" i="52"/>
  <c r="AD305" i="52"/>
  <c r="AH304" i="52"/>
  <c r="AG304" i="52"/>
  <c r="AF304" i="52"/>
  <c r="AE304" i="52"/>
  <c r="AD304" i="52"/>
  <c r="AH303" i="52"/>
  <c r="AG303" i="52"/>
  <c r="AF303" i="52"/>
  <c r="AE303" i="52"/>
  <c r="AD303" i="52"/>
  <c r="AH302" i="52"/>
  <c r="AG302" i="52"/>
  <c r="AF302" i="52"/>
  <c r="AE302" i="52"/>
  <c r="AD302" i="52"/>
  <c r="AH301" i="52"/>
  <c r="AG301" i="52"/>
  <c r="AF301" i="52"/>
  <c r="AE301" i="52"/>
  <c r="AD301" i="52"/>
  <c r="AH300" i="52"/>
  <c r="AG300" i="52"/>
  <c r="AF300" i="52"/>
  <c r="AE300" i="52"/>
  <c r="AD300" i="52"/>
  <c r="AH299" i="52"/>
  <c r="AG299" i="52"/>
  <c r="AF299" i="52"/>
  <c r="AE299" i="52"/>
  <c r="AD299" i="52"/>
  <c r="AH298" i="52"/>
  <c r="AG298" i="52"/>
  <c r="AF298" i="52"/>
  <c r="AE298" i="52"/>
  <c r="AD298" i="52"/>
  <c r="AH297" i="52"/>
  <c r="AG297" i="52"/>
  <c r="AF297" i="52"/>
  <c r="AE297" i="52"/>
  <c r="AD297" i="52"/>
  <c r="AH296" i="52"/>
  <c r="AG296" i="52"/>
  <c r="AF296" i="52"/>
  <c r="AE296" i="52"/>
  <c r="AD296" i="52"/>
  <c r="AH295" i="52"/>
  <c r="AG295" i="52"/>
  <c r="AF295" i="52"/>
  <c r="AE295" i="52"/>
  <c r="AD295" i="52"/>
  <c r="AH294" i="52"/>
  <c r="AG294" i="52"/>
  <c r="AF294" i="52"/>
  <c r="AE294" i="52"/>
  <c r="AD294" i="52"/>
  <c r="AH293" i="52"/>
  <c r="AG293" i="52"/>
  <c r="AF293" i="52"/>
  <c r="AE293" i="52"/>
  <c r="AD293" i="52"/>
  <c r="AH292" i="52"/>
  <c r="AG292" i="52"/>
  <c r="AF292" i="52"/>
  <c r="AE292" i="52"/>
  <c r="AD292" i="52"/>
  <c r="AH291" i="52"/>
  <c r="AG291" i="52"/>
  <c r="AF291" i="52"/>
  <c r="AE291" i="52"/>
  <c r="AD291" i="52"/>
  <c r="AH290" i="52"/>
  <c r="AG290" i="52"/>
  <c r="AF290" i="52"/>
  <c r="AE290" i="52"/>
  <c r="AD290" i="52"/>
  <c r="AH289" i="52"/>
  <c r="AG289" i="52"/>
  <c r="AF289" i="52"/>
  <c r="AE289" i="52"/>
  <c r="AD289" i="52"/>
  <c r="AH288" i="52"/>
  <c r="AG288" i="52"/>
  <c r="AF288" i="52"/>
  <c r="AE288" i="52"/>
  <c r="AD288" i="52"/>
  <c r="AH287" i="52"/>
  <c r="AG287" i="52"/>
  <c r="AF287" i="52"/>
  <c r="AE287" i="52"/>
  <c r="AD287" i="52"/>
  <c r="AH286" i="52"/>
  <c r="AG286" i="52"/>
  <c r="AF286" i="52"/>
  <c r="AE286" i="52"/>
  <c r="AD286" i="52"/>
  <c r="AH285" i="52"/>
  <c r="AG285" i="52"/>
  <c r="AF285" i="52"/>
  <c r="AE285" i="52"/>
  <c r="AD285" i="52"/>
  <c r="AH284" i="52"/>
  <c r="AG284" i="52"/>
  <c r="AF284" i="52"/>
  <c r="AE284" i="52"/>
  <c r="AD284" i="52"/>
  <c r="AH283" i="52"/>
  <c r="AG283" i="52"/>
  <c r="AF283" i="52"/>
  <c r="AE283" i="52"/>
  <c r="AD283" i="52"/>
  <c r="AH282" i="52"/>
  <c r="AG282" i="52"/>
  <c r="AF282" i="52"/>
  <c r="AE282" i="52"/>
  <c r="AD282" i="52"/>
  <c r="AH281" i="52"/>
  <c r="AG281" i="52"/>
  <c r="AF281" i="52"/>
  <c r="AE281" i="52"/>
  <c r="AD281" i="52"/>
  <c r="AH280" i="52"/>
  <c r="AG280" i="52"/>
  <c r="AF280" i="52"/>
  <c r="AE280" i="52"/>
  <c r="AD280" i="52"/>
  <c r="AH279" i="52"/>
  <c r="AG279" i="52"/>
  <c r="AF279" i="52"/>
  <c r="AE279" i="52"/>
  <c r="AD279" i="52"/>
  <c r="AH278" i="52"/>
  <c r="AG278" i="52"/>
  <c r="AF278" i="52"/>
  <c r="AE278" i="52"/>
  <c r="AD278" i="52"/>
  <c r="AH277" i="52"/>
  <c r="AG277" i="52"/>
  <c r="AF277" i="52"/>
  <c r="AE277" i="52"/>
  <c r="AD277" i="52"/>
  <c r="AH276" i="52"/>
  <c r="AG276" i="52"/>
  <c r="AF276" i="52"/>
  <c r="AE276" i="52"/>
  <c r="AD276" i="52"/>
  <c r="AH275" i="52"/>
  <c r="AG275" i="52"/>
  <c r="AF275" i="52"/>
  <c r="AE275" i="52"/>
  <c r="AD275" i="52"/>
  <c r="AH274" i="52"/>
  <c r="AG274" i="52"/>
  <c r="AF274" i="52"/>
  <c r="AE274" i="52"/>
  <c r="AD274" i="52"/>
  <c r="AH273" i="52"/>
  <c r="AG273" i="52"/>
  <c r="AF273" i="52"/>
  <c r="AE273" i="52"/>
  <c r="AD273" i="52"/>
  <c r="AH272" i="52"/>
  <c r="AG272" i="52"/>
  <c r="AF272" i="52"/>
  <c r="AE272" i="52"/>
  <c r="AD272" i="52"/>
  <c r="AH271" i="52"/>
  <c r="AG271" i="52"/>
  <c r="AF271" i="52"/>
  <c r="AE271" i="52"/>
  <c r="AD271" i="52"/>
  <c r="AH270" i="52"/>
  <c r="AG270" i="52"/>
  <c r="AF270" i="52"/>
  <c r="AE270" i="52"/>
  <c r="AD270" i="52"/>
  <c r="AH269" i="52"/>
  <c r="AG269" i="52"/>
  <c r="AF269" i="52"/>
  <c r="AE269" i="52"/>
  <c r="AD269" i="52"/>
  <c r="AH268" i="52"/>
  <c r="AG268" i="52"/>
  <c r="AF268" i="52"/>
  <c r="AE268" i="52"/>
  <c r="AD268" i="52"/>
  <c r="AH267" i="52"/>
  <c r="AG267" i="52"/>
  <c r="AF267" i="52"/>
  <c r="AE267" i="52"/>
  <c r="AD267" i="52"/>
  <c r="AH266" i="52"/>
  <c r="AG266" i="52"/>
  <c r="AF266" i="52"/>
  <c r="AE266" i="52"/>
  <c r="AD266" i="52"/>
  <c r="AH265" i="52"/>
  <c r="AG265" i="52"/>
  <c r="AF265" i="52"/>
  <c r="AE265" i="52"/>
  <c r="AD265" i="52"/>
  <c r="AH264" i="52"/>
  <c r="AG264" i="52"/>
  <c r="AF264" i="52"/>
  <c r="AE264" i="52"/>
  <c r="AD264" i="52"/>
  <c r="AH263" i="52"/>
  <c r="AG263" i="52"/>
  <c r="AF263" i="52"/>
  <c r="AE263" i="52"/>
  <c r="AD263" i="52"/>
  <c r="AH262" i="52"/>
  <c r="AG262" i="52"/>
  <c r="AF262" i="52"/>
  <c r="AE262" i="52"/>
  <c r="AD262" i="52"/>
  <c r="AH261" i="52"/>
  <c r="AG261" i="52"/>
  <c r="AF261" i="52"/>
  <c r="AE261" i="52"/>
  <c r="AD261" i="52"/>
  <c r="AH260" i="52"/>
  <c r="AG260" i="52"/>
  <c r="AF260" i="52"/>
  <c r="AE260" i="52"/>
  <c r="AD260" i="52"/>
  <c r="AH259" i="52"/>
  <c r="AG259" i="52"/>
  <c r="AF259" i="52"/>
  <c r="AE259" i="52"/>
  <c r="AD259" i="52"/>
  <c r="AH258" i="52"/>
  <c r="AG258" i="52"/>
  <c r="AF258" i="52"/>
  <c r="AE258" i="52"/>
  <c r="AD258" i="52"/>
  <c r="AH257" i="52"/>
  <c r="AG257" i="52"/>
  <c r="AF257" i="52"/>
  <c r="AE257" i="52"/>
  <c r="AD257" i="52"/>
  <c r="AH256" i="52"/>
  <c r="AG256" i="52"/>
  <c r="AF256" i="52"/>
  <c r="AE256" i="52"/>
  <c r="AD256" i="52"/>
  <c r="AH255" i="52"/>
  <c r="AG255" i="52"/>
  <c r="AF255" i="52"/>
  <c r="AE255" i="52"/>
  <c r="AD255" i="52"/>
  <c r="AH254" i="52"/>
  <c r="AG254" i="52"/>
  <c r="AF254" i="52"/>
  <c r="AE254" i="52"/>
  <c r="AD254" i="52"/>
  <c r="AH253" i="52"/>
  <c r="AG253" i="52"/>
  <c r="AF253" i="52"/>
  <c r="AE253" i="52"/>
  <c r="AD253" i="52"/>
  <c r="AH252" i="52"/>
  <c r="AG252" i="52"/>
  <c r="AF252" i="52"/>
  <c r="AE252" i="52"/>
  <c r="AD252" i="52"/>
  <c r="AH251" i="52"/>
  <c r="AG251" i="52"/>
  <c r="AF251" i="52"/>
  <c r="AE251" i="52"/>
  <c r="AD251" i="52"/>
  <c r="AH250" i="52"/>
  <c r="AG250" i="52"/>
  <c r="AF250" i="52"/>
  <c r="AE250" i="52"/>
  <c r="AD250" i="52"/>
  <c r="AH249" i="52"/>
  <c r="AG249" i="52"/>
  <c r="AF249" i="52"/>
  <c r="AE249" i="52"/>
  <c r="AD249" i="52"/>
  <c r="AH248" i="52"/>
  <c r="AG248" i="52"/>
  <c r="AF248" i="52"/>
  <c r="AE248" i="52"/>
  <c r="AD248" i="52"/>
  <c r="AH247" i="52"/>
  <c r="AG247" i="52"/>
  <c r="AF247" i="52"/>
  <c r="AE247" i="52"/>
  <c r="AD247" i="52"/>
  <c r="AH246" i="52"/>
  <c r="AG246" i="52"/>
  <c r="AF246" i="52"/>
  <c r="AE246" i="52"/>
  <c r="AD246" i="52"/>
  <c r="AH245" i="52"/>
  <c r="AG245" i="52"/>
  <c r="AF245" i="52"/>
  <c r="AE245" i="52"/>
  <c r="AD245" i="52"/>
  <c r="AH244" i="52"/>
  <c r="AG244" i="52"/>
  <c r="AF244" i="52"/>
  <c r="AE244" i="52"/>
  <c r="AD244" i="52"/>
  <c r="AH243" i="52"/>
  <c r="AG243" i="52"/>
  <c r="AF243" i="52"/>
  <c r="AE243" i="52"/>
  <c r="AD243" i="52"/>
  <c r="AH242" i="52"/>
  <c r="AG242" i="52"/>
  <c r="AF242" i="52"/>
  <c r="AE242" i="52"/>
  <c r="AD242" i="52"/>
  <c r="AH241" i="52"/>
  <c r="AG241" i="52"/>
  <c r="AF241" i="52"/>
  <c r="AE241" i="52"/>
  <c r="AD241" i="52"/>
  <c r="AH240" i="52"/>
  <c r="AG240" i="52"/>
  <c r="AF240" i="52"/>
  <c r="AE240" i="52"/>
  <c r="AD240" i="52"/>
  <c r="AH239" i="52"/>
  <c r="AG239" i="52"/>
  <c r="AF239" i="52"/>
  <c r="AE239" i="52"/>
  <c r="AD239" i="52"/>
  <c r="AH238" i="52"/>
  <c r="AG238" i="52"/>
  <c r="AF238" i="52"/>
  <c r="AE238" i="52"/>
  <c r="AD238" i="52"/>
  <c r="AH237" i="52"/>
  <c r="AG237" i="52"/>
  <c r="AF237" i="52"/>
  <c r="AE237" i="52"/>
  <c r="AD237" i="52"/>
  <c r="AH236" i="52"/>
  <c r="AG236" i="52"/>
  <c r="AF236" i="52"/>
  <c r="AE236" i="52"/>
  <c r="AD236" i="52"/>
  <c r="AH235" i="52"/>
  <c r="AG235" i="52"/>
  <c r="AF235" i="52"/>
  <c r="AE235" i="52"/>
  <c r="AD235" i="52"/>
  <c r="AH234" i="52"/>
  <c r="AG234" i="52"/>
  <c r="AF234" i="52"/>
  <c r="AE234" i="52"/>
  <c r="AD234" i="52"/>
  <c r="AH233" i="52"/>
  <c r="AG233" i="52"/>
  <c r="AF233" i="52"/>
  <c r="AE233" i="52"/>
  <c r="AD233" i="52"/>
  <c r="AH232" i="52"/>
  <c r="AG232" i="52"/>
  <c r="AF232" i="52"/>
  <c r="AE232" i="52"/>
  <c r="AD232" i="52"/>
  <c r="AH231" i="52"/>
  <c r="AG231" i="52"/>
  <c r="AF231" i="52"/>
  <c r="AE231" i="52"/>
  <c r="AD231" i="52"/>
  <c r="AH230" i="52"/>
  <c r="AG230" i="52"/>
  <c r="AF230" i="52"/>
  <c r="AE230" i="52"/>
  <c r="AD230" i="52"/>
  <c r="AH229" i="52"/>
  <c r="AG229" i="52"/>
  <c r="AF229" i="52"/>
  <c r="AE229" i="52"/>
  <c r="AD229" i="52"/>
  <c r="AH228" i="52"/>
  <c r="AG228" i="52"/>
  <c r="AF228" i="52"/>
  <c r="AE228" i="52"/>
  <c r="AD228" i="52"/>
  <c r="AH227" i="52"/>
  <c r="AG227" i="52"/>
  <c r="AF227" i="52"/>
  <c r="AE227" i="52"/>
  <c r="AD227" i="52"/>
  <c r="AH226" i="52"/>
  <c r="AG226" i="52"/>
  <c r="AF226" i="52"/>
  <c r="AE226" i="52"/>
  <c r="AD226" i="52"/>
  <c r="AH225" i="52"/>
  <c r="AG225" i="52"/>
  <c r="AF225" i="52"/>
  <c r="AE225" i="52"/>
  <c r="AD225" i="52"/>
  <c r="AH224" i="52"/>
  <c r="AG224" i="52"/>
  <c r="AF224" i="52"/>
  <c r="AE224" i="52"/>
  <c r="AD224" i="52"/>
  <c r="AH223" i="52"/>
  <c r="AG223" i="52"/>
  <c r="AF223" i="52"/>
  <c r="AE223" i="52"/>
  <c r="AD223" i="52"/>
  <c r="AH222" i="52"/>
  <c r="AG222" i="52"/>
  <c r="AF222" i="52"/>
  <c r="AE222" i="52"/>
  <c r="AD222" i="52"/>
  <c r="AH221" i="52"/>
  <c r="AG221" i="52"/>
  <c r="AF221" i="52"/>
  <c r="AE221" i="52"/>
  <c r="AD221" i="52"/>
  <c r="AH220" i="52"/>
  <c r="AG220" i="52"/>
  <c r="AF220" i="52"/>
  <c r="AE220" i="52"/>
  <c r="AD220" i="52"/>
  <c r="AH219" i="52"/>
  <c r="AG219" i="52"/>
  <c r="AF219" i="52"/>
  <c r="AE219" i="52"/>
  <c r="AD219" i="52"/>
  <c r="AH218" i="52"/>
  <c r="AG218" i="52"/>
  <c r="AF218" i="52"/>
  <c r="AE218" i="52"/>
  <c r="AD218" i="52"/>
  <c r="AH217" i="52"/>
  <c r="AG217" i="52"/>
  <c r="AF217" i="52"/>
  <c r="AE217" i="52"/>
  <c r="AD217" i="52"/>
  <c r="AH216" i="52"/>
  <c r="AG216" i="52"/>
  <c r="AF216" i="52"/>
  <c r="AE216" i="52"/>
  <c r="AD216" i="52"/>
  <c r="AH215" i="52"/>
  <c r="AG215" i="52"/>
  <c r="AF215" i="52"/>
  <c r="AE215" i="52"/>
  <c r="AD215" i="52"/>
  <c r="AH214" i="52"/>
  <c r="AG214" i="52"/>
  <c r="AF214" i="52"/>
  <c r="AE214" i="52"/>
  <c r="AD214" i="52"/>
  <c r="AH213" i="52"/>
  <c r="AG213" i="52"/>
  <c r="AF213" i="52"/>
  <c r="AE213" i="52"/>
  <c r="AD213" i="52"/>
  <c r="AH212" i="52"/>
  <c r="AG212" i="52"/>
  <c r="AF212" i="52"/>
  <c r="AE212" i="52"/>
  <c r="AD212" i="52"/>
  <c r="AH211" i="52"/>
  <c r="AG211" i="52"/>
  <c r="AF211" i="52"/>
  <c r="AE211" i="52"/>
  <c r="AD211" i="52"/>
  <c r="AH210" i="52"/>
  <c r="AG210" i="52"/>
  <c r="AF210" i="52"/>
  <c r="AE210" i="52"/>
  <c r="AD210" i="52"/>
  <c r="AH209" i="52"/>
  <c r="AG209" i="52"/>
  <c r="AF209" i="52"/>
  <c r="AE209" i="52"/>
  <c r="AD209" i="52"/>
  <c r="AH208" i="52"/>
  <c r="AG208" i="52"/>
  <c r="AF208" i="52"/>
  <c r="AE208" i="52"/>
  <c r="AD208" i="52"/>
  <c r="AH207" i="52"/>
  <c r="AG207" i="52"/>
  <c r="AF207" i="52"/>
  <c r="AE207" i="52"/>
  <c r="AD207" i="52"/>
  <c r="AH206" i="52"/>
  <c r="AG206" i="52"/>
  <c r="AF206" i="52"/>
  <c r="AE206" i="52"/>
  <c r="AD206" i="52"/>
  <c r="AH205" i="52"/>
  <c r="AG205" i="52"/>
  <c r="AF205" i="52"/>
  <c r="AE205" i="52"/>
  <c r="AD205" i="52"/>
  <c r="AH204" i="52"/>
  <c r="AG204" i="52"/>
  <c r="AF204" i="52"/>
  <c r="AE204" i="52"/>
  <c r="AD204" i="52"/>
  <c r="AH203" i="52"/>
  <c r="AG203" i="52"/>
  <c r="AF203" i="52"/>
  <c r="AE203" i="52"/>
  <c r="AD203" i="52"/>
  <c r="AH202" i="52"/>
  <c r="AG202" i="52"/>
  <c r="AF202" i="52"/>
  <c r="AE202" i="52"/>
  <c r="AD202" i="52"/>
  <c r="AH201" i="52"/>
  <c r="AG201" i="52"/>
  <c r="AF201" i="52"/>
  <c r="AE201" i="52"/>
  <c r="AD201" i="52"/>
  <c r="AH200" i="52"/>
  <c r="AG200" i="52"/>
  <c r="AF200" i="52"/>
  <c r="AE200" i="52"/>
  <c r="AD200" i="52"/>
  <c r="AH199" i="52"/>
  <c r="AG199" i="52"/>
  <c r="AF199" i="52"/>
  <c r="AE199" i="52"/>
  <c r="AD199" i="52"/>
  <c r="AH198" i="52"/>
  <c r="AG198" i="52"/>
  <c r="AF198" i="52"/>
  <c r="AE198" i="52"/>
  <c r="AD198" i="52"/>
  <c r="AH197" i="52"/>
  <c r="AG197" i="52"/>
  <c r="AF197" i="52"/>
  <c r="AE197" i="52"/>
  <c r="AD197" i="52"/>
  <c r="AH196" i="52"/>
  <c r="AG196" i="52"/>
  <c r="AF196" i="52"/>
  <c r="AE196" i="52"/>
  <c r="AD196" i="52"/>
  <c r="AH195" i="52"/>
  <c r="AG195" i="52"/>
  <c r="AF195" i="52"/>
  <c r="AE195" i="52"/>
  <c r="AD195" i="52"/>
  <c r="AH194" i="52"/>
  <c r="AG194" i="52"/>
  <c r="AF194" i="52"/>
  <c r="AE194" i="52"/>
  <c r="AD194" i="52"/>
  <c r="AH193" i="52"/>
  <c r="AG193" i="52"/>
  <c r="AF193" i="52"/>
  <c r="AE193" i="52"/>
  <c r="AD193" i="52"/>
  <c r="AH192" i="52"/>
  <c r="AG192" i="52"/>
  <c r="AF192" i="52"/>
  <c r="AE192" i="52"/>
  <c r="AD192" i="52"/>
  <c r="AH191" i="52"/>
  <c r="AG191" i="52"/>
  <c r="AF191" i="52"/>
  <c r="AE191" i="52"/>
  <c r="AD191" i="52"/>
  <c r="AH190" i="52"/>
  <c r="AG190" i="52"/>
  <c r="AF190" i="52"/>
  <c r="AE190" i="52"/>
  <c r="AD190" i="52"/>
  <c r="AH189" i="52"/>
  <c r="AG189" i="52"/>
  <c r="AF189" i="52"/>
  <c r="AE189" i="52"/>
  <c r="AD189" i="52"/>
  <c r="AH188" i="52"/>
  <c r="AG188" i="52"/>
  <c r="AF188" i="52"/>
  <c r="AE188" i="52"/>
  <c r="AD188" i="52"/>
  <c r="AH187" i="52"/>
  <c r="AG187" i="52"/>
  <c r="AF187" i="52"/>
  <c r="AE187" i="52"/>
  <c r="AD187" i="52"/>
  <c r="AH186" i="52"/>
  <c r="AG186" i="52"/>
  <c r="AF186" i="52"/>
  <c r="AE186" i="52"/>
  <c r="AD186" i="52"/>
  <c r="AH185" i="52"/>
  <c r="AG185" i="52"/>
  <c r="AF185" i="52"/>
  <c r="AE185" i="52"/>
  <c r="AD185" i="52"/>
  <c r="AH184" i="52"/>
  <c r="AG184" i="52"/>
  <c r="AF184" i="52"/>
  <c r="AE184" i="52"/>
  <c r="AD184" i="52"/>
  <c r="AH183" i="52"/>
  <c r="AG183" i="52"/>
  <c r="AF183" i="52"/>
  <c r="AE183" i="52"/>
  <c r="AD183" i="52"/>
  <c r="AH182" i="52"/>
  <c r="AG182" i="52"/>
  <c r="AF182" i="52"/>
  <c r="AE182" i="52"/>
  <c r="AD182" i="52"/>
  <c r="AH181" i="52"/>
  <c r="AG181" i="52"/>
  <c r="AF181" i="52"/>
  <c r="AE181" i="52"/>
  <c r="AD181" i="52"/>
  <c r="AH180" i="52"/>
  <c r="AG180" i="52"/>
  <c r="AF180" i="52"/>
  <c r="AE180" i="52"/>
  <c r="AD180" i="52"/>
  <c r="AH179" i="52"/>
  <c r="AG179" i="52"/>
  <c r="AF179" i="52"/>
  <c r="AE179" i="52"/>
  <c r="AD179" i="52"/>
  <c r="AH178" i="52"/>
  <c r="AG178" i="52"/>
  <c r="AF178" i="52"/>
  <c r="AE178" i="52"/>
  <c r="AD178" i="52"/>
  <c r="AH177" i="52"/>
  <c r="AG177" i="52"/>
  <c r="AF177" i="52"/>
  <c r="AE177" i="52"/>
  <c r="AD177" i="52"/>
  <c r="AH176" i="52"/>
  <c r="AG176" i="52"/>
  <c r="AF176" i="52"/>
  <c r="AE176" i="52"/>
  <c r="AD176" i="52"/>
  <c r="AH175" i="52"/>
  <c r="AG175" i="52"/>
  <c r="AF175" i="52"/>
  <c r="AE175" i="52"/>
  <c r="AD175" i="52"/>
  <c r="AH174" i="52"/>
  <c r="AG174" i="52"/>
  <c r="AF174" i="52"/>
  <c r="AE174" i="52"/>
  <c r="AD174" i="52"/>
  <c r="AH173" i="52"/>
  <c r="AG173" i="52"/>
  <c r="AF173" i="52"/>
  <c r="AE173" i="52"/>
  <c r="AD173" i="52"/>
  <c r="AH172" i="52"/>
  <c r="AG172" i="52"/>
  <c r="AF172" i="52"/>
  <c r="AE172" i="52"/>
  <c r="AD172" i="52"/>
  <c r="AH171" i="52"/>
  <c r="AG171" i="52"/>
  <c r="AF171" i="52"/>
  <c r="AE171" i="52"/>
  <c r="AD171" i="52"/>
  <c r="AH170" i="52"/>
  <c r="AG170" i="52"/>
  <c r="AF170" i="52"/>
  <c r="AE170" i="52"/>
  <c r="AD170" i="52"/>
  <c r="AH169" i="52"/>
  <c r="AG169" i="52"/>
  <c r="AF169" i="52"/>
  <c r="AE169" i="52"/>
  <c r="AD169" i="52"/>
  <c r="AH168" i="52"/>
  <c r="AG168" i="52"/>
  <c r="AF168" i="52"/>
  <c r="AE168" i="52"/>
  <c r="AD168" i="52"/>
  <c r="AH167" i="52"/>
  <c r="AG167" i="52"/>
  <c r="AF167" i="52"/>
  <c r="AE167" i="52"/>
  <c r="AD167" i="52"/>
  <c r="AH166" i="52"/>
  <c r="AG166" i="52"/>
  <c r="AF166" i="52"/>
  <c r="AE166" i="52"/>
  <c r="AD166" i="52"/>
  <c r="AH165" i="52"/>
  <c r="AG165" i="52"/>
  <c r="AF165" i="52"/>
  <c r="AE165" i="52"/>
  <c r="AD165" i="52"/>
  <c r="AH164" i="52"/>
  <c r="AG164" i="52"/>
  <c r="AF164" i="52"/>
  <c r="AE164" i="52"/>
  <c r="AD164" i="52"/>
  <c r="AH163" i="52"/>
  <c r="AG163" i="52"/>
  <c r="AF163" i="52"/>
  <c r="AE163" i="52"/>
  <c r="AD163" i="52"/>
  <c r="AH162" i="52"/>
  <c r="AG162" i="52"/>
  <c r="AF162" i="52"/>
  <c r="AE162" i="52"/>
  <c r="AD162" i="52"/>
  <c r="AH161" i="52"/>
  <c r="AG161" i="52"/>
  <c r="AF161" i="52"/>
  <c r="AE161" i="52"/>
  <c r="AD161" i="52"/>
  <c r="AH160" i="52"/>
  <c r="AG160" i="52"/>
  <c r="AF160" i="52"/>
  <c r="AE160" i="52"/>
  <c r="AD160" i="52"/>
  <c r="AH159" i="52"/>
  <c r="AG159" i="52"/>
  <c r="AF159" i="52"/>
  <c r="AE159" i="52"/>
  <c r="AD159" i="52"/>
  <c r="AH158" i="52"/>
  <c r="AG158" i="52"/>
  <c r="AF158" i="52"/>
  <c r="AE158" i="52"/>
  <c r="AD158" i="52"/>
  <c r="AH157" i="52"/>
  <c r="AG157" i="52"/>
  <c r="AF157" i="52"/>
  <c r="AE157" i="52"/>
  <c r="AD157" i="52"/>
  <c r="AH156" i="52"/>
  <c r="AG156" i="52"/>
  <c r="AF156" i="52"/>
  <c r="AE156" i="52"/>
  <c r="AD156" i="52"/>
  <c r="AH155" i="52"/>
  <c r="AG155" i="52"/>
  <c r="AF155" i="52"/>
  <c r="AE155" i="52"/>
  <c r="AD155" i="52"/>
  <c r="AH154" i="52"/>
  <c r="AG154" i="52"/>
  <c r="AF154" i="52"/>
  <c r="AE154" i="52"/>
  <c r="AD154" i="52"/>
  <c r="AH153" i="52"/>
  <c r="AG153" i="52"/>
  <c r="AF153" i="52"/>
  <c r="AE153" i="52"/>
  <c r="AD153" i="52"/>
  <c r="AH152" i="52"/>
  <c r="AG152" i="52"/>
  <c r="AF152" i="52"/>
  <c r="AE152" i="52"/>
  <c r="AD152" i="52"/>
  <c r="AH151" i="52"/>
  <c r="AG151" i="52"/>
  <c r="AF151" i="52"/>
  <c r="AE151" i="52"/>
  <c r="AD151" i="52"/>
  <c r="AH150" i="52"/>
  <c r="AG150" i="52"/>
  <c r="AF150" i="52"/>
  <c r="AE150" i="52"/>
  <c r="AD150" i="52"/>
  <c r="AH149" i="52"/>
  <c r="AG149" i="52"/>
  <c r="AF149" i="52"/>
  <c r="AE149" i="52"/>
  <c r="AD149" i="52"/>
  <c r="AH148" i="52"/>
  <c r="AG148" i="52"/>
  <c r="AF148" i="52"/>
  <c r="AE148" i="52"/>
  <c r="AD148" i="52"/>
  <c r="AH147" i="52"/>
  <c r="AG147" i="52"/>
  <c r="AF147" i="52"/>
  <c r="AE147" i="52"/>
  <c r="AD147" i="52"/>
  <c r="AH146" i="52"/>
  <c r="AG146" i="52"/>
  <c r="AF146" i="52"/>
  <c r="AE146" i="52"/>
  <c r="AD146" i="52"/>
  <c r="AH145" i="52"/>
  <c r="AG145" i="52"/>
  <c r="AF145" i="52"/>
  <c r="AE145" i="52"/>
  <c r="AD145" i="52"/>
  <c r="AH144" i="52"/>
  <c r="AG144" i="52"/>
  <c r="AF144" i="52"/>
  <c r="AE144" i="52"/>
  <c r="AD144" i="52"/>
  <c r="AH143" i="52"/>
  <c r="AG143" i="52"/>
  <c r="AF143" i="52"/>
  <c r="AE143" i="52"/>
  <c r="AD143" i="52"/>
  <c r="AH142" i="52"/>
  <c r="AG142" i="52"/>
  <c r="AF142" i="52"/>
  <c r="AE142" i="52"/>
  <c r="AD142" i="52"/>
  <c r="AH141" i="52"/>
  <c r="AG141" i="52"/>
  <c r="AF141" i="52"/>
  <c r="AE141" i="52"/>
  <c r="AD141" i="52"/>
  <c r="AH140" i="52"/>
  <c r="AG140" i="52"/>
  <c r="AF140" i="52"/>
  <c r="AE140" i="52"/>
  <c r="AD140" i="52"/>
  <c r="AH139" i="52"/>
  <c r="AG139" i="52"/>
  <c r="AF139" i="52"/>
  <c r="AE139" i="52"/>
  <c r="AD139" i="52"/>
  <c r="AH138" i="52"/>
  <c r="AG138" i="52"/>
  <c r="AF138" i="52"/>
  <c r="AE138" i="52"/>
  <c r="AD138" i="52"/>
  <c r="AH137" i="52"/>
  <c r="AG137" i="52"/>
  <c r="AF137" i="52"/>
  <c r="AE137" i="52"/>
  <c r="AD137" i="52"/>
  <c r="AH136" i="52"/>
  <c r="AG136" i="52"/>
  <c r="AF136" i="52"/>
  <c r="AE136" i="52"/>
  <c r="AD136" i="52"/>
  <c r="AH135" i="52"/>
  <c r="AG135" i="52"/>
  <c r="AF135" i="52"/>
  <c r="AE135" i="52"/>
  <c r="AD135" i="52"/>
  <c r="AH134" i="52"/>
  <c r="AG134" i="52"/>
  <c r="AF134" i="52"/>
  <c r="AE134" i="52"/>
  <c r="AD134" i="52"/>
  <c r="AH133" i="52"/>
  <c r="AG133" i="52"/>
  <c r="AF133" i="52"/>
  <c r="AE133" i="52"/>
  <c r="AD133" i="52"/>
  <c r="AH132" i="52"/>
  <c r="AG132" i="52"/>
  <c r="AF132" i="52"/>
  <c r="AE132" i="52"/>
  <c r="AD132" i="52"/>
  <c r="AH131" i="52"/>
  <c r="AG131" i="52"/>
  <c r="AF131" i="52"/>
  <c r="AE131" i="52"/>
  <c r="AD131" i="52"/>
  <c r="AH130" i="52"/>
  <c r="AG130" i="52"/>
  <c r="AF130" i="52"/>
  <c r="AE130" i="52"/>
  <c r="AD130" i="52"/>
  <c r="AH129" i="52"/>
  <c r="AG129" i="52"/>
  <c r="AF129" i="52"/>
  <c r="AE129" i="52"/>
  <c r="AD129" i="52"/>
  <c r="AH128" i="52"/>
  <c r="AG128" i="52"/>
  <c r="AF128" i="52"/>
  <c r="AE128" i="52"/>
  <c r="AD128" i="52"/>
  <c r="AH127" i="52"/>
  <c r="AG127" i="52"/>
  <c r="AF127" i="52"/>
  <c r="AE127" i="52"/>
  <c r="AD127" i="52"/>
  <c r="AH126" i="52"/>
  <c r="AG126" i="52"/>
  <c r="AF126" i="52"/>
  <c r="AE126" i="52"/>
  <c r="AD126" i="52"/>
  <c r="AH125" i="52"/>
  <c r="AG125" i="52"/>
  <c r="AF125" i="52"/>
  <c r="AE125" i="52"/>
  <c r="AD125" i="52"/>
  <c r="AH124" i="52"/>
  <c r="AG124" i="52"/>
  <c r="AF124" i="52"/>
  <c r="AE124" i="52"/>
  <c r="AD124" i="52"/>
  <c r="AH123" i="52"/>
  <c r="AG123" i="52"/>
  <c r="AF123" i="52"/>
  <c r="AE123" i="52"/>
  <c r="AD123" i="52"/>
  <c r="AH122" i="52"/>
  <c r="AG122" i="52"/>
  <c r="AF122" i="52"/>
  <c r="AE122" i="52"/>
  <c r="AD122" i="52"/>
  <c r="AH121" i="52"/>
  <c r="AG121" i="52"/>
  <c r="AF121" i="52"/>
  <c r="AE121" i="52"/>
  <c r="AD121" i="52"/>
  <c r="AH120" i="52"/>
  <c r="AG120" i="52"/>
  <c r="AF120" i="52"/>
  <c r="AE120" i="52"/>
  <c r="AD120" i="52"/>
  <c r="AH119" i="52"/>
  <c r="AG119" i="52"/>
  <c r="AF119" i="52"/>
  <c r="AE119" i="52"/>
  <c r="AD119" i="52"/>
  <c r="AH118" i="52"/>
  <c r="AG118" i="52"/>
  <c r="AF118" i="52"/>
  <c r="AE118" i="52"/>
  <c r="AD118" i="52"/>
  <c r="AH117" i="52"/>
  <c r="AG117" i="52"/>
  <c r="AF117" i="52"/>
  <c r="AE117" i="52"/>
  <c r="AD117" i="52"/>
  <c r="AH116" i="52"/>
  <c r="AG116" i="52"/>
  <c r="AF116" i="52"/>
  <c r="AE116" i="52"/>
  <c r="AD116" i="52"/>
  <c r="AH115" i="52"/>
  <c r="AG115" i="52"/>
  <c r="AF115" i="52"/>
  <c r="AE115" i="52"/>
  <c r="AD115" i="52"/>
  <c r="AH114" i="52"/>
  <c r="AG114" i="52"/>
  <c r="AF114" i="52"/>
  <c r="AE114" i="52"/>
  <c r="AD114" i="52"/>
  <c r="AH113" i="52"/>
  <c r="AG113" i="52"/>
  <c r="AF113" i="52"/>
  <c r="AE113" i="52"/>
  <c r="AD113" i="52"/>
  <c r="AA113" i="52"/>
  <c r="Z113" i="52"/>
  <c r="Y113" i="52"/>
  <c r="X113" i="52"/>
  <c r="W113" i="52"/>
  <c r="T113" i="52"/>
  <c r="C132" i="49" s="1"/>
  <c r="S113" i="52"/>
  <c r="C103" i="49" s="1"/>
  <c r="R113" i="52"/>
  <c r="C74" i="49" s="1"/>
  <c r="Q113" i="52"/>
  <c r="C45" i="49" s="1"/>
  <c r="P113" i="52"/>
  <c r="C16" i="49" s="1"/>
  <c r="AH112" i="52"/>
  <c r="AG112" i="52"/>
  <c r="AF112" i="52"/>
  <c r="AE112" i="52"/>
  <c r="AD112" i="52"/>
  <c r="AA112" i="52"/>
  <c r="Z112" i="52"/>
  <c r="Y112" i="52"/>
  <c r="X112" i="52"/>
  <c r="W112" i="52"/>
  <c r="T112" i="52"/>
  <c r="S112" i="52"/>
  <c r="R112" i="52"/>
  <c r="Q112" i="52"/>
  <c r="P112" i="52"/>
  <c r="AH111" i="52"/>
  <c r="AG111" i="52"/>
  <c r="AF111" i="52"/>
  <c r="AE111" i="52"/>
  <c r="AD111" i="52"/>
  <c r="AA111" i="52"/>
  <c r="Z111" i="52"/>
  <c r="Y111" i="52"/>
  <c r="X111" i="52"/>
  <c r="W111" i="52"/>
  <c r="T111" i="52"/>
  <c r="S111" i="52"/>
  <c r="R111" i="52"/>
  <c r="Q111" i="52"/>
  <c r="P111" i="52"/>
  <c r="AH110" i="52"/>
  <c r="AG110" i="52"/>
  <c r="AF110" i="52"/>
  <c r="AE110" i="52"/>
  <c r="AD110" i="52"/>
  <c r="AA110" i="52"/>
  <c r="Z110" i="52"/>
  <c r="Y110" i="52"/>
  <c r="X110" i="52"/>
  <c r="W110" i="52"/>
  <c r="T110" i="52"/>
  <c r="S110" i="52"/>
  <c r="R110" i="52"/>
  <c r="Q110" i="52"/>
  <c r="P110" i="52"/>
  <c r="AH109" i="52"/>
  <c r="AG109" i="52"/>
  <c r="AF109" i="52"/>
  <c r="AE109" i="52"/>
  <c r="AD109" i="52"/>
  <c r="AA109" i="52"/>
  <c r="Z109" i="52"/>
  <c r="Y109" i="52"/>
  <c r="X109" i="52"/>
  <c r="W109" i="52"/>
  <c r="T109" i="52"/>
  <c r="S109" i="52"/>
  <c r="R109" i="52"/>
  <c r="Q109" i="52"/>
  <c r="P109" i="52"/>
  <c r="AH108" i="52"/>
  <c r="AG108" i="52"/>
  <c r="AF108" i="52"/>
  <c r="AE108" i="52"/>
  <c r="AD108" i="52"/>
  <c r="AA108" i="52"/>
  <c r="Z108" i="52"/>
  <c r="Y108" i="52"/>
  <c r="X108" i="52"/>
  <c r="W108" i="52"/>
  <c r="T108" i="52"/>
  <c r="S108" i="52"/>
  <c r="R108" i="52"/>
  <c r="Q108" i="52"/>
  <c r="P108" i="52"/>
  <c r="AH107" i="52"/>
  <c r="AG107" i="52"/>
  <c r="AF107" i="52"/>
  <c r="AE107" i="52"/>
  <c r="AD107" i="52"/>
  <c r="AA107" i="52"/>
  <c r="Z107" i="52"/>
  <c r="Y107" i="52"/>
  <c r="X107" i="52"/>
  <c r="W107" i="52"/>
  <c r="T107" i="52"/>
  <c r="S107" i="52"/>
  <c r="R107" i="52"/>
  <c r="Q107" i="52"/>
  <c r="P107" i="52"/>
  <c r="AH106" i="52"/>
  <c r="AG106" i="52"/>
  <c r="AF106" i="52"/>
  <c r="AE106" i="52"/>
  <c r="AD106" i="52"/>
  <c r="AA106" i="52"/>
  <c r="Z106" i="52"/>
  <c r="Y106" i="52"/>
  <c r="X106" i="52"/>
  <c r="W106" i="52"/>
  <c r="T106" i="52"/>
  <c r="S106" i="52"/>
  <c r="R106" i="52"/>
  <c r="Q106" i="52"/>
  <c r="P106" i="52"/>
  <c r="AH105" i="52"/>
  <c r="AG105" i="52"/>
  <c r="AF105" i="52"/>
  <c r="AE105" i="52"/>
  <c r="AD105" i="52"/>
  <c r="AA105" i="52"/>
  <c r="Z105" i="52"/>
  <c r="Y105" i="52"/>
  <c r="X105" i="52"/>
  <c r="W105" i="52"/>
  <c r="T105" i="52"/>
  <c r="S105" i="52"/>
  <c r="R105" i="52"/>
  <c r="Q105" i="52"/>
  <c r="P105" i="52"/>
  <c r="AH104" i="52"/>
  <c r="AG104" i="52"/>
  <c r="AF104" i="52"/>
  <c r="AE104" i="52"/>
  <c r="AD104" i="52"/>
  <c r="AA104" i="52"/>
  <c r="Z104" i="52"/>
  <c r="Y104" i="52"/>
  <c r="X104" i="52"/>
  <c r="W104" i="52"/>
  <c r="T104" i="52"/>
  <c r="S104" i="52"/>
  <c r="R104" i="52"/>
  <c r="Q104" i="52"/>
  <c r="P104" i="52"/>
  <c r="AH103" i="52"/>
  <c r="AG103" i="52"/>
  <c r="AF103" i="52"/>
  <c r="AE103" i="52"/>
  <c r="AD103" i="52"/>
  <c r="AA103" i="52"/>
  <c r="Z103" i="52"/>
  <c r="Y103" i="52"/>
  <c r="X103" i="52"/>
  <c r="W103" i="52"/>
  <c r="T103" i="52"/>
  <c r="C131" i="49" s="1"/>
  <c r="S103" i="52"/>
  <c r="C102" i="49" s="1"/>
  <c r="R103" i="52"/>
  <c r="C73" i="49" s="1"/>
  <c r="Q103" i="52"/>
  <c r="C44" i="49" s="1"/>
  <c r="P103" i="52"/>
  <c r="C15" i="49" s="1"/>
  <c r="AH102" i="52"/>
  <c r="AG102" i="52"/>
  <c r="AF102" i="52"/>
  <c r="AE102" i="52"/>
  <c r="AD102" i="52"/>
  <c r="AA102" i="52"/>
  <c r="Z102" i="52"/>
  <c r="Y102" i="52"/>
  <c r="X102" i="52"/>
  <c r="W102" i="52"/>
  <c r="T102" i="52"/>
  <c r="S102" i="52"/>
  <c r="R102" i="52"/>
  <c r="Q102" i="52"/>
  <c r="P102" i="52"/>
  <c r="AH101" i="52"/>
  <c r="AG101" i="52"/>
  <c r="AF101" i="52"/>
  <c r="AE101" i="52"/>
  <c r="AD101" i="52"/>
  <c r="AA101" i="52"/>
  <c r="Z101" i="52"/>
  <c r="Y101" i="52"/>
  <c r="X101" i="52"/>
  <c r="W101" i="52"/>
  <c r="T101" i="52"/>
  <c r="S101" i="52"/>
  <c r="R101" i="52"/>
  <c r="Q101" i="52"/>
  <c r="P101" i="52"/>
  <c r="AH100" i="52"/>
  <c r="AG100" i="52"/>
  <c r="AF100" i="52"/>
  <c r="AE100" i="52"/>
  <c r="AD100" i="52"/>
  <c r="AA100" i="52"/>
  <c r="Z100" i="52"/>
  <c r="Y100" i="52"/>
  <c r="X100" i="52"/>
  <c r="W100" i="52"/>
  <c r="T100" i="52"/>
  <c r="S100" i="52"/>
  <c r="R100" i="52"/>
  <c r="Q100" i="52"/>
  <c r="P100" i="52"/>
  <c r="AH99" i="52"/>
  <c r="AG99" i="52"/>
  <c r="AF99" i="52"/>
  <c r="AE99" i="52"/>
  <c r="AD99" i="52"/>
  <c r="AA99" i="52"/>
  <c r="Z99" i="52"/>
  <c r="Y99" i="52"/>
  <c r="X99" i="52"/>
  <c r="W99" i="52"/>
  <c r="T99" i="52"/>
  <c r="S99" i="52"/>
  <c r="R99" i="52"/>
  <c r="Q99" i="52"/>
  <c r="P99" i="52"/>
  <c r="AH98" i="52"/>
  <c r="AG98" i="52"/>
  <c r="AF98" i="52"/>
  <c r="AE98" i="52"/>
  <c r="AD98" i="52"/>
  <c r="AA98" i="52"/>
  <c r="Z98" i="52"/>
  <c r="Y98" i="52"/>
  <c r="X98" i="52"/>
  <c r="W98" i="52"/>
  <c r="T98" i="52"/>
  <c r="S98" i="52"/>
  <c r="R98" i="52"/>
  <c r="Q98" i="52"/>
  <c r="P98" i="52"/>
  <c r="AH97" i="52"/>
  <c r="AG97" i="52"/>
  <c r="AF97" i="52"/>
  <c r="AE97" i="52"/>
  <c r="AD97" i="52"/>
  <c r="AA97" i="52"/>
  <c r="Z97" i="52"/>
  <c r="Y97" i="52"/>
  <c r="X97" i="52"/>
  <c r="W97" i="52"/>
  <c r="T97" i="52"/>
  <c r="S97" i="52"/>
  <c r="R97" i="52"/>
  <c r="Q97" i="52"/>
  <c r="P97" i="52"/>
  <c r="AH96" i="52"/>
  <c r="AG96" i="52"/>
  <c r="AF96" i="52"/>
  <c r="AE96" i="52"/>
  <c r="AD96" i="52"/>
  <c r="AA96" i="52"/>
  <c r="Z96" i="52"/>
  <c r="Y96" i="52"/>
  <c r="X96" i="52"/>
  <c r="W96" i="52"/>
  <c r="T96" i="52"/>
  <c r="S96" i="52"/>
  <c r="R96" i="52"/>
  <c r="Q96" i="52"/>
  <c r="P96" i="52"/>
  <c r="AH95" i="52"/>
  <c r="AG95" i="52"/>
  <c r="AF95" i="52"/>
  <c r="AE95" i="52"/>
  <c r="AD95" i="52"/>
  <c r="AA95" i="52"/>
  <c r="Z95" i="52"/>
  <c r="Y95" i="52"/>
  <c r="X95" i="52"/>
  <c r="W95" i="52"/>
  <c r="T95" i="52"/>
  <c r="S95" i="52"/>
  <c r="R95" i="52"/>
  <c r="Q95" i="52"/>
  <c r="P95" i="52"/>
  <c r="AH94" i="52"/>
  <c r="AG94" i="52"/>
  <c r="AF94" i="52"/>
  <c r="AE94" i="52"/>
  <c r="AD94" i="52"/>
  <c r="AA94" i="52"/>
  <c r="Z94" i="52"/>
  <c r="Y94" i="52"/>
  <c r="X94" i="52"/>
  <c r="W94" i="52"/>
  <c r="T94" i="52"/>
  <c r="S94" i="52"/>
  <c r="R94" i="52"/>
  <c r="Q94" i="52"/>
  <c r="P94" i="52"/>
  <c r="AH93" i="52"/>
  <c r="AG93" i="52"/>
  <c r="AF93" i="52"/>
  <c r="AE93" i="52"/>
  <c r="AD93" i="52"/>
  <c r="AA93" i="52"/>
  <c r="Z93" i="52"/>
  <c r="Y93" i="52"/>
  <c r="X93" i="52"/>
  <c r="W93" i="52"/>
  <c r="T93" i="52"/>
  <c r="C130" i="49" s="1"/>
  <c r="S93" i="52"/>
  <c r="C101" i="49" s="1"/>
  <c r="R93" i="52"/>
  <c r="C72" i="49" s="1"/>
  <c r="Q93" i="52"/>
  <c r="C43" i="49" s="1"/>
  <c r="P93" i="52"/>
  <c r="C14" i="49" s="1"/>
  <c r="AH92" i="52"/>
  <c r="AG92" i="52"/>
  <c r="AF92" i="52"/>
  <c r="AE92" i="52"/>
  <c r="AD92" i="52"/>
  <c r="AA92" i="52"/>
  <c r="Z92" i="52"/>
  <c r="Y92" i="52"/>
  <c r="X92" i="52"/>
  <c r="W92" i="52"/>
  <c r="T92" i="52"/>
  <c r="S92" i="52"/>
  <c r="R92" i="52"/>
  <c r="Q92" i="52"/>
  <c r="P92" i="52"/>
  <c r="AH91" i="52"/>
  <c r="AG91" i="52"/>
  <c r="AF91" i="52"/>
  <c r="AE91" i="52"/>
  <c r="AD91" i="52"/>
  <c r="AA91" i="52"/>
  <c r="Z91" i="52"/>
  <c r="Y91" i="52"/>
  <c r="X91" i="52"/>
  <c r="W91" i="52"/>
  <c r="T91" i="52"/>
  <c r="S91" i="52"/>
  <c r="R91" i="52"/>
  <c r="Q91" i="52"/>
  <c r="P91" i="52"/>
  <c r="AH90" i="52"/>
  <c r="AG90" i="52"/>
  <c r="AF90" i="52"/>
  <c r="AE90" i="52"/>
  <c r="AD90" i="52"/>
  <c r="AA90" i="52"/>
  <c r="Z90" i="52"/>
  <c r="Y90" i="52"/>
  <c r="X90" i="52"/>
  <c r="W90" i="52"/>
  <c r="T90" i="52"/>
  <c r="S90" i="52"/>
  <c r="R90" i="52"/>
  <c r="Q90" i="52"/>
  <c r="P90" i="52"/>
  <c r="AH89" i="52"/>
  <c r="AG89" i="52"/>
  <c r="AF89" i="52"/>
  <c r="AE89" i="52"/>
  <c r="AD89" i="52"/>
  <c r="AA89" i="52"/>
  <c r="Z89" i="52"/>
  <c r="Y89" i="52"/>
  <c r="X89" i="52"/>
  <c r="W89" i="52"/>
  <c r="T89" i="52"/>
  <c r="S89" i="52"/>
  <c r="R89" i="52"/>
  <c r="Q89" i="52"/>
  <c r="P89" i="52"/>
  <c r="AH88" i="52"/>
  <c r="AG88" i="52"/>
  <c r="AF88" i="52"/>
  <c r="AE88" i="52"/>
  <c r="AD88" i="52"/>
  <c r="AA88" i="52"/>
  <c r="Z88" i="52"/>
  <c r="Y88" i="52"/>
  <c r="X88" i="52"/>
  <c r="W88" i="52"/>
  <c r="T88" i="52"/>
  <c r="S88" i="52"/>
  <c r="R88" i="52"/>
  <c r="Q88" i="52"/>
  <c r="P88" i="52"/>
  <c r="AH87" i="52"/>
  <c r="AG87" i="52"/>
  <c r="AF87" i="52"/>
  <c r="AE87" i="52"/>
  <c r="AD87" i="52"/>
  <c r="AA87" i="52"/>
  <c r="Z87" i="52"/>
  <c r="Y87" i="52"/>
  <c r="X87" i="52"/>
  <c r="W87" i="52"/>
  <c r="T87" i="52"/>
  <c r="S87" i="52"/>
  <c r="R87" i="52"/>
  <c r="Q87" i="52"/>
  <c r="P87" i="52"/>
  <c r="AH86" i="52"/>
  <c r="AG86" i="52"/>
  <c r="AF86" i="52"/>
  <c r="AE86" i="52"/>
  <c r="AD86" i="52"/>
  <c r="AA86" i="52"/>
  <c r="Z86" i="52"/>
  <c r="Y86" i="52"/>
  <c r="X86" i="52"/>
  <c r="W86" i="52"/>
  <c r="T86" i="52"/>
  <c r="S86" i="52"/>
  <c r="R86" i="52"/>
  <c r="Q86" i="52"/>
  <c r="P86" i="52"/>
  <c r="AH85" i="52"/>
  <c r="AG85" i="52"/>
  <c r="AF85" i="52"/>
  <c r="AE85" i="52"/>
  <c r="AD85" i="52"/>
  <c r="AA85" i="52"/>
  <c r="Z85" i="52"/>
  <c r="Y85" i="52"/>
  <c r="X85" i="52"/>
  <c r="W85" i="52"/>
  <c r="T85" i="52"/>
  <c r="S85" i="52"/>
  <c r="R85" i="52"/>
  <c r="Q85" i="52"/>
  <c r="P85" i="52"/>
  <c r="AH84" i="52"/>
  <c r="AG84" i="52"/>
  <c r="AF84" i="52"/>
  <c r="AE84" i="52"/>
  <c r="AD84" i="52"/>
  <c r="AA84" i="52"/>
  <c r="Z84" i="52"/>
  <c r="Y84" i="52"/>
  <c r="X84" i="52"/>
  <c r="W84" i="52"/>
  <c r="T84" i="52"/>
  <c r="S84" i="52"/>
  <c r="R84" i="52"/>
  <c r="Q84" i="52"/>
  <c r="P84" i="52"/>
  <c r="AH83" i="52"/>
  <c r="AG83" i="52"/>
  <c r="AF83" i="52"/>
  <c r="AE83" i="52"/>
  <c r="AD83" i="52"/>
  <c r="AA83" i="52"/>
  <c r="Z83" i="52"/>
  <c r="Y83" i="52"/>
  <c r="X83" i="52"/>
  <c r="W83" i="52"/>
  <c r="T83" i="52"/>
  <c r="C129" i="49" s="1"/>
  <c r="S83" i="52"/>
  <c r="C100" i="49" s="1"/>
  <c r="R83" i="52"/>
  <c r="C71" i="49" s="1"/>
  <c r="Q83" i="52"/>
  <c r="C42" i="49" s="1"/>
  <c r="P83" i="52"/>
  <c r="C13" i="49" s="1"/>
  <c r="AH82" i="52"/>
  <c r="AG82" i="52"/>
  <c r="AF82" i="52"/>
  <c r="AE82" i="52"/>
  <c r="AD82" i="52"/>
  <c r="AA82" i="52"/>
  <c r="Z82" i="52"/>
  <c r="Y82" i="52"/>
  <c r="X82" i="52"/>
  <c r="W82" i="52"/>
  <c r="T82" i="52"/>
  <c r="S82" i="52"/>
  <c r="R82" i="52"/>
  <c r="Q82" i="52"/>
  <c r="P82" i="52"/>
  <c r="AH81" i="52"/>
  <c r="AG81" i="52"/>
  <c r="AF81" i="52"/>
  <c r="AE81" i="52"/>
  <c r="AD81" i="52"/>
  <c r="AA81" i="52"/>
  <c r="Z81" i="52"/>
  <c r="Y81" i="52"/>
  <c r="X81" i="52"/>
  <c r="W81" i="52"/>
  <c r="T81" i="52"/>
  <c r="S81" i="52"/>
  <c r="R81" i="52"/>
  <c r="Q81" i="52"/>
  <c r="P81" i="52"/>
  <c r="AH80" i="52"/>
  <c r="AG80" i="52"/>
  <c r="AF80" i="52"/>
  <c r="AE80" i="52"/>
  <c r="AD80" i="52"/>
  <c r="AA80" i="52"/>
  <c r="Z80" i="52"/>
  <c r="Y80" i="52"/>
  <c r="X80" i="52"/>
  <c r="W80" i="52"/>
  <c r="T80" i="52"/>
  <c r="S80" i="52"/>
  <c r="R80" i="52"/>
  <c r="Q80" i="52"/>
  <c r="P80" i="52"/>
  <c r="AH79" i="52"/>
  <c r="AG79" i="52"/>
  <c r="AF79" i="52"/>
  <c r="AE79" i="52"/>
  <c r="AD79" i="52"/>
  <c r="AA79" i="52"/>
  <c r="Z79" i="52"/>
  <c r="Y79" i="52"/>
  <c r="X79" i="52"/>
  <c r="W79" i="52"/>
  <c r="T79" i="52"/>
  <c r="S79" i="52"/>
  <c r="R79" i="52"/>
  <c r="Q79" i="52"/>
  <c r="P79" i="52"/>
  <c r="AH78" i="52"/>
  <c r="AG78" i="52"/>
  <c r="AF78" i="52"/>
  <c r="AE78" i="52"/>
  <c r="AD78" i="52"/>
  <c r="AA78" i="52"/>
  <c r="Z78" i="52"/>
  <c r="Y78" i="52"/>
  <c r="X78" i="52"/>
  <c r="W78" i="52"/>
  <c r="T78" i="52"/>
  <c r="S78" i="52"/>
  <c r="R78" i="52"/>
  <c r="Q78" i="52"/>
  <c r="P78" i="52"/>
  <c r="AH77" i="52"/>
  <c r="AG77" i="52"/>
  <c r="AF77" i="52"/>
  <c r="AE77" i="52"/>
  <c r="AD77" i="52"/>
  <c r="AA77" i="52"/>
  <c r="Z77" i="52"/>
  <c r="Y77" i="52"/>
  <c r="X77" i="52"/>
  <c r="W77" i="52"/>
  <c r="T77" i="52"/>
  <c r="S77" i="52"/>
  <c r="R77" i="52"/>
  <c r="Q77" i="52"/>
  <c r="P77" i="52"/>
  <c r="AH76" i="52"/>
  <c r="AG76" i="52"/>
  <c r="AF76" i="52"/>
  <c r="AE76" i="52"/>
  <c r="AD76" i="52"/>
  <c r="AA76" i="52"/>
  <c r="Z76" i="52"/>
  <c r="Y76" i="52"/>
  <c r="X76" i="52"/>
  <c r="W76" i="52"/>
  <c r="T76" i="52"/>
  <c r="S76" i="52"/>
  <c r="R76" i="52"/>
  <c r="Q76" i="52"/>
  <c r="P76" i="52"/>
  <c r="AH75" i="52"/>
  <c r="AG75" i="52"/>
  <c r="AF75" i="52"/>
  <c r="AE75" i="52"/>
  <c r="AD75" i="52"/>
  <c r="AA75" i="52"/>
  <c r="Z75" i="52"/>
  <c r="Y75" i="52"/>
  <c r="X75" i="52"/>
  <c r="W75" i="52"/>
  <c r="T75" i="52"/>
  <c r="S75" i="52"/>
  <c r="R75" i="52"/>
  <c r="Q75" i="52"/>
  <c r="P75" i="52"/>
  <c r="AH74" i="52"/>
  <c r="AG74" i="52"/>
  <c r="AF74" i="52"/>
  <c r="AE74" i="52"/>
  <c r="AD74" i="52"/>
  <c r="AA74" i="52"/>
  <c r="Z74" i="52"/>
  <c r="Y74" i="52"/>
  <c r="X74" i="52"/>
  <c r="W74" i="52"/>
  <c r="T74" i="52"/>
  <c r="S74" i="52"/>
  <c r="R74" i="52"/>
  <c r="Q74" i="52"/>
  <c r="P74" i="52"/>
  <c r="AH73" i="52"/>
  <c r="AG73" i="52"/>
  <c r="AF73" i="52"/>
  <c r="AE73" i="52"/>
  <c r="AD73" i="52"/>
  <c r="AA73" i="52"/>
  <c r="Z73" i="52"/>
  <c r="Y73" i="52"/>
  <c r="X73" i="52"/>
  <c r="W73" i="52"/>
  <c r="T73" i="52"/>
  <c r="C128" i="49" s="1"/>
  <c r="S73" i="52"/>
  <c r="C99" i="49" s="1"/>
  <c r="R73" i="52"/>
  <c r="C70" i="49" s="1"/>
  <c r="Q73" i="52"/>
  <c r="C41" i="49" s="1"/>
  <c r="P73" i="52"/>
  <c r="C12" i="49" s="1"/>
  <c r="AH72" i="52"/>
  <c r="AG72" i="52"/>
  <c r="AF72" i="52"/>
  <c r="AE72" i="52"/>
  <c r="AD72" i="52"/>
  <c r="AA72" i="52"/>
  <c r="Z72" i="52"/>
  <c r="Y72" i="52"/>
  <c r="X72" i="52"/>
  <c r="W72" i="52"/>
  <c r="T72" i="52"/>
  <c r="S72" i="52"/>
  <c r="R72" i="52"/>
  <c r="Q72" i="52"/>
  <c r="P72" i="52"/>
  <c r="AH71" i="52"/>
  <c r="AG71" i="52"/>
  <c r="AF71" i="52"/>
  <c r="AE71" i="52"/>
  <c r="AD71" i="52"/>
  <c r="AA71" i="52"/>
  <c r="Z71" i="52"/>
  <c r="Y71" i="52"/>
  <c r="X71" i="52"/>
  <c r="W71" i="52"/>
  <c r="T71" i="52"/>
  <c r="S71" i="52"/>
  <c r="R71" i="52"/>
  <c r="Q71" i="52"/>
  <c r="P71" i="52"/>
  <c r="AH70" i="52"/>
  <c r="AG70" i="52"/>
  <c r="AF70" i="52"/>
  <c r="AE70" i="52"/>
  <c r="AD70" i="52"/>
  <c r="AA70" i="52"/>
  <c r="Z70" i="52"/>
  <c r="Y70" i="52"/>
  <c r="X70" i="52"/>
  <c r="W70" i="52"/>
  <c r="T70" i="52"/>
  <c r="S70" i="52"/>
  <c r="R70" i="52"/>
  <c r="Q70" i="52"/>
  <c r="P70" i="52"/>
  <c r="AH69" i="52"/>
  <c r="AG69" i="52"/>
  <c r="AF69" i="52"/>
  <c r="AE69" i="52"/>
  <c r="AD69" i="52"/>
  <c r="AA69" i="52"/>
  <c r="Z69" i="52"/>
  <c r="Y69" i="52"/>
  <c r="X69" i="52"/>
  <c r="W69" i="52"/>
  <c r="T69" i="52"/>
  <c r="S69" i="52"/>
  <c r="R69" i="52"/>
  <c r="Q69" i="52"/>
  <c r="P69" i="52"/>
  <c r="AH68" i="52"/>
  <c r="AG68" i="52"/>
  <c r="AF68" i="52"/>
  <c r="AE68" i="52"/>
  <c r="AD68" i="52"/>
  <c r="AA68" i="52"/>
  <c r="Z68" i="52"/>
  <c r="Y68" i="52"/>
  <c r="X68" i="52"/>
  <c r="W68" i="52"/>
  <c r="T68" i="52"/>
  <c r="S68" i="52"/>
  <c r="R68" i="52"/>
  <c r="Q68" i="52"/>
  <c r="P68" i="52"/>
  <c r="AH67" i="52"/>
  <c r="AG67" i="52"/>
  <c r="AF67" i="52"/>
  <c r="AE67" i="52"/>
  <c r="AD67" i="52"/>
  <c r="AA67" i="52"/>
  <c r="Z67" i="52"/>
  <c r="Y67" i="52"/>
  <c r="X67" i="52"/>
  <c r="W67" i="52"/>
  <c r="T67" i="52"/>
  <c r="S67" i="52"/>
  <c r="R67" i="52"/>
  <c r="Q67" i="52"/>
  <c r="P67" i="52"/>
  <c r="AH66" i="52"/>
  <c r="AG66" i="52"/>
  <c r="AF66" i="52"/>
  <c r="AE66" i="52"/>
  <c r="AD66" i="52"/>
  <c r="AA66" i="52"/>
  <c r="Z66" i="52"/>
  <c r="Y66" i="52"/>
  <c r="X66" i="52"/>
  <c r="W66" i="52"/>
  <c r="T66" i="52"/>
  <c r="S66" i="52"/>
  <c r="R66" i="52"/>
  <c r="Q66" i="52"/>
  <c r="P66" i="52"/>
  <c r="AH65" i="52"/>
  <c r="AG65" i="52"/>
  <c r="AF65" i="52"/>
  <c r="AE65" i="52"/>
  <c r="AD65" i="52"/>
  <c r="AA65" i="52"/>
  <c r="Z65" i="52"/>
  <c r="Y65" i="52"/>
  <c r="X65" i="52"/>
  <c r="W65" i="52"/>
  <c r="T65" i="52"/>
  <c r="S65" i="52"/>
  <c r="R65" i="52"/>
  <c r="Q65" i="52"/>
  <c r="P65" i="52"/>
  <c r="AH64" i="52"/>
  <c r="AG64" i="52"/>
  <c r="AF64" i="52"/>
  <c r="AE64" i="52"/>
  <c r="AD64" i="52"/>
  <c r="AA64" i="52"/>
  <c r="Z64" i="52"/>
  <c r="Y64" i="52"/>
  <c r="X64" i="52"/>
  <c r="W64" i="52"/>
  <c r="T64" i="52"/>
  <c r="S64" i="52"/>
  <c r="R64" i="52"/>
  <c r="Q64" i="52"/>
  <c r="P64" i="52"/>
  <c r="AH63" i="52"/>
  <c r="AG63" i="52"/>
  <c r="AF63" i="52"/>
  <c r="AE63" i="52"/>
  <c r="AD63" i="52"/>
  <c r="AA63" i="52"/>
  <c r="Z63" i="52"/>
  <c r="Y63" i="52"/>
  <c r="X63" i="52"/>
  <c r="W63" i="52"/>
  <c r="T63" i="52"/>
  <c r="C127" i="49" s="1"/>
  <c r="S63" i="52"/>
  <c r="C98" i="49" s="1"/>
  <c r="R63" i="52"/>
  <c r="C69" i="49" s="1"/>
  <c r="Q63" i="52"/>
  <c r="C40" i="49" s="1"/>
  <c r="P63" i="52"/>
  <c r="C11" i="49" s="1"/>
  <c r="AH62" i="52"/>
  <c r="AG62" i="52"/>
  <c r="AF62" i="52"/>
  <c r="AE62" i="52"/>
  <c r="AD62" i="52"/>
  <c r="AA62" i="52"/>
  <c r="Z62" i="52"/>
  <c r="Y62" i="52"/>
  <c r="X62" i="52"/>
  <c r="W62" i="52"/>
  <c r="T62" i="52"/>
  <c r="S62" i="52"/>
  <c r="R62" i="52"/>
  <c r="Q62" i="52"/>
  <c r="P62" i="52"/>
  <c r="AH61" i="52"/>
  <c r="AG61" i="52"/>
  <c r="AF61" i="52"/>
  <c r="AE61" i="52"/>
  <c r="AD61" i="52"/>
  <c r="AA61" i="52"/>
  <c r="Z61" i="52"/>
  <c r="Y61" i="52"/>
  <c r="X61" i="52"/>
  <c r="W61" i="52"/>
  <c r="T61" i="52"/>
  <c r="S61" i="52"/>
  <c r="R61" i="52"/>
  <c r="Q61" i="52"/>
  <c r="P61" i="52"/>
  <c r="AH60" i="52"/>
  <c r="AG60" i="52"/>
  <c r="AF60" i="52"/>
  <c r="AE60" i="52"/>
  <c r="AD60" i="52"/>
  <c r="AA60" i="52"/>
  <c r="Z60" i="52"/>
  <c r="Y60" i="52"/>
  <c r="X60" i="52"/>
  <c r="W60" i="52"/>
  <c r="T60" i="52"/>
  <c r="S60" i="52"/>
  <c r="R60" i="52"/>
  <c r="Q60" i="52"/>
  <c r="P60" i="52"/>
  <c r="AH59" i="52"/>
  <c r="AG59" i="52"/>
  <c r="AF59" i="52"/>
  <c r="AE59" i="52"/>
  <c r="AD59" i="52"/>
  <c r="AA59" i="52"/>
  <c r="Z59" i="52"/>
  <c r="Y59" i="52"/>
  <c r="X59" i="52"/>
  <c r="W59" i="52"/>
  <c r="T59" i="52"/>
  <c r="S59" i="52"/>
  <c r="R59" i="52"/>
  <c r="Q59" i="52"/>
  <c r="P59" i="52"/>
  <c r="AH58" i="52"/>
  <c r="AG58" i="52"/>
  <c r="AF58" i="52"/>
  <c r="AE58" i="52"/>
  <c r="AD58" i="52"/>
  <c r="AA58" i="52"/>
  <c r="Z58" i="52"/>
  <c r="Y58" i="52"/>
  <c r="X58" i="52"/>
  <c r="W58" i="52"/>
  <c r="T58" i="52"/>
  <c r="S58" i="52"/>
  <c r="R58" i="52"/>
  <c r="Q58" i="52"/>
  <c r="P58" i="52"/>
  <c r="AH57" i="52"/>
  <c r="AG57" i="52"/>
  <c r="AF57" i="52"/>
  <c r="AE57" i="52"/>
  <c r="AD57" i="52"/>
  <c r="AA57" i="52"/>
  <c r="Z57" i="52"/>
  <c r="Y57" i="52"/>
  <c r="X57" i="52"/>
  <c r="W57" i="52"/>
  <c r="T57" i="52"/>
  <c r="S57" i="52"/>
  <c r="R57" i="52"/>
  <c r="Q57" i="52"/>
  <c r="P57" i="52"/>
  <c r="AH56" i="52"/>
  <c r="AG56" i="52"/>
  <c r="AF56" i="52"/>
  <c r="AE56" i="52"/>
  <c r="AD56" i="52"/>
  <c r="AA56" i="52"/>
  <c r="Z56" i="52"/>
  <c r="Y56" i="52"/>
  <c r="X56" i="52"/>
  <c r="W56" i="52"/>
  <c r="T56" i="52"/>
  <c r="S56" i="52"/>
  <c r="R56" i="52"/>
  <c r="Q56" i="52"/>
  <c r="P56" i="52"/>
  <c r="AH55" i="52"/>
  <c r="AG55" i="52"/>
  <c r="AF55" i="52"/>
  <c r="AE55" i="52"/>
  <c r="AD55" i="52"/>
  <c r="AA55" i="52"/>
  <c r="Z55" i="52"/>
  <c r="Y55" i="52"/>
  <c r="X55" i="52"/>
  <c r="W55" i="52"/>
  <c r="T55" i="52"/>
  <c r="S55" i="52"/>
  <c r="R55" i="52"/>
  <c r="Q55" i="52"/>
  <c r="P55" i="52"/>
  <c r="AH54" i="52"/>
  <c r="AG54" i="52"/>
  <c r="AF54" i="52"/>
  <c r="AE54" i="52"/>
  <c r="AD54" i="52"/>
  <c r="AA54" i="52"/>
  <c r="Z54" i="52"/>
  <c r="Y54" i="52"/>
  <c r="X54" i="52"/>
  <c r="W54" i="52"/>
  <c r="T54" i="52"/>
  <c r="S54" i="52"/>
  <c r="R54" i="52"/>
  <c r="Q54" i="52"/>
  <c r="P54" i="52"/>
  <c r="BE53" i="52"/>
  <c r="BD53" i="52"/>
  <c r="BC53" i="52"/>
  <c r="BB53" i="52"/>
  <c r="BA53" i="52"/>
  <c r="AX53" i="52"/>
  <c r="AW53" i="52"/>
  <c r="AV53" i="52"/>
  <c r="AU53" i="52"/>
  <c r="AT53" i="52"/>
  <c r="AQ53" i="52"/>
  <c r="AP53" i="52"/>
  <c r="AO53" i="52"/>
  <c r="AN53" i="52"/>
  <c r="AM53" i="52"/>
  <c r="AH53" i="52"/>
  <c r="AG53" i="52"/>
  <c r="AF53" i="52"/>
  <c r="AE53" i="52"/>
  <c r="AD53" i="52"/>
  <c r="AA53" i="52"/>
  <c r="Z53" i="52"/>
  <c r="Y53" i="52"/>
  <c r="X53" i="52"/>
  <c r="W53" i="52"/>
  <c r="T53" i="52"/>
  <c r="C126" i="49" s="1"/>
  <c r="S53" i="52"/>
  <c r="C97" i="49" s="1"/>
  <c r="R53" i="52"/>
  <c r="C68" i="49" s="1"/>
  <c r="Q53" i="52"/>
  <c r="C39" i="49" s="1"/>
  <c r="P53" i="52"/>
  <c r="C10" i="49" s="1"/>
  <c r="BE52" i="52"/>
  <c r="BD52" i="52"/>
  <c r="BC52" i="52"/>
  <c r="BB52" i="52"/>
  <c r="BA52" i="52"/>
  <c r="AX52" i="52"/>
  <c r="AW52" i="52"/>
  <c r="AV52" i="52"/>
  <c r="AU52" i="52"/>
  <c r="AT52" i="52"/>
  <c r="AQ52" i="52"/>
  <c r="AP52" i="52"/>
  <c r="AO52" i="52"/>
  <c r="AN52" i="52"/>
  <c r="AM52" i="52"/>
  <c r="AH52" i="52"/>
  <c r="AG52" i="52"/>
  <c r="AF52" i="52"/>
  <c r="AE52" i="52"/>
  <c r="AD52" i="52"/>
  <c r="AA52" i="52"/>
  <c r="Z52" i="52"/>
  <c r="Y52" i="52"/>
  <c r="X52" i="52"/>
  <c r="W52" i="52"/>
  <c r="T52" i="52"/>
  <c r="S52" i="52"/>
  <c r="R52" i="52"/>
  <c r="Q52" i="52"/>
  <c r="P52" i="52"/>
  <c r="BE51" i="52"/>
  <c r="BD51" i="52"/>
  <c r="BC51" i="52"/>
  <c r="BB51" i="52"/>
  <c r="BA51" i="52"/>
  <c r="AX51" i="52"/>
  <c r="AW51" i="52"/>
  <c r="AV51" i="52"/>
  <c r="AU51" i="52"/>
  <c r="AT51" i="52"/>
  <c r="AQ51" i="52"/>
  <c r="AP51" i="52"/>
  <c r="AO51" i="52"/>
  <c r="AN51" i="52"/>
  <c r="AM51" i="52"/>
  <c r="AH51" i="52"/>
  <c r="AG51" i="52"/>
  <c r="AF51" i="52"/>
  <c r="AE51" i="52"/>
  <c r="AD51" i="52"/>
  <c r="AA51" i="52"/>
  <c r="Z51" i="52"/>
  <c r="Y51" i="52"/>
  <c r="X51" i="52"/>
  <c r="W51" i="52"/>
  <c r="T51" i="52"/>
  <c r="S51" i="52"/>
  <c r="R51" i="52"/>
  <c r="Q51" i="52"/>
  <c r="P51" i="52"/>
  <c r="BE50" i="52"/>
  <c r="BD50" i="52"/>
  <c r="BC50" i="52"/>
  <c r="BB50" i="52"/>
  <c r="BA50" i="52"/>
  <c r="AX50" i="52"/>
  <c r="AW50" i="52"/>
  <c r="AV50" i="52"/>
  <c r="AU50" i="52"/>
  <c r="AT50" i="52"/>
  <c r="AQ50" i="52"/>
  <c r="AP50" i="52"/>
  <c r="AO50" i="52"/>
  <c r="AN50" i="52"/>
  <c r="AM50" i="52"/>
  <c r="AH50" i="52"/>
  <c r="AG50" i="52"/>
  <c r="AF50" i="52"/>
  <c r="AE50" i="52"/>
  <c r="AD50" i="52"/>
  <c r="AA50" i="52"/>
  <c r="Z50" i="52"/>
  <c r="Y50" i="52"/>
  <c r="X50" i="52"/>
  <c r="W50" i="52"/>
  <c r="T50" i="52"/>
  <c r="S50" i="52"/>
  <c r="R50" i="52"/>
  <c r="Q50" i="52"/>
  <c r="P50" i="52"/>
  <c r="BE49" i="52"/>
  <c r="BD49" i="52"/>
  <c r="BC49" i="52"/>
  <c r="BB49" i="52"/>
  <c r="BA49" i="52"/>
  <c r="AX49" i="52"/>
  <c r="AW49" i="52"/>
  <c r="AV49" i="52"/>
  <c r="AU49" i="52"/>
  <c r="AT49" i="52"/>
  <c r="AQ49" i="52"/>
  <c r="AP49" i="52"/>
  <c r="AO49" i="52"/>
  <c r="AN49" i="52"/>
  <c r="AM49" i="52"/>
  <c r="AH49" i="52"/>
  <c r="AG49" i="52"/>
  <c r="AF49" i="52"/>
  <c r="AE49" i="52"/>
  <c r="AD49" i="52"/>
  <c r="AA49" i="52"/>
  <c r="Z49" i="52"/>
  <c r="Y49" i="52"/>
  <c r="X49" i="52"/>
  <c r="W49" i="52"/>
  <c r="T49" i="52"/>
  <c r="S49" i="52"/>
  <c r="R49" i="52"/>
  <c r="Q49" i="52"/>
  <c r="P49" i="52"/>
  <c r="BE48" i="52"/>
  <c r="BD48" i="52"/>
  <c r="BC48" i="52"/>
  <c r="BB48" i="52"/>
  <c r="BA48" i="52"/>
  <c r="AX48" i="52"/>
  <c r="AW48" i="52"/>
  <c r="AV48" i="52"/>
  <c r="AU48" i="52"/>
  <c r="AT48" i="52"/>
  <c r="AQ48" i="52"/>
  <c r="AP48" i="52"/>
  <c r="AO48" i="52"/>
  <c r="AN48" i="52"/>
  <c r="AM48" i="52"/>
  <c r="AH48" i="52"/>
  <c r="AG48" i="52"/>
  <c r="AF48" i="52"/>
  <c r="AE48" i="52"/>
  <c r="AD48" i="52"/>
  <c r="AA48" i="52"/>
  <c r="Z48" i="52"/>
  <c r="Y48" i="52"/>
  <c r="X48" i="52"/>
  <c r="W48" i="52"/>
  <c r="T48" i="52"/>
  <c r="S48" i="52"/>
  <c r="R48" i="52"/>
  <c r="Q48" i="52"/>
  <c r="P48" i="52"/>
  <c r="BE47" i="52"/>
  <c r="BD47" i="52"/>
  <c r="BC47" i="52"/>
  <c r="BB47" i="52"/>
  <c r="BA47" i="52"/>
  <c r="AX47" i="52"/>
  <c r="AW47" i="52"/>
  <c r="AV47" i="52"/>
  <c r="AU47" i="52"/>
  <c r="AT47" i="52"/>
  <c r="AQ47" i="52"/>
  <c r="AP47" i="52"/>
  <c r="AO47" i="52"/>
  <c r="AN47" i="52"/>
  <c r="AM47" i="52"/>
  <c r="AH47" i="52"/>
  <c r="AG47" i="52"/>
  <c r="AF47" i="52"/>
  <c r="AE47" i="52"/>
  <c r="AD47" i="52"/>
  <c r="AA47" i="52"/>
  <c r="Z47" i="52"/>
  <c r="Y47" i="52"/>
  <c r="X47" i="52"/>
  <c r="W47" i="52"/>
  <c r="T47" i="52"/>
  <c r="S47" i="52"/>
  <c r="R47" i="52"/>
  <c r="Q47" i="52"/>
  <c r="P47" i="52"/>
  <c r="BE46" i="52"/>
  <c r="BD46" i="52"/>
  <c r="BC46" i="52"/>
  <c r="BB46" i="52"/>
  <c r="BA46" i="52"/>
  <c r="AX46" i="52"/>
  <c r="AW46" i="52"/>
  <c r="AV46" i="52"/>
  <c r="AU46" i="52"/>
  <c r="AT46" i="52"/>
  <c r="AQ46" i="52"/>
  <c r="AP46" i="52"/>
  <c r="AO46" i="52"/>
  <c r="AN46" i="52"/>
  <c r="AM46" i="52"/>
  <c r="AH46" i="52"/>
  <c r="AG46" i="52"/>
  <c r="AF46" i="52"/>
  <c r="AE46" i="52"/>
  <c r="AD46" i="52"/>
  <c r="AA46" i="52"/>
  <c r="Z46" i="52"/>
  <c r="Y46" i="52"/>
  <c r="X46" i="52"/>
  <c r="W46" i="52"/>
  <c r="T46" i="52"/>
  <c r="S46" i="52"/>
  <c r="R46" i="52"/>
  <c r="Q46" i="52"/>
  <c r="P46" i="52"/>
  <c r="BE45" i="52"/>
  <c r="BD45" i="52"/>
  <c r="BC45" i="52"/>
  <c r="BB45" i="52"/>
  <c r="BA45" i="52"/>
  <c r="AX45" i="52"/>
  <c r="AW45" i="52"/>
  <c r="AV45" i="52"/>
  <c r="AU45" i="52"/>
  <c r="AT45" i="52"/>
  <c r="AQ45" i="52"/>
  <c r="AP45" i="52"/>
  <c r="AO45" i="52"/>
  <c r="AN45" i="52"/>
  <c r="AM45" i="52"/>
  <c r="AH45" i="52"/>
  <c r="AG45" i="52"/>
  <c r="AF45" i="52"/>
  <c r="AE45" i="52"/>
  <c r="AD45" i="52"/>
  <c r="AA45" i="52"/>
  <c r="Z45" i="52"/>
  <c r="Y45" i="52"/>
  <c r="X45" i="52"/>
  <c r="W45" i="52"/>
  <c r="T45" i="52"/>
  <c r="S45" i="52"/>
  <c r="R45" i="52"/>
  <c r="Q45" i="52"/>
  <c r="P45" i="52"/>
  <c r="BE44" i="52"/>
  <c r="BD44" i="52"/>
  <c r="BC44" i="52"/>
  <c r="BB44" i="52"/>
  <c r="BA44" i="52"/>
  <c r="AX44" i="52"/>
  <c r="AW44" i="52"/>
  <c r="AV44" i="52"/>
  <c r="AU44" i="52"/>
  <c r="AT44" i="52"/>
  <c r="AQ44" i="52"/>
  <c r="AP44" i="52"/>
  <c r="AO44" i="52"/>
  <c r="AN44" i="52"/>
  <c r="AM44" i="52"/>
  <c r="AH44" i="52"/>
  <c r="AG44" i="52"/>
  <c r="AF44" i="52"/>
  <c r="AE44" i="52"/>
  <c r="AD44" i="52"/>
  <c r="AA44" i="52"/>
  <c r="Z44" i="52"/>
  <c r="Y44" i="52"/>
  <c r="X44" i="52"/>
  <c r="W44" i="52"/>
  <c r="T44" i="52"/>
  <c r="S44" i="52"/>
  <c r="R44" i="52"/>
  <c r="Q44" i="52"/>
  <c r="P44" i="52"/>
  <c r="BE43" i="52"/>
  <c r="BD43" i="52"/>
  <c r="BC43" i="52"/>
  <c r="BB43" i="52"/>
  <c r="BA43" i="52"/>
  <c r="AX43" i="52"/>
  <c r="AW43" i="52"/>
  <c r="AV43" i="52"/>
  <c r="AU43" i="52"/>
  <c r="AT43" i="52"/>
  <c r="AQ43" i="52"/>
  <c r="AP43" i="52"/>
  <c r="AO43" i="52"/>
  <c r="AN43" i="52"/>
  <c r="AM43" i="52"/>
  <c r="AH43" i="52"/>
  <c r="AG43" i="52"/>
  <c r="AF43" i="52"/>
  <c r="AE43" i="52"/>
  <c r="AD43" i="52"/>
  <c r="AA43" i="52"/>
  <c r="Z43" i="52"/>
  <c r="Y43" i="52"/>
  <c r="X43" i="52"/>
  <c r="W43" i="52"/>
  <c r="T43" i="52"/>
  <c r="C125" i="49" s="1"/>
  <c r="S43" i="52"/>
  <c r="C96" i="49" s="1"/>
  <c r="R43" i="52"/>
  <c r="C67" i="49" s="1"/>
  <c r="Q43" i="52"/>
  <c r="C38" i="49" s="1"/>
  <c r="P43" i="52"/>
  <c r="C9" i="49" s="1"/>
  <c r="BE42" i="52"/>
  <c r="BD42" i="52"/>
  <c r="BC42" i="52"/>
  <c r="BB42" i="52"/>
  <c r="BA42" i="52"/>
  <c r="AX42" i="52"/>
  <c r="AW42" i="52"/>
  <c r="AV42" i="52"/>
  <c r="AU42" i="52"/>
  <c r="AT42" i="52"/>
  <c r="AQ42" i="52"/>
  <c r="AP42" i="52"/>
  <c r="AO42" i="52"/>
  <c r="AN42" i="52"/>
  <c r="AM42" i="52"/>
  <c r="AH42" i="52"/>
  <c r="AG42" i="52"/>
  <c r="AF42" i="52"/>
  <c r="AE42" i="52"/>
  <c r="AD42" i="52"/>
  <c r="AA42" i="52"/>
  <c r="Z42" i="52"/>
  <c r="Y42" i="52"/>
  <c r="X42" i="52"/>
  <c r="W42" i="52"/>
  <c r="T42" i="52"/>
  <c r="S42" i="52"/>
  <c r="R42" i="52"/>
  <c r="Q42" i="52"/>
  <c r="P42" i="52"/>
  <c r="BE41" i="52"/>
  <c r="BD41" i="52"/>
  <c r="BC41" i="52"/>
  <c r="BB41" i="52"/>
  <c r="BA41" i="52"/>
  <c r="AX41" i="52"/>
  <c r="AW41" i="52"/>
  <c r="AV41" i="52"/>
  <c r="AU41" i="52"/>
  <c r="AT41" i="52"/>
  <c r="AQ41" i="52"/>
  <c r="AP41" i="52"/>
  <c r="AO41" i="52"/>
  <c r="AN41" i="52"/>
  <c r="AM41" i="52"/>
  <c r="AH41" i="52"/>
  <c r="AG41" i="52"/>
  <c r="AF41" i="52"/>
  <c r="AE41" i="52"/>
  <c r="AD41" i="52"/>
  <c r="AA41" i="52"/>
  <c r="Z41" i="52"/>
  <c r="Y41" i="52"/>
  <c r="X41" i="52"/>
  <c r="W41" i="52"/>
  <c r="T41" i="52"/>
  <c r="S41" i="52"/>
  <c r="R41" i="52"/>
  <c r="Q41" i="52"/>
  <c r="P41" i="52"/>
  <c r="BE40" i="52"/>
  <c r="BD40" i="52"/>
  <c r="BC40" i="52"/>
  <c r="BB40" i="52"/>
  <c r="BA40" i="52"/>
  <c r="AX40" i="52"/>
  <c r="AW40" i="52"/>
  <c r="AV40" i="52"/>
  <c r="AU40" i="52"/>
  <c r="AT40" i="52"/>
  <c r="AQ40" i="52"/>
  <c r="AP40" i="52"/>
  <c r="AO40" i="52"/>
  <c r="AN40" i="52"/>
  <c r="AM40" i="52"/>
  <c r="AH40" i="52"/>
  <c r="AG40" i="52"/>
  <c r="AF40" i="52"/>
  <c r="AE40" i="52"/>
  <c r="AD40" i="52"/>
  <c r="AA40" i="52"/>
  <c r="Z40" i="52"/>
  <c r="Y40" i="52"/>
  <c r="X40" i="52"/>
  <c r="W40" i="52"/>
  <c r="T40" i="52"/>
  <c r="S40" i="52"/>
  <c r="R40" i="52"/>
  <c r="Q40" i="52"/>
  <c r="P40" i="52"/>
  <c r="BE39" i="52"/>
  <c r="BD39" i="52"/>
  <c r="BC39" i="52"/>
  <c r="BB39" i="52"/>
  <c r="BA39" i="52"/>
  <c r="AX39" i="52"/>
  <c r="AW39" i="52"/>
  <c r="AV39" i="52"/>
  <c r="AU39" i="52"/>
  <c r="AT39" i="52"/>
  <c r="AQ39" i="52"/>
  <c r="AP39" i="52"/>
  <c r="AO39" i="52"/>
  <c r="AN39" i="52"/>
  <c r="AM39" i="52"/>
  <c r="AH39" i="52"/>
  <c r="AG39" i="52"/>
  <c r="AF39" i="52"/>
  <c r="AE39" i="52"/>
  <c r="AD39" i="52"/>
  <c r="AA39" i="52"/>
  <c r="Z39" i="52"/>
  <c r="Y39" i="52"/>
  <c r="X39" i="52"/>
  <c r="W39" i="52"/>
  <c r="T39" i="52"/>
  <c r="S39" i="52"/>
  <c r="R39" i="52"/>
  <c r="Q39" i="52"/>
  <c r="P39" i="52"/>
  <c r="BE38" i="52"/>
  <c r="BD38" i="52"/>
  <c r="BC38" i="52"/>
  <c r="BB38" i="52"/>
  <c r="BA38" i="52"/>
  <c r="AX38" i="52"/>
  <c r="AW38" i="52"/>
  <c r="AV38" i="52"/>
  <c r="AU38" i="52"/>
  <c r="AT38" i="52"/>
  <c r="AQ38" i="52"/>
  <c r="AP38" i="52"/>
  <c r="AO38" i="52"/>
  <c r="AN38" i="52"/>
  <c r="AM38" i="52"/>
  <c r="AH38" i="52"/>
  <c r="AG38" i="52"/>
  <c r="AF38" i="52"/>
  <c r="AE38" i="52"/>
  <c r="AD38" i="52"/>
  <c r="AA38" i="52"/>
  <c r="Z38" i="52"/>
  <c r="Y38" i="52"/>
  <c r="X38" i="52"/>
  <c r="W38" i="52"/>
  <c r="T38" i="52"/>
  <c r="S38" i="52"/>
  <c r="R38" i="52"/>
  <c r="Q38" i="52"/>
  <c r="P38" i="52"/>
  <c r="BE37" i="52"/>
  <c r="BD37" i="52"/>
  <c r="BC37" i="52"/>
  <c r="BB37" i="52"/>
  <c r="BA37" i="52"/>
  <c r="AX37" i="52"/>
  <c r="AW37" i="52"/>
  <c r="AV37" i="52"/>
  <c r="AU37" i="52"/>
  <c r="AT37" i="52"/>
  <c r="AQ37" i="52"/>
  <c r="AP37" i="52"/>
  <c r="AO37" i="52"/>
  <c r="AN37" i="52"/>
  <c r="AM37" i="52"/>
  <c r="AH37" i="52"/>
  <c r="AG37" i="52"/>
  <c r="AF37" i="52"/>
  <c r="AE37" i="52"/>
  <c r="AD37" i="52"/>
  <c r="AA37" i="52"/>
  <c r="Z37" i="52"/>
  <c r="Y37" i="52"/>
  <c r="X37" i="52"/>
  <c r="W37" i="52"/>
  <c r="T37" i="52"/>
  <c r="S37" i="52"/>
  <c r="R37" i="52"/>
  <c r="Q37" i="52"/>
  <c r="P37" i="52"/>
  <c r="BE36" i="52"/>
  <c r="BD36" i="52"/>
  <c r="BC36" i="52"/>
  <c r="BB36" i="52"/>
  <c r="BA36" i="52"/>
  <c r="AX36" i="52"/>
  <c r="AW36" i="52"/>
  <c r="AV36" i="52"/>
  <c r="AU36" i="52"/>
  <c r="AT36" i="52"/>
  <c r="AQ36" i="52"/>
  <c r="AP36" i="52"/>
  <c r="AO36" i="52"/>
  <c r="AN36" i="52"/>
  <c r="AM36" i="52"/>
  <c r="AH36" i="52"/>
  <c r="AG36" i="52"/>
  <c r="AF36" i="52"/>
  <c r="AE36" i="52"/>
  <c r="AD36" i="52"/>
  <c r="AA36" i="52"/>
  <c r="Z36" i="52"/>
  <c r="Y36" i="52"/>
  <c r="X36" i="52"/>
  <c r="W36" i="52"/>
  <c r="T36" i="52"/>
  <c r="S36" i="52"/>
  <c r="R36" i="52"/>
  <c r="Q36" i="52"/>
  <c r="P36" i="52"/>
  <c r="BE35" i="52"/>
  <c r="BD35" i="52"/>
  <c r="BC35" i="52"/>
  <c r="BB35" i="52"/>
  <c r="BA35" i="52"/>
  <c r="AX35" i="52"/>
  <c r="AW35" i="52"/>
  <c r="AV35" i="52"/>
  <c r="AU35" i="52"/>
  <c r="AT35" i="52"/>
  <c r="AQ35" i="52"/>
  <c r="AP35" i="52"/>
  <c r="AO35" i="52"/>
  <c r="AN35" i="52"/>
  <c r="AM35" i="52"/>
  <c r="AH35" i="52"/>
  <c r="AG35" i="52"/>
  <c r="AF35" i="52"/>
  <c r="AE35" i="52"/>
  <c r="AD35" i="52"/>
  <c r="AA35" i="52"/>
  <c r="Z35" i="52"/>
  <c r="Y35" i="52"/>
  <c r="X35" i="52"/>
  <c r="W35" i="52"/>
  <c r="T35" i="52"/>
  <c r="S35" i="52"/>
  <c r="R35" i="52"/>
  <c r="Q35" i="52"/>
  <c r="P35" i="52"/>
  <c r="BE34" i="52"/>
  <c r="BD34" i="52"/>
  <c r="BC34" i="52"/>
  <c r="BB34" i="52"/>
  <c r="BA34" i="52"/>
  <c r="AX34" i="52"/>
  <c r="AW34" i="52"/>
  <c r="AV34" i="52"/>
  <c r="AU34" i="52"/>
  <c r="AT34" i="52"/>
  <c r="AQ34" i="52"/>
  <c r="AP34" i="52"/>
  <c r="AO34" i="52"/>
  <c r="AN34" i="52"/>
  <c r="AM34" i="52"/>
  <c r="AH34" i="52"/>
  <c r="AG34" i="52"/>
  <c r="AF34" i="52"/>
  <c r="AE34" i="52"/>
  <c r="AD34" i="52"/>
  <c r="AA34" i="52"/>
  <c r="Z34" i="52"/>
  <c r="Y34" i="52"/>
  <c r="X34" i="52"/>
  <c r="W34" i="52"/>
  <c r="T34" i="52"/>
  <c r="S34" i="52"/>
  <c r="R34" i="52"/>
  <c r="Q34" i="52"/>
  <c r="P34" i="52"/>
  <c r="BE33" i="52"/>
  <c r="BD33" i="52"/>
  <c r="BC33" i="52"/>
  <c r="BB33" i="52"/>
  <c r="BA33" i="52"/>
  <c r="AX33" i="52"/>
  <c r="AW33" i="52"/>
  <c r="AV33" i="52"/>
  <c r="AU33" i="52"/>
  <c r="AT33" i="52"/>
  <c r="AQ33" i="52"/>
  <c r="AP33" i="52"/>
  <c r="AO33" i="52"/>
  <c r="AN33" i="52"/>
  <c r="AM33" i="52"/>
  <c r="AH33" i="52"/>
  <c r="AG33" i="52"/>
  <c r="AF33" i="52"/>
  <c r="AE33" i="52"/>
  <c r="AD33" i="52"/>
  <c r="AA33" i="52"/>
  <c r="Z33" i="52"/>
  <c r="Y33" i="52"/>
  <c r="X33" i="52"/>
  <c r="W33" i="52"/>
  <c r="T33" i="52"/>
  <c r="C124" i="49" s="1"/>
  <c r="S33" i="52"/>
  <c r="C95" i="49" s="1"/>
  <c r="R33" i="52"/>
  <c r="C66" i="49" s="1"/>
  <c r="Q33" i="52"/>
  <c r="C37" i="49" s="1"/>
  <c r="P33" i="52"/>
  <c r="C8" i="49" s="1"/>
  <c r="BE32" i="52"/>
  <c r="BD32" i="52"/>
  <c r="BC32" i="52"/>
  <c r="BB32" i="52"/>
  <c r="BA32" i="52"/>
  <c r="AX32" i="52"/>
  <c r="AW32" i="52"/>
  <c r="AV32" i="52"/>
  <c r="AU32" i="52"/>
  <c r="AT32" i="52"/>
  <c r="AQ32" i="52"/>
  <c r="AP32" i="52"/>
  <c r="AO32" i="52"/>
  <c r="AN32" i="52"/>
  <c r="AM32" i="52"/>
  <c r="AH32" i="52"/>
  <c r="AG32" i="52"/>
  <c r="AF32" i="52"/>
  <c r="AE32" i="52"/>
  <c r="AD32" i="52"/>
  <c r="AA32" i="52"/>
  <c r="Z32" i="52"/>
  <c r="Y32" i="52"/>
  <c r="X32" i="52"/>
  <c r="W32" i="52"/>
  <c r="T32" i="52"/>
  <c r="S32" i="52"/>
  <c r="R32" i="52"/>
  <c r="Q32" i="52"/>
  <c r="P32" i="52"/>
  <c r="BE31" i="52"/>
  <c r="BD31" i="52"/>
  <c r="BC31" i="52"/>
  <c r="BB31" i="52"/>
  <c r="BA31" i="52"/>
  <c r="AX31" i="52"/>
  <c r="AW31" i="52"/>
  <c r="AV31" i="52"/>
  <c r="AU31" i="52"/>
  <c r="AT31" i="52"/>
  <c r="AQ31" i="52"/>
  <c r="AP31" i="52"/>
  <c r="AO31" i="52"/>
  <c r="AN31" i="52"/>
  <c r="AM31" i="52"/>
  <c r="AH31" i="52"/>
  <c r="AG31" i="52"/>
  <c r="AF31" i="52"/>
  <c r="AE31" i="52"/>
  <c r="AD31" i="52"/>
  <c r="AA31" i="52"/>
  <c r="Z31" i="52"/>
  <c r="Y31" i="52"/>
  <c r="X31" i="52"/>
  <c r="W31" i="52"/>
  <c r="T31" i="52"/>
  <c r="S31" i="52"/>
  <c r="R31" i="52"/>
  <c r="Q31" i="52"/>
  <c r="P31" i="52"/>
  <c r="BE30" i="52"/>
  <c r="BD30" i="52"/>
  <c r="BC30" i="52"/>
  <c r="BB30" i="52"/>
  <c r="BA30" i="52"/>
  <c r="AX30" i="52"/>
  <c r="AW30" i="52"/>
  <c r="AV30" i="52"/>
  <c r="AU30" i="52"/>
  <c r="AT30" i="52"/>
  <c r="AQ30" i="52"/>
  <c r="AP30" i="52"/>
  <c r="AO30" i="52"/>
  <c r="AN30" i="52"/>
  <c r="AM30" i="52"/>
  <c r="AH30" i="52"/>
  <c r="AG30" i="52"/>
  <c r="AF30" i="52"/>
  <c r="AE30" i="52"/>
  <c r="AD30" i="52"/>
  <c r="AA30" i="52"/>
  <c r="Z30" i="52"/>
  <c r="Y30" i="52"/>
  <c r="X30" i="52"/>
  <c r="W30" i="52"/>
  <c r="T30" i="52"/>
  <c r="S30" i="52"/>
  <c r="R30" i="52"/>
  <c r="Q30" i="52"/>
  <c r="P30" i="52"/>
  <c r="BE29" i="52"/>
  <c r="BD29" i="52"/>
  <c r="BC29" i="52"/>
  <c r="BB29" i="52"/>
  <c r="BA29" i="52"/>
  <c r="AX29" i="52"/>
  <c r="AW29" i="52"/>
  <c r="AV29" i="52"/>
  <c r="AU29" i="52"/>
  <c r="AT29" i="52"/>
  <c r="AQ29" i="52"/>
  <c r="AP29" i="52"/>
  <c r="AO29" i="52"/>
  <c r="AN29" i="52"/>
  <c r="AM29" i="52"/>
  <c r="AH29" i="52"/>
  <c r="AG29" i="52"/>
  <c r="AF29" i="52"/>
  <c r="AE29" i="52"/>
  <c r="AD29" i="52"/>
  <c r="AA29" i="52"/>
  <c r="Z29" i="52"/>
  <c r="Y29" i="52"/>
  <c r="X29" i="52"/>
  <c r="W29" i="52"/>
  <c r="T29" i="52"/>
  <c r="S29" i="52"/>
  <c r="R29" i="52"/>
  <c r="Q29" i="52"/>
  <c r="P29" i="52"/>
  <c r="BE28" i="52"/>
  <c r="BD28" i="52"/>
  <c r="BC28" i="52"/>
  <c r="BB28" i="52"/>
  <c r="BA28" i="52"/>
  <c r="AX28" i="52"/>
  <c r="AW28" i="52"/>
  <c r="AV28" i="52"/>
  <c r="AU28" i="52"/>
  <c r="AT28" i="52"/>
  <c r="AQ28" i="52"/>
  <c r="AP28" i="52"/>
  <c r="AO28" i="52"/>
  <c r="AN28" i="52"/>
  <c r="AM28" i="52"/>
  <c r="AH28" i="52"/>
  <c r="AG28" i="52"/>
  <c r="AF28" i="52"/>
  <c r="AE28" i="52"/>
  <c r="AD28" i="52"/>
  <c r="AA28" i="52"/>
  <c r="Z28" i="52"/>
  <c r="Y28" i="52"/>
  <c r="X28" i="52"/>
  <c r="W28" i="52"/>
  <c r="T28" i="52"/>
  <c r="S28" i="52"/>
  <c r="R28" i="52"/>
  <c r="Q28" i="52"/>
  <c r="P28" i="52"/>
  <c r="BE27" i="52"/>
  <c r="BD27" i="52"/>
  <c r="BC27" i="52"/>
  <c r="BB27" i="52"/>
  <c r="BA27" i="52"/>
  <c r="AX27" i="52"/>
  <c r="AW27" i="52"/>
  <c r="AV27" i="52"/>
  <c r="AU27" i="52"/>
  <c r="AT27" i="52"/>
  <c r="AQ27" i="52"/>
  <c r="AP27" i="52"/>
  <c r="AO27" i="52"/>
  <c r="AN27" i="52"/>
  <c r="AM27" i="52"/>
  <c r="AH27" i="52"/>
  <c r="AG27" i="52"/>
  <c r="AF27" i="52"/>
  <c r="AE27" i="52"/>
  <c r="AD27" i="52"/>
  <c r="AA27" i="52"/>
  <c r="Z27" i="52"/>
  <c r="Y27" i="52"/>
  <c r="X27" i="52"/>
  <c r="W27" i="52"/>
  <c r="T27" i="52"/>
  <c r="S27" i="52"/>
  <c r="R27" i="52"/>
  <c r="Q27" i="52"/>
  <c r="P27" i="52"/>
  <c r="BE26" i="52"/>
  <c r="BD26" i="52"/>
  <c r="BC26" i="52"/>
  <c r="BB26" i="52"/>
  <c r="BA26" i="52"/>
  <c r="AX26" i="52"/>
  <c r="AW26" i="52"/>
  <c r="AV26" i="52"/>
  <c r="AU26" i="52"/>
  <c r="AT26" i="52"/>
  <c r="AQ26" i="52"/>
  <c r="AP26" i="52"/>
  <c r="AO26" i="52"/>
  <c r="AN26" i="52"/>
  <c r="AM26" i="52"/>
  <c r="AH26" i="52"/>
  <c r="AG26" i="52"/>
  <c r="AF26" i="52"/>
  <c r="AE26" i="52"/>
  <c r="AD26" i="52"/>
  <c r="AA26" i="52"/>
  <c r="Z26" i="52"/>
  <c r="Y26" i="52"/>
  <c r="X26" i="52"/>
  <c r="W26" i="52"/>
  <c r="T26" i="52"/>
  <c r="S26" i="52"/>
  <c r="R26" i="52"/>
  <c r="Q26" i="52"/>
  <c r="P26" i="52"/>
  <c r="BE25" i="52"/>
  <c r="BD25" i="52"/>
  <c r="BC25" i="52"/>
  <c r="BB25" i="52"/>
  <c r="BA25" i="52"/>
  <c r="AX25" i="52"/>
  <c r="AW25" i="52"/>
  <c r="AV25" i="52"/>
  <c r="AU25" i="52"/>
  <c r="AT25" i="52"/>
  <c r="AQ25" i="52"/>
  <c r="AP25" i="52"/>
  <c r="AO25" i="52"/>
  <c r="AN25" i="52"/>
  <c r="AM25" i="52"/>
  <c r="AH25" i="52"/>
  <c r="AG25" i="52"/>
  <c r="AF25" i="52"/>
  <c r="AE25" i="52"/>
  <c r="AD25" i="52"/>
  <c r="AA25" i="52"/>
  <c r="Z25" i="52"/>
  <c r="Y25" i="52"/>
  <c r="X25" i="52"/>
  <c r="W25" i="52"/>
  <c r="T25" i="52"/>
  <c r="S25" i="52"/>
  <c r="R25" i="52"/>
  <c r="Q25" i="52"/>
  <c r="P25" i="52"/>
  <c r="BE24" i="52"/>
  <c r="BD24" i="52"/>
  <c r="BC24" i="52"/>
  <c r="BB24" i="52"/>
  <c r="BA24" i="52"/>
  <c r="AX24" i="52"/>
  <c r="AW24" i="52"/>
  <c r="AV24" i="52"/>
  <c r="AU24" i="52"/>
  <c r="AT24" i="52"/>
  <c r="AQ24" i="52"/>
  <c r="AP24" i="52"/>
  <c r="AO24" i="52"/>
  <c r="AN24" i="52"/>
  <c r="AM24" i="52"/>
  <c r="AH24" i="52"/>
  <c r="AG24" i="52"/>
  <c r="AF24" i="52"/>
  <c r="AE24" i="52"/>
  <c r="AD24" i="52"/>
  <c r="AA24" i="52"/>
  <c r="Z24" i="52"/>
  <c r="Y24" i="52"/>
  <c r="X24" i="52"/>
  <c r="W24" i="52"/>
  <c r="T24" i="52"/>
  <c r="S24" i="52"/>
  <c r="R24" i="52"/>
  <c r="Q24" i="52"/>
  <c r="P24" i="52"/>
  <c r="BE23" i="52"/>
  <c r="BD23" i="52"/>
  <c r="BC23" i="52"/>
  <c r="BB23" i="52"/>
  <c r="BA23" i="52"/>
  <c r="AX23" i="52"/>
  <c r="AW23" i="52"/>
  <c r="AV23" i="52"/>
  <c r="AU23" i="52"/>
  <c r="AT23" i="52"/>
  <c r="AQ23" i="52"/>
  <c r="AP23" i="52"/>
  <c r="AO23" i="52"/>
  <c r="AN23" i="52"/>
  <c r="AM23" i="52"/>
  <c r="AH23" i="52"/>
  <c r="AG23" i="52"/>
  <c r="AF23" i="52"/>
  <c r="AE23" i="52"/>
  <c r="AD23" i="52"/>
  <c r="AA23" i="52"/>
  <c r="Z23" i="52"/>
  <c r="Y23" i="52"/>
  <c r="X23" i="52"/>
  <c r="W23" i="52"/>
  <c r="T23" i="52"/>
  <c r="C123" i="49" s="1"/>
  <c r="S23" i="52"/>
  <c r="C94" i="49" s="1"/>
  <c r="R23" i="52"/>
  <c r="C65" i="49" s="1"/>
  <c r="Q23" i="52"/>
  <c r="C36" i="49" s="1"/>
  <c r="P23" i="52"/>
  <c r="C7" i="49" s="1"/>
  <c r="BE22" i="52"/>
  <c r="BD22" i="52"/>
  <c r="BC22" i="52"/>
  <c r="BB22" i="52"/>
  <c r="BA22" i="52"/>
  <c r="AX22" i="52"/>
  <c r="AW22" i="52"/>
  <c r="AV22" i="52"/>
  <c r="AU22" i="52"/>
  <c r="AT22" i="52"/>
  <c r="AQ22" i="52"/>
  <c r="AP22" i="52"/>
  <c r="AO22" i="52"/>
  <c r="AN22" i="52"/>
  <c r="AM22" i="52"/>
  <c r="AH22" i="52"/>
  <c r="AG22" i="52"/>
  <c r="AF22" i="52"/>
  <c r="AE22" i="52"/>
  <c r="AD22" i="52"/>
  <c r="AA22" i="52"/>
  <c r="Z22" i="52"/>
  <c r="Y22" i="52"/>
  <c r="X22" i="52"/>
  <c r="W22" i="52"/>
  <c r="T22" i="52"/>
  <c r="S22" i="52"/>
  <c r="R22" i="52"/>
  <c r="Q22" i="52"/>
  <c r="P22" i="52"/>
  <c r="BE21" i="52"/>
  <c r="BD21" i="52"/>
  <c r="BC21" i="52"/>
  <c r="BB21" i="52"/>
  <c r="BA21" i="52"/>
  <c r="AX21" i="52"/>
  <c r="AW21" i="52"/>
  <c r="AV21" i="52"/>
  <c r="AU21" i="52"/>
  <c r="AT21" i="52"/>
  <c r="AQ21" i="52"/>
  <c r="AP21" i="52"/>
  <c r="AO21" i="52"/>
  <c r="AN21" i="52"/>
  <c r="AM21" i="52"/>
  <c r="AH21" i="52"/>
  <c r="AG21" i="52"/>
  <c r="AF21" i="52"/>
  <c r="AE21" i="52"/>
  <c r="AD21" i="52"/>
  <c r="AA21" i="52"/>
  <c r="Z21" i="52"/>
  <c r="Y21" i="52"/>
  <c r="X21" i="52"/>
  <c r="W21" i="52"/>
  <c r="T21" i="52"/>
  <c r="S21" i="52"/>
  <c r="R21" i="52"/>
  <c r="Q21" i="52"/>
  <c r="P21" i="52"/>
  <c r="BE20" i="52"/>
  <c r="BD20" i="52"/>
  <c r="BC20" i="52"/>
  <c r="BB20" i="52"/>
  <c r="BA20" i="52"/>
  <c r="AX20" i="52"/>
  <c r="AW20" i="52"/>
  <c r="AV20" i="52"/>
  <c r="AU20" i="52"/>
  <c r="AT20" i="52"/>
  <c r="AQ20" i="52"/>
  <c r="AP20" i="52"/>
  <c r="AO20" i="52"/>
  <c r="AN20" i="52"/>
  <c r="AM20" i="52"/>
  <c r="AH20" i="52"/>
  <c r="AG20" i="52"/>
  <c r="AF20" i="52"/>
  <c r="AE20" i="52"/>
  <c r="AD20" i="52"/>
  <c r="AA20" i="52"/>
  <c r="Z20" i="52"/>
  <c r="Y20" i="52"/>
  <c r="X20" i="52"/>
  <c r="W20" i="52"/>
  <c r="T20" i="52"/>
  <c r="S20" i="52"/>
  <c r="R20" i="52"/>
  <c r="Q20" i="52"/>
  <c r="P20" i="52"/>
  <c r="BE19" i="52"/>
  <c r="BD19" i="52"/>
  <c r="BC19" i="52"/>
  <c r="BB19" i="52"/>
  <c r="BA19" i="52"/>
  <c r="AX19" i="52"/>
  <c r="AW19" i="52"/>
  <c r="AV19" i="52"/>
  <c r="AU19" i="52"/>
  <c r="AT19" i="52"/>
  <c r="AQ19" i="52"/>
  <c r="AP19" i="52"/>
  <c r="AO19" i="52"/>
  <c r="AN19" i="52"/>
  <c r="AM19" i="52"/>
  <c r="AH19" i="52"/>
  <c r="AG19" i="52"/>
  <c r="AF19" i="52"/>
  <c r="AE19" i="52"/>
  <c r="AD19" i="52"/>
  <c r="AA19" i="52"/>
  <c r="Z19" i="52"/>
  <c r="Y19" i="52"/>
  <c r="X19" i="52"/>
  <c r="W19" i="52"/>
  <c r="T19" i="52"/>
  <c r="S19" i="52"/>
  <c r="R19" i="52"/>
  <c r="Q19" i="52"/>
  <c r="P19" i="52"/>
  <c r="BE18" i="52"/>
  <c r="BD18" i="52"/>
  <c r="BC18" i="52"/>
  <c r="BB18" i="52"/>
  <c r="BA18" i="52"/>
  <c r="AX18" i="52"/>
  <c r="AW18" i="52"/>
  <c r="AV18" i="52"/>
  <c r="AU18" i="52"/>
  <c r="AT18" i="52"/>
  <c r="AQ18" i="52"/>
  <c r="AP18" i="52"/>
  <c r="AO18" i="52"/>
  <c r="AN18" i="52"/>
  <c r="AM18" i="52"/>
  <c r="AH18" i="52"/>
  <c r="AG18" i="52"/>
  <c r="AF18" i="52"/>
  <c r="AE18" i="52"/>
  <c r="AD18" i="52"/>
  <c r="AA18" i="52"/>
  <c r="Z18" i="52"/>
  <c r="Y18" i="52"/>
  <c r="X18" i="52"/>
  <c r="W18" i="52"/>
  <c r="T18" i="52"/>
  <c r="S18" i="52"/>
  <c r="R18" i="52"/>
  <c r="Q18" i="52"/>
  <c r="P18" i="52"/>
  <c r="BE17" i="52"/>
  <c r="BD17" i="52"/>
  <c r="BC17" i="52"/>
  <c r="BB17" i="52"/>
  <c r="BA17" i="52"/>
  <c r="AX17" i="52"/>
  <c r="AW17" i="52"/>
  <c r="AV17" i="52"/>
  <c r="AU17" i="52"/>
  <c r="AT17" i="52"/>
  <c r="AQ17" i="52"/>
  <c r="AP17" i="52"/>
  <c r="AO17" i="52"/>
  <c r="AN17" i="52"/>
  <c r="AM17" i="52"/>
  <c r="AH17" i="52"/>
  <c r="AG17" i="52"/>
  <c r="AF17" i="52"/>
  <c r="AE17" i="52"/>
  <c r="AD17" i="52"/>
  <c r="AA17" i="52"/>
  <c r="Z17" i="52"/>
  <c r="Y17" i="52"/>
  <c r="X17" i="52"/>
  <c r="W17" i="52"/>
  <c r="T17" i="52"/>
  <c r="S17" i="52"/>
  <c r="R17" i="52"/>
  <c r="Q17" i="52"/>
  <c r="P17" i="52"/>
  <c r="BE16" i="52"/>
  <c r="BD16" i="52"/>
  <c r="BC16" i="52"/>
  <c r="BB16" i="52"/>
  <c r="BA16" i="52"/>
  <c r="AX16" i="52"/>
  <c r="AW16" i="52"/>
  <c r="AV16" i="52"/>
  <c r="AU16" i="52"/>
  <c r="AT16" i="52"/>
  <c r="AQ16" i="52"/>
  <c r="AP16" i="52"/>
  <c r="AO16" i="52"/>
  <c r="AN16" i="52"/>
  <c r="AM16" i="52"/>
  <c r="AH16" i="52"/>
  <c r="AG16" i="52"/>
  <c r="AF16" i="52"/>
  <c r="AE16" i="52"/>
  <c r="AD16" i="52"/>
  <c r="AA16" i="52"/>
  <c r="Z16" i="52"/>
  <c r="Y16" i="52"/>
  <c r="X16" i="52"/>
  <c r="W16" i="52"/>
  <c r="T16" i="52"/>
  <c r="S16" i="52"/>
  <c r="R16" i="52"/>
  <c r="Q16" i="52"/>
  <c r="P16" i="52"/>
  <c r="BE15" i="52"/>
  <c r="BD15" i="52"/>
  <c r="BC15" i="52"/>
  <c r="BB15" i="52"/>
  <c r="BA15" i="52"/>
  <c r="AX15" i="52"/>
  <c r="AW15" i="52"/>
  <c r="AV15" i="52"/>
  <c r="AU15" i="52"/>
  <c r="AT15" i="52"/>
  <c r="AQ15" i="52"/>
  <c r="AP15" i="52"/>
  <c r="AO15" i="52"/>
  <c r="AN15" i="52"/>
  <c r="AM15" i="52"/>
  <c r="AH15" i="52"/>
  <c r="AG15" i="52"/>
  <c r="AF15" i="52"/>
  <c r="AE15" i="52"/>
  <c r="AD15" i="52"/>
  <c r="AA15" i="52"/>
  <c r="Z15" i="52"/>
  <c r="Y15" i="52"/>
  <c r="X15" i="52"/>
  <c r="W15" i="52"/>
  <c r="T15" i="52"/>
  <c r="S15" i="52"/>
  <c r="R15" i="52"/>
  <c r="Q15" i="52"/>
  <c r="P15" i="52"/>
  <c r="BE14" i="52"/>
  <c r="BD14" i="52"/>
  <c r="BC14" i="52"/>
  <c r="BB14" i="52"/>
  <c r="BA14" i="52"/>
  <c r="AX14" i="52"/>
  <c r="AW14" i="52"/>
  <c r="AV14" i="52"/>
  <c r="AU14" i="52"/>
  <c r="AT14" i="52"/>
  <c r="AQ14" i="52"/>
  <c r="AP14" i="52"/>
  <c r="AO14" i="52"/>
  <c r="AN14" i="52"/>
  <c r="AM14" i="52"/>
  <c r="AH14" i="52"/>
  <c r="AG14" i="52"/>
  <c r="AF14" i="52"/>
  <c r="AE14" i="52"/>
  <c r="AD14" i="52"/>
  <c r="AA14" i="52"/>
  <c r="Z14" i="52"/>
  <c r="Y14" i="52"/>
  <c r="X14" i="52"/>
  <c r="W14" i="52"/>
  <c r="T14" i="52"/>
  <c r="S14" i="52"/>
  <c r="R14" i="52"/>
  <c r="Q14" i="52"/>
  <c r="P14" i="52"/>
  <c r="BE13" i="52"/>
  <c r="BD13" i="52"/>
  <c r="BC13" i="52"/>
  <c r="BB13" i="52"/>
  <c r="BA13" i="52"/>
  <c r="AX13" i="52"/>
  <c r="AW13" i="52"/>
  <c r="AV13" i="52"/>
  <c r="AU13" i="52"/>
  <c r="AT13" i="52"/>
  <c r="AQ13" i="52"/>
  <c r="AP13" i="52"/>
  <c r="AO13" i="52"/>
  <c r="AN13" i="52"/>
  <c r="AM13" i="52"/>
  <c r="AH13" i="52"/>
  <c r="AG13" i="52"/>
  <c r="AF13" i="52"/>
  <c r="AE13" i="52"/>
  <c r="AD13" i="52"/>
  <c r="AA13" i="52"/>
  <c r="Z13" i="52"/>
  <c r="Y13" i="52"/>
  <c r="X13" i="52"/>
  <c r="W13" i="52"/>
  <c r="T13" i="52"/>
  <c r="C122" i="49" s="1"/>
  <c r="S13" i="52"/>
  <c r="C93" i="49" s="1"/>
  <c r="R13" i="52"/>
  <c r="C64" i="49" s="1"/>
  <c r="Q13" i="52"/>
  <c r="C35" i="49" s="1"/>
  <c r="P13" i="52"/>
  <c r="C6" i="49" s="1"/>
  <c r="BE12" i="52"/>
  <c r="BD12" i="52"/>
  <c r="BC12" i="52"/>
  <c r="BB12" i="52"/>
  <c r="BA12" i="52"/>
  <c r="AX12" i="52"/>
  <c r="AW12" i="52"/>
  <c r="AV12" i="52"/>
  <c r="AU12" i="52"/>
  <c r="AT12" i="52"/>
  <c r="AQ12" i="52"/>
  <c r="AP12" i="52"/>
  <c r="AO12" i="52"/>
  <c r="AN12" i="52"/>
  <c r="AM12" i="52"/>
  <c r="AH12" i="52"/>
  <c r="AG12" i="52"/>
  <c r="AF12" i="52"/>
  <c r="AE12" i="52"/>
  <c r="AD12" i="52"/>
  <c r="AA12" i="52"/>
  <c r="Z12" i="52"/>
  <c r="Y12" i="52"/>
  <c r="X12" i="52"/>
  <c r="W12" i="52"/>
  <c r="T12" i="52"/>
  <c r="S12" i="52"/>
  <c r="R12" i="52"/>
  <c r="Q12" i="52"/>
  <c r="P12" i="52"/>
  <c r="BE11" i="52"/>
  <c r="BD11" i="52"/>
  <c r="BC11" i="52"/>
  <c r="BB11" i="52"/>
  <c r="BA11" i="52"/>
  <c r="AX11" i="52"/>
  <c r="AW11" i="52"/>
  <c r="AV11" i="52"/>
  <c r="AU11" i="52"/>
  <c r="AT11" i="52"/>
  <c r="AQ11" i="52"/>
  <c r="AP11" i="52"/>
  <c r="AO11" i="52"/>
  <c r="AN11" i="52"/>
  <c r="AM11" i="52"/>
  <c r="AH11" i="52"/>
  <c r="AG11" i="52"/>
  <c r="AF11" i="52"/>
  <c r="AE11" i="52"/>
  <c r="AD11" i="52"/>
  <c r="AA11" i="52"/>
  <c r="Z11" i="52"/>
  <c r="Y11" i="52"/>
  <c r="X11" i="52"/>
  <c r="W11" i="52"/>
  <c r="T11" i="52"/>
  <c r="S11" i="52"/>
  <c r="R11" i="52"/>
  <c r="Q11" i="52"/>
  <c r="P11" i="52"/>
  <c r="BE10" i="52"/>
  <c r="BD10" i="52"/>
  <c r="BC10" i="52"/>
  <c r="BB10" i="52"/>
  <c r="BA10" i="52"/>
  <c r="AX10" i="52"/>
  <c r="AW10" i="52"/>
  <c r="AV10" i="52"/>
  <c r="AU10" i="52"/>
  <c r="AT10" i="52"/>
  <c r="AQ10" i="52"/>
  <c r="AP10" i="52"/>
  <c r="AO10" i="52"/>
  <c r="AN10" i="52"/>
  <c r="AM10" i="52"/>
  <c r="AH10" i="52"/>
  <c r="AG10" i="52"/>
  <c r="AF10" i="52"/>
  <c r="AE10" i="52"/>
  <c r="AD10" i="52"/>
  <c r="AA10" i="52"/>
  <c r="Z10" i="52"/>
  <c r="Y10" i="52"/>
  <c r="X10" i="52"/>
  <c r="W10" i="52"/>
  <c r="T10" i="52"/>
  <c r="S10" i="52"/>
  <c r="R10" i="52"/>
  <c r="Q10" i="52"/>
  <c r="P10" i="52"/>
  <c r="BE9" i="52"/>
  <c r="BD9" i="52"/>
  <c r="BC9" i="52"/>
  <c r="BB9" i="52"/>
  <c r="BA9" i="52"/>
  <c r="AX9" i="52"/>
  <c r="AW9" i="52"/>
  <c r="AV9" i="52"/>
  <c r="AU9" i="52"/>
  <c r="AT9" i="52"/>
  <c r="AQ9" i="52"/>
  <c r="AP9" i="52"/>
  <c r="AO9" i="52"/>
  <c r="AN9" i="52"/>
  <c r="AM9" i="52"/>
  <c r="AH9" i="52"/>
  <c r="AG9" i="52"/>
  <c r="AF9" i="52"/>
  <c r="AE9" i="52"/>
  <c r="AD9" i="52"/>
  <c r="AA9" i="52"/>
  <c r="Z9" i="52"/>
  <c r="Y9" i="52"/>
  <c r="X9" i="52"/>
  <c r="W9" i="52"/>
  <c r="T9" i="52"/>
  <c r="S9" i="52"/>
  <c r="R9" i="52"/>
  <c r="Q9" i="52"/>
  <c r="P9" i="52"/>
  <c r="BE8" i="52"/>
  <c r="BD8" i="52"/>
  <c r="BC8" i="52"/>
  <c r="BB8" i="52"/>
  <c r="BA8" i="52"/>
  <c r="AX8" i="52"/>
  <c r="AW8" i="52"/>
  <c r="AV8" i="52"/>
  <c r="AU8" i="52"/>
  <c r="AT8" i="52"/>
  <c r="AQ8" i="52"/>
  <c r="AP8" i="52"/>
  <c r="AO8" i="52"/>
  <c r="AN8" i="52"/>
  <c r="AM8" i="52"/>
  <c r="AH8" i="52"/>
  <c r="AG8" i="52"/>
  <c r="AF8" i="52"/>
  <c r="AE8" i="52"/>
  <c r="AD8" i="52"/>
  <c r="AA8" i="52"/>
  <c r="Z8" i="52"/>
  <c r="Y8" i="52"/>
  <c r="X8" i="52"/>
  <c r="W8" i="52"/>
  <c r="T8" i="52"/>
  <c r="S8" i="52"/>
  <c r="R8" i="52"/>
  <c r="Q8" i="52"/>
  <c r="P8" i="52"/>
  <c r="BE7" i="52"/>
  <c r="BD7" i="52"/>
  <c r="BC7" i="52"/>
  <c r="BB7" i="52"/>
  <c r="BA7" i="52"/>
  <c r="AX7" i="52"/>
  <c r="AW7" i="52"/>
  <c r="AV7" i="52"/>
  <c r="AU7" i="52"/>
  <c r="AT7" i="52"/>
  <c r="AQ7" i="52"/>
  <c r="AP7" i="52"/>
  <c r="AO7" i="52"/>
  <c r="AN7" i="52"/>
  <c r="AM7" i="52"/>
  <c r="AH7" i="52"/>
  <c r="AG7" i="52"/>
  <c r="AF7" i="52"/>
  <c r="AE7" i="52"/>
  <c r="AD7" i="52"/>
  <c r="AA7" i="52"/>
  <c r="Z7" i="52"/>
  <c r="Y7" i="52"/>
  <c r="X7" i="52"/>
  <c r="W7" i="52"/>
  <c r="T7" i="52"/>
  <c r="S7" i="52"/>
  <c r="R7" i="52"/>
  <c r="Q7" i="52"/>
  <c r="P7" i="52"/>
  <c r="BE6" i="52"/>
  <c r="BD6" i="52"/>
  <c r="BC6" i="52"/>
  <c r="BB6" i="52"/>
  <c r="BA6" i="52"/>
  <c r="AX6" i="52"/>
  <c r="AW6" i="52"/>
  <c r="AV6" i="52"/>
  <c r="AU6" i="52"/>
  <c r="AT6" i="52"/>
  <c r="AQ6" i="52"/>
  <c r="AP6" i="52"/>
  <c r="AO6" i="52"/>
  <c r="AN6" i="52"/>
  <c r="AM6" i="52"/>
  <c r="AH6" i="52"/>
  <c r="AG6" i="52"/>
  <c r="AF6" i="52"/>
  <c r="AE6" i="52"/>
  <c r="AD6" i="52"/>
  <c r="AA6" i="52"/>
  <c r="Z6" i="52"/>
  <c r="Y6" i="52"/>
  <c r="X6" i="52"/>
  <c r="W6" i="52"/>
  <c r="T6" i="52"/>
  <c r="S6" i="52"/>
  <c r="R6" i="52"/>
  <c r="Q6" i="52"/>
  <c r="P6" i="52"/>
  <c r="BE5" i="52"/>
  <c r="BD5" i="52"/>
  <c r="BC5" i="52"/>
  <c r="BB5" i="52"/>
  <c r="BA5" i="52"/>
  <c r="AX5" i="52"/>
  <c r="AW5" i="52"/>
  <c r="AV5" i="52"/>
  <c r="AU5" i="52"/>
  <c r="AT5" i="52"/>
  <c r="AQ5" i="52"/>
  <c r="AP5" i="52"/>
  <c r="AO5" i="52"/>
  <c r="AN5" i="52"/>
  <c r="AM5" i="52"/>
  <c r="AH5" i="52"/>
  <c r="AG5" i="52"/>
  <c r="AF5" i="52"/>
  <c r="AE5" i="52"/>
  <c r="AD5" i="52"/>
  <c r="AA5" i="52"/>
  <c r="Z5" i="52"/>
  <c r="Y5" i="52"/>
  <c r="X5" i="52"/>
  <c r="W5" i="52"/>
  <c r="T5" i="52"/>
  <c r="S5" i="52"/>
  <c r="R5" i="52"/>
  <c r="Q5" i="52"/>
  <c r="P5" i="52"/>
  <c r="BE4" i="52"/>
  <c r="BD4" i="52"/>
  <c r="BC4" i="52"/>
  <c r="BB4" i="52"/>
  <c r="BA4" i="52"/>
  <c r="AX4" i="52"/>
  <c r="AW4" i="52"/>
  <c r="AV4" i="52"/>
  <c r="AU4" i="52"/>
  <c r="AT4" i="52"/>
  <c r="AQ4" i="52"/>
  <c r="AP4" i="52"/>
  <c r="AO4" i="52"/>
  <c r="AN4" i="52"/>
  <c r="AM4" i="52"/>
  <c r="AH4" i="52"/>
  <c r="AG4" i="52"/>
  <c r="AF4" i="52"/>
  <c r="AE4" i="52"/>
  <c r="AD4" i="52"/>
  <c r="AA4" i="52"/>
  <c r="Z4" i="52"/>
  <c r="Y4" i="52"/>
  <c r="X4" i="52"/>
  <c r="W4" i="52"/>
  <c r="T4" i="52"/>
  <c r="S4" i="52"/>
  <c r="R4" i="52"/>
  <c r="Q4" i="52"/>
  <c r="P4" i="52"/>
  <c r="AH6" i="51" l="1"/>
  <c r="Y6" i="58" l="1"/>
  <c r="Z6" i="58"/>
  <c r="AA6" i="58"/>
  <c r="Y7" i="58"/>
  <c r="Z7" i="58"/>
  <c r="AA7" i="58"/>
  <c r="Y8" i="58"/>
  <c r="Z8" i="58"/>
  <c r="AA8" i="58"/>
  <c r="Y9" i="58"/>
  <c r="Z9" i="58"/>
  <c r="AA9" i="58"/>
  <c r="Y10" i="58"/>
  <c r="Z10" i="58"/>
  <c r="AA10" i="58"/>
  <c r="Y11" i="58"/>
  <c r="Z11" i="58"/>
  <c r="AA11" i="58"/>
  <c r="Y12" i="58"/>
  <c r="Z12" i="58"/>
  <c r="AA12" i="58"/>
  <c r="Y13" i="58"/>
  <c r="Z13" i="58"/>
  <c r="AA13" i="58"/>
  <c r="Y14" i="58"/>
  <c r="Z14" i="58"/>
  <c r="AA14" i="58"/>
  <c r="Y15" i="58"/>
  <c r="Z15" i="58"/>
  <c r="AA15" i="58"/>
  <c r="Y16" i="58"/>
  <c r="Z16" i="58"/>
  <c r="AA16" i="58"/>
  <c r="Y17" i="58"/>
  <c r="Z17" i="58"/>
  <c r="AA17" i="58"/>
  <c r="Y18" i="58"/>
  <c r="Z18" i="58"/>
  <c r="AA18" i="58"/>
  <c r="Y19" i="58"/>
  <c r="Z19" i="58"/>
  <c r="AA19" i="58"/>
  <c r="Y20" i="58"/>
  <c r="Z20" i="58"/>
  <c r="AA20" i="58"/>
  <c r="Y21" i="58"/>
  <c r="Z21" i="58"/>
  <c r="AA21" i="58"/>
  <c r="Y22" i="58"/>
  <c r="Z22" i="58"/>
  <c r="AA22" i="58"/>
  <c r="Y23" i="58"/>
  <c r="Z23" i="58"/>
  <c r="AA23" i="58"/>
  <c r="Y24" i="58"/>
  <c r="Z24" i="58"/>
  <c r="AA24" i="58"/>
  <c r="Y25" i="58"/>
  <c r="Z25" i="58"/>
  <c r="AA25" i="58"/>
  <c r="Y26" i="58"/>
  <c r="Z26" i="58"/>
  <c r="AA26" i="58"/>
  <c r="Y27" i="58"/>
  <c r="Z27" i="58"/>
  <c r="AA27" i="58"/>
  <c r="Y28" i="58"/>
  <c r="Z28" i="58"/>
  <c r="AA28" i="58"/>
  <c r="Y29" i="58"/>
  <c r="Z29" i="58"/>
  <c r="AA29" i="58"/>
  <c r="Y30" i="58"/>
  <c r="Z30" i="58"/>
  <c r="AA30" i="58"/>
  <c r="Y31" i="58"/>
  <c r="Z31" i="58"/>
  <c r="AA31" i="58"/>
  <c r="Y32" i="58"/>
  <c r="Z32" i="58"/>
  <c r="AA32" i="58"/>
  <c r="Y33" i="58"/>
  <c r="Z33" i="58"/>
  <c r="AA33" i="58"/>
  <c r="Y34" i="58"/>
  <c r="Z34" i="58"/>
  <c r="AA34" i="58"/>
  <c r="Y35" i="58"/>
  <c r="Z35" i="58"/>
  <c r="AA35" i="58"/>
  <c r="D9" i="50" l="1"/>
  <c r="E9" i="50"/>
  <c r="H9" i="50"/>
  <c r="I9" i="50" s="1"/>
  <c r="D6" i="50"/>
  <c r="E6" i="50"/>
  <c r="F6" i="50"/>
  <c r="G6" i="50"/>
  <c r="H6" i="50"/>
  <c r="I6" i="50" s="1"/>
  <c r="BM135" i="50" l="1"/>
  <c r="BN135" i="50" s="1"/>
  <c r="BM105" i="50"/>
  <c r="BN105" i="50" s="1"/>
  <c r="BM75" i="50"/>
  <c r="BN75" i="50" s="1"/>
  <c r="BM45" i="50"/>
  <c r="BN45" i="50" s="1"/>
  <c r="BM15" i="50"/>
  <c r="BN15" i="50" s="1"/>
  <c r="BM21" i="50"/>
  <c r="BN21" i="50" s="1"/>
  <c r="BM76" i="50"/>
  <c r="BN76" i="50" s="1"/>
  <c r="BM134" i="50"/>
  <c r="BN134" i="50" s="1"/>
  <c r="BM104" i="50"/>
  <c r="BN104" i="50" s="1"/>
  <c r="BM74" i="50"/>
  <c r="BN74" i="50" s="1"/>
  <c r="BM44" i="50"/>
  <c r="BM50" i="50"/>
  <c r="BN50" i="50" s="1"/>
  <c r="BM20" i="50"/>
  <c r="BN20" i="50" s="1"/>
  <c r="BM136" i="50"/>
  <c r="BN136" i="50" s="1"/>
  <c r="BM133" i="50"/>
  <c r="BN133" i="50" s="1"/>
  <c r="BM103" i="50"/>
  <c r="BN103" i="50" s="1"/>
  <c r="BM73" i="50"/>
  <c r="BM79" i="50"/>
  <c r="BN79" i="50" s="1"/>
  <c r="BM49" i="50"/>
  <c r="BN49" i="50" s="1"/>
  <c r="BM19" i="50"/>
  <c r="BN19" i="50" s="1"/>
  <c r="BM106" i="50"/>
  <c r="BN106" i="50" s="1"/>
  <c r="BM132" i="50"/>
  <c r="BN132" i="50" s="1"/>
  <c r="BM102" i="50"/>
  <c r="BM108" i="50"/>
  <c r="BN108" i="50" s="1"/>
  <c r="BM78" i="50"/>
  <c r="BN78" i="50" s="1"/>
  <c r="BM48" i="50"/>
  <c r="BN48" i="50" s="1"/>
  <c r="BM18" i="50"/>
  <c r="BN18" i="50" s="1"/>
  <c r="BM16" i="50"/>
  <c r="BN16" i="50" s="1"/>
  <c r="BM131" i="50"/>
  <c r="BM137" i="50"/>
  <c r="BN137" i="50" s="1"/>
  <c r="BM107" i="50"/>
  <c r="BN107" i="50" s="1"/>
  <c r="BM77" i="50"/>
  <c r="BN77" i="50" s="1"/>
  <c r="BM47" i="50"/>
  <c r="BN47" i="50" s="1"/>
  <c r="BM17" i="50"/>
  <c r="BN17" i="50" s="1"/>
  <c r="BM46" i="50"/>
  <c r="BN46" i="50" s="1"/>
  <c r="BM130" i="50"/>
  <c r="BL130" i="50"/>
  <c r="BK130" i="50"/>
  <c r="BJ130" i="50"/>
  <c r="BI130" i="50"/>
  <c r="BG130" i="50"/>
  <c r="BF130" i="50"/>
  <c r="BE130" i="50"/>
  <c r="BD130" i="50"/>
  <c r="BC130" i="50"/>
  <c r="BM129" i="50"/>
  <c r="BL129" i="50"/>
  <c r="BK129" i="50"/>
  <c r="BJ129" i="50"/>
  <c r="BI129" i="50"/>
  <c r="BG129" i="50"/>
  <c r="BF129" i="50"/>
  <c r="BE129" i="50"/>
  <c r="BD129" i="50"/>
  <c r="BC129" i="50"/>
  <c r="BM128" i="50"/>
  <c r="BL128" i="50"/>
  <c r="BK128" i="50"/>
  <c r="BJ128" i="50"/>
  <c r="BI128" i="50"/>
  <c r="BG128" i="50"/>
  <c r="BF128" i="50"/>
  <c r="BE128" i="50"/>
  <c r="BD128" i="50"/>
  <c r="BC128" i="50"/>
  <c r="BM127" i="50"/>
  <c r="BL127" i="50"/>
  <c r="BK127" i="50"/>
  <c r="BJ127" i="50"/>
  <c r="BI127" i="50"/>
  <c r="BG127" i="50"/>
  <c r="BF127" i="50"/>
  <c r="BE127" i="50"/>
  <c r="BD127" i="50"/>
  <c r="BC127" i="50"/>
  <c r="BM126" i="50"/>
  <c r="BL126" i="50"/>
  <c r="BK126" i="50"/>
  <c r="BJ126" i="50"/>
  <c r="BI126" i="50"/>
  <c r="BG126" i="50"/>
  <c r="BF126" i="50"/>
  <c r="BE126" i="50"/>
  <c r="BD126" i="50"/>
  <c r="BC126" i="50"/>
  <c r="BM125" i="50"/>
  <c r="BL125" i="50"/>
  <c r="BK125" i="50"/>
  <c r="BJ125" i="50"/>
  <c r="BI125" i="50"/>
  <c r="BG125" i="50"/>
  <c r="BF125" i="50"/>
  <c r="BE125" i="50"/>
  <c r="BD125" i="50"/>
  <c r="BC125" i="50"/>
  <c r="BM124" i="50"/>
  <c r="BL124" i="50"/>
  <c r="BK124" i="50"/>
  <c r="BJ124" i="50"/>
  <c r="BI124" i="50"/>
  <c r="BG124" i="50"/>
  <c r="BF124" i="50"/>
  <c r="BE124" i="50"/>
  <c r="BD124" i="50"/>
  <c r="BC124" i="50"/>
  <c r="BM123" i="50"/>
  <c r="BL123" i="50"/>
  <c r="BK123" i="50"/>
  <c r="BJ123" i="50"/>
  <c r="BI123" i="50"/>
  <c r="BG123" i="50"/>
  <c r="BF123" i="50"/>
  <c r="BE123" i="50"/>
  <c r="BD123" i="50"/>
  <c r="BC123" i="50"/>
  <c r="BM122" i="50"/>
  <c r="BL122" i="50"/>
  <c r="BK122" i="50"/>
  <c r="BJ122" i="50"/>
  <c r="BI122" i="50"/>
  <c r="BG122" i="50"/>
  <c r="BF122" i="50"/>
  <c r="BE122" i="50"/>
  <c r="BD122" i="50"/>
  <c r="BC122" i="50"/>
  <c r="BM101" i="50"/>
  <c r="BL101" i="50"/>
  <c r="BK101" i="50"/>
  <c r="BJ101" i="50"/>
  <c r="BI101" i="50"/>
  <c r="BG101" i="50"/>
  <c r="BF101" i="50"/>
  <c r="BE101" i="50"/>
  <c r="BD101" i="50"/>
  <c r="BC101" i="50"/>
  <c r="BM100" i="50"/>
  <c r="BL100" i="50"/>
  <c r="BK100" i="50"/>
  <c r="BJ100" i="50"/>
  <c r="BI100" i="50"/>
  <c r="BG100" i="50"/>
  <c r="BF100" i="50"/>
  <c r="BE100" i="50"/>
  <c r="BD100" i="50"/>
  <c r="BC100" i="50"/>
  <c r="BM99" i="50"/>
  <c r="BL99" i="50"/>
  <c r="BK99" i="50"/>
  <c r="BJ99" i="50"/>
  <c r="BI99" i="50"/>
  <c r="BG99" i="50"/>
  <c r="BF99" i="50"/>
  <c r="BE99" i="50"/>
  <c r="BD99" i="50"/>
  <c r="BC99" i="50"/>
  <c r="BM98" i="50"/>
  <c r="BL98" i="50"/>
  <c r="BK98" i="50"/>
  <c r="BJ98" i="50"/>
  <c r="BI98" i="50"/>
  <c r="BG98" i="50"/>
  <c r="BF98" i="50"/>
  <c r="BE98" i="50"/>
  <c r="BD98" i="50"/>
  <c r="BC98" i="50"/>
  <c r="BM97" i="50"/>
  <c r="BL97" i="50"/>
  <c r="BK97" i="50"/>
  <c r="BJ97" i="50"/>
  <c r="BI97" i="50"/>
  <c r="BG97" i="50"/>
  <c r="BF97" i="50"/>
  <c r="BE97" i="50"/>
  <c r="BD97" i="50"/>
  <c r="BC97" i="50"/>
  <c r="BM96" i="50"/>
  <c r="BL96" i="50"/>
  <c r="BK96" i="50"/>
  <c r="BJ96" i="50"/>
  <c r="BI96" i="50"/>
  <c r="BG96" i="50"/>
  <c r="BF96" i="50"/>
  <c r="BE96" i="50"/>
  <c r="BD96" i="50"/>
  <c r="BC96" i="50"/>
  <c r="BM95" i="50"/>
  <c r="BL95" i="50"/>
  <c r="BK95" i="50"/>
  <c r="BJ95" i="50"/>
  <c r="BI95" i="50"/>
  <c r="BG95" i="50"/>
  <c r="BF95" i="50"/>
  <c r="BE95" i="50"/>
  <c r="BD95" i="50"/>
  <c r="BC95" i="50"/>
  <c r="BM94" i="50"/>
  <c r="BL94" i="50"/>
  <c r="BK94" i="50"/>
  <c r="BJ94" i="50"/>
  <c r="BI94" i="50"/>
  <c r="BG94" i="50"/>
  <c r="BF94" i="50"/>
  <c r="BE94" i="50"/>
  <c r="BD94" i="50"/>
  <c r="BC94" i="50"/>
  <c r="BM93" i="50"/>
  <c r="BL93" i="50"/>
  <c r="BK93" i="50"/>
  <c r="BJ93" i="50"/>
  <c r="BI93" i="50"/>
  <c r="BG93" i="50"/>
  <c r="BF93" i="50"/>
  <c r="BE93" i="50"/>
  <c r="BD93" i="50"/>
  <c r="BC93" i="50"/>
  <c r="BM72" i="50"/>
  <c r="BL72" i="50"/>
  <c r="BK72" i="50"/>
  <c r="BJ72" i="50"/>
  <c r="BI72" i="50"/>
  <c r="BG72" i="50"/>
  <c r="BF72" i="50"/>
  <c r="BE72" i="50"/>
  <c r="BD72" i="50"/>
  <c r="BC72" i="50"/>
  <c r="BM71" i="50"/>
  <c r="BL71" i="50"/>
  <c r="BK71" i="50"/>
  <c r="BJ71" i="50"/>
  <c r="BI71" i="50"/>
  <c r="BG71" i="50"/>
  <c r="BF71" i="50"/>
  <c r="BE71" i="50"/>
  <c r="BD71" i="50"/>
  <c r="BC71" i="50"/>
  <c r="BM70" i="50"/>
  <c r="BL70" i="50"/>
  <c r="BK70" i="50"/>
  <c r="BJ70" i="50"/>
  <c r="BI70" i="50"/>
  <c r="BG70" i="50"/>
  <c r="BF70" i="50"/>
  <c r="BE70" i="50"/>
  <c r="BD70" i="50"/>
  <c r="BC70" i="50"/>
  <c r="BM69" i="50"/>
  <c r="BL69" i="50"/>
  <c r="BK69" i="50"/>
  <c r="BJ69" i="50"/>
  <c r="BI69" i="50"/>
  <c r="BG69" i="50"/>
  <c r="BF69" i="50"/>
  <c r="BE69" i="50"/>
  <c r="BD69" i="50"/>
  <c r="BC69" i="50"/>
  <c r="BM68" i="50"/>
  <c r="BL68" i="50"/>
  <c r="BK68" i="50"/>
  <c r="BJ68" i="50"/>
  <c r="BI68" i="50"/>
  <c r="BG68" i="50"/>
  <c r="BF68" i="50"/>
  <c r="BE68" i="50"/>
  <c r="BD68" i="50"/>
  <c r="BC68" i="50"/>
  <c r="BM67" i="50"/>
  <c r="BL67" i="50"/>
  <c r="BK67" i="50"/>
  <c r="BJ67" i="50"/>
  <c r="BI67" i="50"/>
  <c r="BG67" i="50"/>
  <c r="BF67" i="50"/>
  <c r="BE67" i="50"/>
  <c r="BD67" i="50"/>
  <c r="BC67" i="50"/>
  <c r="BM66" i="50"/>
  <c r="BL66" i="50"/>
  <c r="BK66" i="50"/>
  <c r="BJ66" i="50"/>
  <c r="BI66" i="50"/>
  <c r="BG66" i="50"/>
  <c r="BF66" i="50"/>
  <c r="BE66" i="50"/>
  <c r="BD66" i="50"/>
  <c r="BC66" i="50"/>
  <c r="BM65" i="50"/>
  <c r="BL65" i="50"/>
  <c r="BK65" i="50"/>
  <c r="BJ65" i="50"/>
  <c r="BI65" i="50"/>
  <c r="BG65" i="50"/>
  <c r="BF65" i="50"/>
  <c r="BE65" i="50"/>
  <c r="BD65" i="50"/>
  <c r="BC65" i="50"/>
  <c r="BM64" i="50"/>
  <c r="BL64" i="50"/>
  <c r="BK64" i="50"/>
  <c r="BJ64" i="50"/>
  <c r="BI64" i="50"/>
  <c r="BG64" i="50"/>
  <c r="BF64" i="50"/>
  <c r="BE64" i="50"/>
  <c r="BD64" i="50"/>
  <c r="BC64" i="50"/>
  <c r="BM43" i="50"/>
  <c r="BL43" i="50"/>
  <c r="BK43" i="50"/>
  <c r="BJ43" i="50"/>
  <c r="BI43" i="50"/>
  <c r="BG43" i="50"/>
  <c r="BF43" i="50"/>
  <c r="BE43" i="50"/>
  <c r="BD43" i="50"/>
  <c r="BC43" i="50"/>
  <c r="BM42" i="50"/>
  <c r="BL42" i="50"/>
  <c r="BK42" i="50"/>
  <c r="BJ42" i="50"/>
  <c r="BI42" i="50"/>
  <c r="BG42" i="50"/>
  <c r="BF42" i="50"/>
  <c r="BE42" i="50"/>
  <c r="BD42" i="50"/>
  <c r="BC42" i="50"/>
  <c r="BM41" i="50"/>
  <c r="BL41" i="50"/>
  <c r="BK41" i="50"/>
  <c r="BJ41" i="50"/>
  <c r="BI41" i="50"/>
  <c r="BG41" i="50"/>
  <c r="BF41" i="50"/>
  <c r="BE41" i="50"/>
  <c r="BD41" i="50"/>
  <c r="BC41" i="50"/>
  <c r="BM40" i="50"/>
  <c r="BL40" i="50"/>
  <c r="BK40" i="50"/>
  <c r="BJ40" i="50"/>
  <c r="BI40" i="50"/>
  <c r="BG40" i="50"/>
  <c r="BF40" i="50"/>
  <c r="BE40" i="50"/>
  <c r="BD40" i="50"/>
  <c r="BC40" i="50"/>
  <c r="BM39" i="50"/>
  <c r="BL39" i="50"/>
  <c r="BK39" i="50"/>
  <c r="BJ39" i="50"/>
  <c r="BI39" i="50"/>
  <c r="BG39" i="50"/>
  <c r="BF39" i="50"/>
  <c r="BE39" i="50"/>
  <c r="BD39" i="50"/>
  <c r="BC39" i="50"/>
  <c r="BM38" i="50"/>
  <c r="BL38" i="50"/>
  <c r="BK38" i="50"/>
  <c r="BJ38" i="50"/>
  <c r="BI38" i="50"/>
  <c r="BG38" i="50"/>
  <c r="BF38" i="50"/>
  <c r="BE38" i="50"/>
  <c r="BD38" i="50"/>
  <c r="BC38" i="50"/>
  <c r="BM37" i="50"/>
  <c r="BL37" i="50"/>
  <c r="BK37" i="50"/>
  <c r="BJ37" i="50"/>
  <c r="BI37" i="50"/>
  <c r="BG37" i="50"/>
  <c r="BF37" i="50"/>
  <c r="BE37" i="50"/>
  <c r="BD37" i="50"/>
  <c r="BC37" i="50"/>
  <c r="BM36" i="50"/>
  <c r="BL36" i="50"/>
  <c r="BK36" i="50"/>
  <c r="BJ36" i="50"/>
  <c r="BI36" i="50"/>
  <c r="BG36" i="50"/>
  <c r="BF36" i="50"/>
  <c r="BE36" i="50"/>
  <c r="BD36" i="50"/>
  <c r="BC36" i="50"/>
  <c r="BM35" i="50"/>
  <c r="BL35" i="50"/>
  <c r="BK35" i="50"/>
  <c r="BJ35" i="50"/>
  <c r="BI35" i="50"/>
  <c r="BG35" i="50"/>
  <c r="BF35" i="50"/>
  <c r="BE35" i="50"/>
  <c r="BD35" i="50"/>
  <c r="BC35" i="50"/>
  <c r="CA155" i="50" l="1"/>
  <c r="AO19" i="56"/>
  <c r="CA197" i="50"/>
  <c r="AP16" i="56"/>
  <c r="CA108" i="50"/>
  <c r="AN17" i="56"/>
  <c r="CA109" i="50"/>
  <c r="AN18" i="56"/>
  <c r="CA201" i="50"/>
  <c r="AP20" i="56"/>
  <c r="CA196" i="50"/>
  <c r="AP15" i="56"/>
  <c r="CA200" i="50"/>
  <c r="AP19" i="56"/>
  <c r="CA21" i="50"/>
  <c r="AL20" i="56"/>
  <c r="AS20" i="56" s="1"/>
  <c r="CA156" i="50"/>
  <c r="AO20" i="56"/>
  <c r="CA154" i="50"/>
  <c r="AO18" i="56"/>
  <c r="CA20" i="50"/>
  <c r="AL19" i="56"/>
  <c r="AS19" i="56" s="1"/>
  <c r="CA15" i="50"/>
  <c r="AL14" i="56"/>
  <c r="AS14" i="56" s="1"/>
  <c r="CA19" i="50"/>
  <c r="AL18" i="56"/>
  <c r="AS18" i="56" s="1"/>
  <c r="CA66" i="50"/>
  <c r="AM20" i="56"/>
  <c r="CA61" i="50"/>
  <c r="AM15" i="56"/>
  <c r="CA16" i="50"/>
  <c r="AL15" i="56"/>
  <c r="AS15" i="56" s="1"/>
  <c r="CA62" i="50"/>
  <c r="AM16" i="56"/>
  <c r="CA18" i="50"/>
  <c r="AL17" i="56"/>
  <c r="AS17" i="56" s="1"/>
  <c r="CA65" i="50"/>
  <c r="AM19" i="56"/>
  <c r="CA107" i="50"/>
  <c r="AN16" i="56"/>
  <c r="CA198" i="50"/>
  <c r="AP17" i="56"/>
  <c r="CA17" i="50"/>
  <c r="AL16" i="56"/>
  <c r="AS16" i="56" s="1"/>
  <c r="CA64" i="50"/>
  <c r="AM18" i="56"/>
  <c r="CA111" i="50"/>
  <c r="AN20" i="56"/>
  <c r="CA106" i="50"/>
  <c r="AN15" i="56"/>
  <c r="CA153" i="50"/>
  <c r="AO17" i="56"/>
  <c r="CA151" i="50"/>
  <c r="AO15" i="56"/>
  <c r="CA63" i="50"/>
  <c r="AM17" i="56"/>
  <c r="CA110" i="50"/>
  <c r="AN19" i="56"/>
  <c r="CA152" i="50"/>
  <c r="AO16" i="56"/>
  <c r="CA199" i="50"/>
  <c r="AP18" i="56"/>
  <c r="AA105" i="50"/>
  <c r="AE105" i="50"/>
  <c r="AD105" i="50"/>
  <c r="AC105" i="50"/>
  <c r="AB105" i="50"/>
  <c r="BI8" i="50"/>
  <c r="BI9" i="50"/>
  <c r="BI10" i="50"/>
  <c r="BI11" i="50"/>
  <c r="BI12" i="50"/>
  <c r="BI13" i="50"/>
  <c r="BI14" i="50"/>
  <c r="BL7" i="50"/>
  <c r="BM7" i="50"/>
  <c r="BM8" i="50"/>
  <c r="BM9" i="50"/>
  <c r="BJ10" i="50"/>
  <c r="BJ11" i="50"/>
  <c r="BK11" i="50"/>
  <c r="BJ12" i="50"/>
  <c r="BK12" i="50"/>
  <c r="BJ13" i="50"/>
  <c r="BK13" i="50"/>
  <c r="BL13" i="50"/>
  <c r="BJ14" i="50"/>
  <c r="BK14" i="50"/>
  <c r="BL14" i="50"/>
  <c r="BK6" i="50"/>
  <c r="BL6" i="50"/>
  <c r="BM6" i="50"/>
  <c r="BC7" i="50"/>
  <c r="BD7" i="50"/>
  <c r="BE7" i="50"/>
  <c r="BF7" i="50"/>
  <c r="BG7" i="50"/>
  <c r="BC8" i="50"/>
  <c r="BD8" i="50"/>
  <c r="BE8" i="50"/>
  <c r="BF8" i="50"/>
  <c r="BG8" i="50"/>
  <c r="BC9" i="50"/>
  <c r="BD9" i="50"/>
  <c r="BE9" i="50"/>
  <c r="BF9" i="50"/>
  <c r="BG9" i="50"/>
  <c r="BC10" i="50"/>
  <c r="BD10" i="50"/>
  <c r="BE10" i="50"/>
  <c r="BF10" i="50"/>
  <c r="BG10" i="50"/>
  <c r="BC11" i="50"/>
  <c r="BD11" i="50"/>
  <c r="BE11" i="50"/>
  <c r="BF11" i="50"/>
  <c r="BG11" i="50"/>
  <c r="BC12" i="50"/>
  <c r="BD12" i="50"/>
  <c r="BE12" i="50"/>
  <c r="BF12" i="50"/>
  <c r="BG12" i="50"/>
  <c r="BC13" i="50"/>
  <c r="BD13" i="50"/>
  <c r="BE13" i="50"/>
  <c r="BF13" i="50"/>
  <c r="BG13" i="50"/>
  <c r="BC14" i="50"/>
  <c r="BD14" i="50"/>
  <c r="BE14" i="50"/>
  <c r="BF14" i="50"/>
  <c r="BG14" i="50"/>
  <c r="BD6" i="50"/>
  <c r="BE6" i="50"/>
  <c r="BF6" i="50"/>
  <c r="BG6" i="50"/>
  <c r="AR19" i="56" l="1"/>
  <c r="AR16" i="56"/>
  <c r="AR17" i="56"/>
  <c r="AR18" i="56"/>
  <c r="AR15" i="56"/>
  <c r="AR14" i="56"/>
  <c r="AR20" i="56"/>
  <c r="AD115" i="50"/>
  <c r="AA115" i="50"/>
  <c r="AB115" i="50"/>
  <c r="AC115" i="50"/>
  <c r="AE115" i="50"/>
  <c r="R7" i="51"/>
  <c r="S7" i="51"/>
  <c r="T7" i="51"/>
  <c r="U7" i="51"/>
  <c r="V7" i="51"/>
  <c r="R8" i="51"/>
  <c r="S8" i="51"/>
  <c r="T8" i="51"/>
  <c r="U8" i="51"/>
  <c r="V8" i="51"/>
  <c r="R9" i="51"/>
  <c r="S9" i="51"/>
  <c r="T9" i="51"/>
  <c r="U9" i="51"/>
  <c r="V9" i="51"/>
  <c r="R10" i="51"/>
  <c r="S10" i="51"/>
  <c r="T10" i="51"/>
  <c r="U10" i="51"/>
  <c r="V10" i="51"/>
  <c r="R11" i="51"/>
  <c r="S11" i="51"/>
  <c r="T11" i="51"/>
  <c r="U11" i="51"/>
  <c r="V11" i="51"/>
  <c r="R12" i="51"/>
  <c r="S12" i="51"/>
  <c r="T12" i="51"/>
  <c r="U12" i="51"/>
  <c r="V12" i="51"/>
  <c r="R13" i="51"/>
  <c r="S13" i="51"/>
  <c r="T13" i="51"/>
  <c r="U13" i="51"/>
  <c r="V13" i="51"/>
  <c r="R14" i="51"/>
  <c r="S14" i="51"/>
  <c r="T14" i="51"/>
  <c r="U14" i="51"/>
  <c r="V14" i="51"/>
  <c r="E6" i="49"/>
  <c r="F6" i="49"/>
  <c r="G6" i="49"/>
  <c r="H6" i="49"/>
  <c r="D6" i="49"/>
  <c r="AZ6" i="50" l="1"/>
  <c r="AT6" i="50"/>
  <c r="AS6" i="50"/>
  <c r="AY6" i="50"/>
  <c r="AU6" i="50"/>
  <c r="BA6" i="50"/>
  <c r="W10" i="51"/>
  <c r="W11" i="51"/>
  <c r="W13" i="51"/>
  <c r="W7" i="51"/>
  <c r="W14" i="51"/>
  <c r="W8" i="51"/>
  <c r="W12" i="51"/>
  <c r="W9" i="51"/>
  <c r="AD14" i="51" l="1"/>
  <c r="AE125" i="50"/>
  <c r="AD125" i="50"/>
  <c r="AC125" i="50"/>
  <c r="AB125" i="50"/>
  <c r="AA125" i="50"/>
  <c r="AE135" i="50" l="1"/>
  <c r="AD135" i="50"/>
  <c r="AC135" i="50"/>
  <c r="AB135" i="50"/>
  <c r="AA135" i="50"/>
  <c r="AD145" i="50" l="1"/>
  <c r="AC145" i="50"/>
  <c r="AB145" i="50"/>
  <c r="AA145" i="50"/>
  <c r="AE145" i="50"/>
  <c r="AD155" i="50" l="1"/>
  <c r="AA155" i="50"/>
  <c r="AE155" i="50"/>
  <c r="AC155" i="50"/>
  <c r="AB155" i="50"/>
  <c r="I138" i="49"/>
  <c r="J138" i="49"/>
  <c r="K138" i="49"/>
  <c r="L138" i="49"/>
  <c r="M138" i="49"/>
  <c r="I139" i="49"/>
  <c r="J139" i="49"/>
  <c r="K139" i="49"/>
  <c r="L139" i="49"/>
  <c r="M139" i="49"/>
  <c r="D92" i="51"/>
  <c r="M110" i="49"/>
  <c r="L110" i="49"/>
  <c r="K110" i="49"/>
  <c r="J110" i="49"/>
  <c r="I110" i="49"/>
  <c r="M109" i="49"/>
  <c r="L109" i="49"/>
  <c r="K109" i="49"/>
  <c r="J109" i="49"/>
  <c r="I109" i="49"/>
  <c r="M81" i="49"/>
  <c r="L81" i="49"/>
  <c r="K81" i="49"/>
  <c r="J81" i="49"/>
  <c r="I81" i="49"/>
  <c r="M80" i="49"/>
  <c r="L80" i="49"/>
  <c r="K80" i="49"/>
  <c r="J80" i="49"/>
  <c r="I80" i="49"/>
  <c r="M52" i="49"/>
  <c r="L52" i="49"/>
  <c r="K52" i="49"/>
  <c r="J52" i="49"/>
  <c r="I52" i="49"/>
  <c r="M51" i="49"/>
  <c r="L51" i="49"/>
  <c r="K51" i="49"/>
  <c r="J51" i="49"/>
  <c r="I51" i="49"/>
  <c r="E92" i="51"/>
  <c r="F92" i="51"/>
  <c r="G92" i="51"/>
  <c r="H92" i="51"/>
  <c r="AB165" i="50" l="1"/>
  <c r="AA165" i="50"/>
  <c r="AC165" i="50"/>
  <c r="AD165" i="50"/>
  <c r="AE165" i="50"/>
  <c r="AD175" i="50" l="1"/>
  <c r="AE175" i="50"/>
  <c r="AB175" i="50"/>
  <c r="AC175" i="50"/>
  <c r="AA175" i="50"/>
  <c r="BP9" i="50"/>
  <c r="AD185" i="50" l="1"/>
  <c r="AE185" i="50"/>
  <c r="AC185" i="50"/>
  <c r="AB185" i="50"/>
  <c r="AA185" i="50"/>
  <c r="V115" i="50"/>
  <c r="T135" i="50"/>
  <c r="W145" i="50"/>
  <c r="X169" i="50"/>
  <c r="U115" i="50"/>
  <c r="X171" i="50" l="1"/>
  <c r="U123" i="50"/>
  <c r="X126" i="50"/>
  <c r="X107" i="50"/>
  <c r="X137" i="50"/>
  <c r="X143" i="50"/>
  <c r="X113" i="50"/>
  <c r="X190" i="50"/>
  <c r="X105" i="50"/>
  <c r="X162" i="50"/>
  <c r="X164" i="50"/>
  <c r="X114" i="50"/>
  <c r="W179" i="50"/>
  <c r="W160" i="50"/>
  <c r="W169" i="50"/>
  <c r="W131" i="50"/>
  <c r="W154" i="50"/>
  <c r="W188" i="50"/>
  <c r="W115" i="50"/>
  <c r="W143" i="50"/>
  <c r="W170" i="50"/>
  <c r="W186" i="50"/>
  <c r="W151" i="50"/>
  <c r="V190" i="50"/>
  <c r="V120" i="50"/>
  <c r="V182" i="50"/>
  <c r="V192" i="50"/>
  <c r="V144" i="50"/>
  <c r="V151" i="50"/>
  <c r="V193" i="50"/>
  <c r="V155" i="50"/>
  <c r="V185" i="50"/>
  <c r="V188" i="50"/>
  <c r="U129" i="50"/>
  <c r="U169" i="50"/>
  <c r="U178" i="50"/>
  <c r="U190" i="50"/>
  <c r="U180" i="50"/>
  <c r="U192" i="50"/>
  <c r="U114" i="50"/>
  <c r="U189" i="50"/>
  <c r="U191" i="50"/>
  <c r="U194" i="50"/>
  <c r="U136" i="50"/>
  <c r="U165" i="50"/>
  <c r="T149" i="50"/>
  <c r="X156" i="50"/>
  <c r="V169" i="50"/>
  <c r="V117" i="50"/>
  <c r="V178" i="50"/>
  <c r="V171" i="50"/>
  <c r="V141" i="50"/>
  <c r="V136" i="50"/>
  <c r="V107" i="50"/>
  <c r="V175" i="50"/>
  <c r="V128" i="50"/>
  <c r="V173" i="50"/>
  <c r="V183" i="50"/>
  <c r="V121" i="50"/>
  <c r="T186" i="50"/>
  <c r="U186" i="50"/>
  <c r="V191" i="50"/>
  <c r="V189" i="50"/>
  <c r="X194" i="50"/>
  <c r="W193" i="50"/>
  <c r="W187" i="50"/>
  <c r="W168" i="50"/>
  <c r="V153" i="50"/>
  <c r="U137" i="50"/>
  <c r="W118" i="50"/>
  <c r="V132" i="50"/>
  <c r="U112" i="50"/>
  <c r="T134" i="50"/>
  <c r="T145" i="50"/>
  <c r="U127" i="50"/>
  <c r="X155" i="50"/>
  <c r="X141" i="50"/>
  <c r="W153" i="50"/>
  <c r="V146" i="50"/>
  <c r="U106" i="50"/>
  <c r="X163" i="50"/>
  <c r="U150" i="50"/>
  <c r="U170" i="50"/>
  <c r="U172" i="50"/>
  <c r="X147" i="50"/>
  <c r="T179" i="50"/>
  <c r="V109" i="50"/>
  <c r="U122" i="50"/>
  <c r="T153" i="50"/>
  <c r="T108" i="50"/>
  <c r="V108" i="50"/>
  <c r="W114" i="50"/>
  <c r="W140" i="50"/>
  <c r="W132" i="50"/>
  <c r="W112" i="50"/>
  <c r="T184" i="50"/>
  <c r="T160" i="50"/>
  <c r="X120" i="50"/>
  <c r="V152" i="50"/>
  <c r="V156" i="50"/>
  <c r="T166" i="50"/>
  <c r="W165" i="50"/>
  <c r="V170" i="50"/>
  <c r="V133" i="50"/>
  <c r="T107" i="50"/>
  <c r="T175" i="50"/>
  <c r="V154" i="50"/>
  <c r="W182" i="50"/>
  <c r="W127" i="50"/>
  <c r="T192" i="50"/>
  <c r="X189" i="50"/>
  <c r="W189" i="50"/>
  <c r="X140" i="50"/>
  <c r="X145" i="50"/>
  <c r="X174" i="50"/>
  <c r="W162" i="50"/>
  <c r="T162" i="50"/>
  <c r="U113" i="50"/>
  <c r="U120" i="50"/>
  <c r="V125" i="50"/>
  <c r="W173" i="50"/>
  <c r="X139" i="50"/>
  <c r="T125" i="50"/>
  <c r="W129" i="50"/>
  <c r="V137" i="50"/>
  <c r="X122" i="50"/>
  <c r="V149" i="50"/>
  <c r="W150" i="50"/>
  <c r="U116" i="50"/>
  <c r="U134" i="50"/>
  <c r="X129" i="50"/>
  <c r="V110" i="50"/>
  <c r="T113" i="50"/>
  <c r="V177" i="50"/>
  <c r="U156" i="50"/>
  <c r="U152" i="50"/>
  <c r="W155" i="50"/>
  <c r="W149" i="50"/>
  <c r="V122" i="50"/>
  <c r="V162" i="50"/>
  <c r="X172" i="50"/>
  <c r="T116" i="50"/>
  <c r="T165" i="50"/>
  <c r="T133" i="50"/>
  <c r="X135" i="50"/>
  <c r="X130" i="50"/>
  <c r="X142" i="50"/>
  <c r="V130" i="50"/>
  <c r="U164" i="50"/>
  <c r="W152" i="50"/>
  <c r="V160" i="50"/>
  <c r="U149" i="50"/>
  <c r="X182" i="50"/>
  <c r="U132" i="50"/>
  <c r="T157" i="50"/>
  <c r="T139" i="50"/>
  <c r="T159" i="50"/>
  <c r="T180" i="50"/>
  <c r="T181" i="50"/>
  <c r="T164" i="50"/>
  <c r="T110" i="50"/>
  <c r="T163" i="50"/>
  <c r="T142" i="50"/>
  <c r="T177" i="50"/>
  <c r="T152" i="50"/>
  <c r="T111" i="50"/>
  <c r="T132" i="50"/>
  <c r="T130" i="50"/>
  <c r="T161" i="50"/>
  <c r="X192" i="50"/>
  <c r="W190" i="50"/>
  <c r="U141" i="50"/>
  <c r="X119" i="50"/>
  <c r="V167" i="50"/>
  <c r="W125" i="50"/>
  <c r="U148" i="50"/>
  <c r="W181" i="50"/>
  <c r="U109" i="50"/>
  <c r="T171" i="50"/>
  <c r="X128" i="50"/>
  <c r="W123" i="50"/>
  <c r="U144" i="50"/>
  <c r="W176" i="50"/>
  <c r="W139" i="50"/>
  <c r="U108" i="50"/>
  <c r="U111" i="50"/>
  <c r="U118" i="50"/>
  <c r="V172" i="50"/>
  <c r="W117" i="50"/>
  <c r="U130" i="50"/>
  <c r="V112" i="50"/>
  <c r="W156" i="50"/>
  <c r="T169" i="50"/>
  <c r="W106" i="50"/>
  <c r="T148" i="50"/>
  <c r="W178" i="50"/>
  <c r="U135" i="50"/>
  <c r="W124" i="50"/>
  <c r="T147" i="50"/>
  <c r="U153" i="50"/>
  <c r="V157" i="50"/>
  <c r="T144" i="50"/>
  <c r="T173" i="50"/>
  <c r="U105" i="50"/>
  <c r="T124" i="50"/>
  <c r="V123" i="50"/>
  <c r="W159" i="50"/>
  <c r="X133" i="50"/>
  <c r="V129" i="50"/>
  <c r="W167" i="50"/>
  <c r="T117" i="50"/>
  <c r="X151" i="50"/>
  <c r="V119" i="50"/>
  <c r="V179" i="50"/>
  <c r="V161" i="50"/>
  <c r="T188" i="50"/>
  <c r="T191" i="50"/>
  <c r="T199" i="50"/>
  <c r="T193" i="50"/>
  <c r="U187" i="50"/>
  <c r="V187" i="50"/>
  <c r="X191" i="50"/>
  <c r="X193" i="50"/>
  <c r="W185" i="50"/>
  <c r="X106" i="50"/>
  <c r="T141" i="50"/>
  <c r="X118" i="50"/>
  <c r="V111" i="50"/>
  <c r="W135" i="50"/>
  <c r="X183" i="50"/>
  <c r="W130" i="50"/>
  <c r="X111" i="50"/>
  <c r="W183" i="50"/>
  <c r="U146" i="50"/>
  <c r="T154" i="50"/>
  <c r="X181" i="50"/>
  <c r="W180" i="50"/>
  <c r="V181" i="50"/>
  <c r="V163" i="50"/>
  <c r="U161" i="50"/>
  <c r="W158" i="50"/>
  <c r="V113" i="50"/>
  <c r="U125" i="50"/>
  <c r="T143" i="50"/>
  <c r="X152" i="50"/>
  <c r="X150" i="50"/>
  <c r="X112" i="50"/>
  <c r="V127" i="50"/>
  <c r="X178" i="50"/>
  <c r="U121" i="50"/>
  <c r="W137" i="50"/>
  <c r="V138" i="50"/>
  <c r="W128" i="50"/>
  <c r="X123" i="50"/>
  <c r="T172" i="50"/>
  <c r="T170" i="50"/>
  <c r="X148" i="50"/>
  <c r="U143" i="50"/>
  <c r="U154" i="50"/>
  <c r="V168" i="50"/>
  <c r="U139" i="50"/>
  <c r="X157" i="50"/>
  <c r="X117" i="50"/>
  <c r="T136" i="50"/>
  <c r="W174" i="50"/>
  <c r="T183" i="50"/>
  <c r="V134" i="50"/>
  <c r="T155" i="50"/>
  <c r="T131" i="50"/>
  <c r="T176" i="50"/>
  <c r="T112" i="50"/>
  <c r="T185" i="50"/>
  <c r="U167" i="50"/>
  <c r="U159" i="50"/>
  <c r="U138" i="50"/>
  <c r="U157" i="50"/>
  <c r="U128" i="50"/>
  <c r="U183" i="50"/>
  <c r="U145" i="50"/>
  <c r="U107" i="50"/>
  <c r="U184" i="50"/>
  <c r="U179" i="50"/>
  <c r="U176" i="50"/>
  <c r="T194" i="50"/>
  <c r="U193" i="50"/>
  <c r="V186" i="50"/>
  <c r="X188" i="50"/>
  <c r="W191" i="50"/>
  <c r="T182" i="50"/>
  <c r="V174" i="50"/>
  <c r="W111" i="50"/>
  <c r="U163" i="50"/>
  <c r="T119" i="50"/>
  <c r="U175" i="50"/>
  <c r="W110" i="50"/>
  <c r="V139" i="50"/>
  <c r="V143" i="50"/>
  <c r="V131" i="50"/>
  <c r="T138" i="50"/>
  <c r="X176" i="50"/>
  <c r="V116" i="50"/>
  <c r="X138" i="50"/>
  <c r="X125" i="50"/>
  <c r="W166" i="50"/>
  <c r="V164" i="50"/>
  <c r="W164" i="50"/>
  <c r="X165" i="50"/>
  <c r="V150" i="50"/>
  <c r="W136" i="50"/>
  <c r="U119" i="50"/>
  <c r="T151" i="50"/>
  <c r="T121" i="50"/>
  <c r="V176" i="50"/>
  <c r="W122" i="50"/>
  <c r="T106" i="50"/>
  <c r="U140" i="50"/>
  <c r="U166" i="50"/>
  <c r="W113" i="50"/>
  <c r="T120" i="50"/>
  <c r="W134" i="50"/>
  <c r="W105" i="50"/>
  <c r="X108" i="50"/>
  <c r="X110" i="50"/>
  <c r="T140" i="50"/>
  <c r="W157" i="50"/>
  <c r="U142" i="50"/>
  <c r="U151" i="50"/>
  <c r="U158" i="50"/>
  <c r="X149" i="50"/>
  <c r="U133" i="50"/>
  <c r="X185" i="50"/>
  <c r="W108" i="50"/>
  <c r="T168" i="50"/>
  <c r="X186" i="50"/>
  <c r="W192" i="50"/>
  <c r="U162" i="50"/>
  <c r="T150" i="50"/>
  <c r="W120" i="50"/>
  <c r="V106" i="50"/>
  <c r="T174" i="50"/>
  <c r="V180" i="50"/>
  <c r="U173" i="50"/>
  <c r="U160" i="50"/>
  <c r="V105" i="50"/>
  <c r="T146" i="50"/>
  <c r="U181" i="50"/>
  <c r="W163" i="50"/>
  <c r="U177" i="50"/>
  <c r="T156" i="50"/>
  <c r="V165" i="50"/>
  <c r="X134" i="50"/>
  <c r="W121" i="50"/>
  <c r="W177" i="50"/>
  <c r="X144" i="50"/>
  <c r="W109" i="50"/>
  <c r="X179" i="50"/>
  <c r="V126" i="50"/>
  <c r="X136" i="50"/>
  <c r="U168" i="50"/>
  <c r="T123" i="50"/>
  <c r="X153" i="50"/>
  <c r="V140" i="50"/>
  <c r="X109" i="50"/>
  <c r="W138" i="50"/>
  <c r="W147" i="50"/>
  <c r="T128" i="50"/>
  <c r="V159" i="50"/>
  <c r="W126" i="50"/>
  <c r="T109" i="50"/>
  <c r="U110" i="50"/>
  <c r="W184" i="50"/>
  <c r="U182" i="50"/>
  <c r="V147" i="50"/>
  <c r="V118" i="50"/>
  <c r="W133" i="50"/>
  <c r="T126" i="50"/>
  <c r="U124" i="50"/>
  <c r="T190" i="50"/>
  <c r="X177" i="50"/>
  <c r="X124" i="50"/>
  <c r="X170" i="50"/>
  <c r="X175" i="50"/>
  <c r="X160" i="50"/>
  <c r="X146" i="50"/>
  <c r="X161" i="50"/>
  <c r="X167" i="50"/>
  <c r="X115" i="50"/>
  <c r="X159" i="50"/>
  <c r="X173" i="50"/>
  <c r="X121" i="50"/>
  <c r="X116" i="50"/>
  <c r="T187" i="50"/>
  <c r="W171" i="50"/>
  <c r="W144" i="50"/>
  <c r="W148" i="50"/>
  <c r="W175" i="50"/>
  <c r="T189" i="50"/>
  <c r="U185" i="50"/>
  <c r="U188" i="50"/>
  <c r="V194" i="50"/>
  <c r="X187" i="50"/>
  <c r="W194" i="50"/>
  <c r="T127" i="50"/>
  <c r="T114" i="50"/>
  <c r="U131" i="50"/>
  <c r="W161" i="50"/>
  <c r="V145" i="50"/>
  <c r="T178" i="50"/>
  <c r="X158" i="50"/>
  <c r="U174" i="50"/>
  <c r="U155" i="50"/>
  <c r="W119" i="50"/>
  <c r="V135" i="50"/>
  <c r="W146" i="50"/>
  <c r="W107" i="50"/>
  <c r="X154" i="50"/>
  <c r="U147" i="50"/>
  <c r="T105" i="50"/>
  <c r="V124" i="50"/>
  <c r="X184" i="50"/>
  <c r="X127" i="50"/>
  <c r="T115" i="50"/>
  <c r="X166" i="50"/>
  <c r="V166" i="50"/>
  <c r="W141" i="50"/>
  <c r="V158" i="50"/>
  <c r="X168" i="50"/>
  <c r="V142" i="50"/>
  <c r="T118" i="50"/>
  <c r="T167" i="50"/>
  <c r="W116" i="50"/>
  <c r="V184" i="50"/>
  <c r="T137" i="50"/>
  <c r="W172" i="50"/>
  <c r="T122" i="50"/>
  <c r="T129" i="50"/>
  <c r="V148" i="50"/>
  <c r="V114" i="50"/>
  <c r="X180" i="50"/>
  <c r="X132" i="50"/>
  <c r="W142" i="50"/>
  <c r="U126" i="50"/>
  <c r="U171" i="50"/>
  <c r="U117" i="50"/>
  <c r="X131" i="50"/>
  <c r="T158" i="50"/>
  <c r="AD195" i="50"/>
  <c r="W202" i="50"/>
  <c r="W195" i="50"/>
  <c r="W204" i="50"/>
  <c r="W203" i="50"/>
  <c r="W200" i="50"/>
  <c r="W198" i="50"/>
  <c r="W201" i="50"/>
  <c r="W197" i="50"/>
  <c r="W199" i="50"/>
  <c r="W196" i="50"/>
  <c r="AC195" i="50"/>
  <c r="V196" i="50"/>
  <c r="V202" i="50"/>
  <c r="V197" i="50"/>
  <c r="V200" i="50"/>
  <c r="V199" i="50"/>
  <c r="V201" i="50"/>
  <c r="V204" i="50"/>
  <c r="V198" i="50"/>
  <c r="V195" i="50"/>
  <c r="V203" i="50"/>
  <c r="AB195" i="50"/>
  <c r="U197" i="50"/>
  <c r="U202" i="50"/>
  <c r="U200" i="50"/>
  <c r="U204" i="50"/>
  <c r="U196" i="50"/>
  <c r="U203" i="50"/>
  <c r="U201" i="50"/>
  <c r="U195" i="50"/>
  <c r="U198" i="50"/>
  <c r="U199" i="50"/>
  <c r="AA195" i="50"/>
  <c r="T196" i="50"/>
  <c r="T200" i="50"/>
  <c r="T195" i="50"/>
  <c r="T203" i="50"/>
  <c r="T198" i="50"/>
  <c r="T202" i="50"/>
  <c r="T197" i="50"/>
  <c r="T201" i="50"/>
  <c r="T204" i="50"/>
  <c r="AE195" i="50"/>
  <c r="X202" i="50"/>
  <c r="X200" i="50"/>
  <c r="X204" i="50"/>
  <c r="X203" i="50"/>
  <c r="X199" i="50"/>
  <c r="X196" i="50"/>
  <c r="X197" i="50"/>
  <c r="X195" i="50"/>
  <c r="X198" i="50"/>
  <c r="X201" i="50"/>
  <c r="Y5" i="58"/>
  <c r="Z5" i="58"/>
  <c r="AA5" i="58"/>
  <c r="AE5" i="58"/>
  <c r="AF5" i="58"/>
  <c r="AE6" i="58"/>
  <c r="AF6" i="58"/>
  <c r="AE7" i="58"/>
  <c r="AF7" i="58"/>
  <c r="AE8" i="58"/>
  <c r="AF8" i="58"/>
  <c r="AE9" i="58"/>
  <c r="AF9" i="58"/>
  <c r="AE10" i="58"/>
  <c r="AF10" i="58"/>
  <c r="AE11" i="58"/>
  <c r="AF11" i="58"/>
  <c r="AE12" i="58"/>
  <c r="AE13" i="58"/>
  <c r="AF13" i="58"/>
  <c r="AE14" i="58"/>
  <c r="AF14" i="58"/>
  <c r="AE15" i="58"/>
  <c r="AF15" i="58"/>
  <c r="AE16" i="58"/>
  <c r="AF16" i="58"/>
  <c r="AE17" i="58"/>
  <c r="AF17" i="58"/>
  <c r="AE18" i="58"/>
  <c r="AF18" i="58"/>
  <c r="AE19" i="58"/>
  <c r="AF19" i="58"/>
  <c r="AE20" i="58"/>
  <c r="AF20" i="58"/>
  <c r="AE21" i="58"/>
  <c r="AF21" i="58"/>
  <c r="AE22" i="58"/>
  <c r="AF22" i="58"/>
  <c r="AE23" i="58"/>
  <c r="AF23" i="58"/>
  <c r="AE24" i="58"/>
  <c r="AF24" i="58"/>
  <c r="AE25" i="58"/>
  <c r="AF25" i="58"/>
  <c r="AE26" i="58"/>
  <c r="AF26" i="58"/>
  <c r="AE27" i="58"/>
  <c r="AF27" i="58"/>
  <c r="AZ69" i="50" l="1"/>
  <c r="AZ41" i="50"/>
  <c r="AZ40" i="50"/>
  <c r="AZ99" i="50"/>
  <c r="AZ127" i="50"/>
  <c r="AZ11" i="50"/>
  <c r="AZ98" i="50"/>
  <c r="AZ70" i="50"/>
  <c r="AZ128" i="50"/>
  <c r="AZ12" i="50"/>
  <c r="BA42" i="50"/>
  <c r="BA100" i="50"/>
  <c r="BA13" i="50"/>
  <c r="BA129" i="50"/>
  <c r="BA71" i="50"/>
  <c r="BA127" i="50"/>
  <c r="BA98" i="50"/>
  <c r="BA40" i="50"/>
  <c r="BA11" i="50"/>
  <c r="BA69" i="50"/>
  <c r="BA70" i="50"/>
  <c r="BA128" i="50"/>
  <c r="BA41" i="50"/>
  <c r="BA99" i="50"/>
  <c r="BA12" i="50"/>
  <c r="BA72" i="50"/>
  <c r="BA14" i="50"/>
  <c r="BA101" i="50"/>
  <c r="BA130" i="50"/>
  <c r="BA43" i="50"/>
  <c r="BA131" i="50"/>
  <c r="BA44" i="50"/>
  <c r="BA73" i="50"/>
  <c r="BA15" i="50"/>
  <c r="BA102" i="50"/>
  <c r="AF12" i="58"/>
  <c r="BM84" i="57" l="1"/>
  <c r="BL84" i="57"/>
  <c r="BK84" i="57"/>
  <c r="BJ84" i="57"/>
  <c r="BI84" i="57"/>
  <c r="BH84" i="57"/>
  <c r="BG84" i="57"/>
  <c r="BF84" i="57"/>
  <c r="BE84" i="57"/>
  <c r="BD84" i="57"/>
  <c r="BC84" i="57"/>
  <c r="BB84" i="57"/>
  <c r="BA84" i="57"/>
  <c r="AZ84" i="57"/>
  <c r="AY84" i="57"/>
  <c r="AX84" i="57"/>
  <c r="AW84" i="57"/>
  <c r="AV84" i="57"/>
  <c r="AU84" i="57"/>
  <c r="AT84" i="57"/>
  <c r="AS84" i="57"/>
  <c r="AR84" i="57"/>
  <c r="AQ84" i="57"/>
  <c r="AP84" i="57"/>
  <c r="AO84" i="57"/>
  <c r="AN84" i="57"/>
  <c r="AM84" i="57"/>
  <c r="AL84" i="57"/>
  <c r="AK84" i="57"/>
  <c r="AJ84" i="57"/>
  <c r="AI84" i="57"/>
  <c r="AH84" i="57"/>
  <c r="AG84" i="57"/>
  <c r="AF84" i="57"/>
  <c r="AE84" i="57"/>
  <c r="AD84" i="57"/>
  <c r="AC84" i="57"/>
  <c r="AB84" i="57"/>
  <c r="AA84" i="57"/>
  <c r="Z84" i="57"/>
  <c r="Y84" i="57"/>
  <c r="X84" i="57"/>
  <c r="W84" i="57"/>
  <c r="V84" i="57"/>
  <c r="U84" i="57"/>
  <c r="T84" i="57"/>
  <c r="S84" i="57"/>
  <c r="R84" i="57"/>
  <c r="Q84" i="57"/>
  <c r="P84" i="57"/>
  <c r="BM83" i="57"/>
  <c r="BL83" i="57"/>
  <c r="BK83" i="57"/>
  <c r="BJ83" i="57"/>
  <c r="BI83" i="57"/>
  <c r="BH83" i="57"/>
  <c r="BG83" i="57"/>
  <c r="BF83" i="57"/>
  <c r="BE83" i="57"/>
  <c r="BD83" i="57"/>
  <c r="BC83" i="57"/>
  <c r="BB83" i="57"/>
  <c r="BA83" i="57"/>
  <c r="AZ83" i="57"/>
  <c r="AY83" i="57"/>
  <c r="AX83" i="57"/>
  <c r="AW83" i="57"/>
  <c r="AV83" i="57"/>
  <c r="AU83" i="57"/>
  <c r="AT83" i="57"/>
  <c r="AS83" i="57"/>
  <c r="AR83" i="57"/>
  <c r="AQ83" i="57"/>
  <c r="AP83" i="57"/>
  <c r="AO83" i="57"/>
  <c r="AN83" i="57"/>
  <c r="AM83" i="57"/>
  <c r="AL83" i="57"/>
  <c r="AK83" i="57"/>
  <c r="AJ83" i="57"/>
  <c r="AI83" i="57"/>
  <c r="AH83" i="57"/>
  <c r="AG83" i="57"/>
  <c r="AF83" i="57"/>
  <c r="AE83" i="57"/>
  <c r="AD83" i="57"/>
  <c r="AC83" i="57"/>
  <c r="AB83" i="57"/>
  <c r="AA83" i="57"/>
  <c r="Z83" i="57"/>
  <c r="Y83" i="57"/>
  <c r="X83" i="57"/>
  <c r="W83" i="57"/>
  <c r="V83" i="57"/>
  <c r="U83" i="57"/>
  <c r="T83" i="57"/>
  <c r="S83" i="57"/>
  <c r="R83" i="57"/>
  <c r="Q83" i="57"/>
  <c r="P83" i="57"/>
  <c r="BM82" i="57"/>
  <c r="BL82" i="57"/>
  <c r="BK82" i="57"/>
  <c r="BJ82" i="57"/>
  <c r="BI82" i="57"/>
  <c r="BH82" i="57"/>
  <c r="BG82" i="57"/>
  <c r="BF82" i="57"/>
  <c r="BE82" i="57"/>
  <c r="BD82" i="57"/>
  <c r="BC82" i="57"/>
  <c r="BB82" i="57"/>
  <c r="BA82" i="57"/>
  <c r="AZ82" i="57"/>
  <c r="AY82" i="57"/>
  <c r="AX82" i="57"/>
  <c r="AW82" i="57"/>
  <c r="AV82" i="57"/>
  <c r="AU82" i="57"/>
  <c r="AT82" i="57"/>
  <c r="AS82" i="57"/>
  <c r="AR82" i="57"/>
  <c r="AQ82" i="57"/>
  <c r="AP82" i="57"/>
  <c r="AO82" i="57"/>
  <c r="AN82" i="57"/>
  <c r="AM82" i="57"/>
  <c r="AL82" i="57"/>
  <c r="AK82" i="57"/>
  <c r="AJ82" i="57"/>
  <c r="AI82" i="57"/>
  <c r="AH82" i="57"/>
  <c r="AG82" i="57"/>
  <c r="AF82" i="57"/>
  <c r="AE82" i="57"/>
  <c r="AD82" i="57"/>
  <c r="AC82" i="57"/>
  <c r="AB82" i="57"/>
  <c r="AA82" i="57"/>
  <c r="Z82" i="57"/>
  <c r="Y82" i="57"/>
  <c r="X82" i="57"/>
  <c r="W82" i="57"/>
  <c r="V82" i="57"/>
  <c r="U82" i="57"/>
  <c r="T82" i="57"/>
  <c r="S82" i="57"/>
  <c r="R82" i="57"/>
  <c r="Q82" i="57"/>
  <c r="P82" i="57"/>
  <c r="BM81" i="57"/>
  <c r="BL81" i="57"/>
  <c r="BK81" i="57"/>
  <c r="BJ81" i="57"/>
  <c r="BI81" i="57"/>
  <c r="BH81" i="57"/>
  <c r="BG81" i="57"/>
  <c r="BF81" i="57"/>
  <c r="BE81" i="57"/>
  <c r="BD81" i="57"/>
  <c r="BC81" i="57"/>
  <c r="BB81" i="57"/>
  <c r="BA81" i="57"/>
  <c r="AZ81" i="57"/>
  <c r="AY81" i="57"/>
  <c r="AX81" i="57"/>
  <c r="AW81" i="57"/>
  <c r="AV81" i="57"/>
  <c r="AU81" i="57"/>
  <c r="AT81" i="57"/>
  <c r="AS81" i="57"/>
  <c r="AR81" i="57"/>
  <c r="AQ81" i="57"/>
  <c r="AP81" i="57"/>
  <c r="AO81" i="57"/>
  <c r="AN81" i="57"/>
  <c r="AM81" i="57"/>
  <c r="AL81" i="57"/>
  <c r="AK81" i="57"/>
  <c r="AJ81" i="57"/>
  <c r="AI81" i="57"/>
  <c r="AH81" i="57"/>
  <c r="AG81" i="57"/>
  <c r="AF81" i="57"/>
  <c r="AE81" i="57"/>
  <c r="AD81" i="57"/>
  <c r="AC81" i="57"/>
  <c r="AB81" i="57"/>
  <c r="AA81" i="57"/>
  <c r="Z81" i="57"/>
  <c r="Y81" i="57"/>
  <c r="X81" i="57"/>
  <c r="W81" i="57"/>
  <c r="V81" i="57"/>
  <c r="U81" i="57"/>
  <c r="T81" i="57"/>
  <c r="S81" i="57"/>
  <c r="R81" i="57"/>
  <c r="Q81" i="57"/>
  <c r="P81" i="57"/>
  <c r="BM80" i="57"/>
  <c r="BL80" i="57"/>
  <c r="BK80" i="57"/>
  <c r="BJ80" i="57"/>
  <c r="BI80" i="57"/>
  <c r="BH80" i="57"/>
  <c r="BG80" i="57"/>
  <c r="BF80" i="57"/>
  <c r="BE80" i="57"/>
  <c r="BD80" i="57"/>
  <c r="BC80" i="57"/>
  <c r="BB80" i="57"/>
  <c r="BA80" i="57"/>
  <c r="AZ80" i="57"/>
  <c r="AY80" i="57"/>
  <c r="AX80" i="57"/>
  <c r="AW80" i="57"/>
  <c r="AV80" i="57"/>
  <c r="AU80" i="57"/>
  <c r="AT80" i="57"/>
  <c r="AS80" i="57"/>
  <c r="AR80" i="57"/>
  <c r="AQ80" i="57"/>
  <c r="AP80" i="57"/>
  <c r="AO80" i="57"/>
  <c r="AN80" i="57"/>
  <c r="AM80" i="57"/>
  <c r="AL80" i="57"/>
  <c r="AK80" i="57"/>
  <c r="AJ80" i="57"/>
  <c r="AI80" i="57"/>
  <c r="AH80" i="57"/>
  <c r="AG80" i="57"/>
  <c r="AF80" i="57"/>
  <c r="AE80" i="57"/>
  <c r="AD80" i="57"/>
  <c r="AC80" i="57"/>
  <c r="AB80" i="57"/>
  <c r="AA80" i="57"/>
  <c r="Z80" i="57"/>
  <c r="Y80" i="57"/>
  <c r="X80" i="57"/>
  <c r="W80" i="57"/>
  <c r="V80" i="57"/>
  <c r="U80" i="57"/>
  <c r="T80" i="57"/>
  <c r="S80" i="57"/>
  <c r="R80" i="57"/>
  <c r="Q80" i="57"/>
  <c r="P80" i="57"/>
  <c r="BM79" i="57"/>
  <c r="BL79" i="57"/>
  <c r="BK79" i="57"/>
  <c r="BJ79" i="57"/>
  <c r="BI79" i="57"/>
  <c r="BH79" i="57"/>
  <c r="BG79" i="57"/>
  <c r="BF79" i="57"/>
  <c r="BE79" i="57"/>
  <c r="BD79" i="57"/>
  <c r="BC79" i="57"/>
  <c r="BB79" i="57"/>
  <c r="BA79" i="57"/>
  <c r="AZ79" i="57"/>
  <c r="AY79" i="57"/>
  <c r="AX79" i="57"/>
  <c r="AW79" i="57"/>
  <c r="AV79" i="57"/>
  <c r="AU79" i="57"/>
  <c r="AT79" i="57"/>
  <c r="AS79" i="57"/>
  <c r="AR79" i="57"/>
  <c r="AQ79" i="57"/>
  <c r="AP79" i="57"/>
  <c r="AO79" i="57"/>
  <c r="AN79" i="57"/>
  <c r="AM79" i="57"/>
  <c r="AL79" i="57"/>
  <c r="AK79" i="57"/>
  <c r="AJ79" i="57"/>
  <c r="AI79" i="57"/>
  <c r="AH79" i="57"/>
  <c r="AG79" i="57"/>
  <c r="AF79" i="57"/>
  <c r="AE79" i="57"/>
  <c r="AD79" i="57"/>
  <c r="AC79" i="57"/>
  <c r="AB79" i="57"/>
  <c r="AA79" i="57"/>
  <c r="Z79" i="57"/>
  <c r="Y79" i="57"/>
  <c r="X79" i="57"/>
  <c r="W79" i="57"/>
  <c r="V79" i="57"/>
  <c r="U79" i="57"/>
  <c r="T79" i="57"/>
  <c r="S79" i="57"/>
  <c r="R79" i="57"/>
  <c r="Q79" i="57"/>
  <c r="P79" i="57"/>
  <c r="BM78" i="57"/>
  <c r="BL78" i="57"/>
  <c r="BK78" i="57"/>
  <c r="BJ78" i="57"/>
  <c r="BI78" i="57"/>
  <c r="BH78" i="57"/>
  <c r="BG78" i="57"/>
  <c r="BF78" i="57"/>
  <c r="BE78" i="57"/>
  <c r="BD78" i="57"/>
  <c r="BC78" i="57"/>
  <c r="BB78" i="57"/>
  <c r="BA78" i="57"/>
  <c r="AZ78" i="57"/>
  <c r="AY78" i="57"/>
  <c r="AX78" i="57"/>
  <c r="AW78" i="57"/>
  <c r="AV78" i="57"/>
  <c r="AU78" i="57"/>
  <c r="AT78" i="57"/>
  <c r="AS78" i="57"/>
  <c r="AR78" i="57"/>
  <c r="AQ78" i="57"/>
  <c r="AP78" i="57"/>
  <c r="AO78" i="57"/>
  <c r="AN78" i="57"/>
  <c r="AM78" i="57"/>
  <c r="AL78" i="57"/>
  <c r="AK78" i="57"/>
  <c r="AJ78" i="57"/>
  <c r="AI78" i="57"/>
  <c r="AH78" i="57"/>
  <c r="AG78" i="57"/>
  <c r="AF78" i="57"/>
  <c r="AE78" i="57"/>
  <c r="AD78" i="57"/>
  <c r="AC78" i="57"/>
  <c r="AB78" i="57"/>
  <c r="AA78" i="57"/>
  <c r="Z78" i="57"/>
  <c r="Y78" i="57"/>
  <c r="X78" i="57"/>
  <c r="W78" i="57"/>
  <c r="V78" i="57"/>
  <c r="U78" i="57"/>
  <c r="T78" i="57"/>
  <c r="S78" i="57"/>
  <c r="R78" i="57"/>
  <c r="Q78" i="57"/>
  <c r="P78" i="57"/>
  <c r="BM77" i="57"/>
  <c r="BL77" i="57"/>
  <c r="BK77" i="57"/>
  <c r="BJ77" i="57"/>
  <c r="BI77" i="57"/>
  <c r="BH77" i="57"/>
  <c r="BG77" i="57"/>
  <c r="BF77" i="57"/>
  <c r="BE77" i="57"/>
  <c r="BD77" i="57"/>
  <c r="BC77" i="57"/>
  <c r="BB77" i="57"/>
  <c r="BA77" i="57"/>
  <c r="AZ77" i="57"/>
  <c r="AY77" i="57"/>
  <c r="AX77" i="57"/>
  <c r="AW77" i="57"/>
  <c r="AV77" i="57"/>
  <c r="AU77" i="57"/>
  <c r="AT77" i="57"/>
  <c r="AS77" i="57"/>
  <c r="AR77" i="57"/>
  <c r="AQ77" i="57"/>
  <c r="AP77" i="57"/>
  <c r="AO77" i="57"/>
  <c r="AN77" i="57"/>
  <c r="AM77" i="57"/>
  <c r="AL77" i="57"/>
  <c r="AK77" i="57"/>
  <c r="AJ77" i="57"/>
  <c r="AI77" i="57"/>
  <c r="AH77" i="57"/>
  <c r="AG77" i="57"/>
  <c r="AF77" i="57"/>
  <c r="AE77" i="57"/>
  <c r="AD77" i="57"/>
  <c r="AC77" i="57"/>
  <c r="AB77" i="57"/>
  <c r="AA77" i="57"/>
  <c r="Z77" i="57"/>
  <c r="Y77" i="57"/>
  <c r="X77" i="57"/>
  <c r="W77" i="57"/>
  <c r="V77" i="57"/>
  <c r="U77" i="57"/>
  <c r="T77" i="57"/>
  <c r="S77" i="57"/>
  <c r="R77" i="57"/>
  <c r="Q77" i="57"/>
  <c r="P77" i="57"/>
  <c r="BM76" i="57"/>
  <c r="BL76" i="57"/>
  <c r="BK76" i="57"/>
  <c r="BJ76" i="57"/>
  <c r="BI76" i="57"/>
  <c r="BH76" i="57"/>
  <c r="BG76" i="57"/>
  <c r="BF76" i="57"/>
  <c r="BE76" i="57"/>
  <c r="BD76" i="57"/>
  <c r="BC76" i="57"/>
  <c r="BB76" i="57"/>
  <c r="BA76" i="57"/>
  <c r="AZ76" i="57"/>
  <c r="AY76" i="57"/>
  <c r="AX76" i="57"/>
  <c r="AW76" i="57"/>
  <c r="AV76" i="57"/>
  <c r="AU76" i="57"/>
  <c r="AT76" i="57"/>
  <c r="AS76" i="57"/>
  <c r="AR76" i="57"/>
  <c r="AQ76" i="57"/>
  <c r="AP76" i="57"/>
  <c r="AO76" i="57"/>
  <c r="AN76" i="57"/>
  <c r="AM76" i="57"/>
  <c r="AL76" i="57"/>
  <c r="AK76" i="57"/>
  <c r="AJ76" i="57"/>
  <c r="AI76" i="57"/>
  <c r="AH76" i="57"/>
  <c r="AG76" i="57"/>
  <c r="AF76" i="57"/>
  <c r="AE76" i="57"/>
  <c r="AD76" i="57"/>
  <c r="AC76" i="57"/>
  <c r="AB76" i="57"/>
  <c r="AA76" i="57"/>
  <c r="Z76" i="57"/>
  <c r="Y76" i="57"/>
  <c r="X76" i="57"/>
  <c r="W76" i="57"/>
  <c r="V76" i="57"/>
  <c r="U76" i="57"/>
  <c r="T76" i="57"/>
  <c r="S76" i="57"/>
  <c r="R76" i="57"/>
  <c r="Q76" i="57"/>
  <c r="P76" i="57"/>
  <c r="BM75" i="57"/>
  <c r="BL75" i="57"/>
  <c r="BK75" i="57"/>
  <c r="BJ75" i="57"/>
  <c r="BI75" i="57"/>
  <c r="BH75" i="57"/>
  <c r="BG75" i="57"/>
  <c r="BF75" i="57"/>
  <c r="BE75" i="57"/>
  <c r="BD75" i="57"/>
  <c r="BC75" i="57"/>
  <c r="BB75" i="57"/>
  <c r="BA75" i="57"/>
  <c r="AZ75" i="57"/>
  <c r="AY75" i="57"/>
  <c r="AX75" i="57"/>
  <c r="AW75" i="57"/>
  <c r="AV75" i="57"/>
  <c r="AU75" i="57"/>
  <c r="AT75" i="57"/>
  <c r="AS75" i="57"/>
  <c r="AR75" i="57"/>
  <c r="AQ75" i="57"/>
  <c r="AP75" i="57"/>
  <c r="AO75" i="57"/>
  <c r="AN75" i="57"/>
  <c r="AM75" i="57"/>
  <c r="AL75" i="57"/>
  <c r="AK75" i="57"/>
  <c r="AJ75" i="57"/>
  <c r="AI75" i="57"/>
  <c r="AH75" i="57"/>
  <c r="AG75" i="57"/>
  <c r="AF75" i="57"/>
  <c r="AE75" i="57"/>
  <c r="AD75" i="57"/>
  <c r="AC75" i="57"/>
  <c r="AB75" i="57"/>
  <c r="AA75" i="57"/>
  <c r="Z75" i="57"/>
  <c r="Y75" i="57"/>
  <c r="X75" i="57"/>
  <c r="W75" i="57"/>
  <c r="V75" i="57"/>
  <c r="U75" i="57"/>
  <c r="T75" i="57"/>
  <c r="S75" i="57"/>
  <c r="R75" i="57"/>
  <c r="Q75" i="57"/>
  <c r="P75" i="57"/>
  <c r="BM74" i="57"/>
  <c r="BL74" i="57"/>
  <c r="BK74" i="57"/>
  <c r="BJ74" i="57"/>
  <c r="BI74" i="57"/>
  <c r="BH74" i="57"/>
  <c r="BG74" i="57"/>
  <c r="BF74" i="57"/>
  <c r="BE74" i="57"/>
  <c r="BD74" i="57"/>
  <c r="BC74" i="57"/>
  <c r="BB74" i="57"/>
  <c r="BA74" i="57"/>
  <c r="AZ74" i="57"/>
  <c r="AY74" i="57"/>
  <c r="AX74" i="57"/>
  <c r="AW74" i="57"/>
  <c r="AV74" i="57"/>
  <c r="AU74" i="57"/>
  <c r="AT74" i="57"/>
  <c r="AS74" i="57"/>
  <c r="AR74" i="57"/>
  <c r="AQ74" i="57"/>
  <c r="AP74" i="57"/>
  <c r="AO74" i="57"/>
  <c r="AN74" i="57"/>
  <c r="AM74" i="57"/>
  <c r="AL74" i="57"/>
  <c r="AK74" i="57"/>
  <c r="AJ74" i="57"/>
  <c r="AI74" i="57"/>
  <c r="AH74" i="57"/>
  <c r="AG74" i="57"/>
  <c r="AF74" i="57"/>
  <c r="AE74" i="57"/>
  <c r="AD74" i="57"/>
  <c r="AC74" i="57"/>
  <c r="AB74" i="57"/>
  <c r="AA74" i="57"/>
  <c r="Z74" i="57"/>
  <c r="Y74" i="57"/>
  <c r="X74" i="57"/>
  <c r="W74" i="57"/>
  <c r="V74" i="57"/>
  <c r="U74" i="57"/>
  <c r="T74" i="57"/>
  <c r="S74" i="57"/>
  <c r="R74" i="57"/>
  <c r="Q74" i="57"/>
  <c r="P74" i="57"/>
  <c r="BM73" i="57"/>
  <c r="BL73" i="57"/>
  <c r="BK73" i="57"/>
  <c r="BJ73" i="57"/>
  <c r="BI73" i="57"/>
  <c r="BH73" i="57"/>
  <c r="BG73" i="57"/>
  <c r="BF73" i="57"/>
  <c r="BE73" i="57"/>
  <c r="BD73" i="57"/>
  <c r="BC73" i="57"/>
  <c r="BB73" i="57"/>
  <c r="BA73" i="57"/>
  <c r="AZ73" i="57"/>
  <c r="AY73" i="57"/>
  <c r="AX73" i="57"/>
  <c r="AW73" i="57"/>
  <c r="AV73" i="57"/>
  <c r="AU73" i="57"/>
  <c r="AT73" i="57"/>
  <c r="AS73" i="57"/>
  <c r="AR73" i="57"/>
  <c r="AQ73" i="57"/>
  <c r="AP73" i="57"/>
  <c r="AO73" i="57"/>
  <c r="AN73" i="57"/>
  <c r="AM73" i="57"/>
  <c r="AL73" i="57"/>
  <c r="AK73" i="57"/>
  <c r="AJ73" i="57"/>
  <c r="AI73" i="57"/>
  <c r="AH73" i="57"/>
  <c r="AG73" i="57"/>
  <c r="AF73" i="57"/>
  <c r="AE73" i="57"/>
  <c r="AD73" i="57"/>
  <c r="AC73" i="57"/>
  <c r="AB73" i="57"/>
  <c r="AA73" i="57"/>
  <c r="Z73" i="57"/>
  <c r="Y73" i="57"/>
  <c r="X73" i="57"/>
  <c r="W73" i="57"/>
  <c r="V73" i="57"/>
  <c r="U73" i="57"/>
  <c r="T73" i="57"/>
  <c r="S73" i="57"/>
  <c r="R73" i="57"/>
  <c r="Q73" i="57"/>
  <c r="P73" i="57"/>
  <c r="BM72" i="57"/>
  <c r="BL72" i="57"/>
  <c r="BK72" i="57"/>
  <c r="BJ72" i="57"/>
  <c r="BI72" i="57"/>
  <c r="BH72" i="57"/>
  <c r="BG72" i="57"/>
  <c r="BF72" i="57"/>
  <c r="BE72" i="57"/>
  <c r="BD72" i="57"/>
  <c r="BC72" i="57"/>
  <c r="BB72" i="57"/>
  <c r="BA72" i="57"/>
  <c r="AZ72" i="57"/>
  <c r="AY72" i="57"/>
  <c r="AX72" i="57"/>
  <c r="AW72" i="57"/>
  <c r="AV72" i="57"/>
  <c r="AU72" i="57"/>
  <c r="AT72" i="57"/>
  <c r="AS72" i="57"/>
  <c r="AR72" i="57"/>
  <c r="AQ72" i="57"/>
  <c r="AP72" i="57"/>
  <c r="AO72" i="57"/>
  <c r="AN72" i="57"/>
  <c r="AM72" i="57"/>
  <c r="AL72" i="57"/>
  <c r="AK72" i="57"/>
  <c r="AJ72" i="57"/>
  <c r="AI72" i="57"/>
  <c r="AH72" i="57"/>
  <c r="AG72" i="57"/>
  <c r="AF72" i="57"/>
  <c r="AE72" i="57"/>
  <c r="AD72" i="57"/>
  <c r="AC72" i="57"/>
  <c r="AB72" i="57"/>
  <c r="AA72" i="57"/>
  <c r="Z72" i="57"/>
  <c r="Y72" i="57"/>
  <c r="X72" i="57"/>
  <c r="W72" i="57"/>
  <c r="V72" i="57"/>
  <c r="U72" i="57"/>
  <c r="T72" i="57"/>
  <c r="S72" i="57"/>
  <c r="R72" i="57"/>
  <c r="Q72" i="57"/>
  <c r="P72" i="57"/>
  <c r="BM71" i="57"/>
  <c r="BL71" i="57"/>
  <c r="BK71" i="57"/>
  <c r="BJ71" i="57"/>
  <c r="BI71" i="57"/>
  <c r="BH71" i="57"/>
  <c r="BG71" i="57"/>
  <c r="BF71" i="57"/>
  <c r="BE71" i="57"/>
  <c r="BD71" i="57"/>
  <c r="BC71" i="57"/>
  <c r="BB71" i="57"/>
  <c r="BA71" i="57"/>
  <c r="AZ71" i="57"/>
  <c r="AY71" i="57"/>
  <c r="AX71" i="57"/>
  <c r="AW71" i="57"/>
  <c r="AV71" i="57"/>
  <c r="AU71" i="57"/>
  <c r="AT71" i="57"/>
  <c r="AS71" i="57"/>
  <c r="AR71" i="57"/>
  <c r="AQ71" i="57"/>
  <c r="AP71" i="57"/>
  <c r="AO71" i="57"/>
  <c r="AN71" i="57"/>
  <c r="AM71" i="57"/>
  <c r="AL71" i="57"/>
  <c r="AK71" i="57"/>
  <c r="AJ71" i="57"/>
  <c r="AI71" i="57"/>
  <c r="AH71" i="57"/>
  <c r="AG71" i="57"/>
  <c r="AF71" i="57"/>
  <c r="AE71" i="57"/>
  <c r="AD71" i="57"/>
  <c r="AC71" i="57"/>
  <c r="AB71" i="57"/>
  <c r="AA71" i="57"/>
  <c r="Z71" i="57"/>
  <c r="Y71" i="57"/>
  <c r="X71" i="57"/>
  <c r="W71" i="57"/>
  <c r="V71" i="57"/>
  <c r="U71" i="57"/>
  <c r="T71" i="57"/>
  <c r="S71" i="57"/>
  <c r="R71" i="57"/>
  <c r="Q71" i="57"/>
  <c r="P71" i="57"/>
  <c r="BM70" i="57"/>
  <c r="BL70" i="57"/>
  <c r="BK70" i="57"/>
  <c r="BJ70" i="57"/>
  <c r="BI70" i="57"/>
  <c r="BH70" i="57"/>
  <c r="BG70" i="57"/>
  <c r="BF70" i="57"/>
  <c r="BE70" i="57"/>
  <c r="BD70" i="57"/>
  <c r="BC70" i="57"/>
  <c r="BB70" i="57"/>
  <c r="BA70" i="57"/>
  <c r="AZ70" i="57"/>
  <c r="AY70" i="57"/>
  <c r="AX70" i="57"/>
  <c r="AW70" i="57"/>
  <c r="AV70" i="57"/>
  <c r="AU70" i="57"/>
  <c r="AT70" i="57"/>
  <c r="AS70" i="57"/>
  <c r="AR70" i="57"/>
  <c r="AQ70" i="57"/>
  <c r="AP70" i="57"/>
  <c r="AO70" i="57"/>
  <c r="AN70" i="57"/>
  <c r="AM70" i="57"/>
  <c r="AL70" i="57"/>
  <c r="AK70" i="57"/>
  <c r="AJ70" i="57"/>
  <c r="AI70" i="57"/>
  <c r="AH70" i="57"/>
  <c r="AG70" i="57"/>
  <c r="AF70" i="57"/>
  <c r="AE70" i="57"/>
  <c r="AD70" i="57"/>
  <c r="AC70" i="57"/>
  <c r="AB70" i="57"/>
  <c r="AA70" i="57"/>
  <c r="Z70" i="57"/>
  <c r="Y70" i="57"/>
  <c r="X70" i="57"/>
  <c r="W70" i="57"/>
  <c r="V70" i="57"/>
  <c r="U70" i="57"/>
  <c r="T70" i="57"/>
  <c r="S70" i="57"/>
  <c r="R70" i="57"/>
  <c r="Q70" i="57"/>
  <c r="P70" i="57"/>
  <c r="BM69" i="57"/>
  <c r="BL69" i="57"/>
  <c r="BK69" i="57"/>
  <c r="BJ69" i="57"/>
  <c r="BI69" i="57"/>
  <c r="BH69" i="57"/>
  <c r="BG69" i="57"/>
  <c r="BF69" i="57"/>
  <c r="BE69" i="57"/>
  <c r="BD69" i="57"/>
  <c r="BC69" i="57"/>
  <c r="BB69" i="57"/>
  <c r="BA69" i="57"/>
  <c r="AZ69" i="57"/>
  <c r="AY69" i="57"/>
  <c r="AX69" i="57"/>
  <c r="AW69" i="57"/>
  <c r="AV69" i="57"/>
  <c r="AU69" i="57"/>
  <c r="AT69" i="57"/>
  <c r="AS69" i="57"/>
  <c r="AR69" i="57"/>
  <c r="AQ69" i="57"/>
  <c r="AP69" i="57"/>
  <c r="AO69" i="57"/>
  <c r="AN69" i="57"/>
  <c r="AM69" i="57"/>
  <c r="AL69" i="57"/>
  <c r="AK69" i="57"/>
  <c r="AJ69" i="57"/>
  <c r="AI69" i="57"/>
  <c r="AH69" i="57"/>
  <c r="AG69" i="57"/>
  <c r="AF69" i="57"/>
  <c r="AE69" i="57"/>
  <c r="AD69" i="57"/>
  <c r="AC69" i="57"/>
  <c r="AB69" i="57"/>
  <c r="AA69" i="57"/>
  <c r="Z69" i="57"/>
  <c r="Y69" i="57"/>
  <c r="X69" i="57"/>
  <c r="W69" i="57"/>
  <c r="V69" i="57"/>
  <c r="U69" i="57"/>
  <c r="T69" i="57"/>
  <c r="S69" i="57"/>
  <c r="R69" i="57"/>
  <c r="Q69" i="57"/>
  <c r="P69" i="57"/>
  <c r="BM68" i="57"/>
  <c r="BL68" i="57"/>
  <c r="BK68" i="57"/>
  <c r="BJ68" i="57"/>
  <c r="BI68" i="57"/>
  <c r="BH68" i="57"/>
  <c r="BG68" i="57"/>
  <c r="BF68" i="57"/>
  <c r="BE68" i="57"/>
  <c r="BD68" i="57"/>
  <c r="BC68" i="57"/>
  <c r="BB68" i="57"/>
  <c r="BA68" i="57"/>
  <c r="AZ68" i="57"/>
  <c r="AY68" i="57"/>
  <c r="AX68" i="57"/>
  <c r="AW68" i="57"/>
  <c r="AV68" i="57"/>
  <c r="AU68" i="57"/>
  <c r="AT68" i="57"/>
  <c r="AS68" i="57"/>
  <c r="AR68" i="57"/>
  <c r="AQ68" i="57"/>
  <c r="AP68" i="57"/>
  <c r="AO68" i="57"/>
  <c r="AN68" i="57"/>
  <c r="AM68" i="57"/>
  <c r="AL68" i="57"/>
  <c r="AK68" i="57"/>
  <c r="AJ68" i="57"/>
  <c r="AI68" i="57"/>
  <c r="AH68" i="57"/>
  <c r="AG68" i="57"/>
  <c r="AF68" i="57"/>
  <c r="AE68" i="57"/>
  <c r="AD68" i="57"/>
  <c r="AC68" i="57"/>
  <c r="AB68" i="57"/>
  <c r="AA68" i="57"/>
  <c r="Z68" i="57"/>
  <c r="Y68" i="57"/>
  <c r="X68" i="57"/>
  <c r="W68" i="57"/>
  <c r="V68" i="57"/>
  <c r="U68" i="57"/>
  <c r="T68" i="57"/>
  <c r="S68" i="57"/>
  <c r="R68" i="57"/>
  <c r="Q68" i="57"/>
  <c r="P68" i="57"/>
  <c r="BM67" i="57"/>
  <c r="BL67" i="57"/>
  <c r="BK67" i="57"/>
  <c r="BJ67" i="57"/>
  <c r="BI67" i="57"/>
  <c r="BH67" i="57"/>
  <c r="BG67" i="57"/>
  <c r="BF67" i="57"/>
  <c r="BE67" i="57"/>
  <c r="BD67" i="57"/>
  <c r="BC67" i="57"/>
  <c r="BB67" i="57"/>
  <c r="BA67" i="57"/>
  <c r="AZ67" i="57"/>
  <c r="AY67" i="57"/>
  <c r="AX67" i="57"/>
  <c r="AW67" i="57"/>
  <c r="AV67" i="57"/>
  <c r="AU67" i="57"/>
  <c r="AT67" i="57"/>
  <c r="AS67" i="57"/>
  <c r="AR67" i="57"/>
  <c r="AQ67" i="57"/>
  <c r="AP67" i="57"/>
  <c r="AO67" i="57"/>
  <c r="AN67" i="57"/>
  <c r="AM67" i="57"/>
  <c r="AL67" i="57"/>
  <c r="AK67" i="57"/>
  <c r="AJ67" i="57"/>
  <c r="AI67" i="57"/>
  <c r="AH67" i="57"/>
  <c r="AG67" i="57"/>
  <c r="AF67" i="57"/>
  <c r="AE67" i="57"/>
  <c r="AD67" i="57"/>
  <c r="AC67" i="57"/>
  <c r="AB67" i="57"/>
  <c r="AA67" i="57"/>
  <c r="Z67" i="57"/>
  <c r="Y67" i="57"/>
  <c r="X67" i="57"/>
  <c r="W67" i="57"/>
  <c r="V67" i="57"/>
  <c r="U67" i="57"/>
  <c r="T67" i="57"/>
  <c r="S67" i="57"/>
  <c r="R67" i="57"/>
  <c r="Q67" i="57"/>
  <c r="P67" i="57"/>
  <c r="BM66" i="57"/>
  <c r="BL66" i="57"/>
  <c r="BK66" i="57"/>
  <c r="BJ66" i="57"/>
  <c r="BI66" i="57"/>
  <c r="BH66" i="57"/>
  <c r="BG66" i="57"/>
  <c r="BF66" i="57"/>
  <c r="BE66" i="57"/>
  <c r="BD66" i="57"/>
  <c r="BC66" i="57"/>
  <c r="BB66" i="57"/>
  <c r="BA66" i="57"/>
  <c r="AZ66" i="57"/>
  <c r="AY66" i="57"/>
  <c r="AX66" i="57"/>
  <c r="AW66" i="57"/>
  <c r="AV66" i="57"/>
  <c r="AU66" i="57"/>
  <c r="AT66" i="57"/>
  <c r="AS66" i="57"/>
  <c r="AR66" i="57"/>
  <c r="AQ66" i="57"/>
  <c r="AP66" i="57"/>
  <c r="AO66" i="57"/>
  <c r="AN66" i="57"/>
  <c r="AM66" i="57"/>
  <c r="AL66" i="57"/>
  <c r="AK66" i="57"/>
  <c r="AJ66" i="57"/>
  <c r="AI66" i="57"/>
  <c r="AH66" i="57"/>
  <c r="AG66" i="57"/>
  <c r="AF66" i="57"/>
  <c r="AE66" i="57"/>
  <c r="AD66" i="57"/>
  <c r="AC66" i="57"/>
  <c r="AB66" i="57"/>
  <c r="AA66" i="57"/>
  <c r="Z66" i="57"/>
  <c r="Y66" i="57"/>
  <c r="X66" i="57"/>
  <c r="W66" i="57"/>
  <c r="V66" i="57"/>
  <c r="U66" i="57"/>
  <c r="T66" i="57"/>
  <c r="S66" i="57"/>
  <c r="R66" i="57"/>
  <c r="Q66" i="57"/>
  <c r="P66" i="57"/>
  <c r="BM65" i="57"/>
  <c r="BL65" i="57"/>
  <c r="BK65" i="57"/>
  <c r="BJ65" i="57"/>
  <c r="BI65" i="57"/>
  <c r="BH65" i="57"/>
  <c r="BG65" i="57"/>
  <c r="BF65" i="57"/>
  <c r="BE65" i="57"/>
  <c r="BD65" i="57"/>
  <c r="BC65" i="57"/>
  <c r="BB65" i="57"/>
  <c r="BA65" i="57"/>
  <c r="AZ65" i="57"/>
  <c r="AY65" i="57"/>
  <c r="AX65" i="57"/>
  <c r="AW65" i="57"/>
  <c r="AV65" i="57"/>
  <c r="AU65" i="57"/>
  <c r="AT65" i="57"/>
  <c r="AS65" i="57"/>
  <c r="AR65" i="57"/>
  <c r="AQ65" i="57"/>
  <c r="AP65" i="57"/>
  <c r="AO65" i="57"/>
  <c r="AN65" i="57"/>
  <c r="AM65" i="57"/>
  <c r="AL65" i="57"/>
  <c r="AK65" i="57"/>
  <c r="AJ65" i="57"/>
  <c r="AI65" i="57"/>
  <c r="AH65" i="57"/>
  <c r="AG65" i="57"/>
  <c r="AF65" i="57"/>
  <c r="AE65" i="57"/>
  <c r="AD65" i="57"/>
  <c r="AC65" i="57"/>
  <c r="AB65" i="57"/>
  <c r="AA65" i="57"/>
  <c r="Z65" i="57"/>
  <c r="Y65" i="57"/>
  <c r="X65" i="57"/>
  <c r="W65" i="57"/>
  <c r="V65" i="57"/>
  <c r="U65" i="57"/>
  <c r="T65" i="57"/>
  <c r="S65" i="57"/>
  <c r="R65" i="57"/>
  <c r="Q65" i="57"/>
  <c r="P65" i="57"/>
  <c r="BM64" i="57"/>
  <c r="BL64" i="57"/>
  <c r="BK64" i="57"/>
  <c r="BJ64" i="57"/>
  <c r="BI64" i="57"/>
  <c r="BH64" i="57"/>
  <c r="BG64" i="57"/>
  <c r="BF64" i="57"/>
  <c r="BE64" i="57"/>
  <c r="BD64" i="57"/>
  <c r="BC64" i="57"/>
  <c r="BB64" i="57"/>
  <c r="BA64" i="57"/>
  <c r="AZ64" i="57"/>
  <c r="AY64" i="57"/>
  <c r="AX64" i="57"/>
  <c r="AW64" i="57"/>
  <c r="AV64" i="57"/>
  <c r="AU64" i="57"/>
  <c r="AT64" i="57"/>
  <c r="AS64" i="57"/>
  <c r="AR64" i="57"/>
  <c r="AQ64" i="57"/>
  <c r="AP64" i="57"/>
  <c r="AO64" i="57"/>
  <c r="AN64" i="57"/>
  <c r="AM64" i="57"/>
  <c r="AL64" i="57"/>
  <c r="AK64" i="57"/>
  <c r="AJ64" i="57"/>
  <c r="AI64" i="57"/>
  <c r="AH64" i="57"/>
  <c r="AG64" i="57"/>
  <c r="AF64" i="57"/>
  <c r="AE64" i="57"/>
  <c r="AD64" i="57"/>
  <c r="AC64" i="57"/>
  <c r="AB64" i="57"/>
  <c r="AA64" i="57"/>
  <c r="Z64" i="57"/>
  <c r="Y64" i="57"/>
  <c r="X64" i="57"/>
  <c r="W64" i="57"/>
  <c r="V64" i="57"/>
  <c r="U64" i="57"/>
  <c r="T64" i="57"/>
  <c r="S64" i="57"/>
  <c r="R64" i="57"/>
  <c r="Q64" i="57"/>
  <c r="P64" i="57"/>
  <c r="BM63" i="57"/>
  <c r="BL63" i="57"/>
  <c r="BK63" i="57"/>
  <c r="BJ63" i="57"/>
  <c r="BI63" i="57"/>
  <c r="BH63" i="57"/>
  <c r="BG63" i="57"/>
  <c r="BF63" i="57"/>
  <c r="BE63" i="57"/>
  <c r="BD63" i="57"/>
  <c r="BC63" i="57"/>
  <c r="BB63" i="57"/>
  <c r="BA63" i="57"/>
  <c r="AZ63" i="57"/>
  <c r="AY63" i="57"/>
  <c r="AX63" i="57"/>
  <c r="AW63" i="57"/>
  <c r="AV63" i="57"/>
  <c r="AU63" i="57"/>
  <c r="AT63" i="57"/>
  <c r="AS63" i="57"/>
  <c r="AR63" i="57"/>
  <c r="AQ63" i="57"/>
  <c r="AP63" i="57"/>
  <c r="AO63" i="57"/>
  <c r="AN63" i="57"/>
  <c r="AM63" i="57"/>
  <c r="AL63" i="57"/>
  <c r="AK63" i="57"/>
  <c r="AJ63" i="57"/>
  <c r="AI63" i="57"/>
  <c r="AH63" i="57"/>
  <c r="AG63" i="57"/>
  <c r="AF63" i="57"/>
  <c r="AE63" i="57"/>
  <c r="AD63" i="57"/>
  <c r="AC63" i="57"/>
  <c r="AB63" i="57"/>
  <c r="AA63" i="57"/>
  <c r="Z63" i="57"/>
  <c r="Y63" i="57"/>
  <c r="X63" i="57"/>
  <c r="W63" i="57"/>
  <c r="V63" i="57"/>
  <c r="U63" i="57"/>
  <c r="T63" i="57"/>
  <c r="S63" i="57"/>
  <c r="R63" i="57"/>
  <c r="Q63" i="57"/>
  <c r="P63" i="57"/>
  <c r="BM62" i="57"/>
  <c r="BL62" i="57"/>
  <c r="BK62" i="57"/>
  <c r="BJ62" i="57"/>
  <c r="BI62" i="57"/>
  <c r="BH62" i="57"/>
  <c r="BG62" i="57"/>
  <c r="BF62" i="57"/>
  <c r="BE62" i="57"/>
  <c r="BD62" i="57"/>
  <c r="BC62" i="57"/>
  <c r="BB62" i="57"/>
  <c r="BA62" i="57"/>
  <c r="AZ62" i="57"/>
  <c r="AY62" i="57"/>
  <c r="AX62" i="57"/>
  <c r="AW62" i="57"/>
  <c r="AV62" i="57"/>
  <c r="AU62" i="57"/>
  <c r="AT62" i="57"/>
  <c r="AS62" i="57"/>
  <c r="AR62" i="57"/>
  <c r="AQ62" i="57"/>
  <c r="AP62" i="57"/>
  <c r="AO62" i="57"/>
  <c r="AN62" i="57"/>
  <c r="AM62" i="57"/>
  <c r="AL62" i="57"/>
  <c r="AK62" i="57"/>
  <c r="AJ62" i="57"/>
  <c r="AI62" i="57"/>
  <c r="AH62" i="57"/>
  <c r="AG62" i="57"/>
  <c r="AF62" i="57"/>
  <c r="AE62" i="57"/>
  <c r="AD62" i="57"/>
  <c r="AC62" i="57"/>
  <c r="AB62" i="57"/>
  <c r="AA62" i="57"/>
  <c r="Z62" i="57"/>
  <c r="Y62" i="57"/>
  <c r="X62" i="57"/>
  <c r="W62" i="57"/>
  <c r="V62" i="57"/>
  <c r="U62" i="57"/>
  <c r="T62" i="57"/>
  <c r="S62" i="57"/>
  <c r="R62" i="57"/>
  <c r="Q62" i="57"/>
  <c r="P62" i="57"/>
  <c r="BM61" i="57"/>
  <c r="BL61" i="57"/>
  <c r="BK61" i="57"/>
  <c r="BJ61" i="57"/>
  <c r="BI61" i="57"/>
  <c r="BH61" i="57"/>
  <c r="BG61" i="57"/>
  <c r="BF61" i="57"/>
  <c r="BE61" i="57"/>
  <c r="BD61" i="57"/>
  <c r="BC61" i="57"/>
  <c r="BB61" i="57"/>
  <c r="BA61" i="57"/>
  <c r="AZ61" i="57"/>
  <c r="AY61" i="57"/>
  <c r="AX61" i="57"/>
  <c r="AW61" i="57"/>
  <c r="AV61" i="57"/>
  <c r="AU61" i="57"/>
  <c r="AT61" i="57"/>
  <c r="AS61" i="57"/>
  <c r="AR61" i="57"/>
  <c r="AQ61" i="57"/>
  <c r="AP61" i="57"/>
  <c r="AO61" i="57"/>
  <c r="AN61" i="57"/>
  <c r="AM61" i="57"/>
  <c r="AL61" i="57"/>
  <c r="AK61" i="57"/>
  <c r="AJ61" i="57"/>
  <c r="AI61" i="57"/>
  <c r="AH61" i="57"/>
  <c r="AG61" i="57"/>
  <c r="AF61" i="57"/>
  <c r="AE61" i="57"/>
  <c r="AD61" i="57"/>
  <c r="AC61" i="57"/>
  <c r="AB61" i="57"/>
  <c r="AA61" i="57"/>
  <c r="Z61" i="57"/>
  <c r="Y61" i="57"/>
  <c r="X61" i="57"/>
  <c r="W61" i="57"/>
  <c r="V61" i="57"/>
  <c r="U61" i="57"/>
  <c r="T61" i="57"/>
  <c r="S61" i="57"/>
  <c r="R61" i="57"/>
  <c r="Q61" i="57"/>
  <c r="P61" i="57"/>
  <c r="BM60" i="57"/>
  <c r="BL60" i="57"/>
  <c r="BK60" i="57"/>
  <c r="BJ60" i="57"/>
  <c r="BI60" i="57"/>
  <c r="BH60" i="57"/>
  <c r="BG60" i="57"/>
  <c r="BF60" i="57"/>
  <c r="BE60" i="57"/>
  <c r="BD60" i="57"/>
  <c r="BC60" i="57"/>
  <c r="BB60" i="57"/>
  <c r="BA60" i="57"/>
  <c r="AZ60" i="57"/>
  <c r="AY60" i="57"/>
  <c r="AX60" i="57"/>
  <c r="AW60" i="57"/>
  <c r="AV60" i="57"/>
  <c r="AU60" i="57"/>
  <c r="AT60" i="57"/>
  <c r="AS60" i="57"/>
  <c r="AR60" i="57"/>
  <c r="AQ60" i="57"/>
  <c r="AP60" i="57"/>
  <c r="AO60" i="57"/>
  <c r="AN60" i="57"/>
  <c r="AM60" i="57"/>
  <c r="AL60" i="57"/>
  <c r="AK60" i="57"/>
  <c r="AJ60" i="57"/>
  <c r="AI60" i="57"/>
  <c r="AH60" i="57"/>
  <c r="AG60" i="57"/>
  <c r="AF60" i="57"/>
  <c r="AE60" i="57"/>
  <c r="AD60" i="57"/>
  <c r="AC60" i="57"/>
  <c r="AB60" i="57"/>
  <c r="AA60" i="57"/>
  <c r="Z60" i="57"/>
  <c r="Y60" i="57"/>
  <c r="X60" i="57"/>
  <c r="W60" i="57"/>
  <c r="V60" i="57"/>
  <c r="U60" i="57"/>
  <c r="T60" i="57"/>
  <c r="S60" i="57"/>
  <c r="R60" i="57"/>
  <c r="Q60" i="57"/>
  <c r="P60" i="57"/>
  <c r="BM59" i="57"/>
  <c r="BL59" i="57"/>
  <c r="BK59" i="57"/>
  <c r="BJ59" i="57"/>
  <c r="BI59" i="57"/>
  <c r="BH59" i="57"/>
  <c r="BG59" i="57"/>
  <c r="BF59" i="57"/>
  <c r="BE59" i="57"/>
  <c r="BD59" i="57"/>
  <c r="BC59" i="57"/>
  <c r="BB59" i="57"/>
  <c r="BA59" i="57"/>
  <c r="AZ59" i="57"/>
  <c r="AY59" i="57"/>
  <c r="AX59" i="57"/>
  <c r="AW59" i="57"/>
  <c r="AV59" i="57"/>
  <c r="AU59" i="57"/>
  <c r="AT59" i="57"/>
  <c r="AS59" i="57"/>
  <c r="AR59" i="57"/>
  <c r="AQ59" i="57"/>
  <c r="AP59" i="57"/>
  <c r="AO59" i="57"/>
  <c r="AN59" i="57"/>
  <c r="AM59" i="57"/>
  <c r="AL59" i="57"/>
  <c r="AK59" i="57"/>
  <c r="AJ59" i="57"/>
  <c r="AI59" i="57"/>
  <c r="AH59" i="57"/>
  <c r="AG59" i="57"/>
  <c r="AF59" i="57"/>
  <c r="AE59" i="57"/>
  <c r="AD59" i="57"/>
  <c r="AC59" i="57"/>
  <c r="AB59" i="57"/>
  <c r="AA59" i="57"/>
  <c r="Z59" i="57"/>
  <c r="Y59" i="57"/>
  <c r="X59" i="57"/>
  <c r="W59" i="57"/>
  <c r="V59" i="57"/>
  <c r="U59" i="57"/>
  <c r="T59" i="57"/>
  <c r="S59" i="57"/>
  <c r="R59" i="57"/>
  <c r="Q59" i="57"/>
  <c r="P59" i="57"/>
  <c r="BM58" i="57"/>
  <c r="BL58" i="57"/>
  <c r="BK58" i="57"/>
  <c r="BJ58" i="57"/>
  <c r="BI58" i="57"/>
  <c r="BH58" i="57"/>
  <c r="BG58" i="57"/>
  <c r="BF58" i="57"/>
  <c r="BE58" i="57"/>
  <c r="BD58" i="57"/>
  <c r="BC58" i="57"/>
  <c r="BB58" i="57"/>
  <c r="BA58" i="57"/>
  <c r="AZ58" i="57"/>
  <c r="AY58" i="57"/>
  <c r="AX58" i="57"/>
  <c r="AW58" i="57"/>
  <c r="AV58" i="57"/>
  <c r="AU58" i="57"/>
  <c r="AT58" i="57"/>
  <c r="AS58" i="57"/>
  <c r="AR58" i="57"/>
  <c r="AQ58" i="57"/>
  <c r="AP58" i="57"/>
  <c r="AO58" i="57"/>
  <c r="AN58" i="57"/>
  <c r="AM58" i="57"/>
  <c r="AL58" i="57"/>
  <c r="AK58" i="57"/>
  <c r="AJ58" i="57"/>
  <c r="AI58" i="57"/>
  <c r="AH58" i="57"/>
  <c r="AG58" i="57"/>
  <c r="AF58" i="57"/>
  <c r="AE58" i="57"/>
  <c r="AD58" i="57"/>
  <c r="AC58" i="57"/>
  <c r="AB58" i="57"/>
  <c r="AA58" i="57"/>
  <c r="Z58" i="57"/>
  <c r="Y58" i="57"/>
  <c r="X58" i="57"/>
  <c r="W58" i="57"/>
  <c r="V58" i="57"/>
  <c r="U58" i="57"/>
  <c r="T58" i="57"/>
  <c r="S58" i="57"/>
  <c r="R58" i="57"/>
  <c r="Q58" i="57"/>
  <c r="P58" i="57"/>
  <c r="BM57" i="57"/>
  <c r="BL57" i="57"/>
  <c r="BK57" i="57"/>
  <c r="BJ57" i="57"/>
  <c r="BI57" i="57"/>
  <c r="BH57" i="57"/>
  <c r="BG57" i="57"/>
  <c r="BF57" i="57"/>
  <c r="BE57" i="57"/>
  <c r="BD57" i="57"/>
  <c r="BC57" i="57"/>
  <c r="BB57" i="57"/>
  <c r="BA57" i="57"/>
  <c r="AZ57" i="57"/>
  <c r="AY57" i="57"/>
  <c r="AX57" i="57"/>
  <c r="AW57" i="57"/>
  <c r="AV57" i="57"/>
  <c r="AU57" i="57"/>
  <c r="AT57" i="57"/>
  <c r="AS57" i="57"/>
  <c r="AR57" i="57"/>
  <c r="AQ57" i="57"/>
  <c r="AP57" i="57"/>
  <c r="AO57" i="57"/>
  <c r="AN57" i="57"/>
  <c r="AM57" i="57"/>
  <c r="AL57" i="57"/>
  <c r="AK57" i="57"/>
  <c r="AJ57" i="57"/>
  <c r="AI57" i="57"/>
  <c r="AH57" i="57"/>
  <c r="AG57" i="57"/>
  <c r="AF57" i="57"/>
  <c r="AE57" i="57"/>
  <c r="AD57" i="57"/>
  <c r="AC57" i="57"/>
  <c r="AB57" i="57"/>
  <c r="AA57" i="57"/>
  <c r="Z57" i="57"/>
  <c r="Y57" i="57"/>
  <c r="X57" i="57"/>
  <c r="W57" i="57"/>
  <c r="V57" i="57"/>
  <c r="U57" i="57"/>
  <c r="T57" i="57"/>
  <c r="S57" i="57"/>
  <c r="R57" i="57"/>
  <c r="Q57" i="57"/>
  <c r="P57" i="57"/>
  <c r="BM56" i="57"/>
  <c r="BL56" i="57"/>
  <c r="BK56" i="57"/>
  <c r="BJ56" i="57"/>
  <c r="BI56" i="57"/>
  <c r="BH56" i="57"/>
  <c r="BG56" i="57"/>
  <c r="BF56" i="57"/>
  <c r="BE56" i="57"/>
  <c r="BD56" i="57"/>
  <c r="BC56" i="57"/>
  <c r="BB56" i="57"/>
  <c r="BA56" i="57"/>
  <c r="AZ56" i="57"/>
  <c r="AY56" i="57"/>
  <c r="AX56" i="57"/>
  <c r="AW56" i="57"/>
  <c r="AV56" i="57"/>
  <c r="AU56" i="57"/>
  <c r="AT56" i="57"/>
  <c r="AS56" i="57"/>
  <c r="AR56" i="57"/>
  <c r="AQ56" i="57"/>
  <c r="AP56" i="57"/>
  <c r="AO56" i="57"/>
  <c r="AN56" i="57"/>
  <c r="AM56" i="57"/>
  <c r="AL56" i="57"/>
  <c r="AK56" i="57"/>
  <c r="AJ56" i="57"/>
  <c r="AI56" i="57"/>
  <c r="AH56" i="57"/>
  <c r="AG56" i="57"/>
  <c r="AF56" i="57"/>
  <c r="AE56" i="57"/>
  <c r="AD56" i="57"/>
  <c r="AC56" i="57"/>
  <c r="AB56" i="57"/>
  <c r="AA56" i="57"/>
  <c r="Z56" i="57"/>
  <c r="Y56" i="57"/>
  <c r="X56" i="57"/>
  <c r="W56" i="57"/>
  <c r="V56" i="57"/>
  <c r="U56" i="57"/>
  <c r="T56" i="57"/>
  <c r="S56" i="57"/>
  <c r="R56" i="57"/>
  <c r="Q56" i="57"/>
  <c r="P56" i="57"/>
  <c r="BM55" i="57"/>
  <c r="BL55" i="57"/>
  <c r="BK55" i="57"/>
  <c r="BJ55" i="57"/>
  <c r="BI55" i="57"/>
  <c r="BH55" i="57"/>
  <c r="BG55" i="57"/>
  <c r="BF55" i="57"/>
  <c r="BE55" i="57"/>
  <c r="BD55" i="57"/>
  <c r="BC55" i="57"/>
  <c r="BB55" i="57"/>
  <c r="BA55" i="57"/>
  <c r="AZ55" i="57"/>
  <c r="AY55" i="57"/>
  <c r="AX55" i="57"/>
  <c r="AW55" i="57"/>
  <c r="AV55" i="57"/>
  <c r="AU55" i="57"/>
  <c r="AT55" i="57"/>
  <c r="AS55" i="57"/>
  <c r="AR55" i="57"/>
  <c r="AQ55" i="57"/>
  <c r="AP55" i="57"/>
  <c r="AO55" i="57"/>
  <c r="AN55" i="57"/>
  <c r="AM55" i="57"/>
  <c r="AL55" i="57"/>
  <c r="AK55" i="57"/>
  <c r="AJ55" i="57"/>
  <c r="AI55" i="57"/>
  <c r="AH55" i="57"/>
  <c r="AG55" i="57"/>
  <c r="AF55" i="57"/>
  <c r="AE55" i="57"/>
  <c r="AD55" i="57"/>
  <c r="AC55" i="57"/>
  <c r="AB55" i="57"/>
  <c r="AA55" i="57"/>
  <c r="Z55" i="57"/>
  <c r="Y55" i="57"/>
  <c r="X55" i="57"/>
  <c r="W55" i="57"/>
  <c r="V55" i="57"/>
  <c r="U55" i="57"/>
  <c r="T55" i="57"/>
  <c r="S55" i="57"/>
  <c r="R55" i="57"/>
  <c r="Q55" i="57"/>
  <c r="P55" i="57"/>
  <c r="BM54" i="57"/>
  <c r="BL54" i="57"/>
  <c r="BK54" i="57"/>
  <c r="BJ54" i="57"/>
  <c r="BI54" i="57"/>
  <c r="BH54" i="57"/>
  <c r="BG54" i="57"/>
  <c r="BF54" i="57"/>
  <c r="BE54" i="57"/>
  <c r="BD54" i="57"/>
  <c r="BC54" i="57"/>
  <c r="BB54" i="57"/>
  <c r="BA54" i="57"/>
  <c r="AZ54" i="57"/>
  <c r="AY54" i="57"/>
  <c r="AX54" i="57"/>
  <c r="AW54" i="57"/>
  <c r="AV54" i="57"/>
  <c r="AU54" i="57"/>
  <c r="AT54" i="57"/>
  <c r="AS54" i="57"/>
  <c r="AR54" i="57"/>
  <c r="AQ54" i="57"/>
  <c r="AP54" i="57"/>
  <c r="AO54" i="57"/>
  <c r="AN54" i="57"/>
  <c r="AM54" i="57"/>
  <c r="AL54" i="57"/>
  <c r="AK54" i="57"/>
  <c r="AJ54" i="57"/>
  <c r="AI54" i="57"/>
  <c r="AH54" i="57"/>
  <c r="AG54" i="57"/>
  <c r="AF54" i="57"/>
  <c r="AE54" i="57"/>
  <c r="AD54" i="57"/>
  <c r="AC54" i="57"/>
  <c r="AB54" i="57"/>
  <c r="AA54" i="57"/>
  <c r="Z54" i="57"/>
  <c r="Y54" i="57"/>
  <c r="X54" i="57"/>
  <c r="W54" i="57"/>
  <c r="V54" i="57"/>
  <c r="U54" i="57"/>
  <c r="T54" i="57"/>
  <c r="S54" i="57"/>
  <c r="R54" i="57"/>
  <c r="Q54" i="57"/>
  <c r="P54" i="57"/>
  <c r="BM53" i="57"/>
  <c r="BL53" i="57"/>
  <c r="BK53" i="57"/>
  <c r="BJ53" i="57"/>
  <c r="BI53" i="57"/>
  <c r="BH53" i="57"/>
  <c r="BG53" i="57"/>
  <c r="BF53" i="57"/>
  <c r="BE53" i="57"/>
  <c r="BD53" i="57"/>
  <c r="BC53" i="57"/>
  <c r="BB53" i="57"/>
  <c r="BA53" i="57"/>
  <c r="AZ53" i="57"/>
  <c r="AY53" i="57"/>
  <c r="AX53" i="57"/>
  <c r="AW53" i="57"/>
  <c r="AV53" i="57"/>
  <c r="AU53" i="57"/>
  <c r="AT53" i="57"/>
  <c r="AS53" i="57"/>
  <c r="AR53" i="57"/>
  <c r="AQ53" i="57"/>
  <c r="AP53" i="57"/>
  <c r="AO53" i="57"/>
  <c r="AN53" i="57"/>
  <c r="AM53" i="57"/>
  <c r="AL53" i="57"/>
  <c r="AK53" i="57"/>
  <c r="AJ53" i="57"/>
  <c r="AI53" i="57"/>
  <c r="AH53" i="57"/>
  <c r="AG53" i="57"/>
  <c r="AF53" i="57"/>
  <c r="AE53" i="57"/>
  <c r="AD53" i="57"/>
  <c r="AC53" i="57"/>
  <c r="AB53" i="57"/>
  <c r="AA53" i="57"/>
  <c r="Z53" i="57"/>
  <c r="Y53" i="57"/>
  <c r="X53" i="57"/>
  <c r="W53" i="57"/>
  <c r="V53" i="57"/>
  <c r="U53" i="57"/>
  <c r="T53" i="57"/>
  <c r="S53" i="57"/>
  <c r="R53" i="57"/>
  <c r="Q53" i="57"/>
  <c r="P53" i="57"/>
  <c r="BM52" i="57"/>
  <c r="BL52" i="57"/>
  <c r="BK52" i="57"/>
  <c r="BJ52" i="57"/>
  <c r="BI52" i="57"/>
  <c r="BH52" i="57"/>
  <c r="BG52" i="57"/>
  <c r="BF52" i="57"/>
  <c r="BE52" i="57"/>
  <c r="BD52" i="57"/>
  <c r="BC52" i="57"/>
  <c r="BB52" i="57"/>
  <c r="BA52" i="57"/>
  <c r="AZ52" i="57"/>
  <c r="AY52" i="57"/>
  <c r="AX52" i="57"/>
  <c r="AW52" i="57"/>
  <c r="AV52" i="57"/>
  <c r="AU52" i="57"/>
  <c r="AT52" i="57"/>
  <c r="AS52" i="57"/>
  <c r="AR52" i="57"/>
  <c r="AQ52" i="57"/>
  <c r="AP52" i="57"/>
  <c r="AO52" i="57"/>
  <c r="AN52" i="57"/>
  <c r="AM52" i="57"/>
  <c r="AL52" i="57"/>
  <c r="AK52" i="57"/>
  <c r="AJ52" i="57"/>
  <c r="AI52" i="57"/>
  <c r="AH52" i="57"/>
  <c r="AG52" i="57"/>
  <c r="AF52" i="57"/>
  <c r="AE52" i="57"/>
  <c r="AD52" i="57"/>
  <c r="AC52" i="57"/>
  <c r="AB52" i="57"/>
  <c r="AA52" i="57"/>
  <c r="Z52" i="57"/>
  <c r="Y52" i="57"/>
  <c r="X52" i="57"/>
  <c r="W52" i="57"/>
  <c r="V52" i="57"/>
  <c r="U52" i="57"/>
  <c r="T52" i="57"/>
  <c r="S52" i="57"/>
  <c r="R52" i="57"/>
  <c r="Q52" i="57"/>
  <c r="P52" i="57"/>
  <c r="BM51" i="57"/>
  <c r="BL51" i="57"/>
  <c r="BK51" i="57"/>
  <c r="BJ51" i="57"/>
  <c r="BI51" i="57"/>
  <c r="BH51" i="57"/>
  <c r="BG51" i="57"/>
  <c r="BF51" i="57"/>
  <c r="BE51" i="57"/>
  <c r="BD51" i="57"/>
  <c r="BC51" i="57"/>
  <c r="BB51" i="57"/>
  <c r="BA51" i="57"/>
  <c r="AZ51" i="57"/>
  <c r="AY51" i="57"/>
  <c r="AX51" i="57"/>
  <c r="AW51" i="57"/>
  <c r="AV51" i="57"/>
  <c r="AU51" i="57"/>
  <c r="AT51" i="57"/>
  <c r="AS51" i="57"/>
  <c r="AR51" i="57"/>
  <c r="AQ51" i="57"/>
  <c r="AP51" i="57"/>
  <c r="AO51" i="57"/>
  <c r="AN51" i="57"/>
  <c r="AM51" i="57"/>
  <c r="AL51" i="57"/>
  <c r="AK51" i="57"/>
  <c r="AJ51" i="57"/>
  <c r="AI51" i="57"/>
  <c r="AH51" i="57"/>
  <c r="AG51" i="57"/>
  <c r="AF51" i="57"/>
  <c r="AE51" i="57"/>
  <c r="AD51" i="57"/>
  <c r="AC51" i="57"/>
  <c r="AB51" i="57"/>
  <c r="AA51" i="57"/>
  <c r="Z51" i="57"/>
  <c r="Y51" i="57"/>
  <c r="X51" i="57"/>
  <c r="W51" i="57"/>
  <c r="V51" i="57"/>
  <c r="U51" i="57"/>
  <c r="T51" i="57"/>
  <c r="S51" i="57"/>
  <c r="R51" i="57"/>
  <c r="Q51" i="57"/>
  <c r="P51" i="57"/>
  <c r="BM50" i="57"/>
  <c r="BL50" i="57"/>
  <c r="BK50" i="57"/>
  <c r="BJ50" i="57"/>
  <c r="BI50" i="57"/>
  <c r="BH50" i="57"/>
  <c r="BG50" i="57"/>
  <c r="BF50" i="57"/>
  <c r="BE50" i="57"/>
  <c r="BD50" i="57"/>
  <c r="BC50" i="57"/>
  <c r="BB50" i="57"/>
  <c r="BA50" i="57"/>
  <c r="AZ50" i="57"/>
  <c r="AY50" i="57"/>
  <c r="AX50" i="57"/>
  <c r="AW50" i="57"/>
  <c r="AV50" i="57"/>
  <c r="AU50" i="57"/>
  <c r="AT50" i="57"/>
  <c r="AS50" i="57"/>
  <c r="AR50" i="57"/>
  <c r="AQ50" i="57"/>
  <c r="AP50" i="57"/>
  <c r="AO50" i="57"/>
  <c r="AN50" i="57"/>
  <c r="AM50" i="57"/>
  <c r="AL50" i="57"/>
  <c r="AK50" i="57"/>
  <c r="AJ50" i="57"/>
  <c r="AI50" i="57"/>
  <c r="AH50" i="57"/>
  <c r="AG50" i="57"/>
  <c r="AF50" i="57"/>
  <c r="AE50" i="57"/>
  <c r="AD50" i="57"/>
  <c r="AC50" i="57"/>
  <c r="AB50" i="57"/>
  <c r="AA50" i="57"/>
  <c r="Z50" i="57"/>
  <c r="Y50" i="57"/>
  <c r="X50" i="57"/>
  <c r="W50" i="57"/>
  <c r="V50" i="57"/>
  <c r="U50" i="57"/>
  <c r="T50" i="57"/>
  <c r="S50" i="57"/>
  <c r="R50" i="57"/>
  <c r="Q50" i="57"/>
  <c r="P50" i="57"/>
  <c r="BM49" i="57"/>
  <c r="BL49" i="57"/>
  <c r="BK49" i="57"/>
  <c r="BJ49" i="57"/>
  <c r="BI49" i="57"/>
  <c r="BH49" i="57"/>
  <c r="BG49" i="57"/>
  <c r="BF49" i="57"/>
  <c r="BE49" i="57"/>
  <c r="BD49" i="57"/>
  <c r="BC49" i="57"/>
  <c r="BB49" i="57"/>
  <c r="BA49" i="57"/>
  <c r="AZ49" i="57"/>
  <c r="AY49" i="57"/>
  <c r="AX49" i="57"/>
  <c r="AW49" i="57"/>
  <c r="AV49" i="57"/>
  <c r="AU49" i="57"/>
  <c r="AT49" i="57"/>
  <c r="AS49" i="57"/>
  <c r="AR49" i="57"/>
  <c r="AQ49" i="57"/>
  <c r="AP49" i="57"/>
  <c r="AO49" i="57"/>
  <c r="AN49" i="57"/>
  <c r="AM49" i="57"/>
  <c r="AL49" i="57"/>
  <c r="AK49" i="57"/>
  <c r="AJ49" i="57"/>
  <c r="AI49" i="57"/>
  <c r="AH49" i="57"/>
  <c r="AG49" i="57"/>
  <c r="AF49" i="57"/>
  <c r="AE49" i="57"/>
  <c r="AD49" i="57"/>
  <c r="AC49" i="57"/>
  <c r="AB49" i="57"/>
  <c r="AA49" i="57"/>
  <c r="Z49" i="57"/>
  <c r="Y49" i="57"/>
  <c r="X49" i="57"/>
  <c r="W49" i="57"/>
  <c r="V49" i="57"/>
  <c r="U49" i="57"/>
  <c r="T49" i="57"/>
  <c r="S49" i="57"/>
  <c r="R49" i="57"/>
  <c r="Q49" i="57"/>
  <c r="P49" i="57"/>
  <c r="BM48" i="57"/>
  <c r="BL48" i="57"/>
  <c r="BK48" i="57"/>
  <c r="BJ48" i="57"/>
  <c r="BI48" i="57"/>
  <c r="BH48" i="57"/>
  <c r="BG48" i="57"/>
  <c r="BF48" i="57"/>
  <c r="BE48" i="57"/>
  <c r="BD48" i="57"/>
  <c r="BC48" i="57"/>
  <c r="BB48" i="57"/>
  <c r="BA48" i="57"/>
  <c r="AZ48" i="57"/>
  <c r="AY48" i="57"/>
  <c r="AX48" i="57"/>
  <c r="AW48" i="57"/>
  <c r="AV48" i="57"/>
  <c r="AU48" i="57"/>
  <c r="AT48" i="57"/>
  <c r="AS48" i="57"/>
  <c r="AR48" i="57"/>
  <c r="AQ48" i="57"/>
  <c r="AP48" i="57"/>
  <c r="AO48" i="57"/>
  <c r="AN48" i="57"/>
  <c r="AM48" i="57"/>
  <c r="AL48" i="57"/>
  <c r="AK48" i="57"/>
  <c r="AJ48" i="57"/>
  <c r="AI48" i="57"/>
  <c r="AH48" i="57"/>
  <c r="AG48" i="57"/>
  <c r="AF48" i="57"/>
  <c r="AE48" i="57"/>
  <c r="AD48" i="57"/>
  <c r="AC48" i="57"/>
  <c r="AB48" i="57"/>
  <c r="AA48" i="57"/>
  <c r="Z48" i="57"/>
  <c r="Y48" i="57"/>
  <c r="X48" i="57"/>
  <c r="W48" i="57"/>
  <c r="V48" i="57"/>
  <c r="U48" i="57"/>
  <c r="T48" i="57"/>
  <c r="S48" i="57"/>
  <c r="R48" i="57"/>
  <c r="Q48" i="57"/>
  <c r="P48" i="57"/>
  <c r="BM47" i="57"/>
  <c r="BL47" i="57"/>
  <c r="BK47" i="57"/>
  <c r="BJ47" i="57"/>
  <c r="BI47" i="57"/>
  <c r="BH47" i="57"/>
  <c r="BG47" i="57"/>
  <c r="BF47" i="57"/>
  <c r="BE47" i="57"/>
  <c r="BD47" i="57"/>
  <c r="BC47" i="57"/>
  <c r="BB47" i="57"/>
  <c r="BA47" i="57"/>
  <c r="AZ47" i="57"/>
  <c r="AY47" i="57"/>
  <c r="AX47" i="57"/>
  <c r="AW47" i="57"/>
  <c r="AV47" i="57"/>
  <c r="AU47" i="57"/>
  <c r="AT47" i="57"/>
  <c r="AS47" i="57"/>
  <c r="AR47" i="57"/>
  <c r="AQ47" i="57"/>
  <c r="AP47" i="57"/>
  <c r="AO47" i="57"/>
  <c r="AN47" i="57"/>
  <c r="AM47" i="57"/>
  <c r="AL47" i="57"/>
  <c r="AK47" i="57"/>
  <c r="AJ47" i="57"/>
  <c r="AI47" i="57"/>
  <c r="AH47" i="57"/>
  <c r="AG47" i="57"/>
  <c r="AF47" i="57"/>
  <c r="AE47" i="57"/>
  <c r="AD47" i="57"/>
  <c r="AC47" i="57"/>
  <c r="AB47" i="57"/>
  <c r="AA47" i="57"/>
  <c r="Z47" i="57"/>
  <c r="Y47" i="57"/>
  <c r="X47" i="57"/>
  <c r="W47" i="57"/>
  <c r="V47" i="57"/>
  <c r="U47" i="57"/>
  <c r="T47" i="57"/>
  <c r="S47" i="57"/>
  <c r="R47" i="57"/>
  <c r="Q47" i="57"/>
  <c r="P47" i="57"/>
  <c r="BM46" i="57"/>
  <c r="BL46" i="57"/>
  <c r="BK46" i="57"/>
  <c r="BJ46" i="57"/>
  <c r="BI46" i="57"/>
  <c r="BH46" i="57"/>
  <c r="BG46" i="57"/>
  <c r="BF46" i="57"/>
  <c r="BE46" i="57"/>
  <c r="BD46" i="57"/>
  <c r="BC46" i="57"/>
  <c r="BB46" i="57"/>
  <c r="BA46" i="57"/>
  <c r="AZ46" i="57"/>
  <c r="AY46" i="57"/>
  <c r="AX46" i="57"/>
  <c r="AW46" i="57"/>
  <c r="AV46" i="57"/>
  <c r="AU46" i="57"/>
  <c r="AT46" i="57"/>
  <c r="AS46" i="57"/>
  <c r="AR46" i="57"/>
  <c r="AQ46" i="57"/>
  <c r="AP46" i="57"/>
  <c r="AO46" i="57"/>
  <c r="AN46" i="57"/>
  <c r="AM46" i="57"/>
  <c r="AL46" i="57"/>
  <c r="AK46" i="57"/>
  <c r="AJ46" i="57"/>
  <c r="AI46" i="57"/>
  <c r="AH46" i="57"/>
  <c r="AG46" i="57"/>
  <c r="AF46" i="57"/>
  <c r="AE46" i="57"/>
  <c r="AD46" i="57"/>
  <c r="AC46" i="57"/>
  <c r="AB46" i="57"/>
  <c r="AA46" i="57"/>
  <c r="Z46" i="57"/>
  <c r="Y46" i="57"/>
  <c r="X46" i="57"/>
  <c r="W46" i="57"/>
  <c r="V46" i="57"/>
  <c r="U46" i="57"/>
  <c r="T46" i="57"/>
  <c r="S46" i="57"/>
  <c r="R46" i="57"/>
  <c r="Q46" i="57"/>
  <c r="P46" i="57"/>
  <c r="BM45" i="57"/>
  <c r="BL45" i="57"/>
  <c r="BK45" i="57"/>
  <c r="BJ45" i="57"/>
  <c r="BI45" i="57"/>
  <c r="BH45" i="57"/>
  <c r="BG45" i="57"/>
  <c r="BF45" i="57"/>
  <c r="BE45" i="57"/>
  <c r="BD45" i="57"/>
  <c r="BC45" i="57"/>
  <c r="BB45" i="57"/>
  <c r="BA45" i="57"/>
  <c r="AZ45" i="57"/>
  <c r="AY45" i="57"/>
  <c r="AX45" i="57"/>
  <c r="AW45" i="57"/>
  <c r="AV45" i="57"/>
  <c r="AU45" i="57"/>
  <c r="AT45" i="57"/>
  <c r="AS45" i="57"/>
  <c r="AR45" i="57"/>
  <c r="AQ45" i="57"/>
  <c r="AP45" i="57"/>
  <c r="AO45" i="57"/>
  <c r="AN45" i="57"/>
  <c r="AM45" i="57"/>
  <c r="AL45" i="57"/>
  <c r="AK45" i="57"/>
  <c r="AJ45" i="57"/>
  <c r="AI45" i="57"/>
  <c r="AH45" i="57"/>
  <c r="AG45" i="57"/>
  <c r="AF45" i="57"/>
  <c r="AE45" i="57"/>
  <c r="AD45" i="57"/>
  <c r="AC45" i="57"/>
  <c r="AB45" i="57"/>
  <c r="AA45" i="57"/>
  <c r="Z45" i="57"/>
  <c r="Y45" i="57"/>
  <c r="X45" i="57"/>
  <c r="W45" i="57"/>
  <c r="V45" i="57"/>
  <c r="U45" i="57"/>
  <c r="T45" i="57"/>
  <c r="S45" i="57"/>
  <c r="R45" i="57"/>
  <c r="Q45" i="57"/>
  <c r="P45" i="57"/>
  <c r="BM44" i="57"/>
  <c r="BL44" i="57"/>
  <c r="BK44" i="57"/>
  <c r="BJ44" i="57"/>
  <c r="BI44" i="57"/>
  <c r="BH44" i="57"/>
  <c r="BG44" i="57"/>
  <c r="BF44" i="57"/>
  <c r="BE44" i="57"/>
  <c r="BD44" i="57"/>
  <c r="BC44" i="57"/>
  <c r="BB44" i="57"/>
  <c r="BA44" i="57"/>
  <c r="AZ44" i="57"/>
  <c r="AY44" i="57"/>
  <c r="AX44" i="57"/>
  <c r="AW44" i="57"/>
  <c r="AV44" i="57"/>
  <c r="AU44" i="57"/>
  <c r="AT44" i="57"/>
  <c r="AS44" i="57"/>
  <c r="AR44" i="57"/>
  <c r="AQ44" i="57"/>
  <c r="AP44" i="57"/>
  <c r="AO44" i="57"/>
  <c r="AN44" i="57"/>
  <c r="AM44" i="57"/>
  <c r="AL44" i="57"/>
  <c r="AK44" i="57"/>
  <c r="AJ44" i="57"/>
  <c r="AI44" i="57"/>
  <c r="AH44" i="57"/>
  <c r="AG44" i="57"/>
  <c r="AF44" i="57"/>
  <c r="AE44" i="57"/>
  <c r="AD44" i="57"/>
  <c r="AC44" i="57"/>
  <c r="AB44" i="57"/>
  <c r="AA44" i="57"/>
  <c r="Z44" i="57"/>
  <c r="Y44" i="57"/>
  <c r="X44" i="57"/>
  <c r="W44" i="57"/>
  <c r="V44" i="57"/>
  <c r="U44" i="57"/>
  <c r="T44" i="57"/>
  <c r="S44" i="57"/>
  <c r="R44" i="57"/>
  <c r="Q44" i="57"/>
  <c r="P44" i="57"/>
  <c r="BM43" i="57"/>
  <c r="BL43" i="57"/>
  <c r="BK43" i="57"/>
  <c r="BJ43" i="57"/>
  <c r="BI43" i="57"/>
  <c r="BH43" i="57"/>
  <c r="BG43" i="57"/>
  <c r="BF43" i="57"/>
  <c r="BE43" i="57"/>
  <c r="BD43" i="57"/>
  <c r="BC43" i="57"/>
  <c r="BB43" i="57"/>
  <c r="BA43" i="57"/>
  <c r="AZ43" i="57"/>
  <c r="AY43" i="57"/>
  <c r="AX43" i="57"/>
  <c r="AW43" i="57"/>
  <c r="AV43" i="57"/>
  <c r="AU43" i="57"/>
  <c r="AT43" i="57"/>
  <c r="AS43" i="57"/>
  <c r="AR43" i="57"/>
  <c r="AQ43" i="57"/>
  <c r="AP43" i="57"/>
  <c r="AO43" i="57"/>
  <c r="AN43" i="57"/>
  <c r="AM43" i="57"/>
  <c r="AL43" i="57"/>
  <c r="AK43" i="57"/>
  <c r="AJ43" i="57"/>
  <c r="AI43" i="57"/>
  <c r="AH43" i="57"/>
  <c r="AG43" i="57"/>
  <c r="AF43" i="57"/>
  <c r="AE43" i="57"/>
  <c r="AD43" i="57"/>
  <c r="AC43" i="57"/>
  <c r="AB43" i="57"/>
  <c r="AA43" i="57"/>
  <c r="Z43" i="57"/>
  <c r="Y43" i="57"/>
  <c r="X43" i="57"/>
  <c r="W43" i="57"/>
  <c r="V43" i="57"/>
  <c r="U43" i="57"/>
  <c r="T43" i="57"/>
  <c r="S43" i="57"/>
  <c r="R43" i="57"/>
  <c r="Q43" i="57"/>
  <c r="P43" i="57"/>
  <c r="BM42" i="57"/>
  <c r="BL42" i="57"/>
  <c r="BK42" i="57"/>
  <c r="BJ42" i="57"/>
  <c r="BI42" i="57"/>
  <c r="BH42" i="57"/>
  <c r="BG42" i="57"/>
  <c r="BF42" i="57"/>
  <c r="BE42" i="57"/>
  <c r="BD42" i="57"/>
  <c r="BC42" i="57"/>
  <c r="BB42" i="57"/>
  <c r="BA42" i="57"/>
  <c r="AZ42" i="57"/>
  <c r="AY42" i="57"/>
  <c r="AX42" i="57"/>
  <c r="AW42" i="57"/>
  <c r="AV42" i="57"/>
  <c r="AU42" i="57"/>
  <c r="AT42" i="57"/>
  <c r="AS42" i="57"/>
  <c r="AR42" i="57"/>
  <c r="AQ42" i="57"/>
  <c r="AP42" i="57"/>
  <c r="AO42" i="57"/>
  <c r="AN42" i="57"/>
  <c r="AM42" i="57"/>
  <c r="AL42" i="57"/>
  <c r="AK42" i="57"/>
  <c r="AJ42" i="57"/>
  <c r="AI42" i="57"/>
  <c r="AH42" i="57"/>
  <c r="AG42" i="57"/>
  <c r="AF42" i="57"/>
  <c r="AE42" i="57"/>
  <c r="AD42" i="57"/>
  <c r="AC42" i="57"/>
  <c r="AB42" i="57"/>
  <c r="AA42" i="57"/>
  <c r="Z42" i="57"/>
  <c r="Y42" i="57"/>
  <c r="X42" i="57"/>
  <c r="W42" i="57"/>
  <c r="V42" i="57"/>
  <c r="U42" i="57"/>
  <c r="T42" i="57"/>
  <c r="S42" i="57"/>
  <c r="R42" i="57"/>
  <c r="Q42" i="57"/>
  <c r="P42" i="57"/>
  <c r="BM41" i="57"/>
  <c r="BL41" i="57"/>
  <c r="BK41" i="57"/>
  <c r="BJ41" i="57"/>
  <c r="BI41" i="57"/>
  <c r="BH41" i="57"/>
  <c r="BG41" i="57"/>
  <c r="BF41" i="57"/>
  <c r="BE41" i="57"/>
  <c r="BD41" i="57"/>
  <c r="BC41" i="57"/>
  <c r="BB41" i="57"/>
  <c r="BA41" i="57"/>
  <c r="AZ41" i="57"/>
  <c r="AY41" i="57"/>
  <c r="AX41" i="57"/>
  <c r="AW41" i="57"/>
  <c r="AV41" i="57"/>
  <c r="AU41" i="57"/>
  <c r="AT41" i="57"/>
  <c r="AS41" i="57"/>
  <c r="AR41" i="57"/>
  <c r="AQ41" i="57"/>
  <c r="AP41" i="57"/>
  <c r="AO41" i="57"/>
  <c r="AN41" i="57"/>
  <c r="AM41" i="57"/>
  <c r="AL41" i="57"/>
  <c r="AK41" i="57"/>
  <c r="AJ41" i="57"/>
  <c r="AI41" i="57"/>
  <c r="AH41" i="57"/>
  <c r="AG41" i="57"/>
  <c r="AF41" i="57"/>
  <c r="AE41" i="57"/>
  <c r="AD41" i="57"/>
  <c r="AC41" i="57"/>
  <c r="AB41" i="57"/>
  <c r="AA41" i="57"/>
  <c r="Z41" i="57"/>
  <c r="Y41" i="57"/>
  <c r="X41" i="57"/>
  <c r="W41" i="57"/>
  <c r="V41" i="57"/>
  <c r="U41" i="57"/>
  <c r="T41" i="57"/>
  <c r="S41" i="57"/>
  <c r="R41" i="57"/>
  <c r="Q41" i="57"/>
  <c r="P41" i="57"/>
  <c r="BM40" i="57"/>
  <c r="BL40" i="57"/>
  <c r="BK40" i="57"/>
  <c r="BJ40" i="57"/>
  <c r="BI40" i="57"/>
  <c r="BH40" i="57"/>
  <c r="BG40" i="57"/>
  <c r="BF40" i="57"/>
  <c r="BE40" i="57"/>
  <c r="BD40" i="57"/>
  <c r="BC40" i="57"/>
  <c r="BB40" i="57"/>
  <c r="BA40" i="57"/>
  <c r="AZ40" i="57"/>
  <c r="AY40" i="57"/>
  <c r="AX40" i="57"/>
  <c r="AW40" i="57"/>
  <c r="AV40" i="57"/>
  <c r="AU40" i="57"/>
  <c r="AT40" i="57"/>
  <c r="AS40" i="57"/>
  <c r="AR40" i="57"/>
  <c r="AQ40" i="57"/>
  <c r="AP40" i="57"/>
  <c r="AO40" i="57"/>
  <c r="AN40" i="57"/>
  <c r="AM40" i="57"/>
  <c r="AL40" i="57"/>
  <c r="AK40" i="57"/>
  <c r="AJ40" i="57"/>
  <c r="AI40" i="57"/>
  <c r="AH40" i="57"/>
  <c r="AG40" i="57"/>
  <c r="AF40" i="57"/>
  <c r="AE40" i="57"/>
  <c r="AD40" i="57"/>
  <c r="AC40" i="57"/>
  <c r="AB40" i="57"/>
  <c r="AA40" i="57"/>
  <c r="Z40" i="57"/>
  <c r="Y40" i="57"/>
  <c r="X40" i="57"/>
  <c r="W40" i="57"/>
  <c r="V40" i="57"/>
  <c r="U40" i="57"/>
  <c r="T40" i="57"/>
  <c r="S40" i="57"/>
  <c r="R40" i="57"/>
  <c r="Q40" i="57"/>
  <c r="P40" i="57"/>
  <c r="BM39" i="57"/>
  <c r="BL39" i="57"/>
  <c r="BK39" i="57"/>
  <c r="BJ39" i="57"/>
  <c r="BI39" i="57"/>
  <c r="BH39" i="57"/>
  <c r="BG39" i="57"/>
  <c r="BF39" i="57"/>
  <c r="BE39" i="57"/>
  <c r="BD39" i="57"/>
  <c r="BC39" i="57"/>
  <c r="BB39" i="57"/>
  <c r="BA39" i="57"/>
  <c r="AZ39" i="57"/>
  <c r="AY39" i="57"/>
  <c r="AX39" i="57"/>
  <c r="AW39" i="57"/>
  <c r="AV39" i="57"/>
  <c r="AU39" i="57"/>
  <c r="AT39" i="57"/>
  <c r="AS39" i="57"/>
  <c r="AR39" i="57"/>
  <c r="AQ39" i="57"/>
  <c r="AP39" i="57"/>
  <c r="AO39" i="57"/>
  <c r="AN39" i="57"/>
  <c r="AM39" i="57"/>
  <c r="AL39" i="57"/>
  <c r="AK39" i="57"/>
  <c r="AJ39" i="57"/>
  <c r="AI39" i="57"/>
  <c r="AH39" i="57"/>
  <c r="AG39" i="57"/>
  <c r="AF39" i="57"/>
  <c r="AE39" i="57"/>
  <c r="AD39" i="57"/>
  <c r="AC39" i="57"/>
  <c r="AB39" i="57"/>
  <c r="AA39" i="57"/>
  <c r="Z39" i="57"/>
  <c r="Y39" i="57"/>
  <c r="X39" i="57"/>
  <c r="W39" i="57"/>
  <c r="V39" i="57"/>
  <c r="U39" i="57"/>
  <c r="T39" i="57"/>
  <c r="S39" i="57"/>
  <c r="R39" i="57"/>
  <c r="Q39" i="57"/>
  <c r="P39" i="57"/>
  <c r="BM38" i="57"/>
  <c r="BL38" i="57"/>
  <c r="BK38" i="57"/>
  <c r="BJ38" i="57"/>
  <c r="BI38" i="57"/>
  <c r="BH38" i="57"/>
  <c r="BG38" i="57"/>
  <c r="BF38" i="57"/>
  <c r="BE38" i="57"/>
  <c r="BD38" i="57"/>
  <c r="BC38" i="57"/>
  <c r="BB38" i="57"/>
  <c r="BA38" i="57"/>
  <c r="AZ38" i="57"/>
  <c r="AY38" i="57"/>
  <c r="AX38" i="57"/>
  <c r="AW38" i="57"/>
  <c r="AV38" i="57"/>
  <c r="AU38" i="57"/>
  <c r="AT38" i="57"/>
  <c r="AS38" i="57"/>
  <c r="AR38" i="57"/>
  <c r="AQ38" i="57"/>
  <c r="AP38" i="57"/>
  <c r="AO38" i="57"/>
  <c r="AN38" i="57"/>
  <c r="AM38" i="57"/>
  <c r="AL38" i="57"/>
  <c r="AK38" i="57"/>
  <c r="AJ38" i="57"/>
  <c r="AI38" i="57"/>
  <c r="AH38" i="57"/>
  <c r="AG38" i="57"/>
  <c r="AF38" i="57"/>
  <c r="AE38" i="57"/>
  <c r="AD38" i="57"/>
  <c r="AC38" i="57"/>
  <c r="AB38" i="57"/>
  <c r="AA38" i="57"/>
  <c r="Z38" i="57"/>
  <c r="Y38" i="57"/>
  <c r="X38" i="57"/>
  <c r="W38" i="57"/>
  <c r="V38" i="57"/>
  <c r="U38" i="57"/>
  <c r="T38" i="57"/>
  <c r="S38" i="57"/>
  <c r="R38" i="57"/>
  <c r="Q38" i="57"/>
  <c r="P38" i="57"/>
  <c r="BM37" i="57"/>
  <c r="BL37" i="57"/>
  <c r="BK37" i="57"/>
  <c r="BJ37" i="57"/>
  <c r="BI37" i="57"/>
  <c r="BH37" i="57"/>
  <c r="BG37" i="57"/>
  <c r="BF37" i="57"/>
  <c r="BE37" i="57"/>
  <c r="BD37" i="57"/>
  <c r="BC37" i="57"/>
  <c r="BB37" i="57"/>
  <c r="BA37" i="57"/>
  <c r="AZ37" i="57"/>
  <c r="AY37" i="57"/>
  <c r="AX37" i="57"/>
  <c r="AW37" i="57"/>
  <c r="AV37" i="57"/>
  <c r="AU37" i="57"/>
  <c r="AT37" i="57"/>
  <c r="AS37" i="57"/>
  <c r="AR37" i="57"/>
  <c r="AQ37" i="57"/>
  <c r="AP37" i="57"/>
  <c r="AO37" i="57"/>
  <c r="AN37" i="57"/>
  <c r="AM37" i="57"/>
  <c r="AL37" i="57"/>
  <c r="AK37" i="57"/>
  <c r="AJ37" i="57"/>
  <c r="AI37" i="57"/>
  <c r="AH37" i="57"/>
  <c r="AG37" i="57"/>
  <c r="AF37" i="57"/>
  <c r="AE37" i="57"/>
  <c r="AD37" i="57"/>
  <c r="AC37" i="57"/>
  <c r="AB37" i="57"/>
  <c r="AA37" i="57"/>
  <c r="Z37" i="57"/>
  <c r="Y37" i="57"/>
  <c r="X37" i="57"/>
  <c r="W37" i="57"/>
  <c r="V37" i="57"/>
  <c r="U37" i="57"/>
  <c r="T37" i="57"/>
  <c r="S37" i="57"/>
  <c r="R37" i="57"/>
  <c r="Q37" i="57"/>
  <c r="P37" i="57"/>
  <c r="BM36" i="57"/>
  <c r="BL36" i="57"/>
  <c r="BK36" i="57"/>
  <c r="BJ36" i="57"/>
  <c r="BI36" i="57"/>
  <c r="BH36" i="57"/>
  <c r="BG36" i="57"/>
  <c r="BF36" i="57"/>
  <c r="BE36" i="57"/>
  <c r="BD36" i="57"/>
  <c r="BC36" i="57"/>
  <c r="BB36" i="57"/>
  <c r="BA36" i="57"/>
  <c r="AZ36" i="57"/>
  <c r="AY36" i="57"/>
  <c r="AX36" i="57"/>
  <c r="AW36" i="57"/>
  <c r="AV36" i="57"/>
  <c r="AU36" i="57"/>
  <c r="AT36" i="57"/>
  <c r="AS36" i="57"/>
  <c r="AR36" i="57"/>
  <c r="AQ36" i="57"/>
  <c r="AP36" i="57"/>
  <c r="AO36" i="57"/>
  <c r="AN36" i="57"/>
  <c r="AM36" i="57"/>
  <c r="AL36" i="57"/>
  <c r="AK36" i="57"/>
  <c r="AJ36" i="57"/>
  <c r="AI36" i="57"/>
  <c r="AH36" i="57"/>
  <c r="AG36" i="57"/>
  <c r="AF36" i="57"/>
  <c r="AE36" i="57"/>
  <c r="AD36" i="57"/>
  <c r="AC36" i="57"/>
  <c r="AB36" i="57"/>
  <c r="AA36" i="57"/>
  <c r="Z36" i="57"/>
  <c r="Y36" i="57"/>
  <c r="X36" i="57"/>
  <c r="W36" i="57"/>
  <c r="V36" i="57"/>
  <c r="U36" i="57"/>
  <c r="T36" i="57"/>
  <c r="S36" i="57"/>
  <c r="R36" i="57"/>
  <c r="Q36" i="57"/>
  <c r="P36" i="57"/>
  <c r="BM35" i="57"/>
  <c r="BL35" i="57"/>
  <c r="BK35" i="57"/>
  <c r="BJ35" i="57"/>
  <c r="BI35" i="57"/>
  <c r="BH35" i="57"/>
  <c r="BG35" i="57"/>
  <c r="BF35" i="57"/>
  <c r="BE35" i="57"/>
  <c r="BD35" i="57"/>
  <c r="BC35" i="57"/>
  <c r="BB35" i="57"/>
  <c r="BA35" i="57"/>
  <c r="AZ35" i="57"/>
  <c r="AY35" i="57"/>
  <c r="AX35" i="57"/>
  <c r="AW35" i="57"/>
  <c r="AV35" i="57"/>
  <c r="AU35" i="57"/>
  <c r="AT35" i="57"/>
  <c r="AS35" i="57"/>
  <c r="AR35" i="57"/>
  <c r="AQ35" i="57"/>
  <c r="AP35" i="57"/>
  <c r="AO35" i="57"/>
  <c r="AN35" i="57"/>
  <c r="AM35" i="57"/>
  <c r="AL35" i="57"/>
  <c r="AK35" i="57"/>
  <c r="AJ35" i="57"/>
  <c r="AI35" i="57"/>
  <c r="AH35" i="57"/>
  <c r="AG35" i="57"/>
  <c r="AF35" i="57"/>
  <c r="AE35" i="57"/>
  <c r="AD35" i="57"/>
  <c r="AC35" i="57"/>
  <c r="AB35" i="57"/>
  <c r="AA35" i="57"/>
  <c r="Z35" i="57"/>
  <c r="Y35" i="57"/>
  <c r="X35" i="57"/>
  <c r="W35" i="57"/>
  <c r="V35" i="57"/>
  <c r="U35" i="57"/>
  <c r="T35" i="57"/>
  <c r="S35" i="57"/>
  <c r="R35" i="57"/>
  <c r="Q35" i="57"/>
  <c r="P35" i="57"/>
  <c r="BK9" i="50" l="1"/>
  <c r="BK8" i="50"/>
  <c r="BK7" i="50"/>
  <c r="BK10" i="50"/>
  <c r="BI7" i="50"/>
  <c r="BI6" i="50"/>
  <c r="BM10" i="50"/>
  <c r="BM13" i="50"/>
  <c r="BM12" i="50"/>
  <c r="BM11" i="50"/>
  <c r="BM14" i="50"/>
  <c r="BL9" i="50"/>
  <c r="BL12" i="50"/>
  <c r="BL10" i="50"/>
  <c r="BL8" i="50"/>
  <c r="BL11" i="50"/>
  <c r="BJ6" i="50"/>
  <c r="BJ8" i="50"/>
  <c r="BJ7" i="50"/>
  <c r="BJ9" i="50"/>
  <c r="AA5" i="50"/>
  <c r="AH5" i="50" l="1"/>
  <c r="AC5" i="50"/>
  <c r="AD5" i="50"/>
  <c r="AE5" i="50"/>
  <c r="AB5" i="50"/>
  <c r="AB6" i="50" l="1"/>
  <c r="AA6" i="50"/>
  <c r="AC6" i="50"/>
  <c r="AJ6" i="50" s="1"/>
  <c r="AD6" i="50"/>
  <c r="AE6" i="50"/>
  <c r="AE7" i="50" l="1"/>
  <c r="AD7" i="50"/>
  <c r="AH6" i="50"/>
  <c r="AA7" i="50"/>
  <c r="AC7" i="50"/>
  <c r="AB7" i="50"/>
  <c r="AE8" i="50" l="1"/>
  <c r="AH7" i="50"/>
  <c r="AA8" i="50"/>
  <c r="AC8" i="50"/>
  <c r="AB8" i="50"/>
  <c r="AD8" i="50"/>
  <c r="BR8" i="50"/>
  <c r="BR9" i="50"/>
  <c r="AH8" i="50" l="1"/>
  <c r="AB9" i="50"/>
  <c r="BR12" i="50"/>
  <c r="BP6" i="50"/>
  <c r="BR13" i="50"/>
  <c r="BQ12" i="50"/>
  <c r="BP11" i="50"/>
  <c r="BO10" i="50"/>
  <c r="BQ7" i="50"/>
  <c r="BR14" i="50"/>
  <c r="BQ13" i="50"/>
  <c r="BP12" i="50"/>
  <c r="BO11" i="50"/>
  <c r="BS9" i="50"/>
  <c r="BQ8" i="50"/>
  <c r="BP7" i="50"/>
  <c r="BO6" i="50"/>
  <c r="BQ14" i="50"/>
  <c r="BP13" i="50"/>
  <c r="BO12" i="50"/>
  <c r="BS10" i="50"/>
  <c r="BP8" i="50"/>
  <c r="BO7" i="50"/>
  <c r="V6" i="51"/>
  <c r="BS6" i="50"/>
  <c r="BS11" i="50"/>
  <c r="BR10" i="50"/>
  <c r="BO8" i="50"/>
  <c r="BP14" i="50"/>
  <c r="BO13" i="50"/>
  <c r="BQ9" i="50"/>
  <c r="U6" i="51"/>
  <c r="BR6" i="50"/>
  <c r="BO14" i="50"/>
  <c r="BS12" i="50"/>
  <c r="BR11" i="50"/>
  <c r="BQ10" i="50"/>
  <c r="BO9" i="50"/>
  <c r="BS7" i="50"/>
  <c r="T6" i="51"/>
  <c r="BQ6" i="50"/>
  <c r="BQ11" i="50"/>
  <c r="BP10" i="50"/>
  <c r="BS8" i="50"/>
  <c r="BR7" i="50"/>
  <c r="AA9" i="50"/>
  <c r="AC9" i="50"/>
  <c r="AD9" i="50"/>
  <c r="AE9" i="50"/>
  <c r="AH9" i="50" l="1"/>
  <c r="BS13" i="50"/>
  <c r="BT13" i="50" s="1"/>
  <c r="BY13" i="50" s="1"/>
  <c r="BS14" i="50"/>
  <c r="BT14" i="50" s="1"/>
  <c r="BY14" i="50" s="1"/>
  <c r="BT6" i="50"/>
  <c r="BY6" i="50" s="1"/>
  <c r="BT9" i="50"/>
  <c r="BY9" i="50" s="1"/>
  <c r="BT12" i="50"/>
  <c r="BY12" i="50" s="1"/>
  <c r="BT11" i="50"/>
  <c r="BY11" i="50" s="1"/>
  <c r="BT8" i="50"/>
  <c r="BY8" i="50" s="1"/>
  <c r="BT10" i="50"/>
  <c r="BY10" i="50" s="1"/>
  <c r="BT7" i="50"/>
  <c r="BY7" i="50" s="1"/>
  <c r="AA10" i="50"/>
  <c r="AC10" i="50"/>
  <c r="AB10" i="50"/>
  <c r="AD10" i="50"/>
  <c r="AE10" i="50"/>
  <c r="AD11" i="50" l="1"/>
  <c r="AH10" i="50"/>
  <c r="AA11" i="50"/>
  <c r="AE11" i="50"/>
  <c r="AB11" i="50"/>
  <c r="AC11" i="50"/>
  <c r="AC12" i="50" l="1"/>
  <c r="AB12" i="50"/>
  <c r="AH11" i="50"/>
  <c r="AA12" i="50"/>
  <c r="AE12" i="50"/>
  <c r="AD12" i="50"/>
  <c r="AH12" i="50" l="1"/>
  <c r="AB13" i="50"/>
  <c r="AA13" i="50"/>
  <c r="AH13" i="50" s="1"/>
  <c r="AC13" i="50"/>
  <c r="AD13" i="50"/>
  <c r="AE13" i="50"/>
  <c r="AC14" i="50" l="1"/>
  <c r="AA14" i="50"/>
  <c r="AH14" i="50" s="1"/>
  <c r="AB14" i="50"/>
  <c r="AD14" i="50"/>
  <c r="AE14" i="50"/>
  <c r="C11" i="56"/>
  <c r="C12" i="56"/>
  <c r="C8" i="56"/>
  <c r="C5" i="56"/>
  <c r="C13" i="56"/>
  <c r="C10" i="56"/>
  <c r="C9" i="56"/>
  <c r="C6" i="56"/>
  <c r="C7" i="56"/>
  <c r="S6" i="51"/>
  <c r="D57" i="51"/>
  <c r="E72" i="51"/>
  <c r="F72" i="51"/>
  <c r="G72" i="51"/>
  <c r="H72" i="51"/>
  <c r="D72" i="51"/>
  <c r="E57" i="51"/>
  <c r="F57" i="51"/>
  <c r="G57" i="51"/>
  <c r="H57" i="51"/>
  <c r="B6" i="54"/>
  <c r="B7" i="54"/>
  <c r="B8" i="54"/>
  <c r="B9" i="54"/>
  <c r="B10" i="54"/>
  <c r="B11" i="54"/>
  <c r="B12" i="54"/>
  <c r="B13" i="54"/>
  <c r="B5" i="54"/>
  <c r="AP6" i="50"/>
  <c r="J160" i="56"/>
  <c r="J88" i="56"/>
  <c r="J29" i="56"/>
  <c r="J9" i="56"/>
  <c r="J131" i="56"/>
  <c r="J112" i="56"/>
  <c r="J81" i="56"/>
  <c r="J121" i="56"/>
  <c r="J119" i="56"/>
  <c r="J38" i="56"/>
  <c r="J162" i="56"/>
  <c r="J144" i="56"/>
  <c r="J24" i="56"/>
  <c r="J51" i="56"/>
  <c r="J141" i="56"/>
  <c r="J135" i="56"/>
  <c r="J49" i="56"/>
  <c r="J40" i="56"/>
  <c r="J109" i="56"/>
  <c r="J52" i="56"/>
  <c r="J15" i="56"/>
  <c r="J101" i="56"/>
  <c r="J31" i="56"/>
  <c r="J12" i="56"/>
  <c r="J153" i="56"/>
  <c r="J155" i="56"/>
  <c r="J74" i="56"/>
  <c r="J18" i="56"/>
  <c r="J164" i="56"/>
  <c r="J53" i="56"/>
  <c r="J133" i="56"/>
  <c r="J72" i="56"/>
  <c r="J80" i="56"/>
  <c r="J152" i="56"/>
  <c r="J65" i="56"/>
  <c r="J35" i="56"/>
  <c r="J107" i="56"/>
  <c r="J61" i="56"/>
  <c r="J116" i="56"/>
  <c r="J102" i="56"/>
  <c r="J113" i="56"/>
  <c r="J10" i="56"/>
  <c r="J146" i="56"/>
  <c r="J45" i="56"/>
  <c r="J17" i="56"/>
  <c r="J140" i="56"/>
  <c r="J130" i="56"/>
  <c r="J139" i="56"/>
  <c r="J104" i="56"/>
  <c r="J114" i="56"/>
  <c r="J118" i="56"/>
  <c r="J11" i="56"/>
  <c r="J57" i="56"/>
  <c r="J132" i="56"/>
  <c r="J63" i="56"/>
  <c r="J154" i="56"/>
  <c r="J148" i="56"/>
  <c r="J158" i="56"/>
  <c r="J134" i="56"/>
  <c r="J142" i="56"/>
  <c r="J87" i="56"/>
  <c r="J76" i="56"/>
  <c r="J85" i="56"/>
  <c r="J64" i="56"/>
  <c r="J138" i="56"/>
  <c r="J110" i="56"/>
  <c r="J143" i="56"/>
  <c r="J120" i="56"/>
  <c r="J124" i="56"/>
  <c r="J149" i="56"/>
  <c r="J106" i="56"/>
  <c r="J156" i="56"/>
  <c r="J19" i="56"/>
  <c r="J68" i="56"/>
  <c r="J145" i="56"/>
  <c r="J75" i="56"/>
  <c r="J123" i="56"/>
  <c r="J44" i="56"/>
  <c r="J84" i="56"/>
  <c r="J108" i="56"/>
  <c r="J127" i="56"/>
  <c r="J129" i="56"/>
  <c r="J32" i="56"/>
  <c r="J26" i="56"/>
  <c r="J36" i="56"/>
  <c r="J151" i="56"/>
  <c r="J125" i="56"/>
  <c r="J111" i="56"/>
  <c r="J126" i="56"/>
  <c r="J163" i="56"/>
  <c r="J128" i="56"/>
  <c r="J115" i="56"/>
  <c r="J78" i="56"/>
  <c r="J71" i="56"/>
  <c r="J69" i="56"/>
  <c r="J91" i="56"/>
  <c r="J122" i="56"/>
  <c r="J150" i="56"/>
  <c r="J47" i="56"/>
  <c r="J33" i="56"/>
  <c r="J161" i="56"/>
  <c r="J157" i="56"/>
  <c r="J147" i="56"/>
  <c r="J48" i="56"/>
  <c r="J86" i="56"/>
  <c r="J117" i="56"/>
  <c r="J136" i="56"/>
  <c r="J159" i="56"/>
  <c r="J105" i="56"/>
  <c r="J77" i="56"/>
  <c r="J56" i="56"/>
  <c r="J5" i="56"/>
  <c r="J7" i="56"/>
  <c r="J34" i="56"/>
  <c r="J43" i="56"/>
  <c r="J94" i="56"/>
  <c r="J60" i="56"/>
  <c r="J137" i="56"/>
  <c r="AQ35" i="50" l="1"/>
  <c r="AQ93" i="50"/>
  <c r="AQ122" i="50"/>
  <c r="AQ64" i="50"/>
  <c r="AQ6" i="50"/>
  <c r="O19" i="51"/>
  <c r="O15" i="51"/>
  <c r="O17" i="51"/>
  <c r="O21" i="51"/>
  <c r="O16" i="51"/>
  <c r="O18" i="51"/>
  <c r="O20" i="51"/>
  <c r="O7" i="51"/>
  <c r="O12" i="51"/>
  <c r="O13" i="51"/>
  <c r="O14" i="51"/>
  <c r="O11" i="51"/>
  <c r="M18" i="51"/>
  <c r="M20" i="51"/>
  <c r="M21" i="51"/>
  <c r="M16" i="51"/>
  <c r="M15" i="51"/>
  <c r="M17" i="51"/>
  <c r="M19" i="51"/>
  <c r="M14" i="51"/>
  <c r="M10" i="51"/>
  <c r="M7" i="51"/>
  <c r="M13" i="51"/>
  <c r="M9" i="51"/>
  <c r="M8" i="51"/>
  <c r="M11" i="51"/>
  <c r="M12" i="51"/>
  <c r="N16" i="51"/>
  <c r="N17" i="51"/>
  <c r="N20" i="51"/>
  <c r="N19" i="51"/>
  <c r="N15" i="51"/>
  <c r="N18" i="51"/>
  <c r="N21" i="51"/>
  <c r="N10" i="51"/>
  <c r="N12" i="51"/>
  <c r="N14" i="51"/>
  <c r="N11" i="51"/>
  <c r="N13" i="51"/>
  <c r="P16" i="51"/>
  <c r="P15" i="51"/>
  <c r="P21" i="51"/>
  <c r="P17" i="51"/>
  <c r="P19" i="51"/>
  <c r="P18" i="51"/>
  <c r="P20" i="51"/>
  <c r="P13" i="51"/>
  <c r="P7" i="51"/>
  <c r="P14" i="51"/>
  <c r="P8" i="51"/>
  <c r="Q10" i="51"/>
  <c r="Q7" i="51"/>
  <c r="Q8" i="51"/>
  <c r="Q9" i="51"/>
  <c r="M150" i="51"/>
  <c r="M151" i="51"/>
  <c r="M108" i="51"/>
  <c r="M60" i="51"/>
  <c r="M107" i="51"/>
  <c r="M111" i="51"/>
  <c r="M152" i="51"/>
  <c r="M154" i="51"/>
  <c r="M155" i="51"/>
  <c r="M156" i="51"/>
  <c r="M106" i="51"/>
  <c r="M109" i="51"/>
  <c r="M195" i="51"/>
  <c r="M153" i="51"/>
  <c r="M110" i="51"/>
  <c r="M62" i="51"/>
  <c r="M61" i="51"/>
  <c r="M66" i="51"/>
  <c r="M105" i="51"/>
  <c r="M63" i="51"/>
  <c r="M65" i="51"/>
  <c r="M64" i="51"/>
  <c r="M198" i="51"/>
  <c r="M201" i="51"/>
  <c r="M196" i="51"/>
  <c r="M197" i="51"/>
  <c r="M199" i="51"/>
  <c r="M200" i="51"/>
  <c r="N109" i="51"/>
  <c r="N62" i="51"/>
  <c r="N150" i="51"/>
  <c r="N108" i="51"/>
  <c r="N61" i="51"/>
  <c r="N66" i="51"/>
  <c r="N199" i="51"/>
  <c r="N200" i="51"/>
  <c r="N201" i="51"/>
  <c r="N65" i="51"/>
  <c r="N196" i="51"/>
  <c r="N198" i="51"/>
  <c r="N107" i="51"/>
  <c r="N111" i="51"/>
  <c r="N64" i="51"/>
  <c r="N153" i="51"/>
  <c r="N197" i="51"/>
  <c r="N106" i="51"/>
  <c r="N63" i="51"/>
  <c r="N195" i="51"/>
  <c r="N105" i="51"/>
  <c r="N110" i="51"/>
  <c r="N155" i="51"/>
  <c r="N151" i="51"/>
  <c r="N156" i="51"/>
  <c r="N154" i="51"/>
  <c r="N60" i="51"/>
  <c r="N152" i="51"/>
  <c r="P154" i="51"/>
  <c r="P155" i="51"/>
  <c r="P156" i="51"/>
  <c r="P106" i="51"/>
  <c r="P111" i="51"/>
  <c r="P195" i="51"/>
  <c r="P153" i="51"/>
  <c r="P110" i="51"/>
  <c r="P152" i="51"/>
  <c r="P109" i="51"/>
  <c r="P64" i="51"/>
  <c r="P150" i="51"/>
  <c r="P151" i="51"/>
  <c r="P108" i="51"/>
  <c r="P198" i="51"/>
  <c r="P107" i="51"/>
  <c r="P60" i="51"/>
  <c r="P196" i="51"/>
  <c r="P62" i="51"/>
  <c r="P66" i="51"/>
  <c r="P105" i="51"/>
  <c r="P201" i="51"/>
  <c r="P63" i="51"/>
  <c r="P200" i="51"/>
  <c r="P61" i="51"/>
  <c r="P197" i="51"/>
  <c r="P65" i="51"/>
  <c r="P199" i="51"/>
  <c r="O195" i="51"/>
  <c r="O196" i="51"/>
  <c r="O153" i="51"/>
  <c r="O105" i="51"/>
  <c r="O152" i="51"/>
  <c r="O62" i="51"/>
  <c r="O151" i="51"/>
  <c r="O61" i="51"/>
  <c r="O66" i="51"/>
  <c r="O155" i="51"/>
  <c r="O106" i="51"/>
  <c r="O199" i="51"/>
  <c r="O200" i="51"/>
  <c r="O201" i="51"/>
  <c r="O60" i="51"/>
  <c r="O65" i="51"/>
  <c r="O156" i="51"/>
  <c r="O63" i="51"/>
  <c r="O198" i="51"/>
  <c r="O64" i="51"/>
  <c r="O197" i="51"/>
  <c r="O154" i="51"/>
  <c r="O108" i="51"/>
  <c r="O107" i="51"/>
  <c r="O150" i="51"/>
  <c r="O109" i="51"/>
  <c r="O110" i="51"/>
  <c r="O111" i="51"/>
  <c r="N191" i="51"/>
  <c r="N147" i="51"/>
  <c r="N56" i="51"/>
  <c r="N145" i="51"/>
  <c r="N103" i="51"/>
  <c r="N59" i="51"/>
  <c r="N190" i="51"/>
  <c r="N146" i="51"/>
  <c r="N57" i="51"/>
  <c r="N194" i="51"/>
  <c r="N193" i="51"/>
  <c r="N101" i="51"/>
  <c r="N148" i="51"/>
  <c r="N104" i="51"/>
  <c r="N58" i="51"/>
  <c r="N149" i="51"/>
  <c r="N102" i="51"/>
  <c r="N192" i="51"/>
  <c r="N100" i="51"/>
  <c r="N55" i="51"/>
  <c r="Q141" i="51"/>
  <c r="Q52" i="51"/>
  <c r="Q98" i="51"/>
  <c r="Q142" i="51"/>
  <c r="Q53" i="51"/>
  <c r="Q51" i="51"/>
  <c r="Q97" i="51"/>
  <c r="Q144" i="51"/>
  <c r="Q54" i="51"/>
  <c r="Q96" i="51"/>
  <c r="Q6" i="51"/>
  <c r="Q143" i="51"/>
  <c r="Q99" i="51"/>
  <c r="P59" i="51"/>
  <c r="P58" i="51"/>
  <c r="P193" i="51"/>
  <c r="P149" i="51"/>
  <c r="P51" i="51"/>
  <c r="P6" i="51"/>
  <c r="P52" i="51"/>
  <c r="P104" i="51"/>
  <c r="P148" i="51"/>
  <c r="P97" i="51"/>
  <c r="P194" i="51"/>
  <c r="P103" i="51"/>
  <c r="P96" i="51"/>
  <c r="M6" i="51"/>
  <c r="M146" i="51"/>
  <c r="M194" i="51"/>
  <c r="M99" i="51"/>
  <c r="M59" i="51"/>
  <c r="M191" i="51"/>
  <c r="M147" i="51"/>
  <c r="M53" i="51"/>
  <c r="M57" i="51"/>
  <c r="M143" i="51"/>
  <c r="M98" i="51"/>
  <c r="M190" i="51"/>
  <c r="M149" i="51"/>
  <c r="M145" i="51"/>
  <c r="M102" i="51"/>
  <c r="M54" i="51"/>
  <c r="M192" i="51"/>
  <c r="M193" i="51"/>
  <c r="M189" i="51"/>
  <c r="M58" i="51"/>
  <c r="M56" i="51"/>
  <c r="M103" i="51"/>
  <c r="M188" i="51"/>
  <c r="M144" i="51"/>
  <c r="M101" i="51"/>
  <c r="M55" i="51"/>
  <c r="M148" i="51"/>
  <c r="M104" i="51"/>
  <c r="M100" i="51"/>
  <c r="O103" i="51"/>
  <c r="O51" i="51"/>
  <c r="O147" i="51"/>
  <c r="O193" i="51"/>
  <c r="O149" i="51"/>
  <c r="O102" i="51"/>
  <c r="O59" i="51"/>
  <c r="O6" i="51"/>
  <c r="O57" i="51"/>
  <c r="O104" i="51"/>
  <c r="O192" i="51"/>
  <c r="O148" i="51"/>
  <c r="O194" i="51"/>
  <c r="O58" i="51"/>
  <c r="AE15" i="50"/>
  <c r="R6" i="51"/>
  <c r="W6" i="51" s="1"/>
  <c r="Q189" i="51"/>
  <c r="Q186" i="51"/>
  <c r="Q188" i="51"/>
  <c r="Q187" i="51"/>
  <c r="P187" i="51"/>
  <c r="P141" i="51"/>
  <c r="P186" i="51"/>
  <c r="P142" i="51"/>
  <c r="O141" i="51"/>
  <c r="O96" i="51"/>
  <c r="O186" i="51"/>
  <c r="Q103" i="51"/>
  <c r="N99" i="51"/>
  <c r="N144" i="51"/>
  <c r="N189" i="51"/>
  <c r="N54" i="51"/>
  <c r="N6" i="51"/>
  <c r="AA15" i="50"/>
  <c r="AD15" i="50"/>
  <c r="AB15" i="50"/>
  <c r="AC15" i="50"/>
  <c r="Q146" i="51"/>
  <c r="M142" i="51"/>
  <c r="M187" i="51"/>
  <c r="M186" i="51"/>
  <c r="M141" i="51"/>
  <c r="M96" i="51"/>
  <c r="M52" i="51"/>
  <c r="M97" i="51"/>
  <c r="M51" i="51"/>
  <c r="P143" i="51"/>
  <c r="N141" i="51"/>
  <c r="N188" i="51"/>
  <c r="N142" i="51"/>
  <c r="N53" i="51"/>
  <c r="N97" i="51"/>
  <c r="N52" i="51"/>
  <c r="N187" i="51"/>
  <c r="N143" i="51"/>
  <c r="N98" i="51"/>
  <c r="P100" i="51"/>
  <c r="P190" i="51"/>
  <c r="P145" i="51"/>
  <c r="P55" i="51"/>
  <c r="O191" i="51"/>
  <c r="O54" i="51"/>
  <c r="O189" i="51"/>
  <c r="O146" i="51"/>
  <c r="O56" i="51"/>
  <c r="O144" i="51"/>
  <c r="O190" i="51"/>
  <c r="O100" i="51"/>
  <c r="O55" i="51"/>
  <c r="O99" i="51"/>
  <c r="O101" i="51"/>
  <c r="O145" i="51"/>
  <c r="P56" i="51"/>
  <c r="P102" i="51"/>
  <c r="P147" i="51"/>
  <c r="P146" i="51"/>
  <c r="P191" i="51"/>
  <c r="P192" i="51"/>
  <c r="P101" i="51"/>
  <c r="P57" i="51"/>
  <c r="Q56" i="51"/>
  <c r="P53" i="51"/>
  <c r="O97" i="51"/>
  <c r="P188" i="51"/>
  <c r="Q191" i="51"/>
  <c r="Q59" i="51"/>
  <c r="Q55" i="51"/>
  <c r="O53" i="51"/>
  <c r="O98" i="51"/>
  <c r="Q100" i="51"/>
  <c r="Q104" i="51"/>
  <c r="P144" i="51"/>
  <c r="Q147" i="51"/>
  <c r="P189" i="51"/>
  <c r="Q192" i="51"/>
  <c r="Q58" i="51"/>
  <c r="O52" i="51"/>
  <c r="N96" i="51"/>
  <c r="P98" i="51"/>
  <c r="Q101" i="51"/>
  <c r="O142" i="51"/>
  <c r="Q148" i="51"/>
  <c r="N186" i="51"/>
  <c r="O187" i="51"/>
  <c r="Q193" i="51"/>
  <c r="N51" i="51"/>
  <c r="Q57" i="51"/>
  <c r="P54" i="51"/>
  <c r="P99" i="51"/>
  <c r="Q102" i="51"/>
  <c r="O143" i="51"/>
  <c r="Q145" i="51"/>
  <c r="Q149" i="51"/>
  <c r="O188" i="51"/>
  <c r="Q190" i="51"/>
  <c r="Q194" i="51"/>
  <c r="AP130" i="50"/>
  <c r="AP129" i="50"/>
  <c r="AP128" i="50"/>
  <c r="AP127" i="50"/>
  <c r="AP126" i="50"/>
  <c r="AP125" i="50"/>
  <c r="AP124" i="50"/>
  <c r="AP123" i="50"/>
  <c r="AP122" i="50"/>
  <c r="AP101" i="50"/>
  <c r="AP100" i="50"/>
  <c r="AP99" i="50"/>
  <c r="AP98" i="50"/>
  <c r="AP97" i="50"/>
  <c r="AP96" i="50"/>
  <c r="AP95" i="50"/>
  <c r="AP94" i="50"/>
  <c r="AP93" i="50"/>
  <c r="AP72" i="50"/>
  <c r="AP71" i="50"/>
  <c r="AP70" i="50"/>
  <c r="AP69" i="50"/>
  <c r="AP68" i="50"/>
  <c r="AP67" i="50"/>
  <c r="AP66" i="50"/>
  <c r="AP65" i="50"/>
  <c r="AP64" i="50"/>
  <c r="AP43" i="50"/>
  <c r="AP42" i="50"/>
  <c r="AP41" i="50"/>
  <c r="AP40" i="50"/>
  <c r="AP39" i="50"/>
  <c r="AP38" i="50"/>
  <c r="AP37" i="50"/>
  <c r="AP36" i="50"/>
  <c r="AP35" i="50"/>
  <c r="AP7" i="50"/>
  <c r="AP8" i="50"/>
  <c r="AP9" i="50"/>
  <c r="AP10" i="50"/>
  <c r="AP11" i="50"/>
  <c r="AP12" i="50"/>
  <c r="AP13" i="50"/>
  <c r="AP14" i="50"/>
  <c r="AJ12" i="50"/>
  <c r="AL8" i="50"/>
  <c r="AI6" i="50"/>
  <c r="AK6" i="50"/>
  <c r="AL6" i="50"/>
  <c r="AI7" i="50"/>
  <c r="AJ7" i="50"/>
  <c r="AK7" i="50"/>
  <c r="AL7" i="50"/>
  <c r="AI8" i="50"/>
  <c r="AJ8" i="50"/>
  <c r="AK8" i="50"/>
  <c r="AI9" i="50"/>
  <c r="AJ9" i="50"/>
  <c r="AK9" i="50"/>
  <c r="AL9" i="50"/>
  <c r="AI10" i="50"/>
  <c r="AJ10" i="50"/>
  <c r="AK10" i="50"/>
  <c r="AL10" i="50"/>
  <c r="AI11" i="50"/>
  <c r="AJ11" i="50"/>
  <c r="AK11" i="50"/>
  <c r="AL11" i="50"/>
  <c r="AI12" i="50"/>
  <c r="AK12" i="50"/>
  <c r="AL12" i="50"/>
  <c r="AI13" i="50"/>
  <c r="AJ13" i="50"/>
  <c r="AK13" i="50"/>
  <c r="AL13" i="50"/>
  <c r="AI14" i="50"/>
  <c r="AJ14" i="50"/>
  <c r="AK14" i="50"/>
  <c r="AL14" i="50"/>
  <c r="AL5" i="50"/>
  <c r="AK5" i="50"/>
  <c r="AJ5" i="50"/>
  <c r="AI5" i="50"/>
  <c r="J62" i="56"/>
  <c r="J82" i="56"/>
  <c r="J39" i="56"/>
  <c r="J54" i="56"/>
  <c r="J21" i="56"/>
  <c r="J16" i="56"/>
  <c r="J55" i="56"/>
  <c r="J50" i="56"/>
  <c r="J13" i="56"/>
  <c r="J89" i="56"/>
  <c r="J103" i="56"/>
  <c r="J6" i="56"/>
  <c r="J30" i="56"/>
  <c r="J83" i="56"/>
  <c r="J95" i="56"/>
  <c r="J25" i="56"/>
  <c r="J73" i="56"/>
  <c r="J93" i="56"/>
  <c r="J27" i="56"/>
  <c r="J99" i="56"/>
  <c r="J98" i="56"/>
  <c r="J96" i="56"/>
  <c r="J79" i="56"/>
  <c r="J100" i="56"/>
  <c r="J46" i="56"/>
  <c r="J58" i="56"/>
  <c r="J67" i="56"/>
  <c r="J8" i="56"/>
  <c r="J92" i="56"/>
  <c r="J37" i="56"/>
  <c r="J28" i="56"/>
  <c r="J14" i="56"/>
  <c r="J23" i="56"/>
  <c r="J42" i="56"/>
  <c r="J70" i="56"/>
  <c r="J20" i="56"/>
  <c r="J90" i="56"/>
  <c r="J59" i="56"/>
  <c r="J22" i="56"/>
  <c r="J41" i="56"/>
  <c r="J66" i="56"/>
  <c r="J97" i="56"/>
  <c r="AR64" i="50" l="1"/>
  <c r="AV64" i="50" s="1"/>
  <c r="AR35" i="50"/>
  <c r="AV35" i="50" s="1"/>
  <c r="AR93" i="50"/>
  <c r="AV93" i="50" s="1"/>
  <c r="AR122" i="50"/>
  <c r="AV122" i="50" s="1"/>
  <c r="AR6" i="50"/>
  <c r="Z20" i="51"/>
  <c r="Z19" i="51"/>
  <c r="Z17" i="51"/>
  <c r="Z18" i="51"/>
  <c r="Z16" i="51"/>
  <c r="Z14" i="51"/>
  <c r="Z21" i="51"/>
  <c r="Z15" i="51"/>
  <c r="AD6" i="51"/>
  <c r="AE6" i="51" s="1"/>
  <c r="Z6" i="51"/>
  <c r="AJ15" i="50"/>
  <c r="AI15" i="50"/>
  <c r="AL15" i="50"/>
  <c r="AK15" i="50"/>
  <c r="AH15" i="50"/>
  <c r="AB16" i="50"/>
  <c r="Z12" i="51"/>
  <c r="Z10" i="51"/>
  <c r="Z8" i="51"/>
  <c r="Z13" i="51"/>
  <c r="Z11" i="51"/>
  <c r="Z7" i="51"/>
  <c r="Z9" i="51"/>
  <c r="AA16" i="50"/>
  <c r="AH16" i="50" s="1"/>
  <c r="AC16" i="50"/>
  <c r="AD16" i="50"/>
  <c r="W9" i="50"/>
  <c r="BN6" i="50"/>
  <c r="BH6" i="50"/>
  <c r="BH14" i="50"/>
  <c r="BH10" i="50"/>
  <c r="BH13" i="50"/>
  <c r="BH8" i="50"/>
  <c r="BH9" i="50"/>
  <c r="BN12" i="50"/>
  <c r="BN11" i="50"/>
  <c r="BN7" i="50"/>
  <c r="BH12" i="50"/>
  <c r="BH11" i="50"/>
  <c r="BH7" i="50"/>
  <c r="BN14" i="50"/>
  <c r="BN13" i="50"/>
  <c r="BN10" i="50"/>
  <c r="BN8" i="50"/>
  <c r="U6" i="50"/>
  <c r="U7" i="50"/>
  <c r="U8" i="50"/>
  <c r="U9" i="50"/>
  <c r="U10" i="50"/>
  <c r="U11" i="50"/>
  <c r="U12" i="50"/>
  <c r="U13" i="50"/>
  <c r="U14" i="50"/>
  <c r="U15" i="50"/>
  <c r="X6" i="50"/>
  <c r="X7" i="50"/>
  <c r="X8" i="50"/>
  <c r="X9" i="50"/>
  <c r="X10" i="50"/>
  <c r="X11" i="50"/>
  <c r="X12" i="50"/>
  <c r="X13" i="50"/>
  <c r="X14" i="50"/>
  <c r="X15" i="50"/>
  <c r="T5" i="50"/>
  <c r="X5" i="50"/>
  <c r="W13" i="50"/>
  <c r="V6" i="50"/>
  <c r="V7" i="50"/>
  <c r="V8" i="50"/>
  <c r="V9" i="50"/>
  <c r="V10" i="50"/>
  <c r="V11" i="50"/>
  <c r="V12" i="50"/>
  <c r="V13" i="50"/>
  <c r="V14" i="50"/>
  <c r="V15" i="50"/>
  <c r="W5" i="50"/>
  <c r="W12" i="50"/>
  <c r="W8" i="50"/>
  <c r="U5" i="50"/>
  <c r="W15" i="50"/>
  <c r="W11" i="50"/>
  <c r="W7" i="50"/>
  <c r="T9" i="50"/>
  <c r="W14" i="50"/>
  <c r="W10" i="50"/>
  <c r="W6" i="50"/>
  <c r="BN9" i="50"/>
  <c r="V5" i="50"/>
  <c r="T13" i="50"/>
  <c r="T12" i="50"/>
  <c r="T6" i="50"/>
  <c r="T10" i="50"/>
  <c r="T14" i="50"/>
  <c r="T7" i="50"/>
  <c r="T11" i="50"/>
  <c r="T15" i="50"/>
  <c r="T16" i="50"/>
  <c r="T8" i="50"/>
  <c r="CA9" i="50" l="1"/>
  <c r="AL8" i="56"/>
  <c r="AS8" i="56" s="1"/>
  <c r="BZ8" i="50"/>
  <c r="S7" i="56"/>
  <c r="Z7" i="56" s="1"/>
  <c r="CA13" i="50"/>
  <c r="AL12" i="56"/>
  <c r="AS12" i="56" s="1"/>
  <c r="CA14" i="50"/>
  <c r="AL13" i="56"/>
  <c r="AS13" i="56" s="1"/>
  <c r="BZ7" i="50"/>
  <c r="S6" i="56"/>
  <c r="Z6" i="56" s="1"/>
  <c r="BZ13" i="50"/>
  <c r="S12" i="56"/>
  <c r="Z12" i="56" s="1"/>
  <c r="BZ11" i="50"/>
  <c r="S10" i="56"/>
  <c r="Z10" i="56" s="1"/>
  <c r="BZ10" i="50"/>
  <c r="S9" i="56"/>
  <c r="Z9" i="56" s="1"/>
  <c r="CA12" i="50"/>
  <c r="AL11" i="56"/>
  <c r="AS11" i="56" s="1"/>
  <c r="BZ9" i="50"/>
  <c r="S8" i="56"/>
  <c r="Z8" i="56" s="1"/>
  <c r="BZ12" i="50"/>
  <c r="S11" i="56"/>
  <c r="Z11" i="56" s="1"/>
  <c r="BZ14" i="50"/>
  <c r="S13" i="56"/>
  <c r="Z13" i="56" s="1"/>
  <c r="CA7" i="50"/>
  <c r="AL6" i="56"/>
  <c r="AS6" i="56" s="1"/>
  <c r="BZ6" i="50"/>
  <c r="S5" i="56"/>
  <c r="Z5" i="56" s="1"/>
  <c r="CA10" i="50"/>
  <c r="AL9" i="56"/>
  <c r="AS9" i="56" s="1"/>
  <c r="CA8" i="50"/>
  <c r="AL7" i="56"/>
  <c r="AS7" i="56" s="1"/>
  <c r="CA11" i="50"/>
  <c r="AL10" i="56"/>
  <c r="AS10" i="56" s="1"/>
  <c r="CA6" i="50"/>
  <c r="AL5" i="56"/>
  <c r="AS5" i="56" s="1"/>
  <c r="AW35" i="50"/>
  <c r="AW64" i="50"/>
  <c r="AW122" i="50"/>
  <c r="AW93" i="50"/>
  <c r="AW6" i="50"/>
  <c r="AX35" i="50"/>
  <c r="AX64" i="50"/>
  <c r="AX122" i="50"/>
  <c r="AX93" i="50"/>
  <c r="AX6" i="50"/>
  <c r="T17" i="50"/>
  <c r="AD7" i="51"/>
  <c r="AE7" i="51" s="1"/>
  <c r="V16" i="50"/>
  <c r="U16" i="50"/>
  <c r="AE16" i="50"/>
  <c r="X16" i="50"/>
  <c r="AK16" i="50"/>
  <c r="W16" i="50"/>
  <c r="AI16" i="50"/>
  <c r="AA17" i="50"/>
  <c r="AH17" i="50" s="1"/>
  <c r="AJ16" i="50"/>
  <c r="AV6" i="50"/>
  <c r="C5" i="54" s="1"/>
  <c r="AC138" i="56"/>
  <c r="AV124" i="56"/>
  <c r="AC110" i="56"/>
  <c r="AC126" i="56"/>
  <c r="AC147" i="56"/>
  <c r="AV131" i="56"/>
  <c r="AV156" i="56"/>
  <c r="AV128" i="56"/>
  <c r="AC134" i="56"/>
  <c r="AC152" i="56"/>
  <c r="AC129" i="56"/>
  <c r="AV122" i="56"/>
  <c r="AC151" i="56"/>
  <c r="AV143" i="56"/>
  <c r="AC164" i="56"/>
  <c r="AC124" i="56"/>
  <c r="AC108" i="56"/>
  <c r="AV116" i="56"/>
  <c r="N6" i="54"/>
  <c r="AV132" i="56"/>
  <c r="AC146" i="56"/>
  <c r="AC123" i="56"/>
  <c r="AV158" i="56"/>
  <c r="AC158" i="56"/>
  <c r="AC149" i="56"/>
  <c r="AC143" i="56"/>
  <c r="N12" i="54"/>
  <c r="AV162" i="56"/>
  <c r="AC128" i="56"/>
  <c r="AV141" i="56"/>
  <c r="AV157" i="56"/>
  <c r="AC112" i="56"/>
  <c r="AC161" i="56"/>
  <c r="N8" i="54"/>
  <c r="AV121" i="56"/>
  <c r="AV149" i="56"/>
  <c r="AC159" i="56"/>
  <c r="N7" i="54"/>
  <c r="AV130" i="56"/>
  <c r="AV140" i="56"/>
  <c r="AC113" i="56"/>
  <c r="N9" i="54"/>
  <c r="AC137" i="56"/>
  <c r="AV136" i="56"/>
  <c r="AC141" i="56"/>
  <c r="AV139" i="56"/>
  <c r="AV160" i="56"/>
  <c r="AC132" i="56"/>
  <c r="AC145" i="56"/>
  <c r="AC130" i="56"/>
  <c r="AC119" i="56"/>
  <c r="AV115" i="56"/>
  <c r="AC114" i="56"/>
  <c r="AC142" i="56"/>
  <c r="AV153" i="56"/>
  <c r="AV150" i="56"/>
  <c r="AC148" i="56"/>
  <c r="N11" i="54"/>
  <c r="AV146" i="56"/>
  <c r="AC116" i="56"/>
  <c r="AV126" i="56"/>
  <c r="AV111" i="56"/>
  <c r="AV148" i="56"/>
  <c r="AC162" i="56"/>
  <c r="AV137" i="56"/>
  <c r="AC118" i="56"/>
  <c r="AC139" i="56"/>
  <c r="AV145" i="56"/>
  <c r="AV138" i="56"/>
  <c r="AV107" i="56"/>
  <c r="AC136" i="56"/>
  <c r="AV133" i="56"/>
  <c r="AV108" i="56"/>
  <c r="AC117" i="56"/>
  <c r="AC140" i="56"/>
  <c r="AC154" i="56"/>
  <c r="AV134" i="56"/>
  <c r="AV142" i="56"/>
  <c r="AV151" i="56"/>
  <c r="AC156" i="56"/>
  <c r="AV159" i="56"/>
  <c r="AV120" i="56"/>
  <c r="AC111" i="56"/>
  <c r="AC105" i="56"/>
  <c r="AC109" i="56"/>
  <c r="AC122" i="56"/>
  <c r="AV114" i="56"/>
  <c r="AV163" i="56"/>
  <c r="N13" i="54"/>
  <c r="AV154" i="56"/>
  <c r="AV144" i="56"/>
  <c r="AV113" i="56"/>
  <c r="AV127" i="56"/>
  <c r="AC157" i="56"/>
  <c r="AC127" i="56"/>
  <c r="AV117" i="56"/>
  <c r="AV161" i="56"/>
  <c r="AC125" i="56"/>
  <c r="AC131" i="56"/>
  <c r="AV135" i="56"/>
  <c r="AC115" i="56"/>
  <c r="AC120" i="56"/>
  <c r="AV129" i="56"/>
  <c r="AC107" i="56"/>
  <c r="AV155" i="56"/>
  <c r="AC160" i="56"/>
  <c r="AV112" i="56"/>
  <c r="AV123" i="56"/>
  <c r="AV147" i="56"/>
  <c r="AV164" i="56"/>
  <c r="AC121" i="56"/>
  <c r="N10" i="54"/>
  <c r="AV105" i="56"/>
  <c r="AC144" i="56"/>
  <c r="AV118" i="56"/>
  <c r="AC135" i="56"/>
  <c r="AC155" i="56"/>
  <c r="AC163" i="56"/>
  <c r="AC133" i="56"/>
  <c r="AV152" i="56"/>
  <c r="AC153" i="56"/>
  <c r="AC150" i="56"/>
  <c r="AV109" i="56"/>
  <c r="AV119" i="56"/>
  <c r="AV106" i="56"/>
  <c r="AV110" i="56"/>
  <c r="AV125" i="56"/>
  <c r="AC106" i="56"/>
  <c r="Y8" i="56" l="1"/>
  <c r="Y9" i="56"/>
  <c r="AR6" i="56"/>
  <c r="AR8" i="56"/>
  <c r="Y13" i="56"/>
  <c r="AR12" i="56"/>
  <c r="AR9" i="56"/>
  <c r="Y5" i="56"/>
  <c r="Y6" i="56"/>
  <c r="J5" i="54"/>
  <c r="K5" i="54"/>
  <c r="AR5" i="56"/>
  <c r="AR10" i="56"/>
  <c r="Y7" i="56"/>
  <c r="AR11" i="56"/>
  <c r="Y10" i="56"/>
  <c r="AR13" i="56"/>
  <c r="AR7" i="56"/>
  <c r="Y11" i="56"/>
  <c r="Y12" i="56"/>
  <c r="BB6" i="50"/>
  <c r="C5" i="55" s="1"/>
  <c r="BB93" i="50"/>
  <c r="BB35" i="50"/>
  <c r="BB64" i="50"/>
  <c r="BB122" i="50"/>
  <c r="AD9" i="51"/>
  <c r="AD8" i="51"/>
  <c r="AE8" i="51" s="1"/>
  <c r="CL6" i="50"/>
  <c r="CM6" i="50" s="1"/>
  <c r="AD17" i="50"/>
  <c r="W17" i="50"/>
  <c r="AC17" i="50"/>
  <c r="V17" i="50"/>
  <c r="X17" i="50"/>
  <c r="AE17" i="50"/>
  <c r="AL17" i="50" s="1"/>
  <c r="AA18" i="50"/>
  <c r="AH18" i="50" s="1"/>
  <c r="U18" i="50"/>
  <c r="AE18" i="50"/>
  <c r="T18" i="50"/>
  <c r="AB17" i="50"/>
  <c r="U17" i="50"/>
  <c r="AL16" i="50"/>
  <c r="L9" i="55"/>
  <c r="L11" i="55"/>
  <c r="L7" i="55"/>
  <c r="L6" i="55"/>
  <c r="L13" i="55"/>
  <c r="L8" i="55"/>
  <c r="N5" i="54"/>
  <c r="L12" i="55"/>
  <c r="L10" i="55"/>
  <c r="AE9" i="51" l="1"/>
  <c r="AD10" i="51"/>
  <c r="T19" i="50"/>
  <c r="CJ6" i="50"/>
  <c r="CK6" i="50" s="1"/>
  <c r="I5" i="54"/>
  <c r="X18" i="50"/>
  <c r="V18" i="50"/>
  <c r="AL18" i="50"/>
  <c r="AI17" i="50"/>
  <c r="AD18" i="50"/>
  <c r="AK18" i="50" s="1"/>
  <c r="AA19" i="50"/>
  <c r="AH19" i="50" s="1"/>
  <c r="W18" i="50"/>
  <c r="AK17" i="50"/>
  <c r="AC18" i="50"/>
  <c r="AJ18" i="50" s="1"/>
  <c r="AB18" i="50"/>
  <c r="AI18" i="50" s="1"/>
  <c r="AJ17" i="50"/>
  <c r="AE10" i="51" l="1"/>
  <c r="AD11" i="51"/>
  <c r="W20" i="50"/>
  <c r="AC19" i="50"/>
  <c r="AJ19" i="50" s="1"/>
  <c r="V19" i="50"/>
  <c r="AE19" i="50"/>
  <c r="X19" i="50"/>
  <c r="AD19" i="50"/>
  <c r="W19" i="50"/>
  <c r="AB19" i="50"/>
  <c r="AI19" i="50" s="1"/>
  <c r="U19" i="50"/>
  <c r="AA20" i="50"/>
  <c r="AH20" i="50" s="1"/>
  <c r="T20" i="50"/>
  <c r="J6" i="35"/>
  <c r="K6" i="35"/>
  <c r="L6" i="35"/>
  <c r="M6" i="35"/>
  <c r="N6" i="35"/>
  <c r="J7" i="35"/>
  <c r="K7" i="35"/>
  <c r="L7" i="35"/>
  <c r="M7" i="35"/>
  <c r="N7" i="35"/>
  <c r="J8" i="35"/>
  <c r="K8" i="35"/>
  <c r="L8" i="35"/>
  <c r="M8" i="35"/>
  <c r="N8" i="35"/>
  <c r="J9" i="35"/>
  <c r="K9" i="35"/>
  <c r="L9" i="35"/>
  <c r="M9" i="35"/>
  <c r="N9" i="35"/>
  <c r="J10" i="35"/>
  <c r="K10" i="35"/>
  <c r="L10" i="35"/>
  <c r="M10" i="35"/>
  <c r="N10" i="35"/>
  <c r="J11" i="35"/>
  <c r="K11" i="35"/>
  <c r="L11" i="35"/>
  <c r="M11" i="35"/>
  <c r="N11" i="35"/>
  <c r="J12" i="35"/>
  <c r="K12" i="35"/>
  <c r="L12" i="35"/>
  <c r="M12" i="35"/>
  <c r="N12" i="35"/>
  <c r="J13" i="35"/>
  <c r="K13" i="35"/>
  <c r="L13" i="35"/>
  <c r="M13" i="35"/>
  <c r="N13" i="35"/>
  <c r="J14" i="35"/>
  <c r="K14" i="35"/>
  <c r="L14" i="35"/>
  <c r="M14" i="35"/>
  <c r="N14" i="35"/>
  <c r="J15" i="35"/>
  <c r="K15" i="35"/>
  <c r="L15" i="35"/>
  <c r="M15" i="35"/>
  <c r="N15" i="35"/>
  <c r="J16" i="35"/>
  <c r="K16" i="35"/>
  <c r="L16" i="35"/>
  <c r="M16" i="35"/>
  <c r="N16" i="35"/>
  <c r="J17" i="35"/>
  <c r="K17" i="35"/>
  <c r="L17" i="35"/>
  <c r="M17" i="35"/>
  <c r="N17" i="35"/>
  <c r="J18" i="35"/>
  <c r="K18" i="35"/>
  <c r="L18" i="35"/>
  <c r="M18" i="35"/>
  <c r="N18" i="35"/>
  <c r="J19" i="35"/>
  <c r="K19" i="35"/>
  <c r="L19" i="35"/>
  <c r="M19" i="35"/>
  <c r="N19" i="35"/>
  <c r="J20" i="35"/>
  <c r="K20" i="35"/>
  <c r="L20" i="35"/>
  <c r="M20" i="35"/>
  <c r="N20" i="35"/>
  <c r="J21" i="35"/>
  <c r="K21" i="35"/>
  <c r="L21" i="35"/>
  <c r="M21" i="35"/>
  <c r="N21" i="35"/>
  <c r="J22" i="35"/>
  <c r="K22" i="35"/>
  <c r="L22" i="35"/>
  <c r="M22" i="35"/>
  <c r="N22" i="35"/>
  <c r="J23" i="35"/>
  <c r="K23" i="35"/>
  <c r="L23" i="35"/>
  <c r="M23" i="35"/>
  <c r="N23" i="35"/>
  <c r="J24" i="35"/>
  <c r="Q5" i="35" s="1"/>
  <c r="K24" i="35"/>
  <c r="L24" i="35"/>
  <c r="M24" i="35"/>
  <c r="N24" i="35"/>
  <c r="J25" i="35"/>
  <c r="K25" i="35"/>
  <c r="L25" i="35"/>
  <c r="M25" i="35"/>
  <c r="N25" i="35"/>
  <c r="J26" i="35"/>
  <c r="K26" i="35"/>
  <c r="L26" i="35"/>
  <c r="M26" i="35"/>
  <c r="N26" i="35"/>
  <c r="J27" i="35"/>
  <c r="K27" i="35"/>
  <c r="L27" i="35"/>
  <c r="M27" i="35"/>
  <c r="N27" i="35"/>
  <c r="J28" i="35"/>
  <c r="K28" i="35"/>
  <c r="L28" i="35"/>
  <c r="M28" i="35"/>
  <c r="N28" i="35"/>
  <c r="J29" i="35"/>
  <c r="K29" i="35"/>
  <c r="L29" i="35"/>
  <c r="M29" i="35"/>
  <c r="N29" i="35"/>
  <c r="J30" i="35"/>
  <c r="K30" i="35"/>
  <c r="L30" i="35"/>
  <c r="M30" i="35"/>
  <c r="N30" i="35"/>
  <c r="J31" i="35"/>
  <c r="K31" i="35"/>
  <c r="L31" i="35"/>
  <c r="M31" i="35"/>
  <c r="N31" i="35"/>
  <c r="J32" i="35"/>
  <c r="K32" i="35"/>
  <c r="L32" i="35"/>
  <c r="M32" i="35"/>
  <c r="N32" i="35"/>
  <c r="J33" i="35"/>
  <c r="K33" i="35"/>
  <c r="L33" i="35"/>
  <c r="M33" i="35"/>
  <c r="N33" i="35"/>
  <c r="J34" i="35"/>
  <c r="K34" i="35"/>
  <c r="Q6" i="35" s="1"/>
  <c r="AE8" i="35" s="1"/>
  <c r="L34" i="35"/>
  <c r="M34" i="35"/>
  <c r="N34" i="35"/>
  <c r="J35" i="35"/>
  <c r="K35" i="35"/>
  <c r="L35" i="35"/>
  <c r="M35" i="35"/>
  <c r="N35" i="35"/>
  <c r="J36" i="35"/>
  <c r="K36" i="35"/>
  <c r="L36" i="35"/>
  <c r="M36" i="35"/>
  <c r="N36" i="35"/>
  <c r="J37" i="35"/>
  <c r="K37" i="35"/>
  <c r="L37" i="35"/>
  <c r="M37" i="35"/>
  <c r="N37" i="35"/>
  <c r="J38" i="35"/>
  <c r="K38" i="35"/>
  <c r="L38" i="35"/>
  <c r="M38" i="35"/>
  <c r="N38" i="35"/>
  <c r="J39" i="35"/>
  <c r="K39" i="35"/>
  <c r="L39" i="35"/>
  <c r="M39" i="35"/>
  <c r="N39" i="35"/>
  <c r="J40" i="35"/>
  <c r="K40" i="35"/>
  <c r="L40" i="35"/>
  <c r="M40" i="35"/>
  <c r="N40" i="35"/>
  <c r="J41" i="35"/>
  <c r="K41" i="35"/>
  <c r="L41" i="35"/>
  <c r="M41" i="35"/>
  <c r="N41" i="35"/>
  <c r="J42" i="35"/>
  <c r="K42" i="35"/>
  <c r="L42" i="35"/>
  <c r="M42" i="35"/>
  <c r="N42" i="35"/>
  <c r="J43" i="35"/>
  <c r="K43" i="35"/>
  <c r="L43" i="35"/>
  <c r="M43" i="35"/>
  <c r="N43" i="35"/>
  <c r="J44" i="35"/>
  <c r="K44" i="35"/>
  <c r="Q7" i="35" s="1"/>
  <c r="AE9" i="35" s="1"/>
  <c r="L44" i="35"/>
  <c r="Q8" i="35" s="1"/>
  <c r="M44" i="35"/>
  <c r="N44" i="35"/>
  <c r="J45" i="35"/>
  <c r="K45" i="35"/>
  <c r="L45" i="35"/>
  <c r="M45" i="35"/>
  <c r="N45" i="35"/>
  <c r="J46" i="35"/>
  <c r="K46" i="35"/>
  <c r="L46" i="35"/>
  <c r="M46" i="35"/>
  <c r="N46" i="35"/>
  <c r="J47" i="35"/>
  <c r="K47" i="35"/>
  <c r="L47" i="35"/>
  <c r="M47" i="35"/>
  <c r="N47" i="35"/>
  <c r="J48" i="35"/>
  <c r="K48" i="35"/>
  <c r="L48" i="35"/>
  <c r="M48" i="35"/>
  <c r="N48" i="35"/>
  <c r="J49" i="35"/>
  <c r="K49" i="35"/>
  <c r="L49" i="35"/>
  <c r="M49" i="35"/>
  <c r="N49" i="35"/>
  <c r="J50" i="35"/>
  <c r="K50" i="35"/>
  <c r="L50" i="35"/>
  <c r="M50" i="35"/>
  <c r="N50" i="35"/>
  <c r="J51" i="35"/>
  <c r="K51" i="35"/>
  <c r="L51" i="35"/>
  <c r="M51" i="35"/>
  <c r="N51" i="35"/>
  <c r="J52" i="35"/>
  <c r="K52" i="35"/>
  <c r="L52" i="35"/>
  <c r="M52" i="35"/>
  <c r="N52" i="35"/>
  <c r="J53" i="35"/>
  <c r="K53" i="35"/>
  <c r="L53" i="35"/>
  <c r="M53" i="35"/>
  <c r="N53" i="35"/>
  <c r="J54" i="35"/>
  <c r="K54" i="35"/>
  <c r="L54" i="35"/>
  <c r="Q9" i="35" s="1"/>
  <c r="M54" i="35"/>
  <c r="Q11" i="35" s="1"/>
  <c r="N54" i="35"/>
  <c r="J55" i="35"/>
  <c r="K55" i="35"/>
  <c r="L55" i="35"/>
  <c r="M55" i="35"/>
  <c r="N55" i="35"/>
  <c r="J56" i="35"/>
  <c r="K56" i="35"/>
  <c r="L56" i="35"/>
  <c r="M56" i="35"/>
  <c r="N56" i="35"/>
  <c r="J57" i="35"/>
  <c r="K57" i="35"/>
  <c r="L57" i="35"/>
  <c r="M57" i="35"/>
  <c r="N57" i="35"/>
  <c r="J58" i="35"/>
  <c r="K58" i="35"/>
  <c r="L58" i="35"/>
  <c r="M58" i="35"/>
  <c r="N58" i="35"/>
  <c r="J59" i="35"/>
  <c r="K59" i="35"/>
  <c r="L59" i="35"/>
  <c r="M59" i="35"/>
  <c r="N59" i="35"/>
  <c r="J60" i="35"/>
  <c r="K60" i="35"/>
  <c r="L60" i="35"/>
  <c r="M60" i="35"/>
  <c r="N60" i="35"/>
  <c r="J61" i="35"/>
  <c r="K61" i="35"/>
  <c r="L61" i="35"/>
  <c r="M61" i="35"/>
  <c r="N61" i="35"/>
  <c r="J62" i="35"/>
  <c r="K62" i="35"/>
  <c r="L62" i="35"/>
  <c r="M62" i="35"/>
  <c r="N62" i="35"/>
  <c r="J63" i="35"/>
  <c r="K63" i="35"/>
  <c r="L63" i="35"/>
  <c r="M63" i="35"/>
  <c r="N63" i="35"/>
  <c r="J64" i="35"/>
  <c r="K64" i="35"/>
  <c r="L64" i="35"/>
  <c r="Q10" i="35" s="1"/>
  <c r="M64" i="35"/>
  <c r="Q12" i="35" s="1"/>
  <c r="N64" i="35"/>
  <c r="Q15" i="35" s="1"/>
  <c r="AD19" i="35" s="1"/>
  <c r="J65" i="35"/>
  <c r="K65" i="35"/>
  <c r="L65" i="35"/>
  <c r="M65" i="35"/>
  <c r="N65" i="35"/>
  <c r="J66" i="35"/>
  <c r="K66" i="35"/>
  <c r="L66" i="35"/>
  <c r="M66" i="35"/>
  <c r="N66" i="35"/>
  <c r="J67" i="35"/>
  <c r="K67" i="35"/>
  <c r="L67" i="35"/>
  <c r="M67" i="35"/>
  <c r="N67" i="35"/>
  <c r="J68" i="35"/>
  <c r="K68" i="35"/>
  <c r="L68" i="35"/>
  <c r="M68" i="35"/>
  <c r="N68" i="35"/>
  <c r="J69" i="35"/>
  <c r="K69" i="35"/>
  <c r="L69" i="35"/>
  <c r="M69" i="35"/>
  <c r="N69" i="35"/>
  <c r="J70" i="35"/>
  <c r="K70" i="35"/>
  <c r="L70" i="35"/>
  <c r="M70" i="35"/>
  <c r="N70" i="35"/>
  <c r="J71" i="35"/>
  <c r="K71" i="35"/>
  <c r="L71" i="35"/>
  <c r="M71" i="35"/>
  <c r="N71" i="35"/>
  <c r="J72" i="35"/>
  <c r="K72" i="35"/>
  <c r="L72" i="35"/>
  <c r="M72" i="35"/>
  <c r="N72" i="35"/>
  <c r="J73" i="35"/>
  <c r="K73" i="35"/>
  <c r="L73" i="35"/>
  <c r="M73" i="35"/>
  <c r="N73" i="35"/>
  <c r="J74" i="35"/>
  <c r="K74" i="35"/>
  <c r="L74" i="35"/>
  <c r="M74" i="35"/>
  <c r="Q13" i="35" s="1"/>
  <c r="N74" i="35"/>
  <c r="Q16" i="35" s="1"/>
  <c r="J75" i="35"/>
  <c r="K75" i="35"/>
  <c r="L75" i="35"/>
  <c r="M75" i="35"/>
  <c r="N75" i="35"/>
  <c r="J76" i="35"/>
  <c r="K76" i="35"/>
  <c r="L76" i="35"/>
  <c r="M76" i="35"/>
  <c r="N76" i="35"/>
  <c r="J77" i="35"/>
  <c r="K77" i="35"/>
  <c r="L77" i="35"/>
  <c r="M77" i="35"/>
  <c r="N77" i="35"/>
  <c r="J78" i="35"/>
  <c r="K78" i="35"/>
  <c r="L78" i="35"/>
  <c r="M78" i="35"/>
  <c r="N78" i="35"/>
  <c r="J79" i="35"/>
  <c r="K79" i="35"/>
  <c r="L79" i="35"/>
  <c r="M79" i="35"/>
  <c r="N79" i="35"/>
  <c r="J80" i="35"/>
  <c r="K80" i="35"/>
  <c r="L80" i="35"/>
  <c r="M80" i="35"/>
  <c r="N80" i="35"/>
  <c r="J81" i="35"/>
  <c r="K81" i="35"/>
  <c r="L81" i="35"/>
  <c r="M81" i="35"/>
  <c r="N81" i="35"/>
  <c r="J82" i="35"/>
  <c r="K82" i="35"/>
  <c r="L82" i="35"/>
  <c r="M82" i="35"/>
  <c r="N82" i="35"/>
  <c r="J83" i="35"/>
  <c r="K83" i="35"/>
  <c r="L83" i="35"/>
  <c r="M83" i="35"/>
  <c r="N83" i="35"/>
  <c r="J84" i="35"/>
  <c r="K84" i="35"/>
  <c r="L84" i="35"/>
  <c r="M84" i="35"/>
  <c r="Q14" i="35" s="1"/>
  <c r="N84" i="35"/>
  <c r="Q17" i="35" s="1"/>
  <c r="J85" i="35"/>
  <c r="K85" i="35"/>
  <c r="L85" i="35"/>
  <c r="M85" i="35"/>
  <c r="N85" i="35"/>
  <c r="J86" i="35"/>
  <c r="K86" i="35"/>
  <c r="L86" i="35"/>
  <c r="M86" i="35"/>
  <c r="N86" i="35"/>
  <c r="J87" i="35"/>
  <c r="K87" i="35"/>
  <c r="L87" i="35"/>
  <c r="M87" i="35"/>
  <c r="N87" i="35"/>
  <c r="J88" i="35"/>
  <c r="K88" i="35"/>
  <c r="L88" i="35"/>
  <c r="M88" i="35"/>
  <c r="N88" i="35"/>
  <c r="J89" i="35"/>
  <c r="K89" i="35"/>
  <c r="L89" i="35"/>
  <c r="M89" i="35"/>
  <c r="N89" i="35"/>
  <c r="J90" i="35"/>
  <c r="K90" i="35"/>
  <c r="L90" i="35"/>
  <c r="M90" i="35"/>
  <c r="N90" i="35"/>
  <c r="J91" i="35"/>
  <c r="K91" i="35"/>
  <c r="L91" i="35"/>
  <c r="M91" i="35"/>
  <c r="N91" i="35"/>
  <c r="J92" i="35"/>
  <c r="K92" i="35"/>
  <c r="L92" i="35"/>
  <c r="M92" i="35"/>
  <c r="N92" i="35"/>
  <c r="J93" i="35"/>
  <c r="K93" i="35"/>
  <c r="L93" i="35"/>
  <c r="M93" i="35"/>
  <c r="N93" i="35"/>
  <c r="J94" i="35"/>
  <c r="K94" i="35"/>
  <c r="L94" i="35"/>
  <c r="M94" i="35"/>
  <c r="N94" i="35"/>
  <c r="Q18" i="35" s="1"/>
  <c r="AD21" i="35" s="1"/>
  <c r="J95" i="35"/>
  <c r="K95" i="35"/>
  <c r="L95" i="35"/>
  <c r="M95" i="35"/>
  <c r="N95" i="35"/>
  <c r="J96" i="35"/>
  <c r="K96" i="35"/>
  <c r="L96" i="35"/>
  <c r="M96" i="35"/>
  <c r="N96" i="35"/>
  <c r="J97" i="35"/>
  <c r="K97" i="35"/>
  <c r="L97" i="35"/>
  <c r="M97" i="35"/>
  <c r="N97" i="35"/>
  <c r="J98" i="35"/>
  <c r="K98" i="35"/>
  <c r="L98" i="35"/>
  <c r="M98" i="35"/>
  <c r="N98" i="35"/>
  <c r="J99" i="35"/>
  <c r="K99" i="35"/>
  <c r="L99" i="35"/>
  <c r="M99" i="35"/>
  <c r="N99" i="35"/>
  <c r="J100" i="35"/>
  <c r="K100" i="35"/>
  <c r="L100" i="35"/>
  <c r="M100" i="35"/>
  <c r="N100" i="35"/>
  <c r="J101" i="35"/>
  <c r="K101" i="35"/>
  <c r="L101" i="35"/>
  <c r="M101" i="35"/>
  <c r="N101" i="35"/>
  <c r="J102" i="35"/>
  <c r="K102" i="35"/>
  <c r="L102" i="35"/>
  <c r="M102" i="35"/>
  <c r="N102" i="35"/>
  <c r="J103" i="35"/>
  <c r="K103" i="35"/>
  <c r="L103" i="35"/>
  <c r="M103" i="35"/>
  <c r="N103" i="35"/>
  <c r="J104" i="35"/>
  <c r="K104" i="35"/>
  <c r="L104" i="35"/>
  <c r="M104" i="35"/>
  <c r="N104" i="35"/>
  <c r="Q19" i="35" s="1"/>
  <c r="AE17" i="35" s="1"/>
  <c r="J105" i="35"/>
  <c r="K105" i="35"/>
  <c r="L105" i="35"/>
  <c r="M105" i="35"/>
  <c r="N105" i="35"/>
  <c r="J106" i="35"/>
  <c r="K106" i="35"/>
  <c r="L106" i="35"/>
  <c r="M106" i="35"/>
  <c r="N106" i="35"/>
  <c r="J107" i="35"/>
  <c r="K107" i="35"/>
  <c r="L107" i="35"/>
  <c r="M107" i="35"/>
  <c r="N107" i="35"/>
  <c r="J108" i="35"/>
  <c r="K108" i="35"/>
  <c r="L108" i="35"/>
  <c r="M108" i="35"/>
  <c r="N108" i="35"/>
  <c r="J109" i="35"/>
  <c r="K109" i="35"/>
  <c r="L109" i="35"/>
  <c r="M109" i="35"/>
  <c r="N109" i="35"/>
  <c r="J110" i="35"/>
  <c r="K110" i="35"/>
  <c r="L110" i="35"/>
  <c r="M110" i="35"/>
  <c r="N110" i="35"/>
  <c r="J111" i="35"/>
  <c r="K111" i="35"/>
  <c r="L111" i="35"/>
  <c r="M111" i="35"/>
  <c r="N111" i="35"/>
  <c r="J112" i="35"/>
  <c r="K112" i="35"/>
  <c r="L112" i="35"/>
  <c r="M112" i="35"/>
  <c r="N112" i="35"/>
  <c r="J113" i="35"/>
  <c r="K113" i="35"/>
  <c r="L113" i="35"/>
  <c r="M113" i="35"/>
  <c r="N113" i="35"/>
  <c r="J114" i="35"/>
  <c r="K114" i="35"/>
  <c r="L114" i="35"/>
  <c r="M114" i="35"/>
  <c r="N114" i="35"/>
  <c r="Q20" i="35" s="1"/>
  <c r="AD22" i="35" s="1"/>
  <c r="AH88" i="35" s="1"/>
  <c r="K5" i="35"/>
  <c r="L5" i="35"/>
  <c r="M5" i="35"/>
  <c r="N5" i="35"/>
  <c r="J5" i="35"/>
  <c r="AE11" i="51" l="1"/>
  <c r="AD12" i="51"/>
  <c r="T21" i="50"/>
  <c r="AC20" i="50"/>
  <c r="V20" i="50"/>
  <c r="AE20" i="50"/>
  <c r="AL20" i="50" s="1"/>
  <c r="AD20" i="50"/>
  <c r="U20" i="50"/>
  <c r="X20" i="50"/>
  <c r="AK19" i="50"/>
  <c r="AB20" i="50"/>
  <c r="AA21" i="50"/>
  <c r="AH21" i="50" s="1"/>
  <c r="V21" i="50"/>
  <c r="AL19" i="50"/>
  <c r="AD11" i="35"/>
  <c r="AE13" i="35"/>
  <c r="AD15" i="35"/>
  <c r="AD8" i="35"/>
  <c r="AD9" i="35"/>
  <c r="AE16" i="35"/>
  <c r="AD17" i="35"/>
  <c r="AD16" i="35"/>
  <c r="AE18" i="35"/>
  <c r="AI107" i="35" s="1"/>
  <c r="AD20" i="35"/>
  <c r="AE15" i="35"/>
  <c r="AD18" i="35"/>
  <c r="AE14" i="35"/>
  <c r="AD14" i="35"/>
  <c r="AD10" i="35"/>
  <c r="AE12" i="35"/>
  <c r="AD13" i="35"/>
  <c r="AE11" i="35"/>
  <c r="AD12" i="35"/>
  <c r="AE10" i="35"/>
  <c r="AH111" i="35"/>
  <c r="AH95" i="35"/>
  <c r="AH107" i="35"/>
  <c r="AH91" i="35"/>
  <c r="AH103" i="35"/>
  <c r="AH99" i="35"/>
  <c r="AH114" i="35"/>
  <c r="AH110" i="35"/>
  <c r="AH106" i="35"/>
  <c r="AH102" i="35"/>
  <c r="AH98" i="35"/>
  <c r="AH94" i="35"/>
  <c r="AH90" i="35"/>
  <c r="AH113" i="35"/>
  <c r="AH109" i="35"/>
  <c r="AH105" i="35"/>
  <c r="AH101" i="35"/>
  <c r="AH97" i="35"/>
  <c r="AH93" i="35"/>
  <c r="AH89" i="35"/>
  <c r="AH112" i="35"/>
  <c r="AH108" i="35"/>
  <c r="AH104" i="35"/>
  <c r="AH100" i="35"/>
  <c r="AH96" i="35"/>
  <c r="AH92" i="35"/>
  <c r="AE12" i="51" l="1"/>
  <c r="AD13" i="51"/>
  <c r="AE21" i="50"/>
  <c r="X21" i="50"/>
  <c r="AI20" i="50"/>
  <c r="AB21" i="50"/>
  <c r="U21" i="50"/>
  <c r="AA22" i="50"/>
  <c r="AH22" i="50" s="1"/>
  <c r="U22" i="50"/>
  <c r="T22" i="50"/>
  <c r="AK20" i="50"/>
  <c r="AD21" i="50"/>
  <c r="AK21" i="50" s="1"/>
  <c r="W21" i="50"/>
  <c r="AJ20" i="50"/>
  <c r="AC21" i="50"/>
  <c r="AI96" i="35"/>
  <c r="AI94" i="35"/>
  <c r="AI93" i="35"/>
  <c r="AI110" i="35"/>
  <c r="AI103" i="35"/>
  <c r="AI98" i="35"/>
  <c r="AI114" i="35"/>
  <c r="AI100" i="35"/>
  <c r="AI97" i="35"/>
  <c r="AI102" i="35"/>
  <c r="AI88" i="35"/>
  <c r="AI104" i="35"/>
  <c r="AI105" i="35"/>
  <c r="AI106" i="35"/>
  <c r="AI92" i="35"/>
  <c r="AI95" i="35"/>
  <c r="AI99" i="35"/>
  <c r="AI108" i="35"/>
  <c r="AI111" i="35"/>
  <c r="AI109" i="35"/>
  <c r="AI112" i="35"/>
  <c r="AI89" i="35"/>
  <c r="AI91" i="35"/>
  <c r="AE19" i="35"/>
  <c r="AE20" i="35" s="1"/>
  <c r="AI101" i="35"/>
  <c r="AI113" i="35"/>
  <c r="AI90" i="35"/>
  <c r="AE13" i="51" l="1"/>
  <c r="AE14" i="51" s="1"/>
  <c r="AE15" i="51" s="1"/>
  <c r="AE16" i="51" s="1"/>
  <c r="AE17" i="51" s="1"/>
  <c r="AE18" i="51" s="1"/>
  <c r="AE19" i="51" s="1"/>
  <c r="AE20" i="51" s="1"/>
  <c r="AE21" i="51" s="1"/>
  <c r="T23" i="50"/>
  <c r="AL21" i="50"/>
  <c r="AE22" i="50"/>
  <c r="AL22" i="50" s="1"/>
  <c r="X22" i="50"/>
  <c r="AC22" i="50"/>
  <c r="V22" i="50"/>
  <c r="AJ21" i="50"/>
  <c r="AD22" i="50"/>
  <c r="W22" i="50"/>
  <c r="AA23" i="50"/>
  <c r="AH23" i="50" s="1"/>
  <c r="AB22" i="50"/>
  <c r="AI21" i="50"/>
  <c r="AE21" i="35"/>
  <c r="AH44" i="35"/>
  <c r="AH46" i="35"/>
  <c r="AH66" i="35"/>
  <c r="AI80" i="35"/>
  <c r="AI46" i="35"/>
  <c r="AI50" i="35"/>
  <c r="AH36" i="35"/>
  <c r="AI54" i="35"/>
  <c r="AH39" i="35"/>
  <c r="AI17" i="35"/>
  <c r="AI41" i="35"/>
  <c r="AI34" i="35"/>
  <c r="AH61" i="35"/>
  <c r="AH74" i="35"/>
  <c r="AI27" i="35"/>
  <c r="AI51" i="35"/>
  <c r="AI76" i="35"/>
  <c r="AI9" i="35"/>
  <c r="AH52" i="35"/>
  <c r="AH45" i="35"/>
  <c r="AI69" i="35"/>
  <c r="AI60" i="35"/>
  <c r="AH69" i="35"/>
  <c r="AH32" i="35"/>
  <c r="AI32" i="35"/>
  <c r="AI78" i="35"/>
  <c r="AI39" i="35"/>
  <c r="AH10" i="35"/>
  <c r="AH51" i="35"/>
  <c r="AI31" i="35"/>
  <c r="AH71" i="35"/>
  <c r="AI77" i="35"/>
  <c r="AI20" i="35"/>
  <c r="AH22" i="35"/>
  <c r="AI40" i="35"/>
  <c r="AH63" i="35"/>
  <c r="AI36" i="35"/>
  <c r="AH34" i="35"/>
  <c r="AH29" i="35"/>
  <c r="AH50" i="35"/>
  <c r="AI6" i="35"/>
  <c r="AH26" i="35"/>
  <c r="AH62" i="35"/>
  <c r="AI73" i="35"/>
  <c r="AH7" i="35"/>
  <c r="AH28" i="35"/>
  <c r="AI19" i="35"/>
  <c r="AH64" i="35"/>
  <c r="AH53" i="35"/>
  <c r="AI75" i="35"/>
  <c r="AH81" i="35"/>
  <c r="AH5" i="35"/>
  <c r="AI18" i="35"/>
  <c r="AI42" i="35"/>
  <c r="AH68" i="35"/>
  <c r="AH6" i="35"/>
  <c r="AH24" i="35"/>
  <c r="AH42" i="35"/>
  <c r="AI59" i="35"/>
  <c r="AH78" i="35"/>
  <c r="AI65" i="35"/>
  <c r="AI48" i="35"/>
  <c r="AH33" i="35"/>
  <c r="AI8" i="35"/>
  <c r="AI71" i="35"/>
  <c r="AH8" i="35"/>
  <c r="AH37" i="35"/>
  <c r="AH65" i="35"/>
  <c r="AI57" i="35"/>
  <c r="AI47" i="35"/>
  <c r="AI43" i="35"/>
  <c r="AI74" i="35"/>
  <c r="AI70" i="35"/>
  <c r="AH17" i="35"/>
  <c r="AH18" i="35"/>
  <c r="AH58" i="35"/>
  <c r="AH85" i="35"/>
  <c r="AH41" i="35"/>
  <c r="AH48" i="35"/>
  <c r="AH47" i="35"/>
  <c r="AH35" i="35"/>
  <c r="AH30" i="35"/>
  <c r="AI13" i="35"/>
  <c r="AI45" i="35"/>
  <c r="AI72" i="35"/>
  <c r="AI61" i="35"/>
  <c r="AI38" i="35"/>
  <c r="AH56" i="35"/>
  <c r="AI21" i="35"/>
  <c r="AH31" i="35"/>
  <c r="AI49" i="35"/>
  <c r="AH11" i="35"/>
  <c r="AH14" i="35"/>
  <c r="AH15" i="35"/>
  <c r="AH83" i="35"/>
  <c r="AH55" i="35"/>
  <c r="AI35" i="35"/>
  <c r="AI24" i="35"/>
  <c r="AI25" i="35"/>
  <c r="AI30" i="35"/>
  <c r="AI10" i="35"/>
  <c r="AH76" i="35"/>
  <c r="AI29" i="35"/>
  <c r="AI28" i="35"/>
  <c r="AI11" i="35"/>
  <c r="AH57" i="35"/>
  <c r="AI62" i="35"/>
  <c r="AI14" i="35"/>
  <c r="AH75" i="35"/>
  <c r="AI63" i="35"/>
  <c r="AI7" i="35"/>
  <c r="AH16" i="35"/>
  <c r="AH20" i="35"/>
  <c r="AI55" i="35"/>
  <c r="AH19" i="35"/>
  <c r="AH73" i="35"/>
  <c r="AI23" i="35"/>
  <c r="AI44" i="35"/>
  <c r="AH87" i="35"/>
  <c r="AI15" i="35"/>
  <c r="AI52" i="35"/>
  <c r="AH72" i="35"/>
  <c r="AI53" i="35"/>
  <c r="AH54" i="35"/>
  <c r="AH70" i="35"/>
  <c r="AI16" i="35"/>
  <c r="AH86" i="35"/>
  <c r="AH60" i="35"/>
  <c r="AH80" i="35"/>
  <c r="AI12" i="35"/>
  <c r="AH43" i="35"/>
  <c r="AH59" i="35"/>
  <c r="AI79" i="35"/>
  <c r="AH79" i="35"/>
  <c r="AI22" i="35"/>
  <c r="AI37" i="35"/>
  <c r="AH67" i="35"/>
  <c r="AH82" i="35"/>
  <c r="AH84" i="35"/>
  <c r="AI66" i="35"/>
  <c r="AH38" i="35"/>
  <c r="AH25" i="35"/>
  <c r="AI33" i="35"/>
  <c r="AH49" i="35"/>
  <c r="AI67" i="35"/>
  <c r="AH21" i="35"/>
  <c r="AH27" i="35"/>
  <c r="AI64" i="35"/>
  <c r="AI68" i="35"/>
  <c r="AH9" i="35"/>
  <c r="AH23" i="35"/>
  <c r="AH77" i="35"/>
  <c r="AH40" i="35"/>
  <c r="AI81" i="35"/>
  <c r="AI5" i="35"/>
  <c r="AI26" i="35"/>
  <c r="AH12" i="35"/>
  <c r="AI58" i="35"/>
  <c r="AI56" i="35"/>
  <c r="AH13" i="35"/>
  <c r="V24" i="50" l="1"/>
  <c r="AB23" i="50"/>
  <c r="AI23" i="50" s="1"/>
  <c r="U23" i="50"/>
  <c r="AC23" i="50"/>
  <c r="AJ23" i="50" s="1"/>
  <c r="V23" i="50"/>
  <c r="AA24" i="50"/>
  <c r="AH24" i="50" s="1"/>
  <c r="AD24" i="50"/>
  <c r="T24" i="50"/>
  <c r="AD23" i="50"/>
  <c r="AI22" i="50"/>
  <c r="W23" i="50"/>
  <c r="AJ22" i="50"/>
  <c r="AE23" i="50"/>
  <c r="X23" i="50"/>
  <c r="AK22" i="50"/>
  <c r="AE22" i="35"/>
  <c r="AI84" i="35"/>
  <c r="AI85" i="35"/>
  <c r="AI83" i="35"/>
  <c r="AI86" i="35"/>
  <c r="AI87" i="35"/>
  <c r="AI82" i="35"/>
  <c r="AQ65" i="50" l="1"/>
  <c r="AQ123" i="50"/>
  <c r="AQ36" i="50"/>
  <c r="AQ7" i="50"/>
  <c r="AQ94" i="50"/>
  <c r="AW123" i="50"/>
  <c r="AW94" i="50"/>
  <c r="AW65" i="50"/>
  <c r="AW7" i="50"/>
  <c r="AW36" i="50"/>
  <c r="T25" i="50"/>
  <c r="V25" i="50"/>
  <c r="AK24" i="50"/>
  <c r="AK23" i="50"/>
  <c r="AB24" i="50"/>
  <c r="AI24" i="50" s="1"/>
  <c r="AA25" i="50"/>
  <c r="AL23" i="50"/>
  <c r="AC24" i="50"/>
  <c r="W24" i="50"/>
  <c r="AE24" i="50"/>
  <c r="AL24" i="50" s="1"/>
  <c r="X24" i="50"/>
  <c r="U24" i="50"/>
  <c r="AH25" i="50" l="1"/>
  <c r="AE25" i="50"/>
  <c r="X25" i="50"/>
  <c r="AA26" i="50"/>
  <c r="AH26" i="50" s="1"/>
  <c r="T26" i="50"/>
  <c r="AC25" i="50"/>
  <c r="AB25" i="50"/>
  <c r="U25" i="50"/>
  <c r="AJ24" i="50"/>
  <c r="AD25" i="50"/>
  <c r="W25" i="50"/>
  <c r="AJ25" i="50" l="1"/>
  <c r="AI25" i="50"/>
  <c r="AK25" i="50"/>
  <c r="AL25" i="50"/>
  <c r="AD26" i="50"/>
  <c r="AK26" i="50" s="1"/>
  <c r="W26" i="50"/>
  <c r="AA27" i="50"/>
  <c r="AH27" i="50" s="1"/>
  <c r="T27" i="50"/>
  <c r="AC26" i="50"/>
  <c r="AJ26" i="50" s="1"/>
  <c r="V26" i="50"/>
  <c r="AB26" i="50"/>
  <c r="AI26" i="50" s="1"/>
  <c r="U26" i="50"/>
  <c r="AE26" i="50"/>
  <c r="AL26" i="50" s="1"/>
  <c r="X26" i="50"/>
  <c r="AB27" i="50" l="1"/>
  <c r="AI27" i="50" s="1"/>
  <c r="U27" i="50"/>
  <c r="AE27" i="50"/>
  <c r="AL27" i="50" s="1"/>
  <c r="X27" i="50"/>
  <c r="AA28" i="50"/>
  <c r="AH28" i="50" s="1"/>
  <c r="T28" i="50"/>
  <c r="AD27" i="50"/>
  <c r="AK27" i="50" s="1"/>
  <c r="W27" i="50"/>
  <c r="AC27" i="50"/>
  <c r="AJ27" i="50" s="1"/>
  <c r="V27" i="50"/>
  <c r="AC28" i="50" l="1"/>
  <c r="AJ28" i="50" s="1"/>
  <c r="V28" i="50"/>
  <c r="AD28" i="50"/>
  <c r="AK28" i="50" s="1"/>
  <c r="W28" i="50"/>
  <c r="AB28" i="50"/>
  <c r="AI28" i="50" s="1"/>
  <c r="U28" i="50"/>
  <c r="AA29" i="50"/>
  <c r="AH29" i="50" s="1"/>
  <c r="T29" i="50"/>
  <c r="AE28" i="50"/>
  <c r="AL28" i="50" s="1"/>
  <c r="X28" i="50"/>
  <c r="AE29" i="50" l="1"/>
  <c r="AL29" i="50" s="1"/>
  <c r="X29" i="50"/>
  <c r="AD29" i="50"/>
  <c r="AK29" i="50" s="1"/>
  <c r="W29" i="50"/>
  <c r="AC29" i="50"/>
  <c r="AJ29" i="50" s="1"/>
  <c r="V29" i="50"/>
  <c r="AB29" i="50"/>
  <c r="AI29" i="50" s="1"/>
  <c r="U29" i="50"/>
  <c r="AA30" i="50"/>
  <c r="AH30" i="50" s="1"/>
  <c r="T30" i="50"/>
  <c r="AD30" i="50" l="1"/>
  <c r="AK30" i="50" s="1"/>
  <c r="W30" i="50"/>
  <c r="AA31" i="50"/>
  <c r="AH31" i="50" s="1"/>
  <c r="T31" i="50"/>
  <c r="AC30" i="50"/>
  <c r="AJ30" i="50" s="1"/>
  <c r="V30" i="50"/>
  <c r="AB30" i="50"/>
  <c r="AI30" i="50" s="1"/>
  <c r="U30" i="50"/>
  <c r="AE30" i="50"/>
  <c r="AL30" i="50" s="1"/>
  <c r="X30" i="50"/>
  <c r="AE31" i="50" l="1"/>
  <c r="AL31" i="50" s="1"/>
  <c r="X31" i="50"/>
  <c r="AD31" i="50"/>
  <c r="AK31" i="50" s="1"/>
  <c r="W31" i="50"/>
  <c r="AC31" i="50"/>
  <c r="AJ31" i="50" s="1"/>
  <c r="V31" i="50"/>
  <c r="AB31" i="50"/>
  <c r="AI31" i="50" s="1"/>
  <c r="U31" i="50"/>
  <c r="AA32" i="50"/>
  <c r="AH32" i="50" s="1"/>
  <c r="T32" i="50"/>
  <c r="AB32" i="50" l="1"/>
  <c r="AI32" i="50" s="1"/>
  <c r="U32" i="50"/>
  <c r="AA33" i="50"/>
  <c r="AH33" i="50" s="1"/>
  <c r="T33" i="50"/>
  <c r="AC32" i="50"/>
  <c r="AJ32" i="50" s="1"/>
  <c r="V32" i="50"/>
  <c r="AE32" i="50"/>
  <c r="AL32" i="50" s="1"/>
  <c r="X32" i="50"/>
  <c r="AD32" i="50"/>
  <c r="AK32" i="50" s="1"/>
  <c r="W32" i="50"/>
  <c r="AC33" i="50" l="1"/>
  <c r="AJ33" i="50" s="1"/>
  <c r="V33" i="50"/>
  <c r="AB33" i="50"/>
  <c r="AI33" i="50" s="1"/>
  <c r="U33" i="50"/>
  <c r="AE33" i="50"/>
  <c r="AL33" i="50" s="1"/>
  <c r="X33" i="50"/>
  <c r="AA34" i="50"/>
  <c r="AH34" i="50" s="1"/>
  <c r="T34" i="50"/>
  <c r="AD33" i="50"/>
  <c r="AK33" i="50" s="1"/>
  <c r="W33" i="50"/>
  <c r="AD34" i="50" l="1"/>
  <c r="AK34" i="50" s="1"/>
  <c r="W34" i="50"/>
  <c r="AA35" i="50"/>
  <c r="T35" i="50"/>
  <c r="AE34" i="50"/>
  <c r="AL34" i="50" s="1"/>
  <c r="X34" i="50"/>
  <c r="AB34" i="50"/>
  <c r="AI34" i="50" s="1"/>
  <c r="U34" i="50"/>
  <c r="AC34" i="50"/>
  <c r="AJ34" i="50" s="1"/>
  <c r="V34" i="50"/>
  <c r="AS123" i="50" l="1"/>
  <c r="AS94" i="50"/>
  <c r="AS65" i="50"/>
  <c r="AS36" i="50"/>
  <c r="AS7" i="50"/>
  <c r="AY36" i="50"/>
  <c r="AY123" i="50"/>
  <c r="AY94" i="50"/>
  <c r="AY7" i="50"/>
  <c r="AY65" i="50"/>
  <c r="AX36" i="50"/>
  <c r="AX65" i="50"/>
  <c r="AX94" i="50"/>
  <c r="AX123" i="50"/>
  <c r="AX7" i="50"/>
  <c r="AR7" i="50"/>
  <c r="AR123" i="50"/>
  <c r="AR36" i="50"/>
  <c r="AR65" i="50"/>
  <c r="AR94" i="50"/>
  <c r="AH35" i="50"/>
  <c r="AE35" i="50"/>
  <c r="X35" i="50"/>
  <c r="AD35" i="50"/>
  <c r="W35" i="50"/>
  <c r="AB35" i="50"/>
  <c r="U35" i="50"/>
  <c r="AC35" i="50"/>
  <c r="V35" i="50"/>
  <c r="AA36" i="50"/>
  <c r="AH36" i="50" s="1"/>
  <c r="T36" i="50"/>
  <c r="AV36" i="50" l="1"/>
  <c r="AV65" i="50"/>
  <c r="BB7" i="50"/>
  <c r="CJ7" i="50" s="1"/>
  <c r="CK7" i="50" s="1"/>
  <c r="CP7" i="50" s="1"/>
  <c r="BB94" i="50"/>
  <c r="CJ142" i="50" s="1"/>
  <c r="AV94" i="50"/>
  <c r="BB65" i="50"/>
  <c r="CJ97" i="50" s="1"/>
  <c r="AV123" i="50"/>
  <c r="BB123" i="50"/>
  <c r="CJ187" i="50" s="1"/>
  <c r="AV7" i="50"/>
  <c r="BB36" i="50"/>
  <c r="CJ52" i="50" s="1"/>
  <c r="AL35" i="50"/>
  <c r="AJ35" i="50"/>
  <c r="AI35" i="50"/>
  <c r="AK35" i="50"/>
  <c r="AB36" i="50"/>
  <c r="AI36" i="50" s="1"/>
  <c r="U36" i="50"/>
  <c r="AA37" i="50"/>
  <c r="AH37" i="50" s="1"/>
  <c r="T37" i="50"/>
  <c r="AD36" i="50"/>
  <c r="AK36" i="50" s="1"/>
  <c r="W36" i="50"/>
  <c r="AC36" i="50"/>
  <c r="AJ36" i="50" s="1"/>
  <c r="V36" i="50"/>
  <c r="AE36" i="50"/>
  <c r="AL36" i="50" s="1"/>
  <c r="X36" i="50"/>
  <c r="CL187" i="50" l="1"/>
  <c r="CL142" i="50"/>
  <c r="CL97" i="50"/>
  <c r="CL7" i="50"/>
  <c r="CM7" i="50" s="1"/>
  <c r="CQ7" i="50" s="1"/>
  <c r="CR7" i="50" s="1"/>
  <c r="C6" i="54"/>
  <c r="CL52" i="50"/>
  <c r="C6" i="55"/>
  <c r="AD37" i="50"/>
  <c r="AK37" i="50" s="1"/>
  <c r="W37" i="50"/>
  <c r="AB37" i="50"/>
  <c r="AI37" i="50" s="1"/>
  <c r="U37" i="50"/>
  <c r="AC37" i="50"/>
  <c r="AJ37" i="50" s="1"/>
  <c r="V37" i="50"/>
  <c r="AA38" i="50"/>
  <c r="AH38" i="50" s="1"/>
  <c r="T38" i="50"/>
  <c r="AE37" i="50"/>
  <c r="AL37" i="50" s="1"/>
  <c r="X37" i="50"/>
  <c r="N16" i="54"/>
  <c r="L22" i="55"/>
  <c r="L20" i="55"/>
  <c r="N23" i="54"/>
  <c r="L16" i="55"/>
  <c r="L15" i="55"/>
  <c r="N19" i="54"/>
  <c r="N18" i="54"/>
  <c r="L17" i="55"/>
  <c r="L19" i="55"/>
  <c r="L23" i="55"/>
  <c r="N15" i="54"/>
  <c r="N14" i="54"/>
  <c r="N22" i="54"/>
  <c r="L14" i="55"/>
  <c r="L18" i="55"/>
  <c r="N17" i="54"/>
  <c r="N21" i="54"/>
  <c r="L21" i="55"/>
  <c r="K6" i="54" l="1"/>
  <c r="J6" i="54"/>
  <c r="I6" i="54"/>
  <c r="AB38" i="50"/>
  <c r="AI38" i="50" s="1"/>
  <c r="U38" i="50"/>
  <c r="AC38" i="50"/>
  <c r="AJ38" i="50" s="1"/>
  <c r="V38" i="50"/>
  <c r="AE38" i="50"/>
  <c r="AL38" i="50" s="1"/>
  <c r="X38" i="50"/>
  <c r="AD38" i="50"/>
  <c r="AK38" i="50" s="1"/>
  <c r="W38" i="50"/>
  <c r="AA39" i="50"/>
  <c r="AH39" i="50" s="1"/>
  <c r="T39" i="50"/>
  <c r="N20" i="54"/>
  <c r="AC39" i="50" l="1"/>
  <c r="AJ39" i="50" s="1"/>
  <c r="V39" i="50"/>
  <c r="AA40" i="50"/>
  <c r="AH40" i="50" s="1"/>
  <c r="T40" i="50"/>
  <c r="AB39" i="50"/>
  <c r="AI39" i="50" s="1"/>
  <c r="U39" i="50"/>
  <c r="AE39" i="50"/>
  <c r="AL39" i="50" s="1"/>
  <c r="X39" i="50"/>
  <c r="AD39" i="50"/>
  <c r="AK39" i="50" s="1"/>
  <c r="W39" i="50"/>
  <c r="AB40" i="50" l="1"/>
  <c r="AI40" i="50" s="1"/>
  <c r="U40" i="50"/>
  <c r="AA41" i="50"/>
  <c r="AH41" i="50" s="1"/>
  <c r="T41" i="50"/>
  <c r="AC40" i="50"/>
  <c r="AJ40" i="50" s="1"/>
  <c r="V40" i="50"/>
  <c r="AD40" i="50"/>
  <c r="AK40" i="50" s="1"/>
  <c r="W40" i="50"/>
  <c r="AE40" i="50"/>
  <c r="AL40" i="50" s="1"/>
  <c r="X40" i="50"/>
  <c r="AD41" i="50" l="1"/>
  <c r="AK41" i="50" s="1"/>
  <c r="W41" i="50"/>
  <c r="AC41" i="50"/>
  <c r="AJ41" i="50" s="1"/>
  <c r="V41" i="50"/>
  <c r="AE41" i="50"/>
  <c r="AL41" i="50" s="1"/>
  <c r="X41" i="50"/>
  <c r="AA42" i="50"/>
  <c r="AH42" i="50" s="1"/>
  <c r="T42" i="50"/>
  <c r="AB41" i="50"/>
  <c r="AI41" i="50" s="1"/>
  <c r="U41" i="50"/>
  <c r="AD42" i="50" l="1"/>
  <c r="AK42" i="50" s="1"/>
  <c r="W42" i="50"/>
  <c r="AA43" i="50"/>
  <c r="AH43" i="50" s="1"/>
  <c r="T43" i="50"/>
  <c r="AC42" i="50"/>
  <c r="AJ42" i="50" s="1"/>
  <c r="V42" i="50"/>
  <c r="AE42" i="50"/>
  <c r="AL42" i="50" s="1"/>
  <c r="X42" i="50"/>
  <c r="AB42" i="50"/>
  <c r="AI42" i="50" s="1"/>
  <c r="U42" i="50"/>
  <c r="AE43" i="50" l="1"/>
  <c r="AL43" i="50" s="1"/>
  <c r="X43" i="50"/>
  <c r="AC43" i="50"/>
  <c r="AJ43" i="50" s="1"/>
  <c r="V43" i="50"/>
  <c r="AA44" i="50"/>
  <c r="AH44" i="50" s="1"/>
  <c r="T44" i="50"/>
  <c r="AD43" i="50"/>
  <c r="AK43" i="50" s="1"/>
  <c r="W43" i="50"/>
  <c r="AB43" i="50"/>
  <c r="AI43" i="50" s="1"/>
  <c r="U43" i="50"/>
  <c r="AB44" i="50" l="1"/>
  <c r="AI44" i="50" s="1"/>
  <c r="U44" i="50"/>
  <c r="AA45" i="50"/>
  <c r="T45" i="50"/>
  <c r="AC44" i="50"/>
  <c r="AJ44" i="50" s="1"/>
  <c r="V44" i="50"/>
  <c r="AE44" i="50"/>
  <c r="AL44" i="50" s="1"/>
  <c r="X44" i="50"/>
  <c r="AD44" i="50"/>
  <c r="AK44" i="50" s="1"/>
  <c r="W44" i="50"/>
  <c r="AR66" i="50" l="1"/>
  <c r="AR8" i="50"/>
  <c r="AR38" i="50"/>
  <c r="AR96" i="50"/>
  <c r="AR95" i="50"/>
  <c r="AR37" i="50"/>
  <c r="AR124" i="50"/>
  <c r="AR9" i="50"/>
  <c r="AR125" i="50"/>
  <c r="AR67" i="50"/>
  <c r="AX67" i="50"/>
  <c r="AX124" i="50"/>
  <c r="AX66" i="50"/>
  <c r="AX38" i="50"/>
  <c r="AX96" i="50"/>
  <c r="AX8" i="50"/>
  <c r="AX37" i="50"/>
  <c r="AX95" i="50"/>
  <c r="AX9" i="50"/>
  <c r="AX125" i="50"/>
  <c r="AH45" i="50"/>
  <c r="AE45" i="50"/>
  <c r="X45" i="50"/>
  <c r="AB45" i="50"/>
  <c r="U45" i="50"/>
  <c r="AA46" i="50"/>
  <c r="AH46" i="50" s="1"/>
  <c r="T46" i="50"/>
  <c r="AD45" i="50"/>
  <c r="W45" i="50"/>
  <c r="AC45" i="50"/>
  <c r="V45" i="50"/>
  <c r="AK45" i="50" l="1"/>
  <c r="AI45" i="50"/>
  <c r="AJ45" i="50"/>
  <c r="AL45" i="50"/>
  <c r="AA47" i="50"/>
  <c r="AH47" i="50" s="1"/>
  <c r="T47" i="50"/>
  <c r="AE46" i="50"/>
  <c r="AL46" i="50" s="1"/>
  <c r="X46" i="50"/>
  <c r="AD46" i="50"/>
  <c r="AK46" i="50" s="1"/>
  <c r="W46" i="50"/>
  <c r="AB46" i="50"/>
  <c r="AI46" i="50" s="1"/>
  <c r="U46" i="50"/>
  <c r="AC46" i="50"/>
  <c r="AJ46" i="50" s="1"/>
  <c r="V46" i="50"/>
  <c r="AB47" i="50" l="1"/>
  <c r="AI47" i="50" s="1"/>
  <c r="U47" i="50"/>
  <c r="AA48" i="50"/>
  <c r="AH48" i="50" s="1"/>
  <c r="T48" i="50"/>
  <c r="AC47" i="50"/>
  <c r="AJ47" i="50" s="1"/>
  <c r="V47" i="50"/>
  <c r="AE47" i="50"/>
  <c r="AL47" i="50" s="1"/>
  <c r="X47" i="50"/>
  <c r="AD47" i="50"/>
  <c r="AK47" i="50" s="1"/>
  <c r="W47" i="50"/>
  <c r="AE48" i="50" l="1"/>
  <c r="AL48" i="50" s="1"/>
  <c r="X48" i="50"/>
  <c r="AC48" i="50"/>
  <c r="AJ48" i="50" s="1"/>
  <c r="V48" i="50"/>
  <c r="AD48" i="50"/>
  <c r="AK48" i="50" s="1"/>
  <c r="W48" i="50"/>
  <c r="AB48" i="50"/>
  <c r="AI48" i="50" s="1"/>
  <c r="U48" i="50"/>
  <c r="AA49" i="50"/>
  <c r="AH49" i="50" s="1"/>
  <c r="T49" i="50"/>
  <c r="AC49" i="50" l="1"/>
  <c r="AJ49" i="50" s="1"/>
  <c r="V49" i="50"/>
  <c r="AB49" i="50"/>
  <c r="AI49" i="50" s="1"/>
  <c r="U49" i="50"/>
  <c r="AE49" i="50"/>
  <c r="AL49" i="50" s="1"/>
  <c r="X49" i="50"/>
  <c r="AA50" i="50"/>
  <c r="AH50" i="50" s="1"/>
  <c r="T50" i="50"/>
  <c r="AD49" i="50"/>
  <c r="AK49" i="50" s="1"/>
  <c r="W49" i="50"/>
  <c r="AD50" i="50" l="1"/>
  <c r="AK50" i="50" s="1"/>
  <c r="W50" i="50"/>
  <c r="AA51" i="50"/>
  <c r="AH51" i="50" s="1"/>
  <c r="T51" i="50"/>
  <c r="AE50" i="50"/>
  <c r="AL50" i="50" s="1"/>
  <c r="X50" i="50"/>
  <c r="AB50" i="50"/>
  <c r="AI50" i="50" s="1"/>
  <c r="U50" i="50"/>
  <c r="AC50" i="50"/>
  <c r="AJ50" i="50" s="1"/>
  <c r="V50" i="50"/>
  <c r="AE51" i="50" l="1"/>
  <c r="AL51" i="50" s="1"/>
  <c r="X51" i="50"/>
  <c r="AD51" i="50"/>
  <c r="AK51" i="50" s="1"/>
  <c r="W51" i="50"/>
  <c r="AC51" i="50"/>
  <c r="AJ51" i="50" s="1"/>
  <c r="V51" i="50"/>
  <c r="AA52" i="50"/>
  <c r="AH52" i="50" s="1"/>
  <c r="T52" i="50"/>
  <c r="AB51" i="50"/>
  <c r="AI51" i="50" s="1"/>
  <c r="U51" i="50"/>
  <c r="AA53" i="50" l="1"/>
  <c r="AH53" i="50" s="1"/>
  <c r="T53" i="50"/>
  <c r="AC52" i="50"/>
  <c r="AJ52" i="50" s="1"/>
  <c r="V52" i="50"/>
  <c r="AD52" i="50"/>
  <c r="AK52" i="50" s="1"/>
  <c r="W52" i="50"/>
  <c r="AB52" i="50"/>
  <c r="AI52" i="50" s="1"/>
  <c r="U52" i="50"/>
  <c r="AE52" i="50"/>
  <c r="AL52" i="50" s="1"/>
  <c r="X52" i="50"/>
  <c r="AC53" i="50" l="1"/>
  <c r="AJ53" i="50" s="1"/>
  <c r="V53" i="50"/>
  <c r="AE53" i="50"/>
  <c r="AL53" i="50" s="1"/>
  <c r="X53" i="50"/>
  <c r="AB53" i="50"/>
  <c r="AI53" i="50" s="1"/>
  <c r="U53" i="50"/>
  <c r="AA54" i="50"/>
  <c r="AH54" i="50" s="1"/>
  <c r="T54" i="50"/>
  <c r="AD53" i="50"/>
  <c r="AK53" i="50" s="1"/>
  <c r="W53" i="50"/>
  <c r="AA55" i="50" l="1"/>
  <c r="AH55" i="50" s="1"/>
  <c r="T55" i="50"/>
  <c r="AC54" i="50"/>
  <c r="AJ54" i="50" s="1"/>
  <c r="V54" i="50"/>
  <c r="AB54" i="50"/>
  <c r="AI54" i="50" s="1"/>
  <c r="U54" i="50"/>
  <c r="AE54" i="50"/>
  <c r="AL54" i="50" s="1"/>
  <c r="X54" i="50"/>
  <c r="AD54" i="50"/>
  <c r="AK54" i="50" s="1"/>
  <c r="W54" i="50"/>
  <c r="AC55" i="50" l="1"/>
  <c r="AJ55" i="50" s="1"/>
  <c r="V55" i="50"/>
  <c r="AE55" i="50"/>
  <c r="AL55" i="50" s="1"/>
  <c r="X55" i="50"/>
  <c r="AB55" i="50"/>
  <c r="AI55" i="50" s="1"/>
  <c r="U55" i="50"/>
  <c r="AA56" i="50"/>
  <c r="AH56" i="50" s="1"/>
  <c r="T56" i="50"/>
  <c r="AD55" i="50"/>
  <c r="AK55" i="50" s="1"/>
  <c r="W55" i="50"/>
  <c r="AD56" i="50" l="1"/>
  <c r="AK56" i="50" s="1"/>
  <c r="W56" i="50"/>
  <c r="AC56" i="50"/>
  <c r="AJ56" i="50" s="1"/>
  <c r="V56" i="50"/>
  <c r="AA57" i="50"/>
  <c r="AH57" i="50" s="1"/>
  <c r="T57" i="50"/>
  <c r="AE56" i="50"/>
  <c r="AL56" i="50" s="1"/>
  <c r="X56" i="50"/>
  <c r="AB56" i="50"/>
  <c r="AI56" i="50" s="1"/>
  <c r="U56" i="50"/>
  <c r="AD57" i="50" l="1"/>
  <c r="AK57" i="50" s="1"/>
  <c r="W57" i="50"/>
  <c r="AE57" i="50"/>
  <c r="AL57" i="50" s="1"/>
  <c r="X57" i="50"/>
  <c r="AA58" i="50"/>
  <c r="AH58" i="50" s="1"/>
  <c r="T58" i="50"/>
  <c r="AC57" i="50"/>
  <c r="AJ57" i="50" s="1"/>
  <c r="V57" i="50"/>
  <c r="AB57" i="50"/>
  <c r="AI57" i="50" s="1"/>
  <c r="U57" i="50"/>
  <c r="AD58" i="50" l="1"/>
  <c r="AK58" i="50" s="1"/>
  <c r="W58" i="50"/>
  <c r="AB58" i="50"/>
  <c r="AI58" i="50" s="1"/>
  <c r="U58" i="50"/>
  <c r="AA59" i="50"/>
  <c r="AH59" i="50" s="1"/>
  <c r="T59" i="50"/>
  <c r="AC58" i="50"/>
  <c r="AJ58" i="50" s="1"/>
  <c r="V58" i="50"/>
  <c r="AE58" i="50"/>
  <c r="AL58" i="50" s="1"/>
  <c r="X58" i="50"/>
  <c r="AB59" i="50" l="1"/>
  <c r="AI59" i="50" s="1"/>
  <c r="U59" i="50"/>
  <c r="AE59" i="50"/>
  <c r="AL59" i="50" s="1"/>
  <c r="X59" i="50"/>
  <c r="AC59" i="50"/>
  <c r="AJ59" i="50" s="1"/>
  <c r="V59" i="50"/>
  <c r="AA60" i="50"/>
  <c r="AH60" i="50" s="1"/>
  <c r="T60" i="50"/>
  <c r="AD59" i="50"/>
  <c r="AK59" i="50" s="1"/>
  <c r="W59" i="50"/>
  <c r="AV50" i="56"/>
  <c r="AC86" i="56"/>
  <c r="AV79" i="56"/>
  <c r="AV57" i="56"/>
  <c r="AC50" i="56"/>
  <c r="AV76" i="56"/>
  <c r="AV83" i="56"/>
  <c r="AV9" i="56"/>
  <c r="AV15" i="56"/>
  <c r="AV60" i="56"/>
  <c r="AC43" i="56"/>
  <c r="L5" i="55"/>
  <c r="AC96" i="56"/>
  <c r="AC53" i="56"/>
  <c r="AC71" i="56"/>
  <c r="AC69" i="56"/>
  <c r="AV45" i="56"/>
  <c r="AV39" i="56"/>
  <c r="AC27" i="56"/>
  <c r="AV67" i="56"/>
  <c r="AC65" i="56"/>
  <c r="AC31" i="56"/>
  <c r="AC78" i="56"/>
  <c r="AV7" i="56"/>
  <c r="AC74" i="56"/>
  <c r="AC37" i="56"/>
  <c r="AV89" i="56"/>
  <c r="AV48" i="56"/>
  <c r="AV102" i="56"/>
  <c r="AC55" i="56"/>
  <c r="AV56" i="56"/>
  <c r="AC97" i="56"/>
  <c r="AV58" i="56"/>
  <c r="AC60" i="50" l="1"/>
  <c r="AJ60" i="50" s="1"/>
  <c r="V60" i="50"/>
  <c r="AD60" i="50"/>
  <c r="AK60" i="50" s="1"/>
  <c r="W60" i="50"/>
  <c r="AA61" i="50"/>
  <c r="AH61" i="50" s="1"/>
  <c r="T61" i="50"/>
  <c r="AE60" i="50"/>
  <c r="AL60" i="50" s="1"/>
  <c r="X60" i="50"/>
  <c r="AB60" i="50"/>
  <c r="AI60" i="50" s="1"/>
  <c r="U60" i="50"/>
  <c r="AV12" i="56"/>
  <c r="AC36" i="56"/>
  <c r="AC66" i="56"/>
  <c r="AC76" i="56"/>
  <c r="AV52" i="56"/>
  <c r="AC80" i="56"/>
  <c r="AC29" i="56"/>
  <c r="AC89" i="56"/>
  <c r="AC67" i="56"/>
  <c r="AC35" i="56"/>
  <c r="AC102" i="56"/>
  <c r="AC70" i="56"/>
  <c r="AC34" i="56"/>
  <c r="AC79" i="56"/>
  <c r="AV49" i="56"/>
  <c r="AV16" i="56"/>
  <c r="AV40" i="56"/>
  <c r="AC98" i="56"/>
  <c r="AV41" i="56"/>
  <c r="AV92" i="56"/>
  <c r="AC56" i="56"/>
  <c r="AV18" i="56"/>
  <c r="AV35" i="56"/>
  <c r="AC84" i="56"/>
  <c r="AV82" i="56"/>
  <c r="AC103" i="56"/>
  <c r="AC49" i="56"/>
  <c r="AV62" i="56"/>
  <c r="AC77" i="56"/>
  <c r="AC52" i="56"/>
  <c r="AC41" i="56"/>
  <c r="AC51" i="56"/>
  <c r="AC57" i="56"/>
  <c r="AV43" i="56"/>
  <c r="AC87" i="56"/>
  <c r="AV98" i="56"/>
  <c r="AV100" i="56"/>
  <c r="AV59" i="56"/>
  <c r="AV25" i="56"/>
  <c r="AV85" i="56"/>
  <c r="AV94" i="56"/>
  <c r="AV68" i="56"/>
  <c r="AC83" i="56"/>
  <c r="AV90" i="56"/>
  <c r="AC48" i="56"/>
  <c r="AV96" i="56"/>
  <c r="AV47" i="56"/>
  <c r="AV87" i="56"/>
  <c r="AV70" i="56"/>
  <c r="AC47" i="56"/>
  <c r="AV26" i="56"/>
  <c r="AC81" i="56"/>
  <c r="AC88" i="56"/>
  <c r="AC85" i="56"/>
  <c r="AV33" i="56"/>
  <c r="AC26" i="56"/>
  <c r="AV46" i="56"/>
  <c r="AV55" i="56"/>
  <c r="AV78" i="56"/>
  <c r="AV93" i="56"/>
  <c r="AC60" i="56"/>
  <c r="AC61" i="56"/>
  <c r="AV75" i="56"/>
  <c r="AC32" i="56"/>
  <c r="AV81" i="56"/>
  <c r="AV86" i="56"/>
  <c r="AV64" i="56"/>
  <c r="AC99" i="56"/>
  <c r="AV103" i="56"/>
  <c r="AV91" i="56"/>
  <c r="AV20" i="56"/>
  <c r="AV73" i="56"/>
  <c r="AC92" i="56"/>
  <c r="AV88" i="56"/>
  <c r="AC58" i="56"/>
  <c r="AC91" i="56"/>
  <c r="AV19" i="56"/>
  <c r="AV6" i="56"/>
  <c r="AV69" i="56"/>
  <c r="AV84" i="56"/>
  <c r="AC73" i="56"/>
  <c r="AV44" i="56"/>
  <c r="AC46" i="56"/>
  <c r="AC72" i="56"/>
  <c r="AC90" i="56"/>
  <c r="AV37" i="56"/>
  <c r="AC44" i="56"/>
  <c r="AV23" i="56"/>
  <c r="AV30" i="56"/>
  <c r="AV63" i="56"/>
  <c r="AV31" i="56"/>
  <c r="AC28" i="56"/>
  <c r="AV95" i="56"/>
  <c r="AV74" i="56"/>
  <c r="AV99" i="56"/>
  <c r="AV36" i="56"/>
  <c r="AC75" i="56"/>
  <c r="AC93" i="56"/>
  <c r="AC54" i="56"/>
  <c r="AV104" i="56"/>
  <c r="AV72" i="56"/>
  <c r="AC100" i="56"/>
  <c r="AV34" i="56"/>
  <c r="AC25" i="56"/>
  <c r="AC104" i="56"/>
  <c r="AC59" i="56"/>
  <c r="AC24" i="56"/>
  <c r="AV21" i="56"/>
  <c r="AV42" i="56"/>
  <c r="AC42" i="56"/>
  <c r="AV71" i="56"/>
  <c r="AC94" i="56"/>
  <c r="AV13" i="56"/>
  <c r="AV66" i="56"/>
  <c r="AC33" i="56"/>
  <c r="AV101" i="56"/>
  <c r="AV61" i="56"/>
  <c r="AC62" i="56"/>
  <c r="AC63" i="56"/>
  <c r="AV24" i="56"/>
  <c r="AC64" i="56"/>
  <c r="AV54" i="56"/>
  <c r="AV97" i="56"/>
  <c r="AV29" i="56"/>
  <c r="AV17" i="56"/>
  <c r="AV5" i="56"/>
  <c r="AC95" i="56"/>
  <c r="AC38" i="56"/>
  <c r="AV8" i="56"/>
  <c r="AV65" i="56"/>
  <c r="AC82" i="56"/>
  <c r="AC40" i="56"/>
  <c r="AV14" i="56"/>
  <c r="AC45" i="56"/>
  <c r="AC39" i="56"/>
  <c r="AV77" i="56"/>
  <c r="AV80" i="56"/>
  <c r="AV38" i="56"/>
  <c r="AV51" i="56"/>
  <c r="AV28" i="56"/>
  <c r="AC68" i="56"/>
  <c r="AV10" i="56"/>
  <c r="AV22" i="56"/>
  <c r="AV53" i="56"/>
  <c r="AV11" i="56"/>
  <c r="AC30" i="56"/>
  <c r="AV32" i="56"/>
  <c r="AC101" i="56"/>
  <c r="AV27" i="56"/>
  <c r="AD61" i="50" l="1"/>
  <c r="AK61" i="50" s="1"/>
  <c r="W61" i="50"/>
  <c r="AA62" i="50"/>
  <c r="AH62" i="50" s="1"/>
  <c r="T62" i="50"/>
  <c r="AC61" i="50"/>
  <c r="AJ61" i="50" s="1"/>
  <c r="V61" i="50"/>
  <c r="AE61" i="50"/>
  <c r="AL61" i="50" s="1"/>
  <c r="X61" i="50"/>
  <c r="AB61" i="50"/>
  <c r="AI61" i="50" s="1"/>
  <c r="U61" i="50"/>
  <c r="AD62" i="50" l="1"/>
  <c r="AK62" i="50" s="1"/>
  <c r="W62" i="50"/>
  <c r="AE62" i="50"/>
  <c r="AL62" i="50" s="1"/>
  <c r="X62" i="50"/>
  <c r="AB62" i="50"/>
  <c r="AI62" i="50" s="1"/>
  <c r="U62" i="50"/>
  <c r="AA63" i="50"/>
  <c r="AH63" i="50" s="1"/>
  <c r="T63" i="50"/>
  <c r="AC62" i="50"/>
  <c r="AJ62" i="50" s="1"/>
  <c r="V62" i="50"/>
  <c r="AD63" i="50" l="1"/>
  <c r="AK63" i="50" s="1"/>
  <c r="W63" i="50"/>
  <c r="AC63" i="50"/>
  <c r="AJ63" i="50" s="1"/>
  <c r="V63" i="50"/>
  <c r="AB63" i="50"/>
  <c r="AI63" i="50" s="1"/>
  <c r="U63" i="50"/>
  <c r="T64" i="50"/>
  <c r="AA64" i="50"/>
  <c r="AH64" i="50" s="1"/>
  <c r="AE63" i="50"/>
  <c r="AL63" i="50" s="1"/>
  <c r="X63" i="50"/>
  <c r="AE64" i="50" l="1"/>
  <c r="AL64" i="50" s="1"/>
  <c r="X64" i="50"/>
  <c r="AA65" i="50"/>
  <c r="AH65" i="50" s="1"/>
  <c r="T65" i="50"/>
  <c r="AD64" i="50"/>
  <c r="AK64" i="50" s="1"/>
  <c r="W64" i="50"/>
  <c r="AB64" i="50"/>
  <c r="AI64" i="50" s="1"/>
  <c r="U64" i="50"/>
  <c r="AC64" i="50"/>
  <c r="AJ64" i="50" s="1"/>
  <c r="V64" i="50"/>
  <c r="AZ95" i="50" l="1"/>
  <c r="AZ8" i="50"/>
  <c r="AZ37" i="50"/>
  <c r="AZ124" i="50"/>
  <c r="AZ66" i="50"/>
  <c r="AY8" i="50"/>
  <c r="AY37" i="50"/>
  <c r="AY95" i="50"/>
  <c r="AY124" i="50"/>
  <c r="AY66" i="50"/>
  <c r="AT37" i="50"/>
  <c r="AT66" i="50"/>
  <c r="AT124" i="50"/>
  <c r="AT8" i="50"/>
  <c r="AT95" i="50"/>
  <c r="AS8" i="50"/>
  <c r="AS66" i="50"/>
  <c r="AS37" i="50"/>
  <c r="AS95" i="50"/>
  <c r="AS124" i="50"/>
  <c r="T66" i="50"/>
  <c r="AA66" i="50"/>
  <c r="AH66" i="50" s="1"/>
  <c r="AC65" i="50"/>
  <c r="AJ65" i="50" s="1"/>
  <c r="V65" i="50"/>
  <c r="AB65" i="50"/>
  <c r="AI65" i="50" s="1"/>
  <c r="U65" i="50"/>
  <c r="AE65" i="50"/>
  <c r="AL65" i="50" s="1"/>
  <c r="X65" i="50"/>
  <c r="AD65" i="50"/>
  <c r="AK65" i="50" s="1"/>
  <c r="W65" i="50"/>
  <c r="BB8" i="50" l="1"/>
  <c r="CJ8" i="50" s="1"/>
  <c r="CK8" i="50" s="1"/>
  <c r="CP8" i="50" s="1"/>
  <c r="AV8" i="50"/>
  <c r="AV37" i="50"/>
  <c r="AV124" i="50"/>
  <c r="BB95" i="50"/>
  <c r="CJ143" i="50" s="1"/>
  <c r="BB124" i="50"/>
  <c r="CJ188" i="50" s="1"/>
  <c r="BB66" i="50"/>
  <c r="CJ98" i="50" s="1"/>
  <c r="AV66" i="50"/>
  <c r="AV95" i="50"/>
  <c r="BB37" i="50"/>
  <c r="CJ53" i="50" s="1"/>
  <c r="AB66" i="50"/>
  <c r="AI66" i="50" s="1"/>
  <c r="U66" i="50"/>
  <c r="AA67" i="50"/>
  <c r="AH67" i="50" s="1"/>
  <c r="T67" i="50"/>
  <c r="AC66" i="50"/>
  <c r="AJ66" i="50" s="1"/>
  <c r="V66" i="50"/>
  <c r="AE66" i="50"/>
  <c r="AL66" i="50" s="1"/>
  <c r="X66" i="50"/>
  <c r="AD66" i="50"/>
  <c r="AK66" i="50" s="1"/>
  <c r="W66" i="50"/>
  <c r="CL98" i="50" l="1"/>
  <c r="CL188" i="50"/>
  <c r="CL53" i="50"/>
  <c r="CL8" i="50"/>
  <c r="CM8" i="50" s="1"/>
  <c r="CQ8" i="50" s="1"/>
  <c r="CR8" i="50" s="1"/>
  <c r="C7" i="54"/>
  <c r="CL143" i="50"/>
  <c r="C7" i="55"/>
  <c r="AB67" i="50"/>
  <c r="AI67" i="50" s="1"/>
  <c r="U67" i="50"/>
  <c r="AC67" i="50"/>
  <c r="AJ67" i="50" s="1"/>
  <c r="V67" i="50"/>
  <c r="AA68" i="50"/>
  <c r="AH68" i="50" s="1"/>
  <c r="T68" i="50"/>
  <c r="AD67" i="50"/>
  <c r="AK67" i="50" s="1"/>
  <c r="W67" i="50"/>
  <c r="AE67" i="50"/>
  <c r="AL67" i="50" s="1"/>
  <c r="X67" i="50"/>
  <c r="L26" i="55"/>
  <c r="L25" i="55"/>
  <c r="L27" i="55"/>
  <c r="N33" i="54"/>
  <c r="L31" i="55"/>
  <c r="N30" i="54"/>
  <c r="L30" i="55"/>
  <c r="N25" i="54"/>
  <c r="L32" i="55"/>
  <c r="L24" i="55"/>
  <c r="N31" i="54"/>
  <c r="L28" i="55"/>
  <c r="N28" i="54"/>
  <c r="N29" i="54"/>
  <c r="N24" i="54"/>
  <c r="N27" i="54"/>
  <c r="L29" i="55"/>
  <c r="N32" i="54"/>
  <c r="N26" i="54"/>
  <c r="L33" i="55"/>
  <c r="J7" i="54" l="1"/>
  <c r="K7" i="54"/>
  <c r="I7" i="54"/>
  <c r="T69" i="50"/>
  <c r="AA69" i="50"/>
  <c r="AH69" i="50" s="1"/>
  <c r="AB68" i="50"/>
  <c r="AI68" i="50" s="1"/>
  <c r="U68" i="50"/>
  <c r="AD68" i="50"/>
  <c r="AK68" i="50" s="1"/>
  <c r="W68" i="50"/>
  <c r="AE68" i="50"/>
  <c r="AL68" i="50" s="1"/>
  <c r="X68" i="50"/>
  <c r="AC68" i="50"/>
  <c r="AJ68" i="50" s="1"/>
  <c r="V68" i="50"/>
  <c r="T70" i="50" l="1"/>
  <c r="AA70" i="50"/>
  <c r="AH70" i="50" s="1"/>
  <c r="AC69" i="50"/>
  <c r="AJ69" i="50" s="1"/>
  <c r="V69" i="50"/>
  <c r="AE69" i="50"/>
  <c r="AL69" i="50" s="1"/>
  <c r="X69" i="50"/>
  <c r="AD69" i="50"/>
  <c r="AK69" i="50" s="1"/>
  <c r="W69" i="50"/>
  <c r="AB69" i="50"/>
  <c r="AI69" i="50" s="1"/>
  <c r="U69" i="50"/>
  <c r="AB70" i="50" l="1"/>
  <c r="AI70" i="50" s="1"/>
  <c r="U70" i="50"/>
  <c r="T71" i="50"/>
  <c r="AA71" i="50"/>
  <c r="AH71" i="50" s="1"/>
  <c r="AC70" i="50"/>
  <c r="AJ70" i="50" s="1"/>
  <c r="V70" i="50"/>
  <c r="AE70" i="50"/>
  <c r="AL70" i="50" s="1"/>
  <c r="X70" i="50"/>
  <c r="AD70" i="50"/>
  <c r="AK70" i="50" s="1"/>
  <c r="W70" i="50"/>
  <c r="AC71" i="50" l="1"/>
  <c r="AJ71" i="50" s="1"/>
  <c r="V71" i="50"/>
  <c r="AE71" i="50"/>
  <c r="AL71" i="50" s="1"/>
  <c r="X71" i="50"/>
  <c r="AB71" i="50"/>
  <c r="AI71" i="50" s="1"/>
  <c r="U71" i="50"/>
  <c r="AA72" i="50"/>
  <c r="AH72" i="50" s="1"/>
  <c r="T72" i="50"/>
  <c r="AD71" i="50"/>
  <c r="AK71" i="50" s="1"/>
  <c r="W71" i="50"/>
  <c r="T73" i="50" l="1"/>
  <c r="AA73" i="50"/>
  <c r="AH73" i="50" s="1"/>
  <c r="AB72" i="50"/>
  <c r="AI72" i="50" s="1"/>
  <c r="U72" i="50"/>
  <c r="AD72" i="50"/>
  <c r="AK72" i="50" s="1"/>
  <c r="W72" i="50"/>
  <c r="AE72" i="50"/>
  <c r="AL72" i="50" s="1"/>
  <c r="X72" i="50"/>
  <c r="AC72" i="50"/>
  <c r="AJ72" i="50" s="1"/>
  <c r="V72" i="50"/>
  <c r="T74" i="50" l="1"/>
  <c r="AA74" i="50"/>
  <c r="AH74" i="50" s="1"/>
  <c r="AC73" i="50"/>
  <c r="AJ73" i="50" s="1"/>
  <c r="V73" i="50"/>
  <c r="AD73" i="50"/>
  <c r="AK73" i="50" s="1"/>
  <c r="W73" i="50"/>
  <c r="AE73" i="50"/>
  <c r="AL73" i="50" s="1"/>
  <c r="X73" i="50"/>
  <c r="AB73" i="50"/>
  <c r="AI73" i="50" s="1"/>
  <c r="U73" i="50"/>
  <c r="T75" i="50" l="1"/>
  <c r="AA75" i="50"/>
  <c r="AH75" i="50" s="1"/>
  <c r="AC74" i="50"/>
  <c r="AJ74" i="50" s="1"/>
  <c r="V74" i="50"/>
  <c r="AB74" i="50"/>
  <c r="AI74" i="50" s="1"/>
  <c r="U74" i="50"/>
  <c r="AE74" i="50"/>
  <c r="AL74" i="50" s="1"/>
  <c r="X74" i="50"/>
  <c r="AD74" i="50"/>
  <c r="AK74" i="50" s="1"/>
  <c r="W74" i="50"/>
  <c r="AA76" i="50" l="1"/>
  <c r="AH76" i="50" s="1"/>
  <c r="T76" i="50"/>
  <c r="AD75" i="50"/>
  <c r="AK75" i="50" s="1"/>
  <c r="W75" i="50"/>
  <c r="AE75" i="50"/>
  <c r="AL75" i="50" s="1"/>
  <c r="X75" i="50"/>
  <c r="AC75" i="50"/>
  <c r="AJ75" i="50" s="1"/>
  <c r="V75" i="50"/>
  <c r="AB75" i="50"/>
  <c r="AI75" i="50" s="1"/>
  <c r="U75" i="50"/>
  <c r="T77" i="50" l="1"/>
  <c r="AA77" i="50"/>
  <c r="AH77" i="50" s="1"/>
  <c r="AE76" i="50"/>
  <c r="AL76" i="50" s="1"/>
  <c r="X76" i="50"/>
  <c r="AC76" i="50"/>
  <c r="AJ76" i="50" s="1"/>
  <c r="V76" i="50"/>
  <c r="AB76" i="50"/>
  <c r="AI76" i="50" s="1"/>
  <c r="U76" i="50"/>
  <c r="AD76" i="50"/>
  <c r="AK76" i="50" s="1"/>
  <c r="W76" i="50"/>
  <c r="T78" i="50" l="1"/>
  <c r="AA78" i="50"/>
  <c r="AH78" i="50" s="1"/>
  <c r="AC77" i="50"/>
  <c r="AJ77" i="50" s="1"/>
  <c r="V77" i="50"/>
  <c r="AB77" i="50"/>
  <c r="AI77" i="50" s="1"/>
  <c r="U77" i="50"/>
  <c r="AD77" i="50"/>
  <c r="AK77" i="50" s="1"/>
  <c r="W77" i="50"/>
  <c r="AE77" i="50"/>
  <c r="AL77" i="50" s="1"/>
  <c r="X77" i="50"/>
  <c r="T79" i="50" l="1"/>
  <c r="AA79" i="50"/>
  <c r="AH79" i="50" s="1"/>
  <c r="AC78" i="50"/>
  <c r="AJ78" i="50" s="1"/>
  <c r="V78" i="50"/>
  <c r="AB78" i="50"/>
  <c r="AI78" i="50" s="1"/>
  <c r="U78" i="50"/>
  <c r="AE78" i="50"/>
  <c r="AL78" i="50" s="1"/>
  <c r="X78" i="50"/>
  <c r="AD78" i="50"/>
  <c r="AK78" i="50" s="1"/>
  <c r="W78" i="50"/>
  <c r="T80" i="50" l="1"/>
  <c r="AA80" i="50"/>
  <c r="AH80" i="50" s="1"/>
  <c r="AD79" i="50"/>
  <c r="AK79" i="50" s="1"/>
  <c r="W79" i="50"/>
  <c r="AE79" i="50"/>
  <c r="AL79" i="50" s="1"/>
  <c r="X79" i="50"/>
  <c r="AC79" i="50"/>
  <c r="AJ79" i="50" s="1"/>
  <c r="V79" i="50"/>
  <c r="AB79" i="50"/>
  <c r="AI79" i="50" s="1"/>
  <c r="U79" i="50"/>
  <c r="T81" i="50" l="1"/>
  <c r="AA81" i="50"/>
  <c r="AH81" i="50" s="1"/>
  <c r="AE80" i="50"/>
  <c r="AL80" i="50" s="1"/>
  <c r="X80" i="50"/>
  <c r="AC80" i="50"/>
  <c r="AJ80" i="50" s="1"/>
  <c r="V80" i="50"/>
  <c r="AD80" i="50"/>
  <c r="AK80" i="50" s="1"/>
  <c r="W80" i="50"/>
  <c r="AB80" i="50"/>
  <c r="AI80" i="50" s="1"/>
  <c r="U80" i="50"/>
  <c r="AD81" i="50" l="1"/>
  <c r="AK81" i="50" s="1"/>
  <c r="W81" i="50"/>
  <c r="T82" i="50"/>
  <c r="AA82" i="50"/>
  <c r="AH82" i="50" s="1"/>
  <c r="AC81" i="50"/>
  <c r="AJ81" i="50" s="1"/>
  <c r="V81" i="50"/>
  <c r="AB81" i="50"/>
  <c r="AI81" i="50" s="1"/>
  <c r="U81" i="50"/>
  <c r="AE81" i="50"/>
  <c r="AL81" i="50" s="1"/>
  <c r="X81" i="50"/>
  <c r="AE82" i="50" l="1"/>
  <c r="AL82" i="50" s="1"/>
  <c r="X82" i="50"/>
  <c r="AD82" i="50"/>
  <c r="AK82" i="50" s="1"/>
  <c r="W82" i="50"/>
  <c r="AB82" i="50"/>
  <c r="AI82" i="50" s="1"/>
  <c r="U82" i="50"/>
  <c r="T83" i="50"/>
  <c r="AA83" i="50"/>
  <c r="AH83" i="50" s="1"/>
  <c r="AC82" i="50"/>
  <c r="AJ82" i="50" s="1"/>
  <c r="V82" i="50"/>
  <c r="AB83" i="50" l="1"/>
  <c r="AI83" i="50" s="1"/>
  <c r="U83" i="50"/>
  <c r="AC83" i="50"/>
  <c r="AJ83" i="50" s="1"/>
  <c r="V83" i="50"/>
  <c r="AE83" i="50"/>
  <c r="AL83" i="50" s="1"/>
  <c r="X83" i="50"/>
  <c r="T84" i="50"/>
  <c r="AA84" i="50"/>
  <c r="AH84" i="50" s="1"/>
  <c r="AD83" i="50"/>
  <c r="AK83" i="50" s="1"/>
  <c r="W83" i="50"/>
  <c r="AD84" i="50" l="1"/>
  <c r="AK84" i="50" s="1"/>
  <c r="W84" i="50"/>
  <c r="AC84" i="50"/>
  <c r="AJ84" i="50" s="1"/>
  <c r="V84" i="50"/>
  <c r="AB84" i="50"/>
  <c r="AI84" i="50" s="1"/>
  <c r="U84" i="50"/>
  <c r="T85" i="50"/>
  <c r="AA85" i="50"/>
  <c r="AH85" i="50" s="1"/>
  <c r="AE84" i="50"/>
  <c r="AL84" i="50" s="1"/>
  <c r="X84" i="50"/>
  <c r="AY126" i="50" l="1"/>
  <c r="AY97" i="50"/>
  <c r="AY39" i="50"/>
  <c r="AY68" i="50"/>
  <c r="AY9" i="50"/>
  <c r="AY96" i="50"/>
  <c r="AY67" i="50"/>
  <c r="AY10" i="50"/>
  <c r="AY38" i="50"/>
  <c r="AY125" i="50"/>
  <c r="AS126" i="50"/>
  <c r="AS39" i="50"/>
  <c r="AS97" i="50"/>
  <c r="AS38" i="50"/>
  <c r="AS9" i="50"/>
  <c r="AS125" i="50"/>
  <c r="AS67" i="50"/>
  <c r="AS68" i="50"/>
  <c r="AS96" i="50"/>
  <c r="AS10" i="50"/>
  <c r="AZ9" i="50"/>
  <c r="AZ125" i="50"/>
  <c r="AZ67" i="50"/>
  <c r="AZ38" i="50"/>
  <c r="AZ96" i="50"/>
  <c r="AT9" i="50"/>
  <c r="AT96" i="50"/>
  <c r="AT38" i="50"/>
  <c r="AT67" i="50"/>
  <c r="AT125" i="50"/>
  <c r="AE85" i="50"/>
  <c r="AL85" i="50" s="1"/>
  <c r="X85" i="50"/>
  <c r="AB85" i="50"/>
  <c r="AI85" i="50" s="1"/>
  <c r="U85" i="50"/>
  <c r="AD85" i="50"/>
  <c r="AK85" i="50" s="1"/>
  <c r="W85" i="50"/>
  <c r="T86" i="50"/>
  <c r="AA86" i="50"/>
  <c r="AH86" i="50" s="1"/>
  <c r="AC85" i="50"/>
  <c r="AJ85" i="50" s="1"/>
  <c r="V85" i="50"/>
  <c r="BB9" i="50" l="1"/>
  <c r="CJ9" i="50" s="1"/>
  <c r="CK9" i="50" s="1"/>
  <c r="BB96" i="50"/>
  <c r="CJ144" i="50" s="1"/>
  <c r="AV38" i="50"/>
  <c r="AV125" i="50"/>
  <c r="BB125" i="50"/>
  <c r="CJ189" i="50" s="1"/>
  <c r="AV67" i="50"/>
  <c r="AV9" i="50"/>
  <c r="BB38" i="50"/>
  <c r="CJ54" i="50" s="1"/>
  <c r="AV96" i="50"/>
  <c r="BB67" i="50"/>
  <c r="CJ99" i="50" s="1"/>
  <c r="AB86" i="50"/>
  <c r="AI86" i="50" s="1"/>
  <c r="U86" i="50"/>
  <c r="T87" i="50"/>
  <c r="AA87" i="50"/>
  <c r="AH87" i="50" s="1"/>
  <c r="AC86" i="50"/>
  <c r="AJ86" i="50" s="1"/>
  <c r="V86" i="50"/>
  <c r="AE86" i="50"/>
  <c r="AL86" i="50" s="1"/>
  <c r="X86" i="50"/>
  <c r="AD86" i="50"/>
  <c r="AK86" i="50" s="1"/>
  <c r="W86" i="50"/>
  <c r="CL189" i="50" l="1"/>
  <c r="CL54" i="50"/>
  <c r="CL99" i="50"/>
  <c r="CL9" i="50"/>
  <c r="CM9" i="50" s="1"/>
  <c r="CQ9" i="50" s="1"/>
  <c r="C8" i="54"/>
  <c r="CL144" i="50"/>
  <c r="C8" i="55"/>
  <c r="CP9" i="50"/>
  <c r="AC87" i="50"/>
  <c r="AJ87" i="50" s="1"/>
  <c r="V87" i="50"/>
  <c r="AB87" i="50"/>
  <c r="AI87" i="50" s="1"/>
  <c r="U87" i="50"/>
  <c r="AE87" i="50"/>
  <c r="AL87" i="50" s="1"/>
  <c r="X87" i="50"/>
  <c r="T88" i="50"/>
  <c r="AA88" i="50"/>
  <c r="AH88" i="50" s="1"/>
  <c r="AD87" i="50"/>
  <c r="AK87" i="50" s="1"/>
  <c r="W87" i="50"/>
  <c r="L35" i="55"/>
  <c r="L42" i="55"/>
  <c r="L34" i="55"/>
  <c r="L38" i="55"/>
  <c r="L39" i="55"/>
  <c r="N43" i="54"/>
  <c r="L41" i="55"/>
  <c r="L37" i="55"/>
  <c r="L36" i="55"/>
  <c r="N35" i="54"/>
  <c r="N37" i="54"/>
  <c r="L40" i="55"/>
  <c r="L43" i="55"/>
  <c r="N41" i="54"/>
  <c r="N38" i="54"/>
  <c r="N39" i="54"/>
  <c r="N34" i="54"/>
  <c r="N42" i="54"/>
  <c r="N36" i="54"/>
  <c r="N40" i="54"/>
  <c r="K8" i="54" l="1"/>
  <c r="J8" i="54"/>
  <c r="CR9" i="50"/>
  <c r="I8" i="54"/>
  <c r="AD88" i="50"/>
  <c r="AK88" i="50" s="1"/>
  <c r="W88" i="50"/>
  <c r="AC88" i="50"/>
  <c r="AJ88" i="50" s="1"/>
  <c r="V88" i="50"/>
  <c r="T89" i="50"/>
  <c r="AA89" i="50"/>
  <c r="AH89" i="50" s="1"/>
  <c r="AE88" i="50"/>
  <c r="AL88" i="50" s="1"/>
  <c r="X88" i="50"/>
  <c r="AB88" i="50"/>
  <c r="AI88" i="50" s="1"/>
  <c r="U88" i="50"/>
  <c r="T90" i="50" l="1"/>
  <c r="AA90" i="50"/>
  <c r="AH90" i="50" s="1"/>
  <c r="AC89" i="50"/>
  <c r="AJ89" i="50" s="1"/>
  <c r="V89" i="50"/>
  <c r="AE89" i="50"/>
  <c r="AL89" i="50" s="1"/>
  <c r="X89" i="50"/>
  <c r="AD89" i="50"/>
  <c r="AK89" i="50" s="1"/>
  <c r="W89" i="50"/>
  <c r="AB89" i="50"/>
  <c r="AI89" i="50" s="1"/>
  <c r="U89" i="50"/>
  <c r="AB90" i="50" l="1"/>
  <c r="AI90" i="50" s="1"/>
  <c r="U90" i="50"/>
  <c r="AA91" i="50"/>
  <c r="AH91" i="50" s="1"/>
  <c r="T91" i="50"/>
  <c r="AC90" i="50"/>
  <c r="AJ90" i="50" s="1"/>
  <c r="V90" i="50"/>
  <c r="AE90" i="50"/>
  <c r="AL90" i="50" s="1"/>
  <c r="X90" i="50"/>
  <c r="AD90" i="50"/>
  <c r="AK90" i="50" s="1"/>
  <c r="W90" i="50"/>
  <c r="AD91" i="50" l="1"/>
  <c r="AK91" i="50" s="1"/>
  <c r="W91" i="50"/>
  <c r="AC91" i="50"/>
  <c r="AJ91" i="50" s="1"/>
  <c r="V91" i="50"/>
  <c r="T92" i="50"/>
  <c r="AA92" i="50"/>
  <c r="AH92" i="50" s="1"/>
  <c r="AB91" i="50"/>
  <c r="AI91" i="50" s="1"/>
  <c r="U91" i="50"/>
  <c r="AE91" i="50"/>
  <c r="AL91" i="50" s="1"/>
  <c r="X91" i="50"/>
  <c r="AC92" i="50" l="1"/>
  <c r="AJ92" i="50" s="1"/>
  <c r="V92" i="50"/>
  <c r="T93" i="50"/>
  <c r="AA93" i="50"/>
  <c r="AH93" i="50" s="1"/>
  <c r="AB92" i="50"/>
  <c r="AI92" i="50" s="1"/>
  <c r="U92" i="50"/>
  <c r="AE92" i="50"/>
  <c r="AL92" i="50" s="1"/>
  <c r="X92" i="50"/>
  <c r="AD92" i="50"/>
  <c r="AK92" i="50" s="1"/>
  <c r="W92" i="50"/>
  <c r="AE93" i="50" l="1"/>
  <c r="AL93" i="50" s="1"/>
  <c r="X93" i="50"/>
  <c r="AB93" i="50"/>
  <c r="AI93" i="50" s="1"/>
  <c r="U93" i="50"/>
  <c r="AD93" i="50"/>
  <c r="AK93" i="50" s="1"/>
  <c r="W93" i="50"/>
  <c r="T94" i="50"/>
  <c r="AA94" i="50"/>
  <c r="AH94" i="50" s="1"/>
  <c r="AC93" i="50"/>
  <c r="AJ93" i="50" s="1"/>
  <c r="V93" i="50"/>
  <c r="AC94" i="50" l="1"/>
  <c r="AJ94" i="50" s="1"/>
  <c r="V94" i="50"/>
  <c r="AD94" i="50"/>
  <c r="AK94" i="50" s="1"/>
  <c r="W94" i="50"/>
  <c r="T95" i="50"/>
  <c r="AA95" i="50"/>
  <c r="AE94" i="50"/>
  <c r="AL94" i="50" s="1"/>
  <c r="X94" i="50"/>
  <c r="AB94" i="50"/>
  <c r="AI94" i="50" s="1"/>
  <c r="U94" i="50"/>
  <c r="AH95" i="50" l="1"/>
  <c r="AD95" i="50"/>
  <c r="W95" i="50"/>
  <c r="AB95" i="50"/>
  <c r="U95" i="50"/>
  <c r="AE95" i="50"/>
  <c r="X95" i="50"/>
  <c r="T96" i="50"/>
  <c r="AA96" i="50"/>
  <c r="AH96" i="50" s="1"/>
  <c r="AC95" i="50"/>
  <c r="V95" i="50"/>
  <c r="AI95" i="50" l="1"/>
  <c r="AJ95" i="50"/>
  <c r="AK95" i="50"/>
  <c r="AL95" i="50"/>
  <c r="AC96" i="50"/>
  <c r="AJ96" i="50" s="1"/>
  <c r="V96" i="50"/>
  <c r="AB96" i="50"/>
  <c r="AI96" i="50" s="1"/>
  <c r="U96" i="50"/>
  <c r="T97" i="50"/>
  <c r="AA97" i="50"/>
  <c r="AE96" i="50"/>
  <c r="AL96" i="50" s="1"/>
  <c r="X96" i="50"/>
  <c r="AD96" i="50"/>
  <c r="AK96" i="50" s="1"/>
  <c r="W96" i="50"/>
  <c r="AH97" i="50" l="1"/>
  <c r="AE97" i="50"/>
  <c r="X97" i="50"/>
  <c r="AB97" i="50"/>
  <c r="U97" i="50"/>
  <c r="AD97" i="50"/>
  <c r="W97" i="50"/>
  <c r="T98" i="50"/>
  <c r="AA98" i="50"/>
  <c r="AH98" i="50" s="1"/>
  <c r="AC97" i="50"/>
  <c r="V97" i="50"/>
  <c r="AI97" i="50" l="1"/>
  <c r="AJ97" i="50"/>
  <c r="AL97" i="50"/>
  <c r="AK97" i="50"/>
  <c r="T99" i="50"/>
  <c r="AA99" i="50"/>
  <c r="AH99" i="50" s="1"/>
  <c r="AD98" i="50"/>
  <c r="AK98" i="50" s="1"/>
  <c r="W98" i="50"/>
  <c r="AC98" i="50"/>
  <c r="AJ98" i="50" s="1"/>
  <c r="V98" i="50"/>
  <c r="AE98" i="50"/>
  <c r="AL98" i="50" s="1"/>
  <c r="X98" i="50"/>
  <c r="AB98" i="50"/>
  <c r="AI98" i="50" s="1"/>
  <c r="U98" i="50"/>
  <c r="T100" i="50" l="1"/>
  <c r="AA100" i="50"/>
  <c r="AD99" i="50"/>
  <c r="W99" i="50"/>
  <c r="AE99" i="50"/>
  <c r="X99" i="50"/>
  <c r="AB99" i="50"/>
  <c r="U99" i="50"/>
  <c r="AC99" i="50"/>
  <c r="V99" i="50"/>
  <c r="AK99" i="50" l="1"/>
  <c r="AH100" i="50"/>
  <c r="AJ99" i="50"/>
  <c r="AI99" i="50"/>
  <c r="AL99" i="50"/>
  <c r="T101" i="50"/>
  <c r="AA101" i="50"/>
  <c r="AE100" i="50"/>
  <c r="X100" i="50"/>
  <c r="AC100" i="50"/>
  <c r="V100" i="50"/>
  <c r="AD100" i="50"/>
  <c r="W100" i="50"/>
  <c r="AB100" i="50"/>
  <c r="U100" i="50"/>
  <c r="AI100" i="50" l="1"/>
  <c r="AH101" i="50"/>
  <c r="AL100" i="50"/>
  <c r="AK100" i="50"/>
  <c r="AJ100" i="50"/>
  <c r="AA102" i="50"/>
  <c r="AH102" i="50" s="1"/>
  <c r="T102" i="50"/>
  <c r="AC101" i="50"/>
  <c r="AJ101" i="50" s="1"/>
  <c r="V101" i="50"/>
  <c r="AD101" i="50"/>
  <c r="W101" i="50"/>
  <c r="AE101" i="50"/>
  <c r="X101" i="50"/>
  <c r="AB101" i="50"/>
  <c r="AI101" i="50" s="1"/>
  <c r="U101" i="50"/>
  <c r="AK101" i="50" l="1"/>
  <c r="AL101" i="50"/>
  <c r="AB102" i="50"/>
  <c r="U102" i="50"/>
  <c r="AD102" i="50"/>
  <c r="W102" i="50"/>
  <c r="AA103" i="50"/>
  <c r="AH103" i="50" s="1"/>
  <c r="T103" i="50"/>
  <c r="AC102" i="50"/>
  <c r="V102" i="50"/>
  <c r="AE102" i="50"/>
  <c r="X102" i="50"/>
  <c r="AJ102" i="50" l="1"/>
  <c r="AL102" i="50"/>
  <c r="AI102" i="50"/>
  <c r="AK102" i="50"/>
  <c r="AE103" i="50"/>
  <c r="X103" i="50"/>
  <c r="T104" i="50"/>
  <c r="AA104" i="50"/>
  <c r="AD103" i="50"/>
  <c r="W103" i="50"/>
  <c r="AC103" i="50"/>
  <c r="V103" i="50"/>
  <c r="AB103" i="50"/>
  <c r="AI103" i="50" s="1"/>
  <c r="U103" i="50"/>
  <c r="AH274" i="50" l="1"/>
  <c r="AH256" i="50"/>
  <c r="AH258" i="50"/>
  <c r="AH269" i="50"/>
  <c r="AH275" i="50"/>
  <c r="AH303" i="50"/>
  <c r="AH257" i="50"/>
  <c r="AH228" i="50"/>
  <c r="AH220" i="50"/>
  <c r="AH285" i="50"/>
  <c r="AH222" i="50"/>
  <c r="AH253" i="50"/>
  <c r="AH206" i="50"/>
  <c r="AH232" i="50"/>
  <c r="AH248" i="50"/>
  <c r="AH271" i="50"/>
  <c r="AH259" i="50"/>
  <c r="AH214" i="50"/>
  <c r="AH294" i="50"/>
  <c r="AH293" i="50"/>
  <c r="AH270" i="50"/>
  <c r="AH281" i="50"/>
  <c r="AH234" i="50"/>
  <c r="AH216" i="50"/>
  <c r="AH233" i="50"/>
  <c r="AH268" i="50"/>
  <c r="AH297" i="50"/>
  <c r="AH212" i="50"/>
  <c r="AH208" i="50"/>
  <c r="AH260" i="50"/>
  <c r="AH241" i="50"/>
  <c r="AH244" i="50"/>
  <c r="AH252" i="50"/>
  <c r="AH264" i="50"/>
  <c r="AH292" i="50"/>
  <c r="AH223" i="50"/>
  <c r="AH224" i="50"/>
  <c r="AH279" i="50"/>
  <c r="AH210" i="50"/>
  <c r="AH246" i="50"/>
  <c r="AH219" i="50"/>
  <c r="AH227" i="50"/>
  <c r="AH296" i="50"/>
  <c r="AH250" i="50"/>
  <c r="AH291" i="50"/>
  <c r="AH263" i="50"/>
  <c r="AH205" i="50"/>
  <c r="AH249" i="50"/>
  <c r="AH273" i="50"/>
  <c r="AH236" i="50"/>
  <c r="AH255" i="50"/>
  <c r="AH272" i="50"/>
  <c r="AH278" i="50"/>
  <c r="AH245" i="50"/>
  <c r="AH237" i="50"/>
  <c r="AH213" i="50"/>
  <c r="AH207" i="50"/>
  <c r="AH209" i="50"/>
  <c r="AH262" i="50"/>
  <c r="AH304" i="50"/>
  <c r="AH277" i="50"/>
  <c r="AH300" i="50"/>
  <c r="AH243" i="50"/>
  <c r="AH231" i="50"/>
  <c r="AH230" i="50"/>
  <c r="AH247" i="50"/>
  <c r="AH251" i="50"/>
  <c r="AH221" i="50"/>
  <c r="AH217" i="50"/>
  <c r="AH301" i="50"/>
  <c r="AH238" i="50"/>
  <c r="AH235" i="50"/>
  <c r="AH284" i="50"/>
  <c r="AH267" i="50"/>
  <c r="AH295" i="50"/>
  <c r="AH287" i="50"/>
  <c r="AH282" i="50"/>
  <c r="AH240" i="50"/>
  <c r="AH280" i="50"/>
  <c r="AH229" i="50"/>
  <c r="AH242" i="50"/>
  <c r="AH265" i="50"/>
  <c r="AH288" i="50"/>
  <c r="AH266" i="50"/>
  <c r="AH286" i="50"/>
  <c r="AH225" i="50"/>
  <c r="AH283" i="50"/>
  <c r="AH276" i="50"/>
  <c r="AH290" i="50"/>
  <c r="AH298" i="50"/>
  <c r="AH239" i="50"/>
  <c r="AH289" i="50"/>
  <c r="AH211" i="50"/>
  <c r="AH215" i="50"/>
  <c r="AH299" i="50"/>
  <c r="AH254" i="50"/>
  <c r="AH226" i="50"/>
  <c r="AH218" i="50"/>
  <c r="AH302" i="50"/>
  <c r="AH261" i="50"/>
  <c r="AH104" i="50"/>
  <c r="AH177" i="50"/>
  <c r="AH176" i="50"/>
  <c r="AH181" i="50"/>
  <c r="AH120" i="50"/>
  <c r="AH192" i="50"/>
  <c r="AH183" i="50"/>
  <c r="AH188" i="50"/>
  <c r="AH185" i="50"/>
  <c r="AH131" i="50"/>
  <c r="AH116" i="50"/>
  <c r="AH167" i="50"/>
  <c r="AH119" i="50"/>
  <c r="AH180" i="50"/>
  <c r="AH179" i="50"/>
  <c r="AH172" i="50"/>
  <c r="AH137" i="50"/>
  <c r="AH107" i="50"/>
  <c r="AH139" i="50"/>
  <c r="AH109" i="50"/>
  <c r="AH143" i="50"/>
  <c r="AH190" i="50"/>
  <c r="AH129" i="50"/>
  <c r="AH189" i="50"/>
  <c r="AH125" i="50"/>
  <c r="AH199" i="50"/>
  <c r="AH122" i="50"/>
  <c r="AH203" i="50"/>
  <c r="AH146" i="50"/>
  <c r="AH174" i="50"/>
  <c r="AH112" i="50"/>
  <c r="AH197" i="50"/>
  <c r="AH154" i="50"/>
  <c r="AH157" i="50"/>
  <c r="AH202" i="50"/>
  <c r="AH117" i="50"/>
  <c r="AH127" i="50"/>
  <c r="AH133" i="50"/>
  <c r="AH123" i="50"/>
  <c r="AH148" i="50"/>
  <c r="AH173" i="50"/>
  <c r="AH136" i="50"/>
  <c r="AH115" i="50"/>
  <c r="AH150" i="50"/>
  <c r="AH191" i="50"/>
  <c r="AH135" i="50"/>
  <c r="AH156" i="50"/>
  <c r="AH194" i="50"/>
  <c r="AH113" i="50"/>
  <c r="AH171" i="50"/>
  <c r="AH195" i="50"/>
  <c r="AH175" i="50"/>
  <c r="AH110" i="50"/>
  <c r="AH155" i="50"/>
  <c r="AH152" i="50"/>
  <c r="AH126" i="50"/>
  <c r="AH165" i="50"/>
  <c r="AH164" i="50"/>
  <c r="AH145" i="50"/>
  <c r="AH204" i="50"/>
  <c r="AH147" i="50"/>
  <c r="AH187" i="50"/>
  <c r="AH130" i="50"/>
  <c r="AH118" i="50"/>
  <c r="AH121" i="50"/>
  <c r="AH149" i="50"/>
  <c r="AH134" i="50"/>
  <c r="AH162" i="50"/>
  <c r="AH158" i="50"/>
  <c r="AH140" i="50"/>
  <c r="AH198" i="50"/>
  <c r="AH105" i="50"/>
  <c r="AH169" i="50"/>
  <c r="AH184" i="50"/>
  <c r="AH138" i="50"/>
  <c r="AH193" i="50"/>
  <c r="AH186" i="50"/>
  <c r="AH142" i="50"/>
  <c r="AH141" i="50"/>
  <c r="AH163" i="50"/>
  <c r="AH124" i="50"/>
  <c r="AH168" i="50"/>
  <c r="AH170" i="50"/>
  <c r="AH200" i="50"/>
  <c r="AH201" i="50"/>
  <c r="AH182" i="50"/>
  <c r="AH144" i="50"/>
  <c r="AH178" i="50"/>
  <c r="AH166" i="50"/>
  <c r="AH108" i="50"/>
  <c r="AH128" i="50"/>
  <c r="AH161" i="50"/>
  <c r="AH151" i="50"/>
  <c r="AH111" i="50"/>
  <c r="AH114" i="50"/>
  <c r="AH196" i="50"/>
  <c r="AH159" i="50"/>
  <c r="AH132" i="50"/>
  <c r="AH160" i="50"/>
  <c r="AH106" i="50"/>
  <c r="AH153" i="50"/>
  <c r="AL103" i="50"/>
  <c r="AJ103" i="50"/>
  <c r="AK103" i="50"/>
  <c r="AD104" i="50"/>
  <c r="W104" i="50"/>
  <c r="AB104" i="50"/>
  <c r="U104" i="50"/>
  <c r="AC104" i="50"/>
  <c r="V104" i="50"/>
  <c r="AE104" i="50"/>
  <c r="X104" i="50"/>
  <c r="AK178" i="50" l="1"/>
  <c r="AK291" i="50"/>
  <c r="AK225" i="50"/>
  <c r="AK279" i="50"/>
  <c r="AK255" i="50"/>
  <c r="AK293" i="50"/>
  <c r="AK300" i="50"/>
  <c r="AK302" i="50"/>
  <c r="AK243" i="50"/>
  <c r="AK265" i="50"/>
  <c r="AK242" i="50"/>
  <c r="AK245" i="50"/>
  <c r="AK228" i="50"/>
  <c r="AK281" i="50"/>
  <c r="AK282" i="50"/>
  <c r="AK266" i="50"/>
  <c r="AK298" i="50"/>
  <c r="AK276" i="50"/>
  <c r="AK287" i="50"/>
  <c r="AK283" i="50"/>
  <c r="AK278" i="50"/>
  <c r="AK250" i="50"/>
  <c r="AK301" i="50"/>
  <c r="AK252" i="50"/>
  <c r="AK249" i="50"/>
  <c r="AK238" i="50"/>
  <c r="AK268" i="50"/>
  <c r="AK275" i="50"/>
  <c r="AK280" i="50"/>
  <c r="AK234" i="50"/>
  <c r="AK210" i="50"/>
  <c r="AK254" i="50"/>
  <c r="AK263" i="50"/>
  <c r="AK292" i="50"/>
  <c r="AK296" i="50"/>
  <c r="AK277" i="50"/>
  <c r="AK258" i="50"/>
  <c r="AK237" i="50"/>
  <c r="AK212" i="50"/>
  <c r="AK241" i="50"/>
  <c r="AK272" i="50"/>
  <c r="AK217" i="50"/>
  <c r="AK260" i="50"/>
  <c r="AK244" i="50"/>
  <c r="AK246" i="50"/>
  <c r="AK208" i="50"/>
  <c r="AK285" i="50"/>
  <c r="AK226" i="50"/>
  <c r="AK274" i="50"/>
  <c r="AK207" i="50"/>
  <c r="AK286" i="50"/>
  <c r="AK214" i="50"/>
  <c r="AK231" i="50"/>
  <c r="AK232" i="50"/>
  <c r="AK271" i="50"/>
  <c r="AK304" i="50"/>
  <c r="AK216" i="50"/>
  <c r="AK251" i="50"/>
  <c r="AK288" i="50"/>
  <c r="AK289" i="50"/>
  <c r="AK205" i="50"/>
  <c r="AK218" i="50"/>
  <c r="AK213" i="50"/>
  <c r="AK230" i="50"/>
  <c r="AK297" i="50"/>
  <c r="AK264" i="50"/>
  <c r="AK284" i="50"/>
  <c r="AK206" i="50"/>
  <c r="AK240" i="50"/>
  <c r="AK261" i="50"/>
  <c r="AK273" i="50"/>
  <c r="AK256" i="50"/>
  <c r="AK215" i="50"/>
  <c r="AK290" i="50"/>
  <c r="AK219" i="50"/>
  <c r="AK224" i="50"/>
  <c r="AK223" i="50"/>
  <c r="AK259" i="50"/>
  <c r="AK227" i="50"/>
  <c r="AK209" i="50"/>
  <c r="AK267" i="50"/>
  <c r="AK222" i="50"/>
  <c r="AK239" i="50"/>
  <c r="AK221" i="50"/>
  <c r="AK294" i="50"/>
  <c r="AK253" i="50"/>
  <c r="AK236" i="50"/>
  <c r="AK269" i="50"/>
  <c r="AK257" i="50"/>
  <c r="AK220" i="50"/>
  <c r="AK211" i="50"/>
  <c r="AK270" i="50"/>
  <c r="AK299" i="50"/>
  <c r="AK295" i="50"/>
  <c r="AK235" i="50"/>
  <c r="AK303" i="50"/>
  <c r="AK262" i="50"/>
  <c r="AK248" i="50"/>
  <c r="AK229" i="50"/>
  <c r="AK233" i="50"/>
  <c r="AK247" i="50"/>
  <c r="AJ276" i="50"/>
  <c r="AJ212" i="50"/>
  <c r="AJ223" i="50"/>
  <c r="AJ245" i="50"/>
  <c r="AJ268" i="50"/>
  <c r="AJ291" i="50"/>
  <c r="AJ279" i="50"/>
  <c r="AJ221" i="50"/>
  <c r="AJ217" i="50"/>
  <c r="AJ301" i="50"/>
  <c r="AJ210" i="50"/>
  <c r="AJ273" i="50"/>
  <c r="AJ220" i="50"/>
  <c r="AJ298" i="50"/>
  <c r="AJ235" i="50"/>
  <c r="AJ263" i="50"/>
  <c r="AJ297" i="50"/>
  <c r="AJ218" i="50"/>
  <c r="AJ244" i="50"/>
  <c r="AJ219" i="50"/>
  <c r="AJ205" i="50"/>
  <c r="AJ227" i="50"/>
  <c r="AJ231" i="50"/>
  <c r="AJ251" i="50"/>
  <c r="AJ296" i="50"/>
  <c r="AJ214" i="50"/>
  <c r="AJ303" i="50"/>
  <c r="AJ274" i="50"/>
  <c r="AJ283" i="50"/>
  <c r="AJ271" i="50"/>
  <c r="AJ287" i="50"/>
  <c r="AJ228" i="50"/>
  <c r="AJ270" i="50"/>
  <c r="AJ275" i="50"/>
  <c r="AJ267" i="50"/>
  <c r="AJ292" i="50"/>
  <c r="AJ288" i="50"/>
  <c r="AJ234" i="50"/>
  <c r="AJ224" i="50"/>
  <c r="AJ293" i="50"/>
  <c r="AJ240" i="50"/>
  <c r="AJ229" i="50"/>
  <c r="AJ259" i="50"/>
  <c r="AJ277" i="50"/>
  <c r="AJ252" i="50"/>
  <c r="AJ213" i="50"/>
  <c r="AJ243" i="50"/>
  <c r="AJ216" i="50"/>
  <c r="AJ284" i="50"/>
  <c r="AJ280" i="50"/>
  <c r="AJ258" i="50"/>
  <c r="AJ209" i="50"/>
  <c r="AJ255" i="50"/>
  <c r="AJ265" i="50"/>
  <c r="AJ272" i="50"/>
  <c r="AJ248" i="50"/>
  <c r="AJ250" i="50"/>
  <c r="AJ208" i="50"/>
  <c r="AJ249" i="50"/>
  <c r="AJ246" i="50"/>
  <c r="AJ302" i="50"/>
  <c r="AJ239" i="50"/>
  <c r="AJ236" i="50"/>
  <c r="AJ262" i="50"/>
  <c r="AJ264" i="50"/>
  <c r="AJ237" i="50"/>
  <c r="AJ238" i="50"/>
  <c r="AJ278" i="50"/>
  <c r="AJ211" i="50"/>
  <c r="AJ233" i="50"/>
  <c r="AJ295" i="50"/>
  <c r="AJ266" i="50"/>
  <c r="AJ304" i="50"/>
  <c r="AJ269" i="50"/>
  <c r="AJ289" i="50"/>
  <c r="AJ294" i="50"/>
  <c r="AJ206" i="50"/>
  <c r="AJ300" i="50"/>
  <c r="AJ222" i="50"/>
  <c r="AJ281" i="50"/>
  <c r="AJ207" i="50"/>
  <c r="AJ260" i="50"/>
  <c r="AJ286" i="50"/>
  <c r="AJ290" i="50"/>
  <c r="AJ253" i="50"/>
  <c r="AJ215" i="50"/>
  <c r="AJ226" i="50"/>
  <c r="AJ225" i="50"/>
  <c r="AJ261" i="50"/>
  <c r="AJ241" i="50"/>
  <c r="AJ282" i="50"/>
  <c r="AJ256" i="50"/>
  <c r="AJ299" i="50"/>
  <c r="AJ257" i="50"/>
  <c r="AJ242" i="50"/>
  <c r="AJ230" i="50"/>
  <c r="AJ285" i="50"/>
  <c r="AJ247" i="50"/>
  <c r="AJ254" i="50"/>
  <c r="AJ232" i="50"/>
  <c r="AI289" i="50"/>
  <c r="AI260" i="50"/>
  <c r="AI221" i="50"/>
  <c r="AI226" i="50"/>
  <c r="AI273" i="50"/>
  <c r="AI295" i="50"/>
  <c r="AI298" i="50"/>
  <c r="AI211" i="50"/>
  <c r="AI246" i="50"/>
  <c r="AI269" i="50"/>
  <c r="AI275" i="50"/>
  <c r="AI248" i="50"/>
  <c r="AI268" i="50"/>
  <c r="AI205" i="50"/>
  <c r="AI217" i="50"/>
  <c r="AI272" i="50"/>
  <c r="AI229" i="50"/>
  <c r="AI250" i="50"/>
  <c r="AI284" i="50"/>
  <c r="AI223" i="50"/>
  <c r="AI258" i="50"/>
  <c r="AI254" i="50"/>
  <c r="AI244" i="50"/>
  <c r="AI261" i="50"/>
  <c r="AI249" i="50"/>
  <c r="AI297" i="50"/>
  <c r="AI292" i="50"/>
  <c r="AI294" i="50"/>
  <c r="AI276" i="50"/>
  <c r="AI251" i="50"/>
  <c r="AI263" i="50"/>
  <c r="AI216" i="50"/>
  <c r="AI218" i="50"/>
  <c r="AI233" i="50"/>
  <c r="AI262" i="50"/>
  <c r="AI236" i="50"/>
  <c r="AI277" i="50"/>
  <c r="AI267" i="50"/>
  <c r="AI286" i="50"/>
  <c r="AI227" i="50"/>
  <c r="AI296" i="50"/>
  <c r="AI300" i="50"/>
  <c r="AI245" i="50"/>
  <c r="AI274" i="50"/>
  <c r="AI287" i="50"/>
  <c r="AI257" i="50"/>
  <c r="AI238" i="50"/>
  <c r="AI243" i="50"/>
  <c r="AI247" i="50"/>
  <c r="AI259" i="50"/>
  <c r="AI256" i="50"/>
  <c r="AI210" i="50"/>
  <c r="AI282" i="50"/>
  <c r="AI252" i="50"/>
  <c r="AI209" i="50"/>
  <c r="AI212" i="50"/>
  <c r="AI235" i="50"/>
  <c r="AI219" i="50"/>
  <c r="AI278" i="50"/>
  <c r="AI207" i="50"/>
  <c r="AI303" i="50"/>
  <c r="AI299" i="50"/>
  <c r="AI293" i="50"/>
  <c r="AI283" i="50"/>
  <c r="AI290" i="50"/>
  <c r="AI281" i="50"/>
  <c r="AI301" i="50"/>
  <c r="AI265" i="50"/>
  <c r="AI225" i="50"/>
  <c r="AI302" i="50"/>
  <c r="AI291" i="50"/>
  <c r="AI239" i="50"/>
  <c r="AI232" i="50"/>
  <c r="AI253" i="50"/>
  <c r="AI288" i="50"/>
  <c r="AI222" i="50"/>
  <c r="AI266" i="50"/>
  <c r="AI271" i="50"/>
  <c r="AI255" i="50"/>
  <c r="AI206" i="50"/>
  <c r="AI242" i="50"/>
  <c r="AI214" i="50"/>
  <c r="AI240" i="50"/>
  <c r="AI208" i="50"/>
  <c r="AI228" i="50"/>
  <c r="AI264" i="50"/>
  <c r="AI280" i="50"/>
  <c r="AI220" i="50"/>
  <c r="AI224" i="50"/>
  <c r="AI241" i="50"/>
  <c r="AI237" i="50"/>
  <c r="AI234" i="50"/>
  <c r="AI215" i="50"/>
  <c r="AI270" i="50"/>
  <c r="AI230" i="50"/>
  <c r="AI279" i="50"/>
  <c r="AI231" i="50"/>
  <c r="AI285" i="50"/>
  <c r="AI304" i="50"/>
  <c r="AI213" i="50"/>
  <c r="AL113" i="50"/>
  <c r="AL255" i="50"/>
  <c r="AL263" i="50"/>
  <c r="AL287" i="50"/>
  <c r="AL219" i="50"/>
  <c r="AL265" i="50"/>
  <c r="AL299" i="50"/>
  <c r="AL205" i="50"/>
  <c r="AL259" i="50"/>
  <c r="AL215" i="50"/>
  <c r="AL295" i="50"/>
  <c r="AL223" i="50"/>
  <c r="AL235" i="50"/>
  <c r="AL252" i="50"/>
  <c r="AL240" i="50"/>
  <c r="AL262" i="50"/>
  <c r="AL274" i="50"/>
  <c r="AL244" i="50"/>
  <c r="AL230" i="50"/>
  <c r="AL258" i="50"/>
  <c r="AL208" i="50"/>
  <c r="AL251" i="50"/>
  <c r="AL293" i="50"/>
  <c r="AL290" i="50"/>
  <c r="AL229" i="50"/>
  <c r="AL225" i="50"/>
  <c r="AL289" i="50"/>
  <c r="AL242" i="50"/>
  <c r="AL277" i="50"/>
  <c r="AL300" i="50"/>
  <c r="AL288" i="50"/>
  <c r="AL261" i="50"/>
  <c r="AL238" i="50"/>
  <c r="AL213" i="50"/>
  <c r="AL246" i="50"/>
  <c r="AL239" i="50"/>
  <c r="AL276" i="50"/>
  <c r="AL207" i="50"/>
  <c r="AL236" i="50"/>
  <c r="AL206" i="50"/>
  <c r="AL247" i="50"/>
  <c r="AL224" i="50"/>
  <c r="AL302" i="50"/>
  <c r="AL285" i="50"/>
  <c r="AL280" i="50"/>
  <c r="AL250" i="50"/>
  <c r="AL214" i="50"/>
  <c r="AL279" i="50"/>
  <c r="AL303" i="50"/>
  <c r="AL275" i="50"/>
  <c r="AL249" i="50"/>
  <c r="AL266" i="50"/>
  <c r="AL284" i="50"/>
  <c r="AL241" i="50"/>
  <c r="AL260" i="50"/>
  <c r="AL248" i="50"/>
  <c r="AL268" i="50"/>
  <c r="AL271" i="50"/>
  <c r="AL270" i="50"/>
  <c r="AL278" i="50"/>
  <c r="AL291" i="50"/>
  <c r="AL212" i="50"/>
  <c r="AL233" i="50"/>
  <c r="AL256" i="50"/>
  <c r="AL232" i="50"/>
  <c r="AL218" i="50"/>
  <c r="AL273" i="50"/>
  <c r="AL221" i="50"/>
  <c r="AL220" i="50"/>
  <c r="AL257" i="50"/>
  <c r="AL217" i="50"/>
  <c r="AL298" i="50"/>
  <c r="AL269" i="50"/>
  <c r="AL292" i="50"/>
  <c r="AL245" i="50"/>
  <c r="AL216" i="50"/>
  <c r="AL286" i="50"/>
  <c r="AL226" i="50"/>
  <c r="AL228" i="50"/>
  <c r="AL237" i="50"/>
  <c r="AL281" i="50"/>
  <c r="AL283" i="50"/>
  <c r="AL253" i="50"/>
  <c r="AL227" i="50"/>
  <c r="AL294" i="50"/>
  <c r="AL243" i="50"/>
  <c r="AL211" i="50"/>
  <c r="AL301" i="50"/>
  <c r="AL234" i="50"/>
  <c r="AL222" i="50"/>
  <c r="AL209" i="50"/>
  <c r="AL210" i="50"/>
  <c r="AL231" i="50"/>
  <c r="AL304" i="50"/>
  <c r="AL267" i="50"/>
  <c r="AL254" i="50"/>
  <c r="AL296" i="50"/>
  <c r="AL272" i="50"/>
  <c r="AL297" i="50"/>
  <c r="AL282" i="50"/>
  <c r="AL264" i="50"/>
  <c r="BA10" i="50"/>
  <c r="BA97" i="50"/>
  <c r="BA39" i="50"/>
  <c r="BA126" i="50"/>
  <c r="BA68" i="50"/>
  <c r="AZ126" i="50"/>
  <c r="AZ97" i="50"/>
  <c r="AZ68" i="50"/>
  <c r="AZ10" i="50"/>
  <c r="AZ39" i="50"/>
  <c r="AK158" i="50"/>
  <c r="AK187" i="50"/>
  <c r="AK112" i="50"/>
  <c r="AK202" i="50"/>
  <c r="AI104" i="50"/>
  <c r="AI140" i="50"/>
  <c r="AI136" i="50"/>
  <c r="AI194" i="50"/>
  <c r="AI202" i="50"/>
  <c r="AI176" i="50"/>
  <c r="AI159" i="50"/>
  <c r="AI144" i="50"/>
  <c r="AI143" i="50"/>
  <c r="AI162" i="50"/>
  <c r="AI187" i="50"/>
  <c r="AI120" i="50"/>
  <c r="AI193" i="50"/>
  <c r="AI145" i="50"/>
  <c r="AI201" i="50"/>
  <c r="AI164" i="50"/>
  <c r="AI122" i="50"/>
  <c r="AI178" i="50"/>
  <c r="AI132" i="50"/>
  <c r="AI163" i="50"/>
  <c r="AI138" i="50"/>
  <c r="AI114" i="50"/>
  <c r="AI130" i="50"/>
  <c r="AI167" i="50"/>
  <c r="AI117" i="50"/>
  <c r="AI142" i="50"/>
  <c r="AI124" i="50"/>
  <c r="AI183" i="50"/>
  <c r="AI125" i="50"/>
  <c r="AI151" i="50"/>
  <c r="AI134" i="50"/>
  <c r="AI108" i="50"/>
  <c r="AI147" i="50"/>
  <c r="AI195" i="50"/>
  <c r="AI203" i="50"/>
  <c r="AI126" i="50"/>
  <c r="AI186" i="50"/>
  <c r="AI175" i="50"/>
  <c r="AI168" i="50"/>
  <c r="AI128" i="50"/>
  <c r="AI152" i="50"/>
  <c r="AI185" i="50"/>
  <c r="AI157" i="50"/>
  <c r="AI150" i="50"/>
  <c r="AI115" i="50"/>
  <c r="AI109" i="50"/>
  <c r="AI161" i="50"/>
  <c r="AI105" i="50"/>
  <c r="AI158" i="50"/>
  <c r="AI156" i="50"/>
  <c r="AI179" i="50"/>
  <c r="AI169" i="50"/>
  <c r="AI118" i="50"/>
  <c r="AI141" i="50"/>
  <c r="AI119" i="50"/>
  <c r="AI110" i="50"/>
  <c r="AI129" i="50"/>
  <c r="AI198" i="50"/>
  <c r="AI199" i="50"/>
  <c r="AI181" i="50"/>
  <c r="AI153" i="50"/>
  <c r="AI182" i="50"/>
  <c r="AI160" i="50"/>
  <c r="AI204" i="50"/>
  <c r="AI174" i="50"/>
  <c r="AI131" i="50"/>
  <c r="AI180" i="50"/>
  <c r="AI166" i="50"/>
  <c r="AI149" i="50"/>
  <c r="AI146" i="50"/>
  <c r="AI106" i="50"/>
  <c r="AI127" i="50"/>
  <c r="AI133" i="50"/>
  <c r="AI190" i="50"/>
  <c r="AI112" i="50"/>
  <c r="AI107" i="50"/>
  <c r="AI154" i="50"/>
  <c r="AI121" i="50"/>
  <c r="AI116" i="50"/>
  <c r="AI155" i="50"/>
  <c r="AI137" i="50"/>
  <c r="AI139" i="50"/>
  <c r="AI123" i="50"/>
  <c r="AI172" i="50"/>
  <c r="AI189" i="50"/>
  <c r="AI184" i="50"/>
  <c r="AI170" i="50"/>
  <c r="AI200" i="50"/>
  <c r="AI188" i="50"/>
  <c r="AI173" i="50"/>
  <c r="AI148" i="50"/>
  <c r="AI177" i="50"/>
  <c r="AI165" i="50"/>
  <c r="AI135" i="50"/>
  <c r="AI196" i="50"/>
  <c r="AI197" i="50"/>
  <c r="AI171" i="50"/>
  <c r="AI191" i="50"/>
  <c r="AI192" i="50"/>
  <c r="AI113" i="50"/>
  <c r="AI111" i="50"/>
  <c r="AJ104" i="50"/>
  <c r="AJ105" i="50"/>
  <c r="AJ204" i="50"/>
  <c r="AJ120" i="50"/>
  <c r="AJ110" i="50"/>
  <c r="AJ194" i="50"/>
  <c r="AJ137" i="50"/>
  <c r="AJ177" i="50"/>
  <c r="AJ131" i="50"/>
  <c r="AJ112" i="50"/>
  <c r="AJ192" i="50"/>
  <c r="AJ146" i="50"/>
  <c r="AJ181" i="50"/>
  <c r="AJ109" i="50"/>
  <c r="AJ184" i="50"/>
  <c r="AJ141" i="50"/>
  <c r="AJ159" i="50"/>
  <c r="AJ111" i="50"/>
  <c r="AJ147" i="50"/>
  <c r="AJ166" i="50"/>
  <c r="AJ174" i="50"/>
  <c r="AJ171" i="50"/>
  <c r="AJ182" i="50"/>
  <c r="AJ161" i="50"/>
  <c r="AJ165" i="50"/>
  <c r="AJ116" i="50"/>
  <c r="AJ191" i="50"/>
  <c r="AJ172" i="50"/>
  <c r="AJ200" i="50"/>
  <c r="AJ127" i="50"/>
  <c r="AJ117" i="50"/>
  <c r="AJ195" i="50"/>
  <c r="AJ178" i="50"/>
  <c r="AJ202" i="50"/>
  <c r="AJ142" i="50"/>
  <c r="AJ121" i="50"/>
  <c r="AJ193" i="50"/>
  <c r="AJ179" i="50"/>
  <c r="AJ197" i="50"/>
  <c r="AJ126" i="50"/>
  <c r="AJ125" i="50"/>
  <c r="AJ203" i="50"/>
  <c r="AJ113" i="50"/>
  <c r="AJ155" i="50"/>
  <c r="AJ135" i="50"/>
  <c r="AJ149" i="50"/>
  <c r="AJ115" i="50"/>
  <c r="AJ154" i="50"/>
  <c r="AJ128" i="50"/>
  <c r="AJ153" i="50"/>
  <c r="AJ123" i="50"/>
  <c r="AJ122" i="50"/>
  <c r="AJ118" i="50"/>
  <c r="AJ151" i="50"/>
  <c r="AJ201" i="50"/>
  <c r="AJ170" i="50"/>
  <c r="AJ133" i="50"/>
  <c r="AJ119" i="50"/>
  <c r="AJ143" i="50"/>
  <c r="AJ189" i="50"/>
  <c r="AJ168" i="50"/>
  <c r="AJ188" i="50"/>
  <c r="AJ160" i="50"/>
  <c r="AJ136" i="50"/>
  <c r="AJ190" i="50"/>
  <c r="AJ139" i="50"/>
  <c r="AJ145" i="50"/>
  <c r="AJ148" i="50"/>
  <c r="AJ196" i="50"/>
  <c r="AJ180" i="50"/>
  <c r="AJ164" i="50"/>
  <c r="AJ107" i="50"/>
  <c r="AJ186" i="50"/>
  <c r="AJ158" i="50"/>
  <c r="AJ156" i="50"/>
  <c r="AJ169" i="50"/>
  <c r="AJ183" i="50"/>
  <c r="AJ129" i="50"/>
  <c r="AJ152" i="50"/>
  <c r="AJ167" i="50"/>
  <c r="AJ198" i="50"/>
  <c r="AJ144" i="50"/>
  <c r="AJ173" i="50"/>
  <c r="AJ108" i="50"/>
  <c r="AJ114" i="50"/>
  <c r="AJ134" i="50"/>
  <c r="AJ175" i="50"/>
  <c r="AJ185" i="50"/>
  <c r="AJ132" i="50"/>
  <c r="AJ130" i="50"/>
  <c r="AJ162" i="50"/>
  <c r="AJ138" i="50"/>
  <c r="AJ187" i="50"/>
  <c r="AJ140" i="50"/>
  <c r="AJ163" i="50"/>
  <c r="AJ124" i="50"/>
  <c r="AJ106" i="50"/>
  <c r="AJ176" i="50"/>
  <c r="AK104" i="50"/>
  <c r="AK142" i="50"/>
  <c r="AK117" i="50"/>
  <c r="AK141" i="50"/>
  <c r="AK181" i="50"/>
  <c r="AK145" i="50"/>
  <c r="AK167" i="50"/>
  <c r="AK163" i="50"/>
  <c r="AK183" i="50"/>
  <c r="AK123" i="50"/>
  <c r="AK156" i="50"/>
  <c r="AK107" i="50"/>
  <c r="AK159" i="50"/>
  <c r="AK170" i="50"/>
  <c r="AK110" i="50"/>
  <c r="AK203" i="50"/>
  <c r="AK174" i="50"/>
  <c r="AK198" i="50"/>
  <c r="AK171" i="50"/>
  <c r="AK127" i="50"/>
  <c r="AK115" i="50"/>
  <c r="AK166" i="50"/>
  <c r="AK122" i="50"/>
  <c r="AK176" i="50"/>
  <c r="AK196" i="50"/>
  <c r="AK161" i="50"/>
  <c r="AK185" i="50"/>
  <c r="AK169" i="50"/>
  <c r="AK194" i="50"/>
  <c r="AK147" i="50"/>
  <c r="AK146" i="50"/>
  <c r="AK149" i="50"/>
  <c r="AK113" i="50"/>
  <c r="AK160" i="50"/>
  <c r="AK144" i="50"/>
  <c r="AK155" i="50"/>
  <c r="AK133" i="50"/>
  <c r="AK192" i="50"/>
  <c r="AK197" i="50"/>
  <c r="AK153" i="50"/>
  <c r="AK201" i="50"/>
  <c r="AK193" i="50"/>
  <c r="AK114" i="50"/>
  <c r="AK152" i="50"/>
  <c r="AK188" i="50"/>
  <c r="AK195" i="50"/>
  <c r="AK132" i="50"/>
  <c r="AK135" i="50"/>
  <c r="AK125" i="50"/>
  <c r="AK119" i="50"/>
  <c r="AK131" i="50"/>
  <c r="AK168" i="50"/>
  <c r="AK175" i="50"/>
  <c r="AK140" i="50"/>
  <c r="AK138" i="50"/>
  <c r="AK126" i="50"/>
  <c r="AK130" i="50"/>
  <c r="AK124" i="50"/>
  <c r="AK200" i="50"/>
  <c r="AK189" i="50"/>
  <c r="AK150" i="50"/>
  <c r="AK105" i="50"/>
  <c r="AK128" i="50"/>
  <c r="AK118" i="50"/>
  <c r="AK182" i="50"/>
  <c r="AK191" i="50"/>
  <c r="AK165" i="50"/>
  <c r="AK108" i="50"/>
  <c r="AK204" i="50"/>
  <c r="AK184" i="50"/>
  <c r="AK151" i="50"/>
  <c r="AK180" i="50"/>
  <c r="AK116" i="50"/>
  <c r="AK121" i="50"/>
  <c r="AK143" i="50"/>
  <c r="AK179" i="50"/>
  <c r="AK111" i="50"/>
  <c r="AK190" i="50"/>
  <c r="AK137" i="50"/>
  <c r="AK136" i="50"/>
  <c r="AK129" i="50"/>
  <c r="AK177" i="50"/>
  <c r="AK199" i="50"/>
  <c r="AK157" i="50"/>
  <c r="AK164" i="50"/>
  <c r="AK172" i="50"/>
  <c r="AK139" i="50"/>
  <c r="AK134" i="50"/>
  <c r="AK109" i="50"/>
  <c r="AK120" i="50"/>
  <c r="AK154" i="50"/>
  <c r="AK148" i="50"/>
  <c r="AK106" i="50"/>
  <c r="AK162" i="50"/>
  <c r="AK173" i="50"/>
  <c r="AJ157" i="50"/>
  <c r="AL104" i="50"/>
  <c r="AL137" i="50"/>
  <c r="AL140" i="50"/>
  <c r="AL151" i="50"/>
  <c r="AL195" i="50"/>
  <c r="AL129" i="50"/>
  <c r="AL155" i="50"/>
  <c r="AL183" i="50"/>
  <c r="AL196" i="50"/>
  <c r="AL200" i="50"/>
  <c r="AL179" i="50"/>
  <c r="AL168" i="50"/>
  <c r="AL199" i="50"/>
  <c r="AL175" i="50"/>
  <c r="AL204" i="50"/>
  <c r="AL119" i="50"/>
  <c r="AL128" i="50"/>
  <c r="AL107" i="50"/>
  <c r="AL178" i="50"/>
  <c r="AL161" i="50"/>
  <c r="AL166" i="50"/>
  <c r="AL169" i="50"/>
  <c r="AL160" i="50"/>
  <c r="AL198" i="50"/>
  <c r="AL144" i="50"/>
  <c r="AL171" i="50"/>
  <c r="AL157" i="50"/>
  <c r="AL123" i="50"/>
  <c r="AL117" i="50"/>
  <c r="AL191" i="50"/>
  <c r="AL186" i="50"/>
  <c r="AL124" i="50"/>
  <c r="AL149" i="50"/>
  <c r="AL136" i="50"/>
  <c r="AL203" i="50"/>
  <c r="AL190" i="50"/>
  <c r="AL159" i="50"/>
  <c r="AL158" i="50"/>
  <c r="AL192" i="50"/>
  <c r="AL185" i="50"/>
  <c r="AL170" i="50"/>
  <c r="AL115" i="50"/>
  <c r="AL125" i="50"/>
  <c r="AL130" i="50"/>
  <c r="AL163" i="50"/>
  <c r="AL173" i="50"/>
  <c r="AL182" i="50"/>
  <c r="AL126" i="50"/>
  <c r="AL114" i="50"/>
  <c r="AL184" i="50"/>
  <c r="AL156" i="50"/>
  <c r="AL152" i="50"/>
  <c r="AL187" i="50"/>
  <c r="AL147" i="50"/>
  <c r="AL176" i="50"/>
  <c r="AL197" i="50"/>
  <c r="AL194" i="50"/>
  <c r="AL164" i="50"/>
  <c r="AL134" i="50"/>
  <c r="AL153" i="50"/>
  <c r="AL121" i="50"/>
  <c r="AL131" i="50"/>
  <c r="AL120" i="50"/>
  <c r="AL193" i="50"/>
  <c r="AL201" i="50"/>
  <c r="AL174" i="50"/>
  <c r="AL167" i="50"/>
  <c r="AL122" i="50"/>
  <c r="AL116" i="50"/>
  <c r="AL135" i="50"/>
  <c r="AL139" i="50"/>
  <c r="AL105" i="50"/>
  <c r="AL189" i="50"/>
  <c r="AL109" i="50"/>
  <c r="AL133" i="50"/>
  <c r="AL145" i="50"/>
  <c r="AL202" i="50"/>
  <c r="AL108" i="50"/>
  <c r="AL138" i="50"/>
  <c r="AL188" i="50"/>
  <c r="AL132" i="50"/>
  <c r="AL110" i="50"/>
  <c r="AL118" i="50"/>
  <c r="AL127" i="50"/>
  <c r="AL150" i="50"/>
  <c r="AL165" i="50"/>
  <c r="AL172" i="50"/>
  <c r="AL106" i="50"/>
  <c r="AL148" i="50"/>
  <c r="AL142" i="50"/>
  <c r="AL112" i="50"/>
  <c r="AL180" i="50"/>
  <c r="AL141" i="50"/>
  <c r="AL181" i="50"/>
  <c r="AL162" i="50"/>
  <c r="AL154" i="50"/>
  <c r="AL146" i="50"/>
  <c r="AL177" i="50"/>
  <c r="AL143" i="50"/>
  <c r="AJ150" i="50"/>
  <c r="AK186" i="50"/>
  <c r="AL111" i="50"/>
  <c r="AJ199" i="50"/>
  <c r="BB126" i="50" l="1"/>
  <c r="BB127" i="50" s="1"/>
  <c r="BB10" i="50"/>
  <c r="BB11" i="50" s="1"/>
  <c r="CJ11" i="50" s="1"/>
  <c r="BB97" i="50"/>
  <c r="BB98" i="50" s="1"/>
  <c r="BB68" i="50"/>
  <c r="BB39" i="50"/>
  <c r="AU47" i="50"/>
  <c r="AU134" i="50"/>
  <c r="AU76" i="50"/>
  <c r="AU18" i="50"/>
  <c r="AU105" i="50"/>
  <c r="AU106" i="50"/>
  <c r="AU135" i="50"/>
  <c r="AU19" i="50"/>
  <c r="AU48" i="50"/>
  <c r="AU77" i="50"/>
  <c r="AU42" i="50"/>
  <c r="AU71" i="50"/>
  <c r="AU13" i="50"/>
  <c r="AU129" i="50"/>
  <c r="AU100" i="50"/>
  <c r="AU74" i="50"/>
  <c r="AU103" i="50"/>
  <c r="AU16" i="50"/>
  <c r="AU132" i="50"/>
  <c r="AU45" i="50"/>
  <c r="AU69" i="50"/>
  <c r="AU11" i="50"/>
  <c r="AU127" i="50"/>
  <c r="AU40" i="50"/>
  <c r="AU98" i="50"/>
  <c r="AU78" i="50"/>
  <c r="AU107" i="50"/>
  <c r="AU136" i="50"/>
  <c r="AU49" i="50"/>
  <c r="AU20" i="50"/>
  <c r="AT70" i="50"/>
  <c r="AT69" i="50"/>
  <c r="AT98" i="50"/>
  <c r="AT11" i="50"/>
  <c r="AT99" i="50"/>
  <c r="AT128" i="50"/>
  <c r="AT40" i="50"/>
  <c r="AT127" i="50"/>
  <c r="AT12" i="50"/>
  <c r="AT41" i="50"/>
  <c r="AU41" i="50"/>
  <c r="AU70" i="50"/>
  <c r="AU12" i="50"/>
  <c r="AU99" i="50"/>
  <c r="AU128" i="50"/>
  <c r="AU39" i="50"/>
  <c r="AU126" i="50"/>
  <c r="AU97" i="50"/>
  <c r="AU10" i="50"/>
  <c r="AU68" i="50"/>
  <c r="AT97" i="50"/>
  <c r="AT10" i="50"/>
  <c r="AT39" i="50"/>
  <c r="AT126" i="50"/>
  <c r="AT68" i="50"/>
  <c r="AU133" i="50"/>
  <c r="AU46" i="50"/>
  <c r="AU75" i="50"/>
  <c r="AU104" i="50"/>
  <c r="AU17" i="50"/>
  <c r="AU131" i="50"/>
  <c r="AU44" i="50"/>
  <c r="AU73" i="50"/>
  <c r="AU15" i="50"/>
  <c r="AU102" i="50"/>
  <c r="AU72" i="50"/>
  <c r="AU14" i="50"/>
  <c r="AU101" i="50"/>
  <c r="AU130" i="50"/>
  <c r="AU43" i="50"/>
  <c r="AV39" i="50" l="1"/>
  <c r="CL55" i="50" s="1"/>
  <c r="CJ190" i="50"/>
  <c r="CJ145" i="50"/>
  <c r="CJ10" i="50"/>
  <c r="CK10" i="50" s="1"/>
  <c r="CP10" i="50" s="1"/>
  <c r="C10" i="55"/>
  <c r="AV97" i="50"/>
  <c r="BB12" i="50"/>
  <c r="CJ12" i="50" s="1"/>
  <c r="BB69" i="50"/>
  <c r="CJ100" i="50"/>
  <c r="BB99" i="50"/>
  <c r="CJ146" i="50"/>
  <c r="BB40" i="50"/>
  <c r="CJ55" i="50"/>
  <c r="BB128" i="50"/>
  <c r="CJ191" i="50"/>
  <c r="AV68" i="50"/>
  <c r="AV40" i="50"/>
  <c r="AV10" i="50"/>
  <c r="C9" i="54" s="1"/>
  <c r="AV126" i="50"/>
  <c r="C9" i="55"/>
  <c r="N47" i="54"/>
  <c r="N51" i="54"/>
  <c r="N48" i="54"/>
  <c r="L47" i="55"/>
  <c r="N45" i="54"/>
  <c r="L53" i="55"/>
  <c r="N49" i="54"/>
  <c r="L59" i="55"/>
  <c r="L61" i="55"/>
  <c r="L49" i="55"/>
  <c r="N53" i="54"/>
  <c r="L62" i="55"/>
  <c r="L46" i="55"/>
  <c r="L45" i="55"/>
  <c r="L52" i="55"/>
  <c r="L55" i="55"/>
  <c r="L51" i="55"/>
  <c r="N50" i="54"/>
  <c r="L44" i="55"/>
  <c r="L63" i="55"/>
  <c r="L57" i="55"/>
  <c r="L48" i="55"/>
  <c r="L58" i="55"/>
  <c r="N52" i="54"/>
  <c r="L50" i="55"/>
  <c r="L56" i="55"/>
  <c r="N46" i="54"/>
  <c r="L60" i="55"/>
  <c r="L54" i="55"/>
  <c r="CL145" i="50" l="1"/>
  <c r="J9" i="54"/>
  <c r="K9" i="54"/>
  <c r="AV98" i="50"/>
  <c r="CK11" i="50"/>
  <c r="CP11" i="50" s="1"/>
  <c r="C11" i="55"/>
  <c r="BB13" i="50"/>
  <c r="CJ13" i="50" s="1"/>
  <c r="AV11" i="50"/>
  <c r="C10" i="54" s="1"/>
  <c r="CL10" i="50"/>
  <c r="CM10" i="50" s="1"/>
  <c r="BB41" i="50"/>
  <c r="CJ56" i="50"/>
  <c r="AV41" i="50"/>
  <c r="CL56" i="50"/>
  <c r="AV69" i="50"/>
  <c r="CL100" i="50"/>
  <c r="CK12" i="50"/>
  <c r="BB100" i="50"/>
  <c r="CJ147" i="50"/>
  <c r="BB129" i="50"/>
  <c r="CJ192" i="50"/>
  <c r="AV127" i="50"/>
  <c r="CL190" i="50"/>
  <c r="BB70" i="50"/>
  <c r="CJ101" i="50"/>
  <c r="I9" i="54"/>
  <c r="L72" i="55"/>
  <c r="L71" i="55"/>
  <c r="N44" i="54"/>
  <c r="J10" i="54" l="1"/>
  <c r="K10" i="54"/>
  <c r="AV99" i="50"/>
  <c r="L64" i="55"/>
  <c r="L69" i="55"/>
  <c r="L73" i="55"/>
  <c r="N60" i="54"/>
  <c r="N62" i="54"/>
  <c r="N63" i="54"/>
  <c r="N54" i="54"/>
  <c r="L67" i="55"/>
  <c r="N56" i="54"/>
  <c r="N61" i="54"/>
  <c r="N58" i="54"/>
  <c r="N57" i="54"/>
  <c r="N59" i="54"/>
  <c r="N55" i="54"/>
  <c r="L68" i="55"/>
  <c r="L65" i="55"/>
  <c r="L66" i="55"/>
  <c r="L70" i="55"/>
  <c r="CL146" i="50" l="1"/>
  <c r="BB14" i="50"/>
  <c r="CJ14" i="50" s="1"/>
  <c r="C12" i="55"/>
  <c r="AV70" i="50"/>
  <c r="CL101" i="50"/>
  <c r="BB101" i="50"/>
  <c r="CJ148" i="50"/>
  <c r="BB71" i="50"/>
  <c r="CJ102" i="50"/>
  <c r="AV42" i="50"/>
  <c r="CL57" i="50"/>
  <c r="AV128" i="50"/>
  <c r="CL191" i="50"/>
  <c r="AV100" i="50"/>
  <c r="CL147" i="50"/>
  <c r="BB42" i="50"/>
  <c r="CJ57" i="50"/>
  <c r="CK13" i="50"/>
  <c r="CP12" i="50"/>
  <c r="CQ10" i="50"/>
  <c r="CR10" i="50" s="1"/>
  <c r="BB130" i="50"/>
  <c r="CJ193" i="50"/>
  <c r="AV12" i="50"/>
  <c r="C11" i="54" s="1"/>
  <c r="CL11" i="50"/>
  <c r="CM11" i="50" s="1"/>
  <c r="I10" i="54"/>
  <c r="L77" i="55"/>
  <c r="L81" i="55"/>
  <c r="L83" i="55"/>
  <c r="L80" i="55"/>
  <c r="L74" i="55"/>
  <c r="L75" i="55"/>
  <c r="L79" i="55"/>
  <c r="L82" i="55"/>
  <c r="L76" i="55"/>
  <c r="L78" i="55"/>
  <c r="K11" i="54" l="1"/>
  <c r="J11" i="54"/>
  <c r="C13" i="55"/>
  <c r="BB15" i="50"/>
  <c r="CJ15" i="50" s="1"/>
  <c r="CQ11" i="50"/>
  <c r="CR11" i="50" s="1"/>
  <c r="BB43" i="50"/>
  <c r="CJ58" i="50"/>
  <c r="BB131" i="50"/>
  <c r="CJ194" i="50"/>
  <c r="AV101" i="50"/>
  <c r="CL148" i="50"/>
  <c r="CK14" i="50"/>
  <c r="CP13" i="50"/>
  <c r="AV43" i="50"/>
  <c r="CL58" i="50"/>
  <c r="AV13" i="50"/>
  <c r="C12" i="54" s="1"/>
  <c r="CL12" i="50"/>
  <c r="CM12" i="50" s="1"/>
  <c r="BB102" i="50"/>
  <c r="CJ149" i="50"/>
  <c r="BB72" i="50"/>
  <c r="CJ103" i="50"/>
  <c r="AV129" i="50"/>
  <c r="CL192" i="50"/>
  <c r="AV71" i="50"/>
  <c r="CL102" i="50"/>
  <c r="I14" i="59"/>
  <c r="K10" i="59"/>
  <c r="I7" i="59"/>
  <c r="J8" i="59"/>
  <c r="L10" i="59"/>
  <c r="K11" i="59"/>
  <c r="I12" i="59"/>
  <c r="K13" i="59"/>
  <c r="L12" i="59"/>
  <c r="L9" i="59"/>
  <c r="J11" i="59"/>
  <c r="K7" i="59"/>
  <c r="H13" i="59"/>
  <c r="I8" i="59"/>
  <c r="I9" i="59"/>
  <c r="J10" i="59"/>
  <c r="I13" i="59"/>
  <c r="L6" i="59"/>
  <c r="L8" i="59"/>
  <c r="J7" i="59"/>
  <c r="I10" i="59"/>
  <c r="H11" i="59"/>
  <c r="L13" i="59"/>
  <c r="H8" i="59"/>
  <c r="H12" i="59"/>
  <c r="J6" i="59"/>
  <c r="H7" i="59"/>
  <c r="K6" i="59"/>
  <c r="H9" i="59"/>
  <c r="J13" i="59"/>
  <c r="I11" i="59"/>
  <c r="J14" i="59"/>
  <c r="J9" i="59"/>
  <c r="H6" i="59"/>
  <c r="H10" i="59"/>
  <c r="H14" i="59"/>
  <c r="K8" i="59"/>
  <c r="J12" i="59"/>
  <c r="L7" i="59"/>
  <c r="K12" i="59"/>
  <c r="L14" i="59"/>
  <c r="L11" i="59"/>
  <c r="K9" i="59"/>
  <c r="I6" i="59"/>
  <c r="K14" i="59"/>
  <c r="L87" i="55"/>
  <c r="L91" i="55"/>
  <c r="L92" i="55"/>
  <c r="N65" i="54"/>
  <c r="N67" i="54"/>
  <c r="N72" i="54"/>
  <c r="N70" i="54"/>
  <c r="L88" i="55"/>
  <c r="L89" i="55"/>
  <c r="N73" i="54"/>
  <c r="N71" i="54"/>
  <c r="N64" i="54"/>
  <c r="N68" i="54"/>
  <c r="L85" i="55"/>
  <c r="L84" i="55"/>
  <c r="L86" i="55"/>
  <c r="L93" i="55"/>
  <c r="L90" i="55"/>
  <c r="K12" i="54" l="1"/>
  <c r="J12" i="54"/>
  <c r="C14" i="55"/>
  <c r="BB16" i="50"/>
  <c r="CJ16" i="50" s="1"/>
  <c r="CQ12" i="50"/>
  <c r="CR12" i="50" s="1"/>
  <c r="BB103" i="50"/>
  <c r="CJ150" i="50"/>
  <c r="I11" i="54"/>
  <c r="BB73" i="50"/>
  <c r="CJ104" i="50"/>
  <c r="CK15" i="50"/>
  <c r="CP14" i="50"/>
  <c r="AV72" i="50"/>
  <c r="CL103" i="50"/>
  <c r="AV14" i="50"/>
  <c r="C13" i="54" s="1"/>
  <c r="CL13" i="50"/>
  <c r="CM13" i="50" s="1"/>
  <c r="I12" i="54"/>
  <c r="AV130" i="50"/>
  <c r="CL193" i="50"/>
  <c r="BB132" i="50"/>
  <c r="CJ195" i="50"/>
  <c r="BB44" i="50"/>
  <c r="CJ59" i="50"/>
  <c r="AV102" i="50"/>
  <c r="CL149" i="50"/>
  <c r="AV44" i="50"/>
  <c r="CL59" i="50"/>
  <c r="AH194" i="51"/>
  <c r="AH187" i="51"/>
  <c r="AH189" i="51"/>
  <c r="AH190" i="51"/>
  <c r="AH191" i="51"/>
  <c r="AH192" i="51"/>
  <c r="AH186" i="51"/>
  <c r="AH188" i="51"/>
  <c r="AH193" i="51"/>
  <c r="AH97" i="51"/>
  <c r="AH99" i="51"/>
  <c r="AH100" i="51"/>
  <c r="AH101" i="51"/>
  <c r="AH102" i="51"/>
  <c r="AH103" i="51"/>
  <c r="AH96" i="51"/>
  <c r="AH98" i="51"/>
  <c r="AH104" i="51"/>
  <c r="AH142" i="51"/>
  <c r="AH144" i="51"/>
  <c r="AH145" i="51"/>
  <c r="AH146" i="51"/>
  <c r="AH147" i="51"/>
  <c r="AH148" i="51"/>
  <c r="AH149" i="51"/>
  <c r="AH143" i="51"/>
  <c r="AH9" i="51"/>
  <c r="AH13" i="51"/>
  <c r="AH8" i="51"/>
  <c r="AH10" i="51"/>
  <c r="AH11" i="51"/>
  <c r="AH12" i="51"/>
  <c r="AH7" i="51"/>
  <c r="AH55" i="51"/>
  <c r="AH56" i="51"/>
  <c r="AH57" i="51"/>
  <c r="AH58" i="51"/>
  <c r="AH51" i="51"/>
  <c r="AH53" i="51"/>
  <c r="AH59" i="51"/>
  <c r="AH52" i="51"/>
  <c r="N69" i="54"/>
  <c r="L97" i="55"/>
  <c r="N66" i="54"/>
  <c r="K13" i="54" l="1"/>
  <c r="J13" i="54"/>
  <c r="N80" i="54"/>
  <c r="N77" i="54"/>
  <c r="L96" i="55"/>
  <c r="N76" i="54"/>
  <c r="N83" i="54"/>
  <c r="L103" i="55"/>
  <c r="L100" i="55"/>
  <c r="L98" i="55"/>
  <c r="L99" i="55"/>
  <c r="L94" i="55"/>
  <c r="L101" i="55"/>
  <c r="N74" i="54"/>
  <c r="N78" i="54"/>
  <c r="N82" i="54"/>
  <c r="N79" i="54"/>
  <c r="L102" i="55"/>
  <c r="L95" i="55"/>
  <c r="N75" i="54"/>
  <c r="C15" i="55" l="1"/>
  <c r="BB17" i="50"/>
  <c r="CJ17" i="50" s="1"/>
  <c r="CQ13" i="50"/>
  <c r="CR13" i="50" s="1"/>
  <c r="AV103" i="50"/>
  <c r="CL150" i="50"/>
  <c r="BB74" i="50"/>
  <c r="CJ105" i="50"/>
  <c r="BB45" i="50"/>
  <c r="CJ60" i="50"/>
  <c r="AV15" i="50"/>
  <c r="C14" i="54" s="1"/>
  <c r="CL14" i="50"/>
  <c r="CM14" i="50" s="1"/>
  <c r="CJ196" i="50"/>
  <c r="G15" i="55"/>
  <c r="BB133" i="50"/>
  <c r="AV73" i="50"/>
  <c r="CL104" i="50"/>
  <c r="CJ151" i="50"/>
  <c r="BB104" i="50"/>
  <c r="F15" i="55"/>
  <c r="AV45" i="50"/>
  <c r="CL60" i="50"/>
  <c r="AV131" i="50"/>
  <c r="CL194" i="50"/>
  <c r="CK16" i="50"/>
  <c r="CP15" i="50"/>
  <c r="AH141" i="51"/>
  <c r="L107" i="55"/>
  <c r="N81" i="54"/>
  <c r="K14" i="54" l="1"/>
  <c r="J14" i="54"/>
  <c r="L113" i="55"/>
  <c r="L112" i="55"/>
  <c r="L108" i="55"/>
  <c r="L104" i="55"/>
  <c r="L106" i="55"/>
  <c r="N90" i="54"/>
  <c r="N92" i="54"/>
  <c r="L111" i="55"/>
  <c r="L109" i="55"/>
  <c r="N93" i="54"/>
  <c r="L110" i="55"/>
  <c r="N84" i="54"/>
  <c r="N85" i="54"/>
  <c r="N87" i="54"/>
  <c r="N86" i="54"/>
  <c r="L105" i="55"/>
  <c r="C16" i="55" l="1"/>
  <c r="BB18" i="50"/>
  <c r="CJ18" i="50" s="1"/>
  <c r="CQ14" i="50"/>
  <c r="CR14" i="50" s="1"/>
  <c r="AV16" i="50"/>
  <c r="C15" i="54" s="1"/>
  <c r="CL15" i="50"/>
  <c r="CM15" i="50" s="1"/>
  <c r="I14" i="54"/>
  <c r="CJ197" i="50"/>
  <c r="BB134" i="50"/>
  <c r="G16" i="55"/>
  <c r="CJ61" i="50"/>
  <c r="BB46" i="50"/>
  <c r="D15" i="55"/>
  <c r="CJ106" i="50"/>
  <c r="E15" i="55"/>
  <c r="BB75" i="50"/>
  <c r="I13" i="54"/>
  <c r="AV46" i="50"/>
  <c r="CL61" i="50"/>
  <c r="CJ152" i="50"/>
  <c r="F16" i="55"/>
  <c r="BB105" i="50"/>
  <c r="CK17" i="50"/>
  <c r="CP16" i="50"/>
  <c r="AV104" i="50"/>
  <c r="CL151" i="50"/>
  <c r="AV132" i="50"/>
  <c r="CL195" i="50"/>
  <c r="AV74" i="50"/>
  <c r="CL105" i="50"/>
  <c r="AH54" i="51"/>
  <c r="L117" i="55"/>
  <c r="N88" i="54"/>
  <c r="N89" i="54"/>
  <c r="O120" i="55"/>
  <c r="L118" i="55"/>
  <c r="P120" i="55"/>
  <c r="N91" i="54"/>
  <c r="J15" i="54" l="1"/>
  <c r="K15" i="54"/>
  <c r="O115" i="55"/>
  <c r="P122" i="55"/>
  <c r="O123" i="55"/>
  <c r="L123" i="55"/>
  <c r="P118" i="55"/>
  <c r="N95" i="54"/>
  <c r="N102" i="54"/>
  <c r="P121" i="55"/>
  <c r="P115" i="55"/>
  <c r="N97" i="54"/>
  <c r="O118" i="55"/>
  <c r="O116" i="55"/>
  <c r="L122" i="55"/>
  <c r="L115" i="55"/>
  <c r="P123" i="55"/>
  <c r="O117" i="55"/>
  <c r="P119" i="55"/>
  <c r="N103" i="54"/>
  <c r="P117" i="55"/>
  <c r="P114" i="55"/>
  <c r="L120" i="55"/>
  <c r="N94" i="54"/>
  <c r="N101" i="54"/>
  <c r="O119" i="55"/>
  <c r="P116" i="55"/>
  <c r="N98" i="54"/>
  <c r="L114" i="55"/>
  <c r="L119" i="55"/>
  <c r="N96" i="54"/>
  <c r="O114" i="55"/>
  <c r="L121" i="55"/>
  <c r="O121" i="55"/>
  <c r="L116" i="55"/>
  <c r="N99" i="54"/>
  <c r="O122" i="55"/>
  <c r="N100" i="54"/>
  <c r="C17" i="55" l="1"/>
  <c r="BB19" i="50"/>
  <c r="CJ19" i="50" s="1"/>
  <c r="CQ15" i="50"/>
  <c r="CR15" i="50" s="1"/>
  <c r="CJ153" i="50"/>
  <c r="F17" i="55"/>
  <c r="BB106" i="50"/>
  <c r="AV75" i="50"/>
  <c r="CL106" i="50"/>
  <c r="CJ107" i="50"/>
  <c r="BB76" i="50"/>
  <c r="E16" i="55"/>
  <c r="CJ62" i="50"/>
  <c r="BB47" i="50"/>
  <c r="D16" i="55"/>
  <c r="AV17" i="50"/>
  <c r="C16" i="54" s="1"/>
  <c r="CL16" i="50"/>
  <c r="CM16" i="50" s="1"/>
  <c r="I15" i="54"/>
  <c r="AV133" i="50"/>
  <c r="CL196" i="50"/>
  <c r="CK18" i="50"/>
  <c r="CP17" i="50"/>
  <c r="AV47" i="50"/>
  <c r="CL62" i="50"/>
  <c r="AV105" i="50"/>
  <c r="CL152" i="50"/>
  <c r="CJ198" i="50"/>
  <c r="BB135" i="50"/>
  <c r="G17" i="55"/>
  <c r="CP6" i="50"/>
  <c r="M121" i="55"/>
  <c r="N120" i="55"/>
  <c r="N119" i="55"/>
  <c r="M122" i="55"/>
  <c r="N106" i="54"/>
  <c r="N108" i="54"/>
  <c r="N123" i="55"/>
  <c r="M114" i="55"/>
  <c r="N107" i="54"/>
  <c r="O132" i="55"/>
  <c r="O124" i="55"/>
  <c r="P128" i="55"/>
  <c r="O127" i="55"/>
  <c r="M115" i="55"/>
  <c r="N122" i="55"/>
  <c r="P125" i="55"/>
  <c r="M120" i="55"/>
  <c r="L128" i="55"/>
  <c r="L133" i="55"/>
  <c r="P130" i="55"/>
  <c r="N110" i="54"/>
  <c r="P126" i="55"/>
  <c r="N109" i="54"/>
  <c r="N113" i="54"/>
  <c r="P129" i="55"/>
  <c r="P124" i="55"/>
  <c r="M116" i="55"/>
  <c r="N118" i="55"/>
  <c r="M118" i="55"/>
  <c r="O130" i="55"/>
  <c r="N121" i="55"/>
  <c r="P127" i="55"/>
  <c r="P132" i="55"/>
  <c r="O128" i="55"/>
  <c r="L132" i="55"/>
  <c r="L130" i="55"/>
  <c r="O125" i="55"/>
  <c r="N112" i="54"/>
  <c r="N115" i="55"/>
  <c r="P131" i="55"/>
  <c r="L131" i="55"/>
  <c r="N116" i="55"/>
  <c r="N105" i="54"/>
  <c r="O129" i="55"/>
  <c r="N104" i="54"/>
  <c r="N111" i="54"/>
  <c r="N117" i="55"/>
  <c r="O126" i="55"/>
  <c r="P133" i="55"/>
  <c r="L125" i="55"/>
  <c r="N114" i="55"/>
  <c r="L124" i="55"/>
  <c r="M119" i="55"/>
  <c r="M117" i="55"/>
  <c r="M123" i="55"/>
  <c r="L127" i="55"/>
  <c r="L126" i="55"/>
  <c r="O131" i="55"/>
  <c r="L129" i="55"/>
  <c r="O133" i="55"/>
  <c r="K16" i="54" l="1"/>
  <c r="J16" i="54"/>
  <c r="C18" i="55"/>
  <c r="BB20" i="50"/>
  <c r="CJ20" i="50" s="1"/>
  <c r="CQ16" i="50"/>
  <c r="CR16" i="50" s="1"/>
  <c r="CJ63" i="50"/>
  <c r="BB48" i="50"/>
  <c r="D17" i="55"/>
  <c r="AV48" i="50"/>
  <c r="CL63" i="50"/>
  <c r="AV18" i="50"/>
  <c r="C17" i="54" s="1"/>
  <c r="CL17" i="50"/>
  <c r="CM17" i="50" s="1"/>
  <c r="I16" i="54"/>
  <c r="AV76" i="50"/>
  <c r="CL107" i="50"/>
  <c r="CJ154" i="50"/>
  <c r="BB107" i="50"/>
  <c r="F18" i="55"/>
  <c r="AV134" i="50"/>
  <c r="CL197" i="50"/>
  <c r="CJ108" i="50"/>
  <c r="BB77" i="50"/>
  <c r="E17" i="55"/>
  <c r="CK19" i="50"/>
  <c r="CP18" i="50"/>
  <c r="CJ199" i="50"/>
  <c r="BB136" i="50"/>
  <c r="G18" i="55"/>
  <c r="AV106" i="50"/>
  <c r="CL153" i="50"/>
  <c r="P137" i="55"/>
  <c r="M126" i="55"/>
  <c r="N115" i="54"/>
  <c r="P135" i="55"/>
  <c r="P142" i="55"/>
  <c r="O143" i="55"/>
  <c r="L139" i="55"/>
  <c r="N125" i="55"/>
  <c r="P143" i="55"/>
  <c r="L138" i="55"/>
  <c r="N114" i="54"/>
  <c r="L141" i="55"/>
  <c r="M132" i="55"/>
  <c r="M124" i="55"/>
  <c r="N120" i="54"/>
  <c r="N132" i="55"/>
  <c r="M129" i="55"/>
  <c r="M133" i="55"/>
  <c r="P136" i="55"/>
  <c r="N118" i="54"/>
  <c r="N126" i="55"/>
  <c r="O140" i="55"/>
  <c r="N122" i="54"/>
  <c r="O134" i="55"/>
  <c r="O138" i="55"/>
  <c r="O135" i="55"/>
  <c r="P141" i="55"/>
  <c r="O141" i="55"/>
  <c r="N127" i="55"/>
  <c r="L134" i="55"/>
  <c r="O137" i="55"/>
  <c r="N128" i="55"/>
  <c r="L136" i="55"/>
  <c r="N130" i="55"/>
  <c r="L137" i="55"/>
  <c r="N116" i="54"/>
  <c r="N124" i="55"/>
  <c r="P140" i="55"/>
  <c r="L142" i="55"/>
  <c r="P138" i="55"/>
  <c r="M130" i="55"/>
  <c r="O142" i="55"/>
  <c r="P134" i="55"/>
  <c r="M128" i="55"/>
  <c r="L143" i="55"/>
  <c r="N121" i="54"/>
  <c r="M131" i="55"/>
  <c r="N133" i="55"/>
  <c r="N123" i="54"/>
  <c r="L135" i="55"/>
  <c r="N129" i="55"/>
  <c r="N131" i="55"/>
  <c r="M127" i="55"/>
  <c r="M125" i="55"/>
  <c r="O136" i="55"/>
  <c r="N117" i="54"/>
  <c r="O139" i="55"/>
  <c r="P139" i="55"/>
  <c r="N119" i="54"/>
  <c r="L140" i="55"/>
  <c r="J17" i="54" l="1"/>
  <c r="K17" i="54"/>
  <c r="C19" i="55"/>
  <c r="BB21" i="50"/>
  <c r="CJ21" i="50" s="1"/>
  <c r="CQ17" i="50"/>
  <c r="CR17" i="50" s="1"/>
  <c r="AV77" i="50"/>
  <c r="CL108" i="50"/>
  <c r="AV19" i="50"/>
  <c r="C18" i="54" s="1"/>
  <c r="CL18" i="50"/>
  <c r="CM18" i="50" s="1"/>
  <c r="CK20" i="50"/>
  <c r="CP19" i="50"/>
  <c r="AV49" i="50"/>
  <c r="CL64" i="50"/>
  <c r="CJ155" i="50"/>
  <c r="BB108" i="50"/>
  <c r="F19" i="55"/>
  <c r="CJ64" i="50"/>
  <c r="D18" i="55"/>
  <c r="BB49" i="50"/>
  <c r="CJ109" i="50"/>
  <c r="BB78" i="50"/>
  <c r="E18" i="55"/>
  <c r="AV107" i="50"/>
  <c r="CL154" i="50"/>
  <c r="CJ200" i="50"/>
  <c r="G19" i="55"/>
  <c r="BB137" i="50"/>
  <c r="AV135" i="50"/>
  <c r="CL198" i="50"/>
  <c r="P149" i="55"/>
  <c r="L152" i="55"/>
  <c r="O145" i="55"/>
  <c r="N135" i="55"/>
  <c r="N143" i="55"/>
  <c r="L144" i="55"/>
  <c r="N129" i="54"/>
  <c r="P145" i="55"/>
  <c r="O153" i="55"/>
  <c r="O148" i="55"/>
  <c r="N133" i="54"/>
  <c r="N128" i="54"/>
  <c r="P152" i="55"/>
  <c r="P146" i="55"/>
  <c r="O146" i="55"/>
  <c r="N126" i="54"/>
  <c r="N136" i="55"/>
  <c r="O147" i="55"/>
  <c r="N139" i="55"/>
  <c r="M143" i="55"/>
  <c r="L153" i="55"/>
  <c r="M139" i="55"/>
  <c r="P148" i="55"/>
  <c r="N125" i="54"/>
  <c r="P151" i="55"/>
  <c r="O144" i="55"/>
  <c r="L151" i="55"/>
  <c r="N134" i="55"/>
  <c r="N141" i="55"/>
  <c r="M137" i="55"/>
  <c r="P144" i="55"/>
  <c r="P147" i="55"/>
  <c r="L150" i="55"/>
  <c r="L147" i="55"/>
  <c r="M135" i="55"/>
  <c r="P150" i="55"/>
  <c r="M141" i="55"/>
  <c r="L149" i="55"/>
  <c r="L145" i="55"/>
  <c r="O151" i="55"/>
  <c r="N127" i="54"/>
  <c r="P153" i="55"/>
  <c r="N137" i="55"/>
  <c r="O149" i="55"/>
  <c r="N124" i="54"/>
  <c r="M140" i="55"/>
  <c r="M136" i="55"/>
  <c r="M134" i="55"/>
  <c r="L148" i="55"/>
  <c r="O152" i="55"/>
  <c r="N132" i="54"/>
  <c r="O150" i="55"/>
  <c r="N138" i="55"/>
  <c r="N142" i="55"/>
  <c r="N140" i="55"/>
  <c r="N130" i="54"/>
  <c r="M142" i="55"/>
  <c r="L146" i="55"/>
  <c r="N131" i="54"/>
  <c r="M138" i="55"/>
  <c r="J18" i="54" l="1"/>
  <c r="K18" i="54"/>
  <c r="C20" i="55"/>
  <c r="CQ18" i="50"/>
  <c r="CR18" i="50" s="1"/>
  <c r="CJ201" i="50"/>
  <c r="G20" i="55"/>
  <c r="AV78" i="50"/>
  <c r="CL109" i="50"/>
  <c r="CK21" i="50"/>
  <c r="CP21" i="50" s="1"/>
  <c r="CP20" i="50"/>
  <c r="AV108" i="50"/>
  <c r="CL155" i="50"/>
  <c r="AV50" i="50"/>
  <c r="CL65" i="50"/>
  <c r="CJ156" i="50"/>
  <c r="F20" i="55"/>
  <c r="CJ110" i="50"/>
  <c r="E19" i="55"/>
  <c r="BB79" i="50"/>
  <c r="AV20" i="50"/>
  <c r="C19" i="54" s="1"/>
  <c r="CL19" i="50"/>
  <c r="CM19" i="50" s="1"/>
  <c r="I18" i="54"/>
  <c r="AV136" i="50"/>
  <c r="CL199" i="50"/>
  <c r="CJ65" i="50"/>
  <c r="D19" i="55"/>
  <c r="BB50" i="50"/>
  <c r="I17" i="54"/>
  <c r="CQ6" i="50"/>
  <c r="CR6" i="50" s="1"/>
  <c r="AI6" i="51"/>
  <c r="AJ6" i="51" s="1"/>
  <c r="L155" i="55"/>
  <c r="O154" i="55"/>
  <c r="P159" i="55"/>
  <c r="N147" i="55"/>
  <c r="P160" i="55"/>
  <c r="M148" i="55"/>
  <c r="L162" i="55"/>
  <c r="P163" i="55"/>
  <c r="M149" i="55"/>
  <c r="N144" i="55"/>
  <c r="M153" i="55"/>
  <c r="N135" i="54"/>
  <c r="N138" i="54"/>
  <c r="N151" i="55"/>
  <c r="M151" i="55"/>
  <c r="P155" i="55"/>
  <c r="O155" i="55"/>
  <c r="L163" i="55"/>
  <c r="P157" i="55"/>
  <c r="N153" i="55"/>
  <c r="O161" i="55"/>
  <c r="L158" i="55"/>
  <c r="P162" i="55"/>
  <c r="L161" i="55"/>
  <c r="N140" i="54"/>
  <c r="N139" i="54"/>
  <c r="L156" i="55"/>
  <c r="N137" i="54"/>
  <c r="L154" i="55"/>
  <c r="N143" i="54"/>
  <c r="L160" i="55"/>
  <c r="P154" i="55"/>
  <c r="L164" i="55"/>
  <c r="O158" i="55"/>
  <c r="N141" i="54"/>
  <c r="M152" i="55"/>
  <c r="O163" i="55"/>
  <c r="L157" i="55"/>
  <c r="O164" i="55"/>
  <c r="O160" i="55"/>
  <c r="N150" i="55"/>
  <c r="O162" i="55"/>
  <c r="N134" i="54"/>
  <c r="P158" i="55"/>
  <c r="O159" i="55"/>
  <c r="M145" i="55"/>
  <c r="M146" i="55"/>
  <c r="O156" i="55"/>
  <c r="L159" i="55"/>
  <c r="N142" i="54"/>
  <c r="N146" i="55"/>
  <c r="P161" i="55"/>
  <c r="M144" i="55"/>
  <c r="N152" i="55"/>
  <c r="N149" i="55"/>
  <c r="N136" i="54"/>
  <c r="P156" i="55"/>
  <c r="M147" i="55"/>
  <c r="M150" i="55"/>
  <c r="N145" i="55"/>
  <c r="N148" i="55"/>
  <c r="O157" i="55"/>
  <c r="P164" i="55"/>
  <c r="K19" i="54" l="1"/>
  <c r="J19" i="54"/>
  <c r="CL156" i="50"/>
  <c r="CL66" i="50"/>
  <c r="CQ19" i="50"/>
  <c r="CR19" i="50" s="1"/>
  <c r="AV137" i="50"/>
  <c r="CL200" i="50"/>
  <c r="AV79" i="50"/>
  <c r="CL110" i="50"/>
  <c r="CJ66" i="50"/>
  <c r="D20" i="55"/>
  <c r="AV21" i="50"/>
  <c r="C20" i="54" s="1"/>
  <c r="CL20" i="50"/>
  <c r="CM20" i="50" s="1"/>
  <c r="I19" i="54"/>
  <c r="CJ111" i="50"/>
  <c r="E20" i="55"/>
  <c r="AI7" i="51"/>
  <c r="AJ7" i="51" s="1"/>
  <c r="N144" i="54"/>
  <c r="N147" i="54"/>
  <c r="N162" i="55"/>
  <c r="N156" i="55"/>
  <c r="M160" i="55"/>
  <c r="N153" i="54"/>
  <c r="M159" i="55"/>
  <c r="N157" i="55"/>
  <c r="M163" i="55"/>
  <c r="M162" i="55"/>
  <c r="J20" i="54" l="1"/>
  <c r="K20" i="54"/>
  <c r="CL111" i="50"/>
  <c r="CL201" i="50"/>
  <c r="N154" i="55"/>
  <c r="M158" i="55"/>
  <c r="M164" i="55"/>
  <c r="N160" i="55"/>
  <c r="N152" i="54"/>
  <c r="M155" i="55"/>
  <c r="N164" i="55"/>
  <c r="M154" i="55"/>
  <c r="N163" i="55"/>
  <c r="N155" i="55"/>
  <c r="N151" i="54"/>
  <c r="M156" i="55"/>
  <c r="N159" i="55"/>
  <c r="M157" i="55"/>
  <c r="M161" i="55"/>
  <c r="N145" i="54"/>
  <c r="N148" i="54"/>
  <c r="N161" i="55"/>
  <c r="N146" i="54"/>
  <c r="N150" i="54"/>
  <c r="N158" i="55"/>
  <c r="N149" i="54"/>
  <c r="CQ20" i="50" l="1"/>
  <c r="CR20" i="50" s="1"/>
  <c r="CL21" i="50"/>
  <c r="CM21" i="50" s="1"/>
  <c r="CQ21" i="50" s="1"/>
  <c r="CR21" i="50" s="1"/>
  <c r="AI8" i="51"/>
  <c r="AJ8" i="51" s="1"/>
  <c r="N163" i="54"/>
  <c r="N156" i="54"/>
  <c r="N158" i="54"/>
  <c r="N164" i="54"/>
  <c r="N154" i="54"/>
  <c r="N161" i="54"/>
  <c r="N157" i="54"/>
  <c r="N162" i="54"/>
  <c r="N155" i="54"/>
  <c r="N159" i="54"/>
  <c r="N160" i="54"/>
  <c r="I20" i="54" l="1"/>
  <c r="AI9" i="51"/>
  <c r="AJ9" i="51" s="1"/>
  <c r="AI10" i="51" l="1"/>
  <c r="AJ10" i="51" s="1"/>
  <c r="AI11" i="51" l="1"/>
  <c r="AJ11" i="51" s="1"/>
  <c r="AI12" i="51" l="1"/>
  <c r="AJ12" i="51" s="1"/>
  <c r="AI14" i="51" l="1"/>
  <c r="AJ14" i="51" s="1"/>
  <c r="AI13" i="51"/>
  <c r="AJ13" i="51" s="1"/>
  <c r="AI15" i="51" l="1"/>
  <c r="AJ15" i="51" s="1"/>
  <c r="AI16" i="51" l="1"/>
  <c r="AJ16" i="51" s="1"/>
  <c r="AI17" i="51" l="1"/>
  <c r="AJ17" i="51" s="1"/>
  <c r="AI18" i="51" l="1"/>
  <c r="AJ18" i="51" s="1"/>
  <c r="F6" i="58"/>
  <c r="G6" i="58"/>
  <c r="AI19" i="51" l="1"/>
  <c r="AJ19" i="51" s="1"/>
  <c r="O7" i="58"/>
  <c r="O6" i="58"/>
  <c r="O8" i="58"/>
  <c r="N8" i="58"/>
  <c r="N7" i="58"/>
  <c r="N6" i="58"/>
  <c r="AI21" i="51" l="1"/>
  <c r="AJ21" i="51" s="1"/>
  <c r="AI20" i="51"/>
  <c r="AJ20" i="51" s="1"/>
  <c r="F9" i="58" l="1"/>
  <c r="G9" i="58"/>
  <c r="F8" i="58"/>
  <c r="G8" i="58"/>
  <c r="F7" i="58"/>
  <c r="G7" i="58"/>
  <c r="F5" i="58"/>
  <c r="N5" i="58" s="1"/>
  <c r="G5" i="58"/>
  <c r="O5" i="58" s="1"/>
  <c r="O34" i="58" l="1"/>
  <c r="O25" i="58"/>
  <c r="O32" i="58"/>
  <c r="O29" i="58"/>
  <c r="O27" i="58"/>
  <c r="O28" i="58"/>
  <c r="O35" i="58"/>
  <c r="O26" i="58"/>
  <c r="O31" i="58"/>
  <c r="O33" i="58"/>
  <c r="O24" i="58"/>
  <c r="O30" i="58"/>
  <c r="O23" i="58"/>
  <c r="O18" i="58"/>
  <c r="O16" i="58"/>
  <c r="O20" i="58"/>
  <c r="O21" i="58"/>
  <c r="O19" i="58"/>
  <c r="O22" i="58"/>
  <c r="O17" i="58"/>
  <c r="N26" i="58"/>
  <c r="N31" i="58"/>
  <c r="N30" i="58"/>
  <c r="N25" i="58"/>
  <c r="N35" i="58"/>
  <c r="N33" i="58"/>
  <c r="N34" i="58"/>
  <c r="N28" i="58"/>
  <c r="N27" i="58"/>
  <c r="N24" i="58"/>
  <c r="N29" i="58"/>
  <c r="N32" i="58"/>
  <c r="O14" i="58"/>
  <c r="O11" i="58"/>
  <c r="O12" i="58"/>
  <c r="O13" i="58"/>
  <c r="O9" i="58"/>
  <c r="O10" i="58"/>
  <c r="O15" i="58"/>
  <c r="N23" i="58"/>
  <c r="N22" i="58"/>
  <c r="N21" i="58"/>
  <c r="N18" i="58"/>
  <c r="N16" i="58"/>
  <c r="N19" i="58"/>
  <c r="N17" i="58"/>
  <c r="N20" i="58"/>
  <c r="N9" i="58"/>
  <c r="N10" i="58"/>
  <c r="N11" i="58"/>
  <c r="N12" i="58"/>
  <c r="N15" i="58"/>
  <c r="N13" i="58"/>
  <c r="N14" i="58"/>
  <c r="BR35" i="50" l="1"/>
  <c r="U51" i="51"/>
  <c r="BH37" i="50" l="1"/>
  <c r="BN37" i="50"/>
  <c r="BN39" i="50"/>
  <c r="BH39" i="50"/>
  <c r="BR37" i="50"/>
  <c r="U53" i="51"/>
  <c r="BS39" i="50"/>
  <c r="V55" i="51"/>
  <c r="BS101" i="50"/>
  <c r="V149" i="51"/>
  <c r="BP94" i="50"/>
  <c r="S142" i="51"/>
  <c r="BR41" i="50"/>
  <c r="U57" i="51"/>
  <c r="BP35" i="50"/>
  <c r="S51" i="51"/>
  <c r="BN35" i="50"/>
  <c r="AM5" i="56" s="1"/>
  <c r="BH35" i="50"/>
  <c r="T5" i="56" s="1"/>
  <c r="BO35" i="50"/>
  <c r="R51" i="51"/>
  <c r="BH36" i="50"/>
  <c r="BN36" i="50"/>
  <c r="BO36" i="50"/>
  <c r="R52" i="51"/>
  <c r="BP36" i="50"/>
  <c r="S52" i="51"/>
  <c r="BP65" i="50"/>
  <c r="S97" i="51"/>
  <c r="BQ36" i="50"/>
  <c r="T52" i="51"/>
  <c r="BR36" i="50"/>
  <c r="U52" i="51"/>
  <c r="BS36" i="50"/>
  <c r="V52" i="51"/>
  <c r="BO37" i="50"/>
  <c r="R53" i="51"/>
  <c r="BP37" i="50"/>
  <c r="S53" i="51"/>
  <c r="BQ37" i="50"/>
  <c r="T53" i="51"/>
  <c r="BS37" i="50"/>
  <c r="V53" i="51"/>
  <c r="BN38" i="50"/>
  <c r="BH38" i="50"/>
  <c r="BO38" i="50"/>
  <c r="R54" i="51"/>
  <c r="BP38" i="50"/>
  <c r="S54" i="51"/>
  <c r="BQ38" i="50"/>
  <c r="T54" i="51"/>
  <c r="BR38" i="50"/>
  <c r="U54" i="51"/>
  <c r="BS38" i="50"/>
  <c r="V54" i="51"/>
  <c r="BO39" i="50"/>
  <c r="R55" i="51"/>
  <c r="BP39" i="50"/>
  <c r="S55" i="51"/>
  <c r="BQ39" i="50"/>
  <c r="T55" i="51"/>
  <c r="BR39" i="50"/>
  <c r="U55" i="51"/>
  <c r="BH40" i="50"/>
  <c r="BN40" i="50"/>
  <c r="BO40" i="50"/>
  <c r="R56" i="51"/>
  <c r="BP40" i="50"/>
  <c r="S56" i="51"/>
  <c r="BQ40" i="50"/>
  <c r="T56" i="51"/>
  <c r="BR40" i="50"/>
  <c r="U56" i="51"/>
  <c r="BS40" i="50"/>
  <c r="V56" i="51"/>
  <c r="BN41" i="50"/>
  <c r="BH41" i="50"/>
  <c r="BO41" i="50"/>
  <c r="R57" i="51"/>
  <c r="BP41" i="50"/>
  <c r="S57" i="51"/>
  <c r="BQ41" i="50"/>
  <c r="T57" i="51"/>
  <c r="BS41" i="50"/>
  <c r="V57" i="51"/>
  <c r="BH42" i="50"/>
  <c r="BN42" i="50"/>
  <c r="BO42" i="50"/>
  <c r="R58" i="51"/>
  <c r="BP42" i="50"/>
  <c r="S58" i="51"/>
  <c r="BQ42" i="50"/>
  <c r="T58" i="51"/>
  <c r="BR42" i="50"/>
  <c r="U58" i="51"/>
  <c r="BS42" i="50"/>
  <c r="V58" i="51"/>
  <c r="BS71" i="50"/>
  <c r="V103" i="51"/>
  <c r="BH43" i="50"/>
  <c r="BN43" i="50"/>
  <c r="BO43" i="50"/>
  <c r="R59" i="51"/>
  <c r="BP43" i="50"/>
  <c r="S59" i="51"/>
  <c r="BQ43" i="50"/>
  <c r="T59" i="51"/>
  <c r="BR43" i="50"/>
  <c r="U59" i="51"/>
  <c r="BS43" i="50"/>
  <c r="V59" i="51"/>
  <c r="BS72" i="50"/>
  <c r="V104" i="51"/>
  <c r="BH44" i="50"/>
  <c r="BN44" i="50"/>
  <c r="BO44" i="50"/>
  <c r="R60" i="51"/>
  <c r="BP44" i="50"/>
  <c r="S60" i="51"/>
  <c r="BQ44" i="50"/>
  <c r="T60" i="51"/>
  <c r="BR44" i="50"/>
  <c r="U60" i="51"/>
  <c r="BS44" i="50"/>
  <c r="V60" i="51"/>
  <c r="BQ35" i="50"/>
  <c r="T51" i="51"/>
  <c r="BR64" i="50"/>
  <c r="U96" i="51"/>
  <c r="BS35" i="50"/>
  <c r="V51" i="51"/>
  <c r="CA56" i="50" l="1"/>
  <c r="AM10" i="56"/>
  <c r="BZ56" i="50"/>
  <c r="T10" i="56"/>
  <c r="CA52" i="50"/>
  <c r="AM6" i="56"/>
  <c r="BZ60" i="50"/>
  <c r="T14" i="56"/>
  <c r="CA58" i="50"/>
  <c r="AM12" i="56"/>
  <c r="BZ58" i="50"/>
  <c r="T12" i="56"/>
  <c r="BZ52" i="50"/>
  <c r="T6" i="56"/>
  <c r="CA59" i="50"/>
  <c r="AM13" i="56"/>
  <c r="BZ57" i="50"/>
  <c r="T11" i="56"/>
  <c r="BZ54" i="50"/>
  <c r="T8" i="56"/>
  <c r="BZ55" i="50"/>
  <c r="T9" i="56"/>
  <c r="BZ59" i="50"/>
  <c r="T13" i="56"/>
  <c r="CA57" i="50"/>
  <c r="AM11" i="56"/>
  <c r="CA54" i="50"/>
  <c r="AM8" i="56"/>
  <c r="CA55" i="50"/>
  <c r="AM9" i="56"/>
  <c r="BZ53" i="50"/>
  <c r="T7" i="56"/>
  <c r="CA60" i="50"/>
  <c r="AM14" i="56"/>
  <c r="CA53" i="50"/>
  <c r="AM7" i="56"/>
  <c r="BT42" i="50"/>
  <c r="BY58" i="50" s="1"/>
  <c r="BT43" i="50"/>
  <c r="BY59" i="50" s="1"/>
  <c r="BT38" i="50"/>
  <c r="BY54" i="50" s="1"/>
  <c r="BT35" i="50"/>
  <c r="D5" i="56" s="1"/>
  <c r="CL51" i="50"/>
  <c r="D14" i="55"/>
  <c r="BT41" i="50"/>
  <c r="BY57" i="50" s="1"/>
  <c r="BT40" i="50"/>
  <c r="BY56" i="50" s="1"/>
  <c r="BT39" i="50"/>
  <c r="BT44" i="50"/>
  <c r="BY60" i="50" s="1"/>
  <c r="D11" i="55"/>
  <c r="D10" i="55"/>
  <c r="CJ51" i="50"/>
  <c r="BT36" i="50"/>
  <c r="BY52" i="50" s="1"/>
  <c r="W51" i="51"/>
  <c r="BT37" i="50"/>
  <c r="BY53" i="50" s="1"/>
  <c r="BN68" i="50"/>
  <c r="BH68" i="50"/>
  <c r="BH66" i="50"/>
  <c r="BN66" i="50"/>
  <c r="BS68" i="50"/>
  <c r="V100" i="51"/>
  <c r="BR66" i="50"/>
  <c r="U98" i="51"/>
  <c r="BS64" i="50"/>
  <c r="V96" i="51"/>
  <c r="BR93" i="50"/>
  <c r="U141" i="51"/>
  <c r="BR122" i="50"/>
  <c r="U186" i="51"/>
  <c r="BQ64" i="50"/>
  <c r="T96" i="51"/>
  <c r="BS73" i="50"/>
  <c r="V105" i="51"/>
  <c r="BR73" i="50"/>
  <c r="U105" i="51"/>
  <c r="BQ73" i="50"/>
  <c r="T105" i="51"/>
  <c r="BP73" i="50"/>
  <c r="S105" i="51"/>
  <c r="BH73" i="50"/>
  <c r="BN73" i="50"/>
  <c r="BO73" i="50"/>
  <c r="R105" i="51"/>
  <c r="BR72" i="50"/>
  <c r="U104" i="51"/>
  <c r="BQ72" i="50"/>
  <c r="T104" i="51"/>
  <c r="BP72" i="50"/>
  <c r="S104" i="51"/>
  <c r="BH72" i="50"/>
  <c r="BN72" i="50"/>
  <c r="BO72" i="50"/>
  <c r="R104" i="51"/>
  <c r="BR71" i="50"/>
  <c r="U103" i="51"/>
  <c r="BQ71" i="50"/>
  <c r="T103" i="51"/>
  <c r="BP71" i="50"/>
  <c r="S103" i="51"/>
  <c r="BN71" i="50"/>
  <c r="BH71" i="50"/>
  <c r="BO71" i="50"/>
  <c r="R103" i="51"/>
  <c r="BS70" i="50"/>
  <c r="V102" i="51"/>
  <c r="BQ70" i="50"/>
  <c r="T102" i="51"/>
  <c r="BP70" i="50"/>
  <c r="S102" i="51"/>
  <c r="BH70" i="50"/>
  <c r="BN70" i="50"/>
  <c r="BO70" i="50"/>
  <c r="R102" i="51"/>
  <c r="BS69" i="50"/>
  <c r="V101" i="51"/>
  <c r="BR69" i="50"/>
  <c r="U101" i="51"/>
  <c r="BQ69" i="50"/>
  <c r="T101" i="51"/>
  <c r="BP69" i="50"/>
  <c r="S101" i="51"/>
  <c r="BN69" i="50"/>
  <c r="BH69" i="50"/>
  <c r="BO69" i="50"/>
  <c r="R101" i="51"/>
  <c r="BR68" i="50"/>
  <c r="U100" i="51"/>
  <c r="BQ68" i="50"/>
  <c r="T100" i="51"/>
  <c r="BP68" i="50"/>
  <c r="S100" i="51"/>
  <c r="BO68" i="50"/>
  <c r="R100" i="51"/>
  <c r="BS67" i="50"/>
  <c r="V99" i="51"/>
  <c r="BR67" i="50"/>
  <c r="U99" i="51"/>
  <c r="BQ67" i="50"/>
  <c r="T99" i="51"/>
  <c r="BP67" i="50"/>
  <c r="S99" i="51"/>
  <c r="BN67" i="50"/>
  <c r="BH67" i="50"/>
  <c r="BO67" i="50"/>
  <c r="R99" i="51"/>
  <c r="BS66" i="50"/>
  <c r="V98" i="51"/>
  <c r="BQ66" i="50"/>
  <c r="T98" i="51"/>
  <c r="BP66" i="50"/>
  <c r="S98" i="51"/>
  <c r="BO66" i="50"/>
  <c r="R98" i="51"/>
  <c r="BS65" i="50"/>
  <c r="V97" i="51"/>
  <c r="BR65" i="50"/>
  <c r="U97" i="51"/>
  <c r="BQ65" i="50"/>
  <c r="T97" i="51"/>
  <c r="BH65" i="50"/>
  <c r="BN65" i="50"/>
  <c r="BO65" i="50"/>
  <c r="R97" i="51"/>
  <c r="BN64" i="50"/>
  <c r="AN5" i="56" s="1"/>
  <c r="BH64" i="50"/>
  <c r="U5" i="56" s="1"/>
  <c r="BO64" i="50"/>
  <c r="R96" i="51"/>
  <c r="BZ51" i="50"/>
  <c r="CA51" i="50"/>
  <c r="BP64" i="50"/>
  <c r="S96" i="51"/>
  <c r="BR70" i="50"/>
  <c r="U102" i="51"/>
  <c r="BZ101" i="50" l="1"/>
  <c r="U10" i="56"/>
  <c r="CA104" i="50"/>
  <c r="AN13" i="56"/>
  <c r="CA98" i="50"/>
  <c r="AN7" i="56"/>
  <c r="CA101" i="50"/>
  <c r="AN10" i="56"/>
  <c r="BZ104" i="50"/>
  <c r="U13" i="56"/>
  <c r="BZ98" i="50"/>
  <c r="U7" i="56"/>
  <c r="CA97" i="50"/>
  <c r="AN6" i="56"/>
  <c r="CA105" i="50"/>
  <c r="AN14" i="56"/>
  <c r="BZ100" i="50"/>
  <c r="U9" i="56"/>
  <c r="BZ97" i="50"/>
  <c r="U6" i="56"/>
  <c r="BZ105" i="50"/>
  <c r="U14" i="56"/>
  <c r="CA100" i="50"/>
  <c r="AN9" i="56"/>
  <c r="BZ99" i="50"/>
  <c r="U8" i="56"/>
  <c r="CA102" i="50"/>
  <c r="AN11" i="56"/>
  <c r="CA99" i="50"/>
  <c r="AN8" i="56"/>
  <c r="BZ102" i="50"/>
  <c r="U11" i="56"/>
  <c r="W52" i="51"/>
  <c r="D6" i="54" s="1"/>
  <c r="D5" i="54"/>
  <c r="CA103" i="50"/>
  <c r="AN12" i="56"/>
  <c r="BZ103" i="50"/>
  <c r="U12" i="56"/>
  <c r="D12" i="56"/>
  <c r="D8" i="56"/>
  <c r="D9" i="56"/>
  <c r="BY55" i="50"/>
  <c r="CK51" i="50"/>
  <c r="CP51" i="50" s="1"/>
  <c r="D5" i="55"/>
  <c r="CM51" i="50"/>
  <c r="CM52" i="50" s="1"/>
  <c r="D11" i="56"/>
  <c r="D13" i="55"/>
  <c r="BY51" i="50"/>
  <c r="D7" i="56"/>
  <c r="D13" i="56"/>
  <c r="D6" i="55"/>
  <c r="D7" i="55"/>
  <c r="BT69" i="50"/>
  <c r="BY101" i="50" s="1"/>
  <c r="BT72" i="50"/>
  <c r="BY104" i="50" s="1"/>
  <c r="E14" i="55"/>
  <c r="E5" i="55"/>
  <c r="E6" i="55"/>
  <c r="BT71" i="50"/>
  <c r="BY103" i="50" s="1"/>
  <c r="D12" i="55"/>
  <c r="D10" i="56"/>
  <c r="D14" i="56"/>
  <c r="D8" i="55"/>
  <c r="D6" i="56"/>
  <c r="E8" i="55"/>
  <c r="CL96" i="50"/>
  <c r="R193" i="51"/>
  <c r="BT73" i="50"/>
  <c r="BQ131" i="50"/>
  <c r="BR131" i="50"/>
  <c r="V195" i="51"/>
  <c r="D9" i="55"/>
  <c r="R186" i="51"/>
  <c r="BO127" i="50"/>
  <c r="BT68" i="50"/>
  <c r="S193" i="51"/>
  <c r="BT66" i="50"/>
  <c r="BY98" i="50" s="1"/>
  <c r="S188" i="51"/>
  <c r="BT67" i="50"/>
  <c r="BY99" i="50" s="1"/>
  <c r="S189" i="51"/>
  <c r="T189" i="51"/>
  <c r="BR126" i="50"/>
  <c r="BT70" i="50"/>
  <c r="BY102" i="50" s="1"/>
  <c r="BQ128" i="50"/>
  <c r="W96" i="51"/>
  <c r="T194" i="51"/>
  <c r="U194" i="51"/>
  <c r="BO131" i="50"/>
  <c r="BS100" i="50"/>
  <c r="V148" i="51"/>
  <c r="BT64" i="50"/>
  <c r="BY96" i="50" s="1"/>
  <c r="BT65" i="50"/>
  <c r="S190" i="51"/>
  <c r="AD51" i="51"/>
  <c r="AE51" i="51" s="1"/>
  <c r="AI51" i="51" s="1"/>
  <c r="AJ51" i="51" s="1"/>
  <c r="BN95" i="50"/>
  <c r="BH95" i="50"/>
  <c r="BN97" i="50"/>
  <c r="BH97" i="50"/>
  <c r="BR95" i="50"/>
  <c r="U143" i="51"/>
  <c r="V145" i="51"/>
  <c r="BS97" i="50"/>
  <c r="BR99" i="50"/>
  <c r="U147" i="51"/>
  <c r="BR128" i="50"/>
  <c r="U192" i="51"/>
  <c r="BP93" i="50"/>
  <c r="S141" i="51"/>
  <c r="BP122" i="50"/>
  <c r="S186" i="51"/>
  <c r="BN93" i="50"/>
  <c r="AO5" i="56" s="1"/>
  <c r="BH93" i="50"/>
  <c r="V5" i="56" s="1"/>
  <c r="BO93" i="50"/>
  <c r="R141" i="51"/>
  <c r="BO122" i="50"/>
  <c r="BZ96" i="50"/>
  <c r="CA96" i="50"/>
  <c r="BH94" i="50"/>
  <c r="BN94" i="50"/>
  <c r="BO94" i="50"/>
  <c r="R142" i="51"/>
  <c r="BQ94" i="50"/>
  <c r="T142" i="51"/>
  <c r="BR94" i="50"/>
  <c r="U142" i="51"/>
  <c r="BS94" i="50"/>
  <c r="V142" i="51"/>
  <c r="BO95" i="50"/>
  <c r="R143" i="51"/>
  <c r="BP95" i="50"/>
  <c r="S143" i="51"/>
  <c r="BQ95" i="50"/>
  <c r="T143" i="51"/>
  <c r="BS95" i="50"/>
  <c r="V143" i="51"/>
  <c r="BS124" i="50"/>
  <c r="BH96" i="50"/>
  <c r="BN96" i="50"/>
  <c r="BO96" i="50"/>
  <c r="R144" i="51"/>
  <c r="BP96" i="50"/>
  <c r="S144" i="51"/>
  <c r="BP125" i="50"/>
  <c r="BQ96" i="50"/>
  <c r="T144" i="51"/>
  <c r="BR96" i="50"/>
  <c r="U144" i="51"/>
  <c r="BR125" i="50"/>
  <c r="BS96" i="50"/>
  <c r="V144" i="51"/>
  <c r="BS125" i="50"/>
  <c r="V189" i="51"/>
  <c r="BO97" i="50"/>
  <c r="R145" i="51"/>
  <c r="BP97" i="50"/>
  <c r="S145" i="51"/>
  <c r="BQ97" i="50"/>
  <c r="T145" i="51"/>
  <c r="BQ126" i="50"/>
  <c r="T190" i="51"/>
  <c r="BR97" i="50"/>
  <c r="U145" i="51"/>
  <c r="BN98" i="50"/>
  <c r="BH98" i="50"/>
  <c r="BO98" i="50"/>
  <c r="R146" i="51"/>
  <c r="BP98" i="50"/>
  <c r="S146" i="51"/>
  <c r="BQ98" i="50"/>
  <c r="T146" i="51"/>
  <c r="BR98" i="50"/>
  <c r="U146" i="51"/>
  <c r="BS98" i="50"/>
  <c r="V146" i="51"/>
  <c r="BH99" i="50"/>
  <c r="BN99" i="50"/>
  <c r="BO99" i="50"/>
  <c r="R147" i="51"/>
  <c r="BP99" i="50"/>
  <c r="S147" i="51"/>
  <c r="BQ99" i="50"/>
  <c r="T147" i="51"/>
  <c r="BS99" i="50"/>
  <c r="V147" i="51"/>
  <c r="BN100" i="50"/>
  <c r="BH100" i="50"/>
  <c r="BO100" i="50"/>
  <c r="R148" i="51"/>
  <c r="BP100" i="50"/>
  <c r="S148" i="51"/>
  <c r="BP129" i="50"/>
  <c r="BQ100" i="50"/>
  <c r="T148" i="51"/>
  <c r="BR100" i="50"/>
  <c r="U148" i="51"/>
  <c r="BR129" i="50"/>
  <c r="U193" i="51"/>
  <c r="BN101" i="50"/>
  <c r="BH101" i="50"/>
  <c r="BO101" i="50"/>
  <c r="R149" i="51"/>
  <c r="BP101" i="50"/>
  <c r="S149" i="51"/>
  <c r="BQ101" i="50"/>
  <c r="T149" i="51"/>
  <c r="BR101" i="50"/>
  <c r="U149" i="51"/>
  <c r="BN102" i="50"/>
  <c r="BH102" i="50"/>
  <c r="BO102" i="50"/>
  <c r="R150" i="51"/>
  <c r="BP102" i="50"/>
  <c r="S150" i="51"/>
  <c r="BP131" i="50"/>
  <c r="S195" i="51"/>
  <c r="BQ102" i="50"/>
  <c r="T150" i="51"/>
  <c r="BR102" i="50"/>
  <c r="U150" i="51"/>
  <c r="BS102" i="50"/>
  <c r="V150" i="51"/>
  <c r="BQ93" i="50"/>
  <c r="T141" i="51"/>
  <c r="BQ122" i="50"/>
  <c r="T186" i="51"/>
  <c r="BS93" i="50"/>
  <c r="V141" i="51"/>
  <c r="BP123" i="50"/>
  <c r="S187" i="51"/>
  <c r="BS130" i="50"/>
  <c r="V194" i="51"/>
  <c r="CA149" i="50" l="1"/>
  <c r="AO13" i="56"/>
  <c r="BZ142" i="50"/>
  <c r="V6" i="56"/>
  <c r="W53" i="51"/>
  <c r="D7" i="54" s="1"/>
  <c r="AD52" i="51"/>
  <c r="CA143" i="50"/>
  <c r="AO7" i="56"/>
  <c r="CA150" i="50"/>
  <c r="AO14" i="56"/>
  <c r="BZ146" i="50"/>
  <c r="V10" i="56"/>
  <c r="W97" i="51"/>
  <c r="E5" i="54"/>
  <c r="CA147" i="50"/>
  <c r="AO11" i="56"/>
  <c r="BZ143" i="50"/>
  <c r="V7" i="56"/>
  <c r="BZ147" i="50"/>
  <c r="V11" i="56"/>
  <c r="CA142" i="50"/>
  <c r="AO6" i="56"/>
  <c r="CA146" i="50"/>
  <c r="AO10" i="56"/>
  <c r="BZ148" i="50"/>
  <c r="V12" i="56"/>
  <c r="CA144" i="50"/>
  <c r="AO8" i="56"/>
  <c r="BZ145" i="50"/>
  <c r="V9" i="56"/>
  <c r="BZ149" i="50"/>
  <c r="V13" i="56"/>
  <c r="BZ150" i="50"/>
  <c r="V14" i="56"/>
  <c r="CA148" i="50"/>
  <c r="AO12" i="56"/>
  <c r="BZ144" i="50"/>
  <c r="V8" i="56"/>
  <c r="CA145" i="50"/>
  <c r="AO9" i="56"/>
  <c r="CQ52" i="50"/>
  <c r="CM53" i="50"/>
  <c r="E6" i="56"/>
  <c r="BY97" i="50"/>
  <c r="E9" i="56"/>
  <c r="BY100" i="50"/>
  <c r="E14" i="56"/>
  <c r="BY105" i="50"/>
  <c r="CK52" i="50"/>
  <c r="CQ51" i="50"/>
  <c r="CR51" i="50" s="1"/>
  <c r="CM96" i="50"/>
  <c r="CM97" i="50" s="1"/>
  <c r="E10" i="56"/>
  <c r="CJ96" i="50"/>
  <c r="E12" i="55"/>
  <c r="E11" i="56"/>
  <c r="E7" i="55"/>
  <c r="CJ141" i="50"/>
  <c r="BH122" i="50"/>
  <c r="W5" i="56" s="1"/>
  <c r="R194" i="51"/>
  <c r="R191" i="51"/>
  <c r="E5" i="56"/>
  <c r="BO130" i="50"/>
  <c r="T191" i="51"/>
  <c r="BN127" i="50"/>
  <c r="BQ127" i="50"/>
  <c r="V192" i="51"/>
  <c r="R192" i="51"/>
  <c r="BO128" i="50"/>
  <c r="R190" i="51"/>
  <c r="BQ125" i="50"/>
  <c r="E13" i="56"/>
  <c r="BH129" i="50"/>
  <c r="W12" i="56" s="1"/>
  <c r="V188" i="51"/>
  <c r="E13" i="55"/>
  <c r="BR127" i="50"/>
  <c r="E11" i="55"/>
  <c r="E12" i="56"/>
  <c r="T195" i="51"/>
  <c r="E8" i="56"/>
  <c r="R187" i="51"/>
  <c r="BH125" i="50"/>
  <c r="T187" i="51"/>
  <c r="BO123" i="50"/>
  <c r="S191" i="51"/>
  <c r="E9" i="55"/>
  <c r="E7" i="56"/>
  <c r="BS131" i="50"/>
  <c r="BT131" i="50" s="1"/>
  <c r="BY195" i="50" s="1"/>
  <c r="U195" i="51"/>
  <c r="R195" i="51"/>
  <c r="BN131" i="50"/>
  <c r="AP14" i="56" s="1"/>
  <c r="BS122" i="50"/>
  <c r="BT122" i="50" s="1"/>
  <c r="BQ130" i="50"/>
  <c r="BO129" i="50"/>
  <c r="U191" i="51"/>
  <c r="U189" i="51"/>
  <c r="BN125" i="50"/>
  <c r="BQ124" i="50"/>
  <c r="V187" i="51"/>
  <c r="BH124" i="50"/>
  <c r="BS123" i="50"/>
  <c r="BH131" i="50"/>
  <c r="W14" i="56" s="1"/>
  <c r="T193" i="51"/>
  <c r="BP127" i="50"/>
  <c r="U190" i="51"/>
  <c r="R189" i="51"/>
  <c r="W98" i="51"/>
  <c r="BQ129" i="50"/>
  <c r="BN129" i="50"/>
  <c r="AP12" i="56" s="1"/>
  <c r="T192" i="51"/>
  <c r="BO125" i="50"/>
  <c r="BH126" i="50"/>
  <c r="BN130" i="50"/>
  <c r="V186" i="51"/>
  <c r="W186" i="51" s="1"/>
  <c r="T188" i="51"/>
  <c r="BT102" i="50"/>
  <c r="BY150" i="50" s="1"/>
  <c r="BR130" i="50"/>
  <c r="BH130" i="50"/>
  <c r="BT99" i="50"/>
  <c r="BY147" i="50" s="1"/>
  <c r="BS127" i="50"/>
  <c r="BH127" i="50"/>
  <c r="BP126" i="50"/>
  <c r="F8" i="55"/>
  <c r="BP124" i="50"/>
  <c r="BO124" i="50"/>
  <c r="F6" i="55"/>
  <c r="BN122" i="50"/>
  <c r="AP5" i="56" s="1"/>
  <c r="E10" i="55"/>
  <c r="U188" i="51"/>
  <c r="BN126" i="50"/>
  <c r="AP9" i="56" s="1"/>
  <c r="BN124" i="50"/>
  <c r="F13" i="55"/>
  <c r="BS128" i="50"/>
  <c r="BO126" i="50"/>
  <c r="BQ123" i="50"/>
  <c r="BT94" i="50"/>
  <c r="BY142" i="50" s="1"/>
  <c r="CL141" i="50"/>
  <c r="BS126" i="50"/>
  <c r="BT95" i="50"/>
  <c r="BY143" i="50" s="1"/>
  <c r="BT100" i="50"/>
  <c r="AE52" i="51"/>
  <c r="AI52" i="51" s="1"/>
  <c r="AJ52" i="51" s="1"/>
  <c r="G8" i="55"/>
  <c r="S194" i="51"/>
  <c r="S192" i="51"/>
  <c r="BN128" i="50"/>
  <c r="BT98" i="50"/>
  <c r="U187" i="51"/>
  <c r="BN123" i="50"/>
  <c r="W141" i="51"/>
  <c r="F5" i="54" s="1"/>
  <c r="V190" i="51"/>
  <c r="G5" i="55"/>
  <c r="BP130" i="50"/>
  <c r="BT101" i="50"/>
  <c r="F12" i="55"/>
  <c r="BP128" i="50"/>
  <c r="BH128" i="50"/>
  <c r="F11" i="55"/>
  <c r="BT96" i="50"/>
  <c r="BY144" i="50" s="1"/>
  <c r="BR123" i="50"/>
  <c r="BH123" i="50"/>
  <c r="BT93" i="50"/>
  <c r="BY141" i="50" s="1"/>
  <c r="BR124" i="50"/>
  <c r="W54" i="51"/>
  <c r="V191" i="51"/>
  <c r="G10" i="55"/>
  <c r="R188" i="51"/>
  <c r="BT97" i="50"/>
  <c r="BY145" i="50" s="1"/>
  <c r="BS129" i="50"/>
  <c r="V193" i="51"/>
  <c r="AD53" i="51"/>
  <c r="AD96" i="51"/>
  <c r="AE96" i="51" s="1"/>
  <c r="AI96" i="51" s="1"/>
  <c r="AJ96" i="51" s="1"/>
  <c r="F5" i="55"/>
  <c r="BZ141" i="50"/>
  <c r="CA141" i="50"/>
  <c r="CA194" i="50" l="1"/>
  <c r="AP13" i="56"/>
  <c r="BZ190" i="50"/>
  <c r="W9" i="56"/>
  <c r="CA191" i="50"/>
  <c r="AP10" i="56"/>
  <c r="AD186" i="51"/>
  <c r="AE186" i="51" s="1"/>
  <c r="AI186" i="51" s="1"/>
  <c r="AJ186" i="51" s="1"/>
  <c r="G5" i="54"/>
  <c r="BZ194" i="50"/>
  <c r="W13" i="56"/>
  <c r="AD97" i="51"/>
  <c r="E6" i="54"/>
  <c r="BZ189" i="50"/>
  <c r="W8" i="56"/>
  <c r="BZ191" i="50"/>
  <c r="W10" i="56"/>
  <c r="BZ187" i="50"/>
  <c r="W6" i="56"/>
  <c r="CA192" i="50"/>
  <c r="AP11" i="56"/>
  <c r="BZ192" i="50"/>
  <c r="W11" i="56"/>
  <c r="CA187" i="50"/>
  <c r="AP6" i="56"/>
  <c r="BZ188" i="50"/>
  <c r="W7" i="56"/>
  <c r="CA189" i="50"/>
  <c r="AP8" i="56"/>
  <c r="AD54" i="51"/>
  <c r="D8" i="54"/>
  <c r="CA188" i="50"/>
  <c r="AP7" i="56"/>
  <c r="AD98" i="51"/>
  <c r="E7" i="54"/>
  <c r="CQ97" i="50"/>
  <c r="CM98" i="50"/>
  <c r="CQ53" i="50"/>
  <c r="CM54" i="50"/>
  <c r="CP52" i="50"/>
  <c r="CR52" i="50" s="1"/>
  <c r="CK53" i="50"/>
  <c r="CA186" i="50"/>
  <c r="F13" i="56"/>
  <c r="BY149" i="50"/>
  <c r="F10" i="56"/>
  <c r="BY146" i="50"/>
  <c r="F12" i="56"/>
  <c r="BY148" i="50"/>
  <c r="CA190" i="50"/>
  <c r="CA193" i="50"/>
  <c r="BZ195" i="50"/>
  <c r="CA195" i="50"/>
  <c r="BZ193" i="50"/>
  <c r="BZ186" i="50"/>
  <c r="CK141" i="50"/>
  <c r="CM141" i="50"/>
  <c r="CM142" i="50" s="1"/>
  <c r="CQ96" i="50"/>
  <c r="CK96" i="50"/>
  <c r="CK97" i="50" s="1"/>
  <c r="F5" i="56"/>
  <c r="G5" i="56"/>
  <c r="BY186" i="50"/>
  <c r="AE53" i="51"/>
  <c r="AI53" i="51" s="1"/>
  <c r="AJ53" i="51" s="1"/>
  <c r="BT125" i="50"/>
  <c r="BY189" i="50" s="1"/>
  <c r="F9" i="55"/>
  <c r="BT128" i="50"/>
  <c r="BY192" i="50" s="1"/>
  <c r="BT123" i="50"/>
  <c r="BY187" i="50" s="1"/>
  <c r="BT127" i="50"/>
  <c r="F11" i="56"/>
  <c r="F10" i="55"/>
  <c r="F7" i="56"/>
  <c r="G11" i="55"/>
  <c r="BT130" i="50"/>
  <c r="BY194" i="50" s="1"/>
  <c r="F7" i="55"/>
  <c r="F9" i="56"/>
  <c r="BT129" i="50"/>
  <c r="BY193" i="50" s="1"/>
  <c r="W187" i="51"/>
  <c r="F14" i="56"/>
  <c r="AD141" i="51"/>
  <c r="AE141" i="51" s="1"/>
  <c r="AI141" i="51" s="1"/>
  <c r="AJ141" i="51" s="1"/>
  <c r="W142" i="51"/>
  <c r="CJ186" i="50"/>
  <c r="F6" i="56"/>
  <c r="G14" i="56"/>
  <c r="BT126" i="50"/>
  <c r="BY190" i="50" s="1"/>
  <c r="W99" i="51"/>
  <c r="E8" i="54" s="1"/>
  <c r="G9" i="55"/>
  <c r="BT124" i="50"/>
  <c r="BY188" i="50" s="1"/>
  <c r="G12" i="55"/>
  <c r="G6" i="55"/>
  <c r="CL186" i="50"/>
  <c r="F8" i="56"/>
  <c r="F14" i="55"/>
  <c r="G7" i="55"/>
  <c r="W55" i="51"/>
  <c r="W143" i="51" l="1"/>
  <c r="W144" i="51" s="1"/>
  <c r="F8" i="54" s="1"/>
  <c r="F6" i="54"/>
  <c r="W56" i="51"/>
  <c r="D10" i="54" s="1"/>
  <c r="D9" i="54"/>
  <c r="AD187" i="51"/>
  <c r="AE187" i="51" s="1"/>
  <c r="AI187" i="51" s="1"/>
  <c r="AJ187" i="51" s="1"/>
  <c r="G6" i="54"/>
  <c r="CM55" i="50"/>
  <c r="CQ54" i="50"/>
  <c r="AE54" i="51"/>
  <c r="AI54" i="51" s="1"/>
  <c r="AJ54" i="51" s="1"/>
  <c r="CP53" i="50"/>
  <c r="CR53" i="50" s="1"/>
  <c r="CK54" i="50"/>
  <c r="CP97" i="50"/>
  <c r="CR97" i="50" s="1"/>
  <c r="CK98" i="50"/>
  <c r="CQ142" i="50"/>
  <c r="CM143" i="50"/>
  <c r="CM99" i="50"/>
  <c r="CQ98" i="50"/>
  <c r="G10" i="56"/>
  <c r="BY191" i="50"/>
  <c r="CK142" i="50"/>
  <c r="CP96" i="50"/>
  <c r="CR96" i="50" s="1"/>
  <c r="CQ141" i="50"/>
  <c r="CM186" i="50"/>
  <c r="CP141" i="50"/>
  <c r="CK186" i="50"/>
  <c r="CK187" i="50" s="1"/>
  <c r="G11" i="56"/>
  <c r="G8" i="56"/>
  <c r="G6" i="56"/>
  <c r="W188" i="51"/>
  <c r="G13" i="56"/>
  <c r="G13" i="55"/>
  <c r="G12" i="56"/>
  <c r="AD55" i="51"/>
  <c r="G14" i="55"/>
  <c r="G7" i="56"/>
  <c r="G9" i="56"/>
  <c r="AD142" i="51"/>
  <c r="AE142" i="51" s="1"/>
  <c r="AI142" i="51" s="1"/>
  <c r="AJ142" i="51" s="1"/>
  <c r="W57" i="51"/>
  <c r="D11" i="54" s="1"/>
  <c r="AD99" i="51"/>
  <c r="W100" i="51"/>
  <c r="AD56" i="51"/>
  <c r="W101" i="51" l="1"/>
  <c r="E10" i="54" s="1"/>
  <c r="E9" i="54"/>
  <c r="AD188" i="51"/>
  <c r="AE188" i="51" s="1"/>
  <c r="AI188" i="51" s="1"/>
  <c r="AJ188" i="51" s="1"/>
  <c r="G7" i="54"/>
  <c r="AD143" i="51"/>
  <c r="F7" i="54"/>
  <c r="CP98" i="50"/>
  <c r="CR98" i="50" s="1"/>
  <c r="CK99" i="50"/>
  <c r="CP142" i="50"/>
  <c r="CR142" i="50" s="1"/>
  <c r="CK143" i="50"/>
  <c r="AE55" i="51"/>
  <c r="AI55" i="51" s="1"/>
  <c r="AJ55" i="51" s="1"/>
  <c r="CK55" i="50"/>
  <c r="CP54" i="50"/>
  <c r="CR54" i="50" s="1"/>
  <c r="CP187" i="50"/>
  <c r="CK188" i="50"/>
  <c r="CM100" i="50"/>
  <c r="CQ99" i="50"/>
  <c r="CQ143" i="50"/>
  <c r="CM144" i="50"/>
  <c r="CM56" i="50"/>
  <c r="CQ55" i="50"/>
  <c r="CR141" i="50"/>
  <c r="CP186" i="50"/>
  <c r="CM187" i="50"/>
  <c r="CQ186" i="50"/>
  <c r="W189" i="51"/>
  <c r="G8" i="54" s="1"/>
  <c r="AD57" i="51"/>
  <c r="W145" i="51"/>
  <c r="F9" i="54" s="1"/>
  <c r="AE143" i="51"/>
  <c r="AI143" i="51" s="1"/>
  <c r="AJ143" i="51" s="1"/>
  <c r="W58" i="51"/>
  <c r="D12" i="54" s="1"/>
  <c r="AD100" i="51"/>
  <c r="AD144" i="51"/>
  <c r="W102" i="51" l="1"/>
  <c r="E11" i="54" s="1"/>
  <c r="AD101" i="51"/>
  <c r="AE56" i="51"/>
  <c r="AI56" i="51" s="1"/>
  <c r="AJ56" i="51" s="1"/>
  <c r="CQ187" i="50"/>
  <c r="CR187" i="50" s="1"/>
  <c r="CM188" i="50"/>
  <c r="CM57" i="50"/>
  <c r="CQ56" i="50"/>
  <c r="CK56" i="50"/>
  <c r="CP55" i="50"/>
  <c r="CR55" i="50" s="1"/>
  <c r="CM101" i="50"/>
  <c r="CQ100" i="50"/>
  <c r="CM145" i="50"/>
  <c r="CQ144" i="50"/>
  <c r="CP143" i="50"/>
  <c r="CR143" i="50" s="1"/>
  <c r="CK144" i="50"/>
  <c r="CP99" i="50"/>
  <c r="CR99" i="50" s="1"/>
  <c r="CK100" i="50"/>
  <c r="CP188" i="50"/>
  <c r="CK189" i="50"/>
  <c r="CR186" i="50"/>
  <c r="AD189" i="51"/>
  <c r="AE189" i="51" s="1"/>
  <c r="AI189" i="51" s="1"/>
  <c r="AJ189" i="51" s="1"/>
  <c r="W190" i="51"/>
  <c r="G9" i="54" s="1"/>
  <c r="AD145" i="51"/>
  <c r="W146" i="51"/>
  <c r="AE144" i="51"/>
  <c r="W59" i="51"/>
  <c r="D13" i="54" s="1"/>
  <c r="AD58" i="51"/>
  <c r="AD102" i="51" l="1"/>
  <c r="W103" i="51"/>
  <c r="E12" i="54" s="1"/>
  <c r="W147" i="51"/>
  <c r="F11" i="54" s="1"/>
  <c r="F10" i="54"/>
  <c r="AE57" i="51"/>
  <c r="AI57" i="51" s="1"/>
  <c r="AJ57" i="51" s="1"/>
  <c r="CK101" i="50"/>
  <c r="CP100" i="50"/>
  <c r="CR100" i="50" s="1"/>
  <c r="CK57" i="50"/>
  <c r="CP56" i="50"/>
  <c r="CR56" i="50" s="1"/>
  <c r="CM102" i="50"/>
  <c r="CQ101" i="50"/>
  <c r="CK145" i="50"/>
  <c r="CP144" i="50"/>
  <c r="CR144" i="50" s="1"/>
  <c r="CM58" i="50"/>
  <c r="CQ57" i="50"/>
  <c r="CM189" i="50"/>
  <c r="CQ188" i="50"/>
  <c r="CR188" i="50" s="1"/>
  <c r="CM146" i="50"/>
  <c r="CQ145" i="50"/>
  <c r="CP189" i="50"/>
  <c r="CK190" i="50"/>
  <c r="W191" i="51"/>
  <c r="AD190" i="51"/>
  <c r="AE190" i="51" s="1"/>
  <c r="AI190" i="51" s="1"/>
  <c r="AJ190" i="51" s="1"/>
  <c r="AD146" i="51"/>
  <c r="W104" i="51"/>
  <c r="E13" i="54" s="1"/>
  <c r="AD103" i="51"/>
  <c r="AI144" i="51"/>
  <c r="AJ144" i="51" s="1"/>
  <c r="AE145" i="51"/>
  <c r="AD59" i="51"/>
  <c r="W60" i="51"/>
  <c r="W148" i="51" l="1"/>
  <c r="F12" i="54" s="1"/>
  <c r="AD147" i="51"/>
  <c r="W61" i="51"/>
  <c r="D15" i="54" s="1"/>
  <c r="D14" i="54"/>
  <c r="AD191" i="51"/>
  <c r="AE191" i="51" s="1"/>
  <c r="AI191" i="51" s="1"/>
  <c r="AJ191" i="51" s="1"/>
  <c r="G10" i="54"/>
  <c r="AE58" i="51"/>
  <c r="AI58" i="51" s="1"/>
  <c r="AJ58" i="51" s="1"/>
  <c r="W192" i="51"/>
  <c r="CM147" i="50"/>
  <c r="CQ146" i="50"/>
  <c r="CM103" i="50"/>
  <c r="CQ102" i="50"/>
  <c r="CK58" i="50"/>
  <c r="CP57" i="50"/>
  <c r="CR57" i="50" s="1"/>
  <c r="CK146" i="50"/>
  <c r="CP145" i="50"/>
  <c r="CR145" i="50" s="1"/>
  <c r="CM190" i="50"/>
  <c r="CQ189" i="50"/>
  <c r="CR189" i="50" s="1"/>
  <c r="CM59" i="50"/>
  <c r="CQ58" i="50"/>
  <c r="CP190" i="50"/>
  <c r="CK191" i="50"/>
  <c r="CK102" i="50"/>
  <c r="CP101" i="50"/>
  <c r="CR101" i="50" s="1"/>
  <c r="AD104" i="51"/>
  <c r="W62" i="51"/>
  <c r="D16" i="54" s="1"/>
  <c r="AD60" i="51"/>
  <c r="W105" i="51"/>
  <c r="AI145" i="51"/>
  <c r="AJ145" i="51" s="1"/>
  <c r="AE146" i="51"/>
  <c r="W149" i="51" l="1"/>
  <c r="F13" i="54" s="1"/>
  <c r="AD148" i="51"/>
  <c r="AD61" i="51"/>
  <c r="W106" i="51"/>
  <c r="E15" i="54" s="1"/>
  <c r="E14" i="54"/>
  <c r="W193" i="51"/>
  <c r="W194" i="51" s="1"/>
  <c r="G11" i="54"/>
  <c r="AE59" i="51"/>
  <c r="AI59" i="51" s="1"/>
  <c r="AJ59" i="51" s="1"/>
  <c r="AD192" i="51"/>
  <c r="AE192" i="51" s="1"/>
  <c r="AI192" i="51" s="1"/>
  <c r="AJ192" i="51" s="1"/>
  <c r="CK103" i="50"/>
  <c r="CP102" i="50"/>
  <c r="CR102" i="50" s="1"/>
  <c r="CM104" i="50"/>
  <c r="CQ103" i="50"/>
  <c r="CM191" i="50"/>
  <c r="CQ190" i="50"/>
  <c r="CR190" i="50" s="1"/>
  <c r="CP191" i="50"/>
  <c r="CK192" i="50"/>
  <c r="CK147" i="50"/>
  <c r="CP146" i="50"/>
  <c r="CR146" i="50" s="1"/>
  <c r="CK59" i="50"/>
  <c r="CP58" i="50"/>
  <c r="CR58" i="50" s="1"/>
  <c r="CM60" i="50"/>
  <c r="CQ59" i="50"/>
  <c r="CM148" i="50"/>
  <c r="CQ147" i="50"/>
  <c r="AD106" i="51"/>
  <c r="AD105" i="51"/>
  <c r="AD62" i="51"/>
  <c r="W63" i="51"/>
  <c r="D17" i="54" s="1"/>
  <c r="AI146" i="51"/>
  <c r="AJ146" i="51" s="1"/>
  <c r="AE147" i="51"/>
  <c r="W107" i="51"/>
  <c r="E16" i="54" s="1"/>
  <c r="AD149" i="51" l="1"/>
  <c r="W150" i="51"/>
  <c r="F14" i="54" s="1"/>
  <c r="AD194" i="51"/>
  <c r="G13" i="54"/>
  <c r="AD193" i="51"/>
  <c r="G12" i="54"/>
  <c r="AE60" i="51"/>
  <c r="AI60" i="51" s="1"/>
  <c r="AJ60" i="51" s="1"/>
  <c r="W195" i="51"/>
  <c r="CM105" i="50"/>
  <c r="CQ104" i="50"/>
  <c r="CM149" i="50"/>
  <c r="CQ148" i="50"/>
  <c r="CK193" i="50"/>
  <c r="CP192" i="50"/>
  <c r="CM61" i="50"/>
  <c r="CQ60" i="50"/>
  <c r="CM192" i="50"/>
  <c r="CQ191" i="50"/>
  <c r="CR191" i="50" s="1"/>
  <c r="CK60" i="50"/>
  <c r="CP59" i="50"/>
  <c r="CR59" i="50" s="1"/>
  <c r="AE193" i="51"/>
  <c r="AI193" i="51" s="1"/>
  <c r="AJ193" i="51" s="1"/>
  <c r="CK148" i="50"/>
  <c r="CP147" i="50"/>
  <c r="CR147" i="50" s="1"/>
  <c r="CK104" i="50"/>
  <c r="CP103" i="50"/>
  <c r="CR103" i="50" s="1"/>
  <c r="AD107" i="51"/>
  <c r="W108" i="51"/>
  <c r="AI147" i="51"/>
  <c r="AJ147" i="51" s="1"/>
  <c r="AE148" i="51"/>
  <c r="AD63" i="51"/>
  <c r="W64" i="51"/>
  <c r="AD150" i="51" l="1"/>
  <c r="W151" i="51"/>
  <c r="F15" i="54" s="1"/>
  <c r="W65" i="51"/>
  <c r="D19" i="54" s="1"/>
  <c r="D18" i="54"/>
  <c r="AD195" i="51"/>
  <c r="G14" i="54"/>
  <c r="W109" i="51"/>
  <c r="E18" i="54" s="1"/>
  <c r="E17" i="54"/>
  <c r="AE61" i="51"/>
  <c r="AI61" i="51" s="1"/>
  <c r="AJ61" i="51" s="1"/>
  <c r="W196" i="51"/>
  <c r="AE194" i="51"/>
  <c r="AI194" i="51" s="1"/>
  <c r="AJ194" i="51" s="1"/>
  <c r="CK149" i="50"/>
  <c r="CP148" i="50"/>
  <c r="CR148" i="50" s="1"/>
  <c r="CM62" i="50"/>
  <c r="CQ61" i="50"/>
  <c r="CK61" i="50"/>
  <c r="CP60" i="50"/>
  <c r="CR60" i="50" s="1"/>
  <c r="CK194" i="50"/>
  <c r="CP193" i="50"/>
  <c r="CM150" i="50"/>
  <c r="CQ149" i="50"/>
  <c r="CK105" i="50"/>
  <c r="CP104" i="50"/>
  <c r="CR104" i="50" s="1"/>
  <c r="CM193" i="50"/>
  <c r="CQ192" i="50"/>
  <c r="CR192" i="50" s="1"/>
  <c r="CM106" i="50"/>
  <c r="CQ105" i="50"/>
  <c r="AD65" i="51"/>
  <c r="AI148" i="51"/>
  <c r="AJ148" i="51" s="1"/>
  <c r="AE149" i="51"/>
  <c r="AD64" i="51"/>
  <c r="W66" i="51"/>
  <c r="D20" i="54" s="1"/>
  <c r="AD108" i="51"/>
  <c r="AD109" i="51" l="1"/>
  <c r="AD151" i="51"/>
  <c r="W152" i="51"/>
  <c r="W153" i="51" s="1"/>
  <c r="F17" i="54" s="1"/>
  <c r="W110" i="51"/>
  <c r="E19" i="54" s="1"/>
  <c r="W197" i="51"/>
  <c r="W198" i="51" s="1"/>
  <c r="G17" i="54" s="1"/>
  <c r="G15" i="54"/>
  <c r="W111" i="51"/>
  <c r="E20" i="54" s="1"/>
  <c r="AE62" i="51"/>
  <c r="AI62" i="51" s="1"/>
  <c r="AJ62" i="51" s="1"/>
  <c r="AD196" i="51"/>
  <c r="AE195" i="51"/>
  <c r="AI195" i="51" s="1"/>
  <c r="AJ195" i="51" s="1"/>
  <c r="CK106" i="50"/>
  <c r="CP105" i="50"/>
  <c r="CR105" i="50" s="1"/>
  <c r="CK195" i="50"/>
  <c r="CP194" i="50"/>
  <c r="CM194" i="50"/>
  <c r="CQ193" i="50"/>
  <c r="CR193" i="50" s="1"/>
  <c r="CK62" i="50"/>
  <c r="CP61" i="50"/>
  <c r="CR61" i="50" s="1"/>
  <c r="CM107" i="50"/>
  <c r="CQ106" i="50"/>
  <c r="CM63" i="50"/>
  <c r="CQ62" i="50"/>
  <c r="CM151" i="50"/>
  <c r="CQ150" i="50"/>
  <c r="CK150" i="50"/>
  <c r="CP149" i="50"/>
  <c r="CR149" i="50" s="1"/>
  <c r="AD152" i="51"/>
  <c r="AI149" i="51"/>
  <c r="AJ149" i="51" s="1"/>
  <c r="AE150" i="51"/>
  <c r="AD66" i="51"/>
  <c r="AD110" i="51"/>
  <c r="F16" i="54" l="1"/>
  <c r="W154" i="51"/>
  <c r="W155" i="51" s="1"/>
  <c r="AD153" i="51"/>
  <c r="AD111" i="51"/>
  <c r="AD197" i="51"/>
  <c r="G16" i="54"/>
  <c r="AE63" i="51"/>
  <c r="AI63" i="51" s="1"/>
  <c r="AJ63" i="51" s="1"/>
  <c r="AE196" i="51"/>
  <c r="AI196" i="51" s="1"/>
  <c r="AJ196" i="51" s="1"/>
  <c r="W199" i="51"/>
  <c r="G18" i="54" s="1"/>
  <c r="AD198" i="51"/>
  <c r="CM152" i="50"/>
  <c r="CQ151" i="50"/>
  <c r="CM195" i="50"/>
  <c r="CQ194" i="50"/>
  <c r="CR194" i="50" s="1"/>
  <c r="CK151" i="50"/>
  <c r="CP150" i="50"/>
  <c r="CR150" i="50" s="1"/>
  <c r="CM64" i="50"/>
  <c r="CQ63" i="50"/>
  <c r="CK196" i="50"/>
  <c r="CP195" i="50"/>
  <c r="CK63" i="50"/>
  <c r="CP62" i="50"/>
  <c r="CR62" i="50" s="1"/>
  <c r="CM108" i="50"/>
  <c r="CQ107" i="50"/>
  <c r="CK107" i="50"/>
  <c r="CP106" i="50"/>
  <c r="CR106" i="50" s="1"/>
  <c r="AI150" i="51"/>
  <c r="AJ150" i="51" s="1"/>
  <c r="AE151" i="51"/>
  <c r="F18" i="54" l="1"/>
  <c r="F19" i="54"/>
  <c r="AD155" i="51"/>
  <c r="W156" i="51"/>
  <c r="F20" i="54" s="1"/>
  <c r="AD154" i="51"/>
  <c r="AE64" i="51"/>
  <c r="AI64" i="51" s="1"/>
  <c r="AJ64" i="51" s="1"/>
  <c r="AD199" i="51"/>
  <c r="AE197" i="51"/>
  <c r="AI197" i="51" s="1"/>
  <c r="AJ197" i="51" s="1"/>
  <c r="W200" i="51"/>
  <c r="CM153" i="50"/>
  <c r="CQ152" i="50"/>
  <c r="CK108" i="50"/>
  <c r="CP107" i="50"/>
  <c r="CR107" i="50" s="1"/>
  <c r="CK197" i="50"/>
  <c r="CP196" i="50"/>
  <c r="CM65" i="50"/>
  <c r="CQ64" i="50"/>
  <c r="CK152" i="50"/>
  <c r="CP151" i="50"/>
  <c r="CR151" i="50" s="1"/>
  <c r="CM109" i="50"/>
  <c r="CQ108" i="50"/>
  <c r="CK64" i="50"/>
  <c r="CP63" i="50"/>
  <c r="CR63" i="50" s="1"/>
  <c r="CM196" i="50"/>
  <c r="CQ195" i="50"/>
  <c r="CR195" i="50" s="1"/>
  <c r="AI151" i="51"/>
  <c r="AJ151" i="51" s="1"/>
  <c r="AE152" i="51"/>
  <c r="P29" i="55"/>
  <c r="AX14" i="56"/>
  <c r="M52" i="56"/>
  <c r="K22" i="56"/>
  <c r="AW153" i="56"/>
  <c r="O106" i="55"/>
  <c r="M82" i="55"/>
  <c r="AZ105" i="56"/>
  <c r="K99" i="56"/>
  <c r="AE141" i="56"/>
  <c r="AW143" i="56"/>
  <c r="AE42" i="56"/>
  <c r="AZ123" i="56"/>
  <c r="O78" i="55"/>
  <c r="AY95" i="56"/>
  <c r="AW160" i="56"/>
  <c r="AY87" i="56"/>
  <c r="O32" i="54"/>
  <c r="AF159" i="56"/>
  <c r="K109" i="56"/>
  <c r="AE27" i="56"/>
  <c r="AZ113" i="56"/>
  <c r="P78" i="55"/>
  <c r="N80" i="55"/>
  <c r="K75" i="56"/>
  <c r="M162" i="56"/>
  <c r="M83" i="55"/>
  <c r="L129" i="56"/>
  <c r="M91" i="56"/>
  <c r="M69" i="55"/>
  <c r="AD28" i="56"/>
  <c r="M33" i="55"/>
  <c r="L76" i="56"/>
  <c r="N15" i="56"/>
  <c r="P19" i="54"/>
  <c r="AF112" i="56"/>
  <c r="AE29" i="56"/>
  <c r="AW123" i="56"/>
  <c r="AD25" i="56"/>
  <c r="AX54" i="56"/>
  <c r="AX43" i="56"/>
  <c r="AY57" i="56"/>
  <c r="K123" i="56"/>
  <c r="K42" i="56"/>
  <c r="AZ138" i="56"/>
  <c r="AY43" i="56"/>
  <c r="M9" i="56"/>
  <c r="AY44" i="56"/>
  <c r="AG59" i="56"/>
  <c r="N152" i="56"/>
  <c r="AE15" i="56"/>
  <c r="AE47" i="56"/>
  <c r="L137" i="56"/>
  <c r="AX5" i="56"/>
  <c r="AX108" i="56"/>
  <c r="P10" i="54"/>
  <c r="L62" i="56"/>
  <c r="K60" i="56"/>
  <c r="AF95" i="56"/>
  <c r="AW92" i="56"/>
  <c r="AE116" i="56"/>
  <c r="N47" i="55"/>
  <c r="AE69" i="56"/>
  <c r="AY64" i="56"/>
  <c r="N116" i="56"/>
  <c r="AX73" i="56"/>
  <c r="AY106" i="56"/>
  <c r="AE160" i="56"/>
  <c r="O70" i="54"/>
  <c r="AX21" i="56"/>
  <c r="AD19" i="56"/>
  <c r="AY78" i="56"/>
  <c r="AD117" i="56"/>
  <c r="O23" i="55"/>
  <c r="K148" i="56"/>
  <c r="M11" i="55"/>
  <c r="Q24" i="54"/>
  <c r="N141" i="56"/>
  <c r="N71" i="56"/>
  <c r="O50" i="55"/>
  <c r="K87" i="56"/>
  <c r="AZ18" i="56"/>
  <c r="AW51" i="56"/>
  <c r="AG151" i="56"/>
  <c r="M155" i="56"/>
  <c r="L27" i="56"/>
  <c r="AW116" i="56"/>
  <c r="K16" i="56"/>
  <c r="M18" i="55"/>
  <c r="O89" i="55"/>
  <c r="P74" i="55"/>
  <c r="AF90" i="56"/>
  <c r="O16" i="54"/>
  <c r="N11" i="55"/>
  <c r="N29" i="55"/>
  <c r="K43" i="56"/>
  <c r="AD38" i="56"/>
  <c r="N93" i="55"/>
  <c r="AW34" i="56"/>
  <c r="AE94" i="56"/>
  <c r="AE93" i="56"/>
  <c r="AX155" i="56"/>
  <c r="M45" i="56"/>
  <c r="P53" i="55"/>
  <c r="AD31" i="56"/>
  <c r="N134" i="56"/>
  <c r="M80" i="56"/>
  <c r="M114" i="56"/>
  <c r="AZ26" i="56"/>
  <c r="AX160" i="56"/>
  <c r="AE101" i="56"/>
  <c r="P54" i="55"/>
  <c r="R21" i="54"/>
  <c r="AG87" i="56"/>
  <c r="N128" i="56"/>
  <c r="AF108" i="56"/>
  <c r="L95" i="56"/>
  <c r="AG158" i="56"/>
  <c r="AG130" i="56"/>
  <c r="N82" i="56"/>
  <c r="AF160" i="56"/>
  <c r="N23" i="56"/>
  <c r="O67" i="54"/>
  <c r="AY89" i="56"/>
  <c r="AE71" i="56"/>
  <c r="M113" i="55"/>
  <c r="AD17" i="56"/>
  <c r="N102" i="55"/>
  <c r="O55" i="55"/>
  <c r="P16" i="54"/>
  <c r="AZ109" i="56"/>
  <c r="L145" i="56"/>
  <c r="AF78" i="56"/>
  <c r="AW67" i="56"/>
  <c r="O62" i="54"/>
  <c r="AE17" i="56"/>
  <c r="L34" i="56"/>
  <c r="O9" i="54"/>
  <c r="N144" i="56"/>
  <c r="AX42" i="56"/>
  <c r="AF43" i="56"/>
  <c r="N74" i="55"/>
  <c r="L160" i="56"/>
  <c r="N61" i="56"/>
  <c r="AW61" i="56"/>
  <c r="L134" i="56"/>
  <c r="AE128" i="56"/>
  <c r="AG155" i="56"/>
  <c r="N39" i="55"/>
  <c r="N151" i="56"/>
  <c r="N95" i="55"/>
  <c r="P41" i="54"/>
  <c r="M57" i="55"/>
  <c r="K31" i="56"/>
  <c r="AD75" i="56"/>
  <c r="AE67" i="56"/>
  <c r="AF71" i="56"/>
  <c r="N98" i="55"/>
  <c r="L106" i="56"/>
  <c r="AF138" i="56"/>
  <c r="AG82" i="56"/>
  <c r="M130" i="56"/>
  <c r="AF88" i="56"/>
  <c r="N40" i="56"/>
  <c r="AE66" i="56"/>
  <c r="AF12" i="56"/>
  <c r="AW147" i="56"/>
  <c r="AX28" i="56"/>
  <c r="P12" i="55"/>
  <c r="AD56" i="56"/>
  <c r="O27" i="54"/>
  <c r="K39" i="56"/>
  <c r="AF131" i="56"/>
  <c r="K101" i="56"/>
  <c r="O19" i="55"/>
  <c r="AZ122" i="56"/>
  <c r="P66" i="55"/>
  <c r="K57" i="56"/>
  <c r="O35" i="54"/>
  <c r="L116" i="56"/>
  <c r="K12" i="56"/>
  <c r="AW154" i="56"/>
  <c r="AF128" i="56"/>
  <c r="L54" i="56"/>
  <c r="AF23" i="56"/>
  <c r="AF121" i="56"/>
  <c r="AG13" i="56"/>
  <c r="R43" i="54"/>
  <c r="AE48" i="56"/>
  <c r="N112" i="55"/>
  <c r="M164" i="56"/>
  <c r="O45" i="55"/>
  <c r="M97" i="55"/>
  <c r="AF85" i="56"/>
  <c r="AF139" i="56"/>
  <c r="AE25" i="56"/>
  <c r="K46" i="56"/>
  <c r="AW18" i="56"/>
  <c r="AZ92" i="56"/>
  <c r="K121" i="56"/>
  <c r="M49" i="55"/>
  <c r="N87" i="56"/>
  <c r="AW66" i="56"/>
  <c r="P56" i="55"/>
  <c r="P22" i="54"/>
  <c r="M44" i="56"/>
  <c r="AX52" i="56"/>
  <c r="K141" i="56"/>
  <c r="AZ154" i="56"/>
  <c r="AD159" i="56"/>
  <c r="K89" i="56"/>
  <c r="N157" i="56"/>
  <c r="AE127" i="56"/>
  <c r="AE26" i="56"/>
  <c r="AY72" i="56"/>
  <c r="AF94" i="56"/>
  <c r="AG73" i="56"/>
  <c r="L22" i="56"/>
  <c r="AZ96" i="56"/>
  <c r="AW155" i="56"/>
  <c r="AE117" i="56"/>
  <c r="AG132" i="56"/>
  <c r="K104" i="56"/>
  <c r="M28" i="55"/>
  <c r="AE49" i="56"/>
  <c r="AY49" i="56"/>
  <c r="P62" i="55"/>
  <c r="M87" i="55"/>
  <c r="M149" i="56"/>
  <c r="K32" i="56"/>
  <c r="P45" i="54"/>
  <c r="P101" i="55"/>
  <c r="L36" i="56"/>
  <c r="P67" i="55"/>
  <c r="AD152" i="56"/>
  <c r="AE143" i="56"/>
  <c r="AD148" i="56"/>
  <c r="P36" i="54"/>
  <c r="Q54" i="54"/>
  <c r="AX164" i="56"/>
  <c r="AW136" i="56"/>
  <c r="AF118" i="56"/>
  <c r="O8" i="54"/>
  <c r="AY153" i="56"/>
  <c r="Q28" i="54"/>
  <c r="N26" i="56"/>
  <c r="R37" i="54"/>
  <c r="P48" i="54"/>
  <c r="Q62" i="54"/>
  <c r="AE145" i="56"/>
  <c r="AZ83" i="56"/>
  <c r="AW19" i="56"/>
  <c r="M95" i="55"/>
  <c r="AX119" i="56"/>
  <c r="AD153" i="56"/>
  <c r="AF123" i="56"/>
  <c r="K108" i="56"/>
  <c r="L65" i="56"/>
  <c r="AW133" i="56"/>
  <c r="AW132" i="56"/>
  <c r="L68" i="56"/>
  <c r="AE41" i="56"/>
  <c r="L133" i="56"/>
  <c r="K139" i="56"/>
  <c r="AW104" i="56"/>
  <c r="AG109" i="56"/>
  <c r="AF39" i="56"/>
  <c r="AD96" i="56"/>
  <c r="M110" i="56"/>
  <c r="K38" i="56"/>
  <c r="AF92" i="56"/>
  <c r="L112" i="56"/>
  <c r="L147" i="56"/>
  <c r="AX107" i="56"/>
  <c r="N54" i="55"/>
  <c r="AF60" i="56"/>
  <c r="N81" i="55"/>
  <c r="M77" i="56"/>
  <c r="AX72" i="56"/>
  <c r="L33" i="56"/>
  <c r="O21" i="54"/>
  <c r="M37" i="55"/>
  <c r="M42" i="55"/>
  <c r="AZ143" i="56"/>
  <c r="M7" i="55"/>
  <c r="AE56" i="56"/>
  <c r="K102" i="56"/>
  <c r="K84" i="56"/>
  <c r="AE85" i="56"/>
  <c r="M158" i="56"/>
  <c r="AG150" i="56"/>
  <c r="L71" i="56"/>
  <c r="AX92" i="56"/>
  <c r="AE124" i="56"/>
  <c r="L105" i="56"/>
  <c r="P86" i="55"/>
  <c r="L119" i="56"/>
  <c r="AY74" i="56"/>
  <c r="AW69" i="56"/>
  <c r="N18" i="56"/>
  <c r="M159" i="56"/>
  <c r="K11" i="56"/>
  <c r="P48" i="55"/>
  <c r="AD137" i="56"/>
  <c r="AW151" i="56"/>
  <c r="M127" i="56"/>
  <c r="L151" i="56"/>
  <c r="AW10" i="56"/>
  <c r="N48" i="56"/>
  <c r="M31" i="56"/>
  <c r="K94" i="56"/>
  <c r="N126" i="56"/>
  <c r="AG9" i="56"/>
  <c r="AW62" i="56"/>
  <c r="K116" i="56"/>
  <c r="AF162" i="56"/>
  <c r="P14" i="54"/>
  <c r="AW44" i="56"/>
  <c r="L139" i="56"/>
  <c r="M143" i="56"/>
  <c r="O46" i="54"/>
  <c r="AY132" i="56"/>
  <c r="AF63" i="56"/>
  <c r="L138" i="56"/>
  <c r="M75" i="55"/>
  <c r="AW48" i="56"/>
  <c r="AY21" i="56"/>
  <c r="AX153" i="56"/>
  <c r="M154" i="56"/>
  <c r="AD14" i="56"/>
  <c r="AE149" i="56"/>
  <c r="AY155" i="56"/>
  <c r="AE126" i="56"/>
  <c r="AW56" i="56"/>
  <c r="K77" i="56"/>
  <c r="AY54" i="56"/>
  <c r="AY114" i="56"/>
  <c r="M17" i="56"/>
  <c r="K34" i="56"/>
  <c r="AG72" i="56"/>
  <c r="M46" i="55"/>
  <c r="AE138" i="56"/>
  <c r="AX159" i="56"/>
  <c r="O5" i="54"/>
  <c r="L155" i="56"/>
  <c r="M89" i="55"/>
  <c r="AG141" i="56"/>
  <c r="K71" i="56"/>
  <c r="AY124" i="56"/>
  <c r="K85" i="56"/>
  <c r="AW107" i="56"/>
  <c r="M85" i="55"/>
  <c r="P38" i="55"/>
  <c r="AX38" i="56"/>
  <c r="L37" i="56"/>
  <c r="O47" i="55"/>
  <c r="AG81" i="56"/>
  <c r="AF147" i="56"/>
  <c r="AY42" i="56"/>
  <c r="P63" i="55"/>
  <c r="P52" i="55"/>
  <c r="AW45" i="56"/>
  <c r="AW57" i="56"/>
  <c r="AG45" i="56"/>
  <c r="AX93" i="56"/>
  <c r="L60" i="56"/>
  <c r="AE108" i="56"/>
  <c r="AY96" i="56"/>
  <c r="N43" i="55"/>
  <c r="AX46" i="56"/>
  <c r="AG117" i="56"/>
  <c r="P28" i="54"/>
  <c r="AY56" i="56"/>
  <c r="O65" i="54"/>
  <c r="AF9" i="56"/>
  <c r="M102" i="56"/>
  <c r="AX19" i="56"/>
  <c r="O102" i="54"/>
  <c r="AE150" i="56"/>
  <c r="AX91" i="56"/>
  <c r="AE163" i="56"/>
  <c r="P72" i="55"/>
  <c r="AW124" i="56"/>
  <c r="AX53" i="56"/>
  <c r="P106" i="55"/>
  <c r="L6" i="56"/>
  <c r="AY158" i="56"/>
  <c r="N123" i="56"/>
  <c r="AW141" i="56"/>
  <c r="AD59" i="56"/>
  <c r="AY60" i="56"/>
  <c r="AW161" i="56"/>
  <c r="N94" i="55"/>
  <c r="N149" i="56"/>
  <c r="AG146" i="56"/>
  <c r="AZ28" i="56"/>
  <c r="AF149" i="56"/>
  <c r="AY148" i="56"/>
  <c r="L35" i="56"/>
  <c r="AX31" i="56"/>
  <c r="AF35" i="56"/>
  <c r="N70" i="56"/>
  <c r="AG164" i="56"/>
  <c r="AW162" i="56"/>
  <c r="AG98" i="56"/>
  <c r="AX39" i="56"/>
  <c r="AD13" i="56"/>
  <c r="AE157" i="56"/>
  <c r="O75" i="55"/>
  <c r="AE79" i="56"/>
  <c r="AX58" i="56"/>
  <c r="AE37" i="56"/>
  <c r="AF29" i="56"/>
  <c r="AF86" i="56"/>
  <c r="N36" i="55"/>
  <c r="AX152" i="56"/>
  <c r="AD113" i="56"/>
  <c r="L146" i="56"/>
  <c r="AF96" i="56"/>
  <c r="P20" i="54"/>
  <c r="AZ130" i="56"/>
  <c r="AG116" i="56"/>
  <c r="N14" i="55"/>
  <c r="AE113" i="56"/>
  <c r="AD37" i="56"/>
  <c r="M157" i="56"/>
  <c r="K161" i="56"/>
  <c r="O12" i="55"/>
  <c r="AX25" i="56"/>
  <c r="AD86" i="56"/>
  <c r="AE111" i="56"/>
  <c r="M25" i="56"/>
  <c r="N46" i="55"/>
  <c r="O81" i="55"/>
  <c r="AX121" i="56"/>
  <c r="AD12" i="56"/>
  <c r="AW40" i="56"/>
  <c r="O51" i="55"/>
  <c r="AE81" i="56"/>
  <c r="N97" i="55"/>
  <c r="AZ5" i="56"/>
  <c r="AG113" i="56"/>
  <c r="AW103" i="56"/>
  <c r="O11" i="54"/>
  <c r="AZ30" i="56"/>
  <c r="AG128" i="56"/>
  <c r="M108" i="55"/>
  <c r="AX115" i="56"/>
  <c r="AD39" i="56"/>
  <c r="P14" i="55"/>
  <c r="N50" i="55"/>
  <c r="AY119" i="56"/>
  <c r="AF57" i="56"/>
  <c r="AX139" i="56"/>
  <c r="AZ69" i="56"/>
  <c r="AW140" i="56"/>
  <c r="AZ49" i="56"/>
  <c r="AD138" i="56"/>
  <c r="AF24" i="56"/>
  <c r="AW156" i="56"/>
  <c r="AY33" i="56"/>
  <c r="L16" i="56"/>
  <c r="N107" i="55"/>
  <c r="AW115" i="56"/>
  <c r="AZ152" i="56"/>
  <c r="N21" i="56"/>
  <c r="AD80" i="56"/>
  <c r="AZ54" i="56"/>
  <c r="L80" i="56"/>
  <c r="AY138" i="56"/>
  <c r="M43" i="55"/>
  <c r="L46" i="56"/>
  <c r="AW114" i="56"/>
  <c r="AE89" i="56"/>
  <c r="N19" i="55"/>
  <c r="R18" i="54"/>
  <c r="AD68" i="56"/>
  <c r="AZ10" i="56"/>
  <c r="N34" i="55"/>
  <c r="AW122" i="56"/>
  <c r="AW7" i="56"/>
  <c r="K113" i="56"/>
  <c r="AD105" i="56"/>
  <c r="O88" i="54"/>
  <c r="AD26" i="56"/>
  <c r="O57" i="55"/>
  <c r="N148" i="56"/>
  <c r="AG31" i="56"/>
  <c r="AD156" i="56"/>
  <c r="O72" i="55"/>
  <c r="O79" i="54"/>
  <c r="P49" i="54"/>
  <c r="L59" i="56"/>
  <c r="AZ20" i="56"/>
  <c r="AF120" i="56"/>
  <c r="M105" i="56"/>
  <c r="L79" i="56"/>
  <c r="M153" i="56"/>
  <c r="R46" i="54"/>
  <c r="K24" i="56"/>
  <c r="O21" i="55"/>
  <c r="AG63" i="56"/>
  <c r="Q60" i="54"/>
  <c r="O54" i="54"/>
  <c r="AZ141" i="56"/>
  <c r="AW59" i="56"/>
  <c r="O22" i="55"/>
  <c r="AZ9" i="56"/>
  <c r="O85" i="54"/>
  <c r="L121" i="56"/>
  <c r="AX104" i="56"/>
  <c r="AZ160" i="56"/>
  <c r="N164" i="56"/>
  <c r="M8" i="56"/>
  <c r="AY16" i="56"/>
  <c r="M142" i="56"/>
  <c r="N132" i="56"/>
  <c r="AY100" i="56"/>
  <c r="K131" i="56"/>
  <c r="M133" i="56"/>
  <c r="N111" i="55"/>
  <c r="AD88" i="56"/>
  <c r="M122" i="56"/>
  <c r="L163" i="56"/>
  <c r="L20" i="56"/>
  <c r="O74" i="54"/>
  <c r="AY6" i="56"/>
  <c r="N59" i="55"/>
  <c r="AX86" i="56"/>
  <c r="L30" i="56"/>
  <c r="AX102" i="56"/>
  <c r="AY14" i="56"/>
  <c r="AX65" i="56"/>
  <c r="AD5" i="56"/>
  <c r="L57" i="56"/>
  <c r="M23" i="56"/>
  <c r="O110" i="55"/>
  <c r="AY149" i="56"/>
  <c r="AY58" i="56"/>
  <c r="N110" i="55"/>
  <c r="AW41" i="56"/>
  <c r="AX131" i="56"/>
  <c r="P71" i="54"/>
  <c r="P7" i="55"/>
  <c r="O49" i="54"/>
  <c r="O94" i="55"/>
  <c r="AW25" i="56"/>
  <c r="AX81" i="56"/>
  <c r="AD58" i="56"/>
  <c r="N6" i="55"/>
  <c r="L109" i="56"/>
  <c r="M38" i="55"/>
  <c r="P80" i="55"/>
  <c r="AX120" i="56"/>
  <c r="AZ21" i="56"/>
  <c r="AE115" i="56"/>
  <c r="AG92" i="56"/>
  <c r="AG144" i="56"/>
  <c r="AG74" i="56"/>
  <c r="AX69" i="56"/>
  <c r="R6" i="54"/>
  <c r="AD10" i="56"/>
  <c r="O44" i="55"/>
  <c r="M30" i="56"/>
  <c r="N41" i="56"/>
  <c r="M110" i="55"/>
  <c r="AY145" i="56"/>
  <c r="AD143" i="56"/>
  <c r="K126" i="56"/>
  <c r="AE11" i="56"/>
  <c r="L149" i="56"/>
  <c r="AY101" i="56"/>
  <c r="AG115" i="56"/>
  <c r="AZ125" i="56"/>
  <c r="AX70" i="56"/>
  <c r="L92" i="56"/>
  <c r="AW11" i="56"/>
  <c r="AD42" i="56"/>
  <c r="AY63" i="56"/>
  <c r="O14" i="54"/>
  <c r="AE159" i="56"/>
  <c r="L131" i="56"/>
  <c r="N75" i="56"/>
  <c r="M125" i="56"/>
  <c r="P17" i="54"/>
  <c r="AD77" i="56"/>
  <c r="K51" i="56"/>
  <c r="L84" i="56"/>
  <c r="K70" i="56"/>
  <c r="AG85" i="56"/>
  <c r="M98" i="55"/>
  <c r="AX82" i="56"/>
  <c r="K67" i="56"/>
  <c r="M29" i="55"/>
  <c r="K105" i="56"/>
  <c r="AY5" i="56"/>
  <c r="AD106" i="56"/>
  <c r="K35" i="56"/>
  <c r="AE86" i="56"/>
  <c r="M88" i="55"/>
  <c r="K93" i="56"/>
  <c r="K20" i="56"/>
  <c r="AD67" i="56"/>
  <c r="AG153" i="56"/>
  <c r="P27" i="54"/>
  <c r="K68" i="56"/>
  <c r="AD149" i="56"/>
  <c r="N90" i="55"/>
  <c r="AZ12" i="56"/>
  <c r="AF41" i="56"/>
  <c r="O25" i="54"/>
  <c r="O113" i="55"/>
  <c r="L49" i="56"/>
  <c r="AE28" i="56"/>
  <c r="N63" i="56"/>
  <c r="L40" i="56"/>
  <c r="AG70" i="56"/>
  <c r="L74" i="56"/>
  <c r="AW95" i="56"/>
  <c r="O23" i="54"/>
  <c r="AG101" i="56"/>
  <c r="AW93" i="56"/>
  <c r="AY108" i="56"/>
  <c r="Q30" i="54"/>
  <c r="AX143" i="56"/>
  <c r="Q61" i="54"/>
  <c r="P57" i="54"/>
  <c r="AZ162" i="56"/>
  <c r="AY77" i="56"/>
  <c r="AX47" i="56"/>
  <c r="AE46" i="56"/>
  <c r="O37" i="55"/>
  <c r="AX36" i="56"/>
  <c r="AE92" i="56"/>
  <c r="M40" i="55"/>
  <c r="AG88" i="56"/>
  <c r="K49" i="56"/>
  <c r="AE57" i="56"/>
  <c r="AF6" i="56"/>
  <c r="R19" i="54"/>
  <c r="AD8" i="56"/>
  <c r="L31" i="56"/>
  <c r="L104" i="56"/>
  <c r="AX9" i="56"/>
  <c r="AX161" i="56"/>
  <c r="AG23" i="56"/>
  <c r="M6" i="55"/>
  <c r="AF105" i="56"/>
  <c r="AY161" i="56"/>
  <c r="AX135" i="56"/>
  <c r="M111" i="55"/>
  <c r="K132" i="56"/>
  <c r="AY29" i="56"/>
  <c r="AF36" i="56"/>
  <c r="N96" i="55"/>
  <c r="AX147" i="56"/>
  <c r="AD29" i="56"/>
  <c r="AW127" i="56"/>
  <c r="AY147" i="56"/>
  <c r="AW68" i="56"/>
  <c r="O29" i="54"/>
  <c r="AW72" i="56"/>
  <c r="AX84" i="56"/>
  <c r="N62" i="56"/>
  <c r="AX44" i="56"/>
  <c r="AD69" i="56"/>
  <c r="L11" i="56"/>
  <c r="M60" i="55"/>
  <c r="AD90" i="56"/>
  <c r="L130" i="56"/>
  <c r="AD9" i="56"/>
  <c r="AD82" i="56"/>
  <c r="K26" i="56"/>
  <c r="L64" i="56"/>
  <c r="M121" i="56"/>
  <c r="AW120" i="56"/>
  <c r="AG38" i="56"/>
  <c r="AY135" i="56"/>
  <c r="AE21" i="56"/>
  <c r="N64" i="55"/>
  <c r="AD47" i="56"/>
  <c r="P18" i="55"/>
  <c r="K103" i="56"/>
  <c r="AW118" i="56"/>
  <c r="L18" i="56"/>
  <c r="AD92" i="56"/>
  <c r="K147" i="56"/>
  <c r="AE77" i="56"/>
  <c r="AX89" i="56"/>
  <c r="AX62" i="56"/>
  <c r="AY27" i="56"/>
  <c r="AD151" i="56"/>
  <c r="AY116" i="56"/>
  <c r="M26" i="55"/>
  <c r="AW75" i="56"/>
  <c r="AZ136" i="56"/>
  <c r="AG162" i="56"/>
  <c r="AX114" i="56"/>
  <c r="N12" i="56"/>
  <c r="AF19" i="56"/>
  <c r="AX11" i="56"/>
  <c r="AE83" i="56"/>
  <c r="AW35" i="56"/>
  <c r="AD164" i="56"/>
  <c r="K111" i="56"/>
  <c r="AX33" i="56"/>
  <c r="AD36" i="56"/>
  <c r="K25" i="56"/>
  <c r="AF110" i="56"/>
  <c r="AW39" i="56"/>
  <c r="AG120" i="56"/>
  <c r="M68" i="55"/>
  <c r="AE158" i="56"/>
  <c r="AD123" i="56"/>
  <c r="M21" i="55"/>
  <c r="AW158" i="56"/>
  <c r="L143" i="56"/>
  <c r="M9" i="55"/>
  <c r="N30" i="56"/>
  <c r="AD132" i="56"/>
  <c r="AY107" i="56"/>
  <c r="AX57" i="56"/>
  <c r="L13" i="56"/>
  <c r="M69" i="56"/>
  <c r="AW163" i="56"/>
  <c r="AY70" i="56"/>
  <c r="AW29" i="56"/>
  <c r="AX41" i="56"/>
  <c r="M45" i="55"/>
  <c r="M27" i="56"/>
  <c r="K88" i="56"/>
  <c r="AE45" i="56"/>
  <c r="AY134" i="56"/>
  <c r="AF44" i="56"/>
  <c r="N42" i="56"/>
  <c r="AG68" i="56"/>
  <c r="AD114" i="56"/>
  <c r="N102" i="56"/>
  <c r="K5" i="56"/>
  <c r="AX94" i="56"/>
  <c r="P10" i="55"/>
  <c r="AE139" i="56"/>
  <c r="N50" i="56"/>
  <c r="AZ61" i="56"/>
  <c r="P113" i="54"/>
  <c r="AX158" i="56"/>
  <c r="L8" i="56"/>
  <c r="AX20" i="56"/>
  <c r="AZ124" i="56"/>
  <c r="AD135" i="56"/>
  <c r="K56" i="56"/>
  <c r="K48" i="56"/>
  <c r="L45" i="56"/>
  <c r="N103" i="56"/>
  <c r="AE151" i="56"/>
  <c r="O97" i="55"/>
  <c r="Q40" i="54"/>
  <c r="O31" i="54"/>
  <c r="AD87" i="56"/>
  <c r="AD84" i="56"/>
  <c r="O15" i="55"/>
  <c r="AW23" i="56"/>
  <c r="AW60" i="56"/>
  <c r="AY37" i="56"/>
  <c r="P64" i="55"/>
  <c r="N145" i="56"/>
  <c r="K19" i="56"/>
  <c r="AX68" i="56"/>
  <c r="AX106" i="56"/>
  <c r="AW70" i="56"/>
  <c r="AE61" i="56"/>
  <c r="AW50" i="56"/>
  <c r="AX132" i="56"/>
  <c r="AF127" i="56"/>
  <c r="N105" i="55"/>
  <c r="AG110" i="56"/>
  <c r="M44" i="55"/>
  <c r="O90" i="55"/>
  <c r="O39" i="55"/>
  <c r="AX122" i="56"/>
  <c r="AG28" i="56"/>
  <c r="AX29" i="56"/>
  <c r="M66" i="55"/>
  <c r="AY117" i="56"/>
  <c r="AX137" i="56"/>
  <c r="AY88" i="56"/>
  <c r="K72" i="56"/>
  <c r="AZ81" i="56"/>
  <c r="AW20" i="56"/>
  <c r="AD129" i="56"/>
  <c r="N113" i="56"/>
  <c r="L157" i="56"/>
  <c r="N106" i="55"/>
  <c r="K97" i="56"/>
  <c r="AG66" i="56"/>
  <c r="M43" i="56"/>
  <c r="L77" i="56"/>
  <c r="L140" i="56"/>
  <c r="AW32" i="56"/>
  <c r="P61" i="55"/>
  <c r="AF8" i="56"/>
  <c r="AD95" i="56"/>
  <c r="AY41" i="56"/>
  <c r="AW5" i="56"/>
  <c r="L39" i="56"/>
  <c r="O87" i="55"/>
  <c r="O92" i="55"/>
  <c r="AZ52" i="56"/>
  <c r="Q10" i="54"/>
  <c r="N27" i="55"/>
  <c r="AW146" i="56"/>
  <c r="AD126" i="56"/>
  <c r="N13" i="55"/>
  <c r="AF143" i="56"/>
  <c r="M47" i="55"/>
  <c r="K158" i="56"/>
  <c r="N137" i="56"/>
  <c r="M72" i="55"/>
  <c r="M31" i="55"/>
  <c r="AD54" i="56"/>
  <c r="N106" i="56"/>
  <c r="AW84" i="56"/>
  <c r="AD50" i="56"/>
  <c r="AE30" i="56"/>
  <c r="L42" i="56"/>
  <c r="AE20" i="56"/>
  <c r="AE164" i="56"/>
  <c r="AD145" i="56"/>
  <c r="L70" i="56"/>
  <c r="AW85" i="56"/>
  <c r="AE54" i="56"/>
  <c r="P29" i="54"/>
  <c r="AD154" i="56"/>
  <c r="N65" i="55"/>
  <c r="N100" i="55"/>
  <c r="O86" i="55"/>
  <c r="N120" i="56"/>
  <c r="M73" i="55"/>
  <c r="AE136" i="56"/>
  <c r="O51" i="54"/>
  <c r="AF81" i="56"/>
  <c r="AW126" i="56"/>
  <c r="AX125" i="56"/>
  <c r="AF52" i="56"/>
  <c r="AE82" i="56"/>
  <c r="O91" i="54"/>
  <c r="N70" i="55"/>
  <c r="AZ79" i="56"/>
  <c r="O48" i="55"/>
  <c r="AW27" i="56"/>
  <c r="R48" i="54"/>
  <c r="AW94" i="56"/>
  <c r="AD83" i="56"/>
  <c r="M86" i="55"/>
  <c r="AF74" i="56"/>
  <c r="M92" i="55"/>
  <c r="N121" i="56"/>
  <c r="M115" i="56"/>
  <c r="AY146" i="56"/>
  <c r="AZ134" i="56"/>
  <c r="AW77" i="56"/>
  <c r="AZ148" i="56"/>
  <c r="P39" i="54"/>
  <c r="AY82" i="56"/>
  <c r="AZ29" i="56"/>
  <c r="L73" i="56"/>
  <c r="K138" i="56"/>
  <c r="AF47" i="56"/>
  <c r="L69" i="56"/>
  <c r="AE125" i="56"/>
  <c r="L56" i="56"/>
  <c r="M71" i="56"/>
  <c r="P113" i="55"/>
  <c r="AZ80" i="56"/>
  <c r="AD61" i="56"/>
  <c r="AG79" i="56"/>
  <c r="AZ110" i="56"/>
  <c r="R41" i="54"/>
  <c r="K150" i="56"/>
  <c r="AE146" i="56"/>
  <c r="L161" i="56"/>
  <c r="AD127" i="56"/>
  <c r="AX148" i="56"/>
  <c r="P9" i="54"/>
  <c r="O16" i="55"/>
  <c r="K44" i="56"/>
  <c r="AF142" i="56"/>
  <c r="M119" i="56"/>
  <c r="AE24" i="56"/>
  <c r="AF59" i="56"/>
  <c r="O6" i="55"/>
  <c r="AF45" i="56"/>
  <c r="AD101" i="56"/>
  <c r="AD118" i="56"/>
  <c r="M109" i="56"/>
  <c r="K80" i="56"/>
  <c r="K140" i="56"/>
  <c r="AW14" i="56"/>
  <c r="L123" i="56"/>
  <c r="M131" i="56"/>
  <c r="L127" i="56"/>
  <c r="L9" i="56"/>
  <c r="AD32" i="56"/>
  <c r="N105" i="56"/>
  <c r="AW24" i="56"/>
  <c r="O20" i="54"/>
  <c r="O47" i="54"/>
  <c r="AE44" i="56"/>
  <c r="P104" i="55"/>
  <c r="AF13" i="56"/>
  <c r="AX151" i="56"/>
  <c r="AX117" i="56"/>
  <c r="AW12" i="56"/>
  <c r="O46" i="55"/>
  <c r="AZ156" i="56"/>
  <c r="K157" i="56"/>
  <c r="O71" i="55"/>
  <c r="AE155" i="56"/>
  <c r="AX59" i="56"/>
  <c r="N48" i="55"/>
  <c r="O33" i="54"/>
  <c r="AZ147" i="56"/>
  <c r="AD11" i="56"/>
  <c r="P36" i="55"/>
  <c r="AD121" i="56"/>
  <c r="K153" i="56"/>
  <c r="AY156" i="56"/>
  <c r="K10" i="56"/>
  <c r="AE6" i="56"/>
  <c r="AG103" i="56"/>
  <c r="M146" i="56"/>
  <c r="AW38" i="56"/>
  <c r="P11" i="54"/>
  <c r="O19" i="54"/>
  <c r="M15" i="55"/>
  <c r="R38" i="54"/>
  <c r="K62" i="56"/>
  <c r="AD163" i="56"/>
  <c r="AY144" i="56"/>
  <c r="AW139" i="56"/>
  <c r="AD64" i="56"/>
  <c r="AD162" i="56"/>
  <c r="K112" i="56"/>
  <c r="AZ112" i="56"/>
  <c r="O28" i="55"/>
  <c r="AE14" i="56"/>
  <c r="L55" i="56"/>
  <c r="P23" i="55"/>
  <c r="AD146" i="56"/>
  <c r="AF97" i="56"/>
  <c r="L103" i="56"/>
  <c r="AZ36" i="56"/>
  <c r="AX157" i="56"/>
  <c r="R14" i="54"/>
  <c r="AW13" i="56"/>
  <c r="M70" i="55"/>
  <c r="P13" i="55"/>
  <c r="AF116" i="56"/>
  <c r="P44" i="55"/>
  <c r="N109" i="55"/>
  <c r="AX50" i="56"/>
  <c r="K29" i="56"/>
  <c r="K154" i="56"/>
  <c r="AW6" i="56"/>
  <c r="L113" i="56"/>
  <c r="AF152" i="56"/>
  <c r="P42" i="54"/>
  <c r="M52" i="55"/>
  <c r="AG56" i="56"/>
  <c r="AD57" i="56"/>
  <c r="AW112" i="56"/>
  <c r="AW152" i="56"/>
  <c r="AY118" i="56"/>
  <c r="AF145" i="56"/>
  <c r="AE72" i="56"/>
  <c r="AY111" i="56"/>
  <c r="K122" i="56"/>
  <c r="AY139" i="56"/>
  <c r="AW17" i="56"/>
  <c r="AW15" i="56"/>
  <c r="AD63" i="56"/>
  <c r="AD30" i="56"/>
  <c r="O42" i="54"/>
  <c r="AZ115" i="56"/>
  <c r="AY142" i="56"/>
  <c r="K65" i="56"/>
  <c r="N57" i="56"/>
  <c r="K95" i="56"/>
  <c r="M16" i="55"/>
  <c r="Q80" i="54"/>
  <c r="N56" i="56"/>
  <c r="K7" i="56"/>
  <c r="AD33" i="56"/>
  <c r="O26" i="54"/>
  <c r="AY121" i="56"/>
  <c r="AX103" i="56"/>
  <c r="N9" i="55"/>
  <c r="AE19" i="56"/>
  <c r="K8" i="56"/>
  <c r="AW144" i="56"/>
  <c r="O82" i="54"/>
  <c r="Q69" i="54"/>
  <c r="AX60" i="56"/>
  <c r="AW36" i="56"/>
  <c r="AF82" i="56"/>
  <c r="N79" i="55"/>
  <c r="AD160" i="56"/>
  <c r="M46" i="56"/>
  <c r="AW9" i="56"/>
  <c r="N101" i="56"/>
  <c r="M11" i="56"/>
  <c r="Q47" i="54"/>
  <c r="R45" i="54"/>
  <c r="AF21" i="56"/>
  <c r="AZ57" i="56"/>
  <c r="P31" i="55"/>
  <c r="AY163" i="56"/>
  <c r="N114" i="56"/>
  <c r="K30" i="56"/>
  <c r="AX17" i="56"/>
  <c r="N135" i="56"/>
  <c r="L44" i="56"/>
  <c r="AZ139" i="56"/>
  <c r="N22" i="56"/>
  <c r="M85" i="56"/>
  <c r="M103" i="55"/>
  <c r="AX99" i="56"/>
  <c r="AG42" i="56"/>
  <c r="AZ77" i="56"/>
  <c r="AG104" i="56"/>
  <c r="M124" i="56"/>
  <c r="AZ67" i="56"/>
  <c r="M100" i="55"/>
  <c r="L58" i="56"/>
  <c r="L164" i="56"/>
  <c r="N55" i="55"/>
  <c r="AG10" i="56"/>
  <c r="AY66" i="56"/>
  <c r="AX116" i="56"/>
  <c r="M101" i="56"/>
  <c r="AG97" i="56"/>
  <c r="AX49" i="56"/>
  <c r="AY104" i="56"/>
  <c r="L108" i="56"/>
  <c r="AX77" i="56"/>
  <c r="AX95" i="56"/>
  <c r="AG30" i="56"/>
  <c r="AW128" i="56"/>
  <c r="O64" i="54"/>
  <c r="N87" i="55"/>
  <c r="O64" i="55"/>
  <c r="L32" i="56"/>
  <c r="AG125" i="56"/>
  <c r="AD141" i="56"/>
  <c r="AX79" i="56"/>
  <c r="AE134" i="56"/>
  <c r="O112" i="54"/>
  <c r="M58" i="56"/>
  <c r="AD7" i="56"/>
  <c r="AX15" i="56"/>
  <c r="P7" i="54"/>
  <c r="P5" i="55"/>
  <c r="AZ106" i="56"/>
  <c r="AF115" i="56"/>
  <c r="P81" i="55"/>
  <c r="AG47" i="56"/>
  <c r="K64" i="56"/>
  <c r="AE162" i="56"/>
  <c r="AX111" i="56"/>
  <c r="M17" i="55"/>
  <c r="AE32" i="56"/>
  <c r="P42" i="55"/>
  <c r="O17" i="54"/>
  <c r="P97" i="55"/>
  <c r="AD66" i="56"/>
  <c r="AD18" i="56"/>
  <c r="AY137" i="56"/>
  <c r="AY130" i="56"/>
  <c r="P72" i="54"/>
  <c r="O24" i="54"/>
  <c r="AG129" i="56"/>
  <c r="M134" i="56"/>
  <c r="AY8" i="56"/>
  <c r="P32" i="54"/>
  <c r="AF101" i="56"/>
  <c r="AZ71" i="56"/>
  <c r="AF87" i="56"/>
  <c r="N122" i="56"/>
  <c r="AE13" i="56"/>
  <c r="AE110" i="56"/>
  <c r="P107" i="54"/>
  <c r="AX123" i="56"/>
  <c r="P79" i="55"/>
  <c r="P86" i="54"/>
  <c r="AG119" i="56"/>
  <c r="AZ102" i="56"/>
  <c r="N143" i="56"/>
  <c r="AZ97" i="56"/>
  <c r="K151" i="56"/>
  <c r="P105" i="54"/>
  <c r="N61" i="55"/>
  <c r="AE112" i="56"/>
  <c r="P112" i="55"/>
  <c r="P59" i="54"/>
  <c r="N25" i="56"/>
  <c r="AE40" i="56"/>
  <c r="AF7" i="56"/>
  <c r="AY10" i="56"/>
  <c r="M107" i="55"/>
  <c r="R76" i="54"/>
  <c r="P58" i="54"/>
  <c r="AZ24" i="56"/>
  <c r="AE74" i="56"/>
  <c r="AY136" i="56"/>
  <c r="AY68" i="56"/>
  <c r="M96" i="56"/>
  <c r="R94" i="54"/>
  <c r="AZ145" i="56"/>
  <c r="AG107" i="56"/>
  <c r="N108" i="56"/>
  <c r="O104" i="54"/>
  <c r="AD130" i="56"/>
  <c r="AG143" i="56"/>
  <c r="N57" i="55"/>
  <c r="AF27" i="56"/>
  <c r="AD72" i="56"/>
  <c r="R112" i="54"/>
  <c r="N54" i="56"/>
  <c r="AX145" i="56"/>
  <c r="N52" i="55"/>
  <c r="N124" i="56"/>
  <c r="R62" i="54"/>
  <c r="AG39" i="56"/>
  <c r="AY128" i="56"/>
  <c r="L89" i="56"/>
  <c r="O6" i="54"/>
  <c r="P13" i="54"/>
  <c r="AG96" i="56"/>
  <c r="AF117" i="56"/>
  <c r="N76" i="56"/>
  <c r="N53" i="55"/>
  <c r="N125" i="56"/>
  <c r="AX61" i="56"/>
  <c r="K114" i="56"/>
  <c r="K36" i="56"/>
  <c r="AG54" i="56"/>
  <c r="AF38" i="56"/>
  <c r="AD134" i="56"/>
  <c r="M63" i="55"/>
  <c r="K100" i="56"/>
  <c r="AD94" i="56"/>
  <c r="L154" i="56"/>
  <c r="AY150" i="56"/>
  <c r="M41" i="55"/>
  <c r="O40" i="55"/>
  <c r="M84" i="56"/>
  <c r="M74" i="55"/>
  <c r="N154" i="56"/>
  <c r="AZ84" i="56"/>
  <c r="O34" i="55"/>
  <c r="P9" i="55"/>
  <c r="M116" i="56"/>
  <c r="AG121" i="56"/>
  <c r="M50" i="56"/>
  <c r="M161" i="56"/>
  <c r="M76" i="55"/>
  <c r="N101" i="55"/>
  <c r="N25" i="55"/>
  <c r="K130" i="56"/>
  <c r="K53" i="56"/>
  <c r="AF109" i="56"/>
  <c r="M87" i="56"/>
  <c r="AW49" i="56"/>
  <c r="P82" i="54"/>
  <c r="N24" i="55"/>
  <c r="N37" i="55"/>
  <c r="N130" i="56"/>
  <c r="AG8" i="56"/>
  <c r="O58" i="54"/>
  <c r="AY122" i="56"/>
  <c r="Q70" i="54"/>
  <c r="M90" i="56"/>
  <c r="AZ59" i="56"/>
  <c r="AX154" i="56"/>
  <c r="O98" i="55"/>
  <c r="M53" i="55"/>
  <c r="AZ42" i="56"/>
  <c r="AZ63" i="56"/>
  <c r="M66" i="56"/>
  <c r="K52" i="56"/>
  <c r="AF154" i="56"/>
  <c r="AF163" i="56"/>
  <c r="AW90" i="56"/>
  <c r="Q11" i="54"/>
  <c r="N159" i="56"/>
  <c r="R92" i="54"/>
  <c r="M75" i="56"/>
  <c r="AZ111" i="56"/>
  <c r="AZ157" i="56"/>
  <c r="L150" i="56"/>
  <c r="O7" i="55"/>
  <c r="M117" i="56"/>
  <c r="O78" i="54"/>
  <c r="AF102" i="56"/>
  <c r="O59" i="54"/>
  <c r="N111" i="56"/>
  <c r="N51" i="55"/>
  <c r="AW37" i="56"/>
  <c r="R82" i="54"/>
  <c r="M89" i="56"/>
  <c r="M39" i="55"/>
  <c r="M50" i="55"/>
  <c r="M19" i="56"/>
  <c r="AX8" i="56"/>
  <c r="AF76" i="56"/>
  <c r="O72" i="54"/>
  <c r="O45" i="54"/>
  <c r="AE52" i="56"/>
  <c r="N10" i="56"/>
  <c r="K137" i="56"/>
  <c r="N81" i="56"/>
  <c r="N62" i="55"/>
  <c r="N99" i="55"/>
  <c r="AF113" i="56"/>
  <c r="AE132" i="56"/>
  <c r="P91" i="54"/>
  <c r="Q51" i="54"/>
  <c r="R110" i="54"/>
  <c r="O77" i="55"/>
  <c r="AZ72" i="56"/>
  <c r="Q20" i="54"/>
  <c r="N161" i="56"/>
  <c r="Q46" i="54"/>
  <c r="AE130" i="56"/>
  <c r="Q36" i="54"/>
  <c r="AE107" i="56"/>
  <c r="O10" i="54"/>
  <c r="P56" i="54"/>
  <c r="AF148" i="56"/>
  <c r="L107" i="56"/>
  <c r="K81" i="56"/>
  <c r="M156" i="56"/>
  <c r="AZ58" i="56"/>
  <c r="O30" i="54"/>
  <c r="AG43" i="56"/>
  <c r="M64" i="55"/>
  <c r="O12" i="54"/>
  <c r="N7" i="55"/>
  <c r="O118" i="54"/>
  <c r="Q50" i="54"/>
  <c r="R60" i="54"/>
  <c r="AY11" i="56"/>
  <c r="M12" i="56"/>
  <c r="AG61" i="56"/>
  <c r="AX149" i="56"/>
  <c r="N28" i="56"/>
  <c r="AG20" i="56"/>
  <c r="Q73" i="54"/>
  <c r="P55" i="55"/>
  <c r="K142" i="56"/>
  <c r="AZ155" i="56"/>
  <c r="AY164" i="56"/>
  <c r="AE43" i="56"/>
  <c r="P37" i="54"/>
  <c r="M24" i="55"/>
  <c r="M150" i="56"/>
  <c r="AE109" i="56"/>
  <c r="M64" i="56"/>
  <c r="K21" i="56"/>
  <c r="AF75" i="56"/>
  <c r="N71" i="55"/>
  <c r="AE23" i="56"/>
  <c r="P97" i="54"/>
  <c r="AD35" i="56"/>
  <c r="AW64" i="56"/>
  <c r="M20" i="55"/>
  <c r="N58" i="56"/>
  <c r="R36" i="54"/>
  <c r="AF100" i="56"/>
  <c r="AW145" i="56"/>
  <c r="AW73" i="56"/>
  <c r="M22" i="55"/>
  <c r="L153" i="56"/>
  <c r="P79" i="54"/>
  <c r="L90" i="56"/>
  <c r="N136" i="56"/>
  <c r="AZ53" i="56"/>
  <c r="M28" i="56"/>
  <c r="N99" i="56"/>
  <c r="AG80" i="56"/>
  <c r="O34" i="54"/>
  <c r="O36" i="55"/>
  <c r="AY115" i="56"/>
  <c r="K15" i="56"/>
  <c r="L26" i="56"/>
  <c r="N78" i="55"/>
  <c r="L144" i="56"/>
  <c r="P76" i="54"/>
  <c r="AW100" i="56"/>
  <c r="K73" i="56"/>
  <c r="M79" i="56"/>
  <c r="AZ27" i="56"/>
  <c r="AD103" i="56"/>
  <c r="AE102" i="56"/>
  <c r="M83" i="56"/>
  <c r="AF77" i="56"/>
  <c r="M55" i="55"/>
  <c r="L66" i="56"/>
  <c r="AX63" i="56"/>
  <c r="P107" i="55"/>
  <c r="AE119" i="56"/>
  <c r="AD157" i="56"/>
  <c r="AY9" i="56"/>
  <c r="Q48" i="54"/>
  <c r="P37" i="55"/>
  <c r="N89" i="55"/>
  <c r="AE10" i="56"/>
  <c r="AF5" i="56"/>
  <c r="N41" i="55"/>
  <c r="N83" i="55"/>
  <c r="N156" i="56"/>
  <c r="AZ38" i="56"/>
  <c r="AW101" i="56"/>
  <c r="AF37" i="56"/>
  <c r="AD71" i="56"/>
  <c r="AX113" i="56"/>
  <c r="AW30" i="56"/>
  <c r="R42" i="54"/>
  <c r="R50" i="54"/>
  <c r="AE154" i="56"/>
  <c r="O73" i="55"/>
  <c r="AW46" i="56"/>
  <c r="K117" i="56"/>
  <c r="AD93" i="56"/>
  <c r="AY92" i="56"/>
  <c r="L158" i="56"/>
  <c r="AZ164" i="56"/>
  <c r="P23" i="54"/>
  <c r="AD112" i="56"/>
  <c r="AW65" i="56"/>
  <c r="P26" i="55"/>
  <c r="M60" i="56"/>
  <c r="O40" i="54"/>
  <c r="M34" i="55"/>
  <c r="N94" i="56"/>
  <c r="Q84" i="54"/>
  <c r="M93" i="56"/>
  <c r="AF15" i="56"/>
  <c r="AF141" i="56"/>
  <c r="AZ100" i="56"/>
  <c r="AY126" i="56"/>
  <c r="K107" i="56"/>
  <c r="N146" i="56"/>
  <c r="AZ44" i="56"/>
  <c r="O42" i="55"/>
  <c r="K83" i="56"/>
  <c r="AG139" i="56"/>
  <c r="O33" i="55"/>
  <c r="AG111" i="56"/>
  <c r="P50" i="55"/>
  <c r="R67" i="54"/>
  <c r="AF144" i="56"/>
  <c r="K13" i="56"/>
  <c r="M112" i="56"/>
  <c r="P67" i="54"/>
  <c r="P35" i="55"/>
  <c r="AE114" i="56"/>
  <c r="AG124" i="56"/>
  <c r="AY46" i="56"/>
  <c r="AX24" i="56"/>
  <c r="O84" i="55"/>
  <c r="P130" i="54"/>
  <c r="AY7" i="56"/>
  <c r="N97" i="56"/>
  <c r="AF46" i="56"/>
  <c r="K110" i="56"/>
  <c r="O44" i="54"/>
  <c r="P134" i="54"/>
  <c r="O73" i="54"/>
  <c r="O160" i="54"/>
  <c r="Q77" i="54"/>
  <c r="O102" i="55"/>
  <c r="L29" i="56"/>
  <c r="AY20" i="56"/>
  <c r="AX133" i="56"/>
  <c r="N110" i="56"/>
  <c r="R26" i="54"/>
  <c r="AX126" i="56"/>
  <c r="AE106" i="56"/>
  <c r="N73" i="56"/>
  <c r="AF135" i="56"/>
  <c r="AX109" i="56"/>
  <c r="AY75" i="56"/>
  <c r="N12" i="55"/>
  <c r="M160" i="56"/>
  <c r="O104" i="55"/>
  <c r="AG106" i="56"/>
  <c r="Q82" i="54"/>
  <c r="N66" i="55"/>
  <c r="R16" i="54"/>
  <c r="P84" i="54"/>
  <c r="K55" i="56"/>
  <c r="L24" i="56"/>
  <c r="O95" i="54"/>
  <c r="AY45" i="56"/>
  <c r="Q22" i="54"/>
  <c r="AD108" i="56"/>
  <c r="AW33" i="56"/>
  <c r="M62" i="55"/>
  <c r="N10" i="55"/>
  <c r="M163" i="56"/>
  <c r="N69" i="55"/>
  <c r="AG156" i="56"/>
  <c r="M97" i="56"/>
  <c r="AX100" i="56"/>
  <c r="N153" i="56"/>
  <c r="AY30" i="56"/>
  <c r="P89" i="55"/>
  <c r="K82" i="56"/>
  <c r="AD122" i="56"/>
  <c r="AG127" i="56"/>
  <c r="AE98" i="56"/>
  <c r="AG71" i="56"/>
  <c r="O87" i="54"/>
  <c r="K78" i="56"/>
  <c r="AW109" i="56"/>
  <c r="AX26" i="56"/>
  <c r="AD55" i="56"/>
  <c r="AF156" i="56"/>
  <c r="O22" i="54"/>
  <c r="N115" i="56"/>
  <c r="AX7" i="56"/>
  <c r="AF153" i="56"/>
  <c r="Q34" i="54"/>
  <c r="O14" i="55"/>
  <c r="AD52" i="56"/>
  <c r="P41" i="55"/>
  <c r="AE97" i="56"/>
  <c r="AZ159" i="56"/>
  <c r="O93" i="54"/>
  <c r="N139" i="56"/>
  <c r="O80" i="55"/>
  <c r="P98" i="55"/>
  <c r="AW125" i="56"/>
  <c r="L122" i="56"/>
  <c r="M21" i="56"/>
  <c r="K23" i="56"/>
  <c r="N95" i="56"/>
  <c r="AE65" i="56"/>
  <c r="O83" i="55"/>
  <c r="AD46" i="56"/>
  <c r="AZ56" i="56"/>
  <c r="N91" i="55"/>
  <c r="N5" i="55"/>
  <c r="N162" i="56"/>
  <c r="N51" i="56"/>
  <c r="O90" i="54"/>
  <c r="AY23" i="56"/>
  <c r="M77" i="55"/>
  <c r="AW21" i="56"/>
  <c r="AZ82" i="56"/>
  <c r="N44" i="56"/>
  <c r="L12" i="56"/>
  <c r="AF137" i="56"/>
  <c r="M118" i="56"/>
  <c r="AE7" i="56"/>
  <c r="O114" i="54"/>
  <c r="AE22" i="56"/>
  <c r="AE39" i="56"/>
  <c r="AE51" i="56"/>
  <c r="AG77" i="56"/>
  <c r="AF56" i="56"/>
  <c r="Q18" i="54"/>
  <c r="N16" i="56"/>
  <c r="O41" i="55"/>
  <c r="O39" i="54"/>
  <c r="P159" i="54"/>
  <c r="P99" i="54"/>
  <c r="L81" i="56"/>
  <c r="L110" i="56"/>
  <c r="Q75" i="54"/>
  <c r="AF106" i="56"/>
  <c r="M126" i="56"/>
  <c r="M49" i="56"/>
  <c r="AE91" i="56"/>
  <c r="O99" i="55"/>
  <c r="AF114" i="56"/>
  <c r="AY102" i="56"/>
  <c r="O139" i="54"/>
  <c r="M6" i="56"/>
  <c r="P73" i="55"/>
  <c r="AG76" i="56"/>
  <c r="AY129" i="56"/>
  <c r="AY86" i="56"/>
  <c r="R65" i="54"/>
  <c r="M37" i="56"/>
  <c r="AF146" i="56"/>
  <c r="P83" i="55"/>
  <c r="R89" i="54"/>
  <c r="AG142" i="56"/>
  <c r="P90" i="54"/>
  <c r="AG94" i="56"/>
  <c r="M92" i="56"/>
  <c r="O85" i="55"/>
  <c r="AZ16" i="56"/>
  <c r="M98" i="56"/>
  <c r="AD155" i="56"/>
  <c r="AD79" i="56"/>
  <c r="AF53" i="56"/>
  <c r="M109" i="55"/>
  <c r="O84" i="54"/>
  <c r="P8" i="55"/>
  <c r="AW113" i="56"/>
  <c r="M5" i="55"/>
  <c r="AE73" i="56"/>
  <c r="AD100" i="56"/>
  <c r="M99" i="56"/>
  <c r="P32" i="55"/>
  <c r="K146" i="56"/>
  <c r="L14" i="56"/>
  <c r="AZ149" i="56"/>
  <c r="K9" i="56"/>
  <c r="AG161" i="56"/>
  <c r="AX32" i="56"/>
  <c r="L99" i="56"/>
  <c r="L53" i="56"/>
  <c r="AG154" i="56"/>
  <c r="AX142" i="56"/>
  <c r="AF68" i="56"/>
  <c r="AW89" i="56"/>
  <c r="AD60" i="56"/>
  <c r="O9" i="55"/>
  <c r="AY140" i="56"/>
  <c r="K96" i="56"/>
  <c r="AF93" i="56"/>
  <c r="AE34" i="56"/>
  <c r="L159" i="56"/>
  <c r="Q5" i="54"/>
  <c r="M101" i="55"/>
  <c r="AW80" i="56"/>
  <c r="O63" i="55"/>
  <c r="N66" i="56"/>
  <c r="AG100" i="56"/>
  <c r="AE63" i="56"/>
  <c r="AD128" i="56"/>
  <c r="AF91" i="56"/>
  <c r="K164" i="56"/>
  <c r="AF119" i="56"/>
  <c r="P54" i="54"/>
  <c r="O68" i="55"/>
  <c r="AF40" i="56"/>
  <c r="P52" i="54"/>
  <c r="AZ99" i="56"/>
  <c r="AW28" i="56"/>
  <c r="AW76" i="56"/>
  <c r="O80" i="54"/>
  <c r="P22" i="55"/>
  <c r="N92" i="55"/>
  <c r="R28" i="54"/>
  <c r="AY51" i="56"/>
  <c r="O30" i="55"/>
  <c r="AD104" i="56"/>
  <c r="P96" i="54"/>
  <c r="P108" i="55"/>
  <c r="M22" i="56"/>
  <c r="AF157" i="56"/>
  <c r="N45" i="55"/>
  <c r="Q63" i="54"/>
  <c r="AG18" i="56"/>
  <c r="Q15" i="54"/>
  <c r="AE60" i="56"/>
  <c r="AD62" i="56"/>
  <c r="AF134" i="56"/>
  <c r="AZ39" i="56"/>
  <c r="AD109" i="56"/>
  <c r="AG33" i="56"/>
  <c r="M104" i="55"/>
  <c r="AX80" i="56"/>
  <c r="AG140" i="56"/>
  <c r="AF58" i="56"/>
  <c r="AG17" i="56"/>
  <c r="AF66" i="56"/>
  <c r="M32" i="55"/>
  <c r="AY71" i="56"/>
  <c r="P84" i="55"/>
  <c r="AX23" i="56"/>
  <c r="N88" i="56"/>
  <c r="AX48" i="56"/>
  <c r="AY31" i="56"/>
  <c r="AF26" i="56"/>
  <c r="K33" i="56"/>
  <c r="AZ140" i="56"/>
  <c r="AD125" i="56"/>
  <c r="N14" i="56"/>
  <c r="P90" i="55"/>
  <c r="AE12" i="56"/>
  <c r="O142" i="54"/>
  <c r="R79" i="54"/>
  <c r="Q32" i="54"/>
  <c r="O103" i="54"/>
  <c r="R72" i="54"/>
  <c r="AE118" i="56"/>
  <c r="L38" i="56"/>
  <c r="AZ68" i="56"/>
  <c r="N20" i="56"/>
  <c r="M10" i="56"/>
  <c r="AZ47" i="56"/>
  <c r="P30" i="54"/>
  <c r="M132" i="56"/>
  <c r="R24" i="54"/>
  <c r="O50" i="54"/>
  <c r="P25" i="55"/>
  <c r="P103" i="54"/>
  <c r="N84" i="56"/>
  <c r="AD22" i="56"/>
  <c r="P156" i="54"/>
  <c r="AX12" i="56"/>
  <c r="P111" i="55"/>
  <c r="AY91" i="56"/>
  <c r="AG131" i="56"/>
  <c r="N53" i="56"/>
  <c r="L132" i="56"/>
  <c r="O76" i="55"/>
  <c r="AZ65" i="56"/>
  <c r="M32" i="56"/>
  <c r="AX138" i="56"/>
  <c r="R23" i="54"/>
  <c r="O151" i="54"/>
  <c r="AZ114" i="56"/>
  <c r="R108" i="54"/>
  <c r="P20" i="55"/>
  <c r="AW138" i="56"/>
  <c r="O147" i="54"/>
  <c r="AZ55" i="56"/>
  <c r="AD43" i="56"/>
  <c r="AG5" i="56"/>
  <c r="O107" i="55"/>
  <c r="R52" i="54"/>
  <c r="AE148" i="56"/>
  <c r="AY19" i="56"/>
  <c r="AX13" i="56"/>
  <c r="P24" i="54"/>
  <c r="O107" i="54"/>
  <c r="AY32" i="56"/>
  <c r="L135" i="56"/>
  <c r="N98" i="56"/>
  <c r="N113" i="55"/>
  <c r="AW78" i="56"/>
  <c r="AF42" i="56"/>
  <c r="AZ91" i="56"/>
  <c r="AF89" i="56"/>
  <c r="P21" i="55"/>
  <c r="K127" i="56"/>
  <c r="AW26" i="56"/>
  <c r="AG137" i="56"/>
  <c r="AE58" i="56"/>
  <c r="AD70" i="56"/>
  <c r="M25" i="55"/>
  <c r="AX130" i="56"/>
  <c r="P68" i="54"/>
  <c r="K28" i="56"/>
  <c r="K133" i="56"/>
  <c r="R13" i="54"/>
  <c r="AE16" i="56"/>
  <c r="O122" i="54"/>
  <c r="AE68" i="56"/>
  <c r="P19" i="55"/>
  <c r="N18" i="55"/>
  <c r="M51" i="56"/>
  <c r="AZ85" i="56"/>
  <c r="AG48" i="56"/>
  <c r="AY38" i="56"/>
  <c r="AE35" i="56"/>
  <c r="Q35" i="54"/>
  <c r="P70" i="54"/>
  <c r="AW63" i="56"/>
  <c r="O17" i="55"/>
  <c r="AY55" i="56"/>
  <c r="O95" i="55"/>
  <c r="M65" i="55"/>
  <c r="AX87" i="56"/>
  <c r="AW97" i="56"/>
  <c r="AY15" i="56"/>
  <c r="N52" i="56"/>
  <c r="O108" i="55"/>
  <c r="N63" i="55"/>
  <c r="L96" i="56"/>
  <c r="AZ6" i="56"/>
  <c r="K145" i="56"/>
  <c r="K63" i="56"/>
  <c r="N31" i="56"/>
  <c r="AZ34" i="56"/>
  <c r="Q14" i="54"/>
  <c r="AY159" i="56"/>
  <c r="AZ126" i="56"/>
  <c r="AZ129" i="56"/>
  <c r="P111" i="54"/>
  <c r="M30" i="55"/>
  <c r="Q81" i="54"/>
  <c r="N117" i="56"/>
  <c r="AY143" i="56"/>
  <c r="M106" i="56"/>
  <c r="AE88" i="56"/>
  <c r="K159" i="56"/>
  <c r="AD40" i="56"/>
  <c r="AX56" i="56"/>
  <c r="AF31" i="56"/>
  <c r="O29" i="55"/>
  <c r="AX10" i="56"/>
  <c r="AE131" i="56"/>
  <c r="AX83" i="56"/>
  <c r="M58" i="55"/>
  <c r="N56" i="55"/>
  <c r="M94" i="56"/>
  <c r="M94" i="55"/>
  <c r="AE103" i="56"/>
  <c r="AD111" i="56"/>
  <c r="O121" i="54"/>
  <c r="AE152" i="56"/>
  <c r="AF132" i="56"/>
  <c r="N60" i="55"/>
  <c r="AY94" i="56"/>
  <c r="O15" i="54"/>
  <c r="AE144" i="56"/>
  <c r="Q94" i="54"/>
  <c r="AW47" i="56"/>
  <c r="Q41" i="54"/>
  <c r="P154" i="54"/>
  <c r="Q95" i="54"/>
  <c r="P66" i="54"/>
  <c r="AW134" i="56"/>
  <c r="P132" i="54"/>
  <c r="P127" i="54"/>
  <c r="AZ133" i="56"/>
  <c r="AF61" i="56"/>
  <c r="M86" i="56"/>
  <c r="K118" i="56"/>
  <c r="O67" i="55"/>
  <c r="M41" i="56"/>
  <c r="AW119" i="56"/>
  <c r="AF64" i="56"/>
  <c r="P18" i="54"/>
  <c r="N43" i="56"/>
  <c r="M103" i="56"/>
  <c r="O61" i="54"/>
  <c r="AF67" i="56"/>
  <c r="AZ32" i="56"/>
  <c r="M107" i="56"/>
  <c r="O5" i="55"/>
  <c r="M95" i="56"/>
  <c r="AW137" i="56"/>
  <c r="AF25" i="56"/>
  <c r="O56" i="55"/>
  <c r="P118" i="54"/>
  <c r="R30" i="54"/>
  <c r="AZ17" i="56"/>
  <c r="N21" i="55"/>
  <c r="N49" i="56"/>
  <c r="K156" i="56"/>
  <c r="L83" i="56"/>
  <c r="AG24" i="56"/>
  <c r="N23" i="55"/>
  <c r="AY25" i="56"/>
  <c r="AG123" i="56"/>
  <c r="AW142" i="56"/>
  <c r="AX34" i="56"/>
  <c r="M61" i="55"/>
  <c r="L97" i="56"/>
  <c r="O123" i="54"/>
  <c r="N100" i="56"/>
  <c r="K59" i="56"/>
  <c r="O74" i="55"/>
  <c r="AW31" i="56"/>
  <c r="AD120" i="56"/>
  <c r="AE100" i="56"/>
  <c r="AE99" i="56"/>
  <c r="AZ121" i="56"/>
  <c r="M79" i="55"/>
  <c r="R61" i="54"/>
  <c r="AX96" i="56"/>
  <c r="AZ107" i="56"/>
  <c r="P46" i="54"/>
  <c r="AE9" i="56"/>
  <c r="N112" i="56"/>
  <c r="L28" i="56"/>
  <c r="O109" i="55"/>
  <c r="M139" i="56"/>
  <c r="AD119" i="56"/>
  <c r="AD73" i="56"/>
  <c r="N29" i="56"/>
  <c r="K41" i="56"/>
  <c r="AY97" i="56"/>
  <c r="K69" i="56"/>
  <c r="M138" i="56"/>
  <c r="O52" i="54"/>
  <c r="AE8" i="56"/>
  <c r="K136" i="56"/>
  <c r="AX55" i="56"/>
  <c r="AD44" i="56"/>
  <c r="AZ31" i="56"/>
  <c r="AX16" i="56"/>
  <c r="AZ119" i="56"/>
  <c r="AF22" i="56"/>
  <c r="Q37" i="54"/>
  <c r="N104" i="55"/>
  <c r="Q59" i="54"/>
  <c r="N67" i="56"/>
  <c r="AF83" i="56"/>
  <c r="Q31" i="54"/>
  <c r="R56" i="54"/>
  <c r="AG12" i="56"/>
  <c r="AE137" i="56"/>
  <c r="AY28" i="56"/>
  <c r="O36" i="54"/>
  <c r="AZ146" i="56"/>
  <c r="M65" i="56"/>
  <c r="AE80" i="56"/>
  <c r="M57" i="56"/>
  <c r="AZ150" i="56"/>
  <c r="N155" i="56"/>
  <c r="AZ40" i="56"/>
  <c r="L152" i="56"/>
  <c r="P50" i="54"/>
  <c r="P82" i="55"/>
  <c r="AE55" i="56"/>
  <c r="AW149" i="56"/>
  <c r="L117" i="56"/>
  <c r="N108" i="55"/>
  <c r="AW8" i="56"/>
  <c r="Q72" i="54"/>
  <c r="AE70" i="56"/>
  <c r="AZ41" i="56"/>
  <c r="O26" i="55"/>
  <c r="K61" i="56"/>
  <c r="N38" i="55"/>
  <c r="AY26" i="56"/>
  <c r="L162" i="56"/>
  <c r="AF18" i="56"/>
  <c r="L100" i="56"/>
  <c r="O65" i="55"/>
  <c r="O96" i="55"/>
  <c r="AY34" i="56"/>
  <c r="AD78" i="56"/>
  <c r="AE142" i="56"/>
  <c r="M51" i="55"/>
  <c r="P60" i="54"/>
  <c r="K144" i="56"/>
  <c r="AX27" i="56"/>
  <c r="N86" i="55"/>
  <c r="O82" i="55"/>
  <c r="N91" i="56"/>
  <c r="AD97" i="56"/>
  <c r="K128" i="56"/>
  <c r="AX76" i="56"/>
  <c r="O133" i="54"/>
  <c r="O150" i="54"/>
  <c r="M105" i="55"/>
  <c r="AD27" i="56"/>
  <c r="N36" i="56"/>
  <c r="N88" i="55"/>
  <c r="M33" i="56"/>
  <c r="O27" i="55"/>
  <c r="N35" i="55"/>
  <c r="L15" i="56"/>
  <c r="AE53" i="56"/>
  <c r="R34" i="54"/>
  <c r="AZ104" i="56"/>
  <c r="AX78" i="56"/>
  <c r="AD65" i="56"/>
  <c r="M48" i="56"/>
  <c r="Q66" i="54"/>
  <c r="Q103" i="54"/>
  <c r="AE96" i="56"/>
  <c r="K125" i="56"/>
  <c r="AZ33" i="56"/>
  <c r="AG89" i="56"/>
  <c r="AW54" i="56"/>
  <c r="O100" i="54"/>
  <c r="AD6" i="56"/>
  <c r="R98" i="54"/>
  <c r="AE31" i="56"/>
  <c r="K115" i="56"/>
  <c r="P155" i="54"/>
  <c r="AW16" i="56"/>
  <c r="O141" i="54"/>
  <c r="N142" i="56"/>
  <c r="AZ95" i="56"/>
  <c r="AX35" i="56"/>
  <c r="O88" i="55"/>
  <c r="AG50" i="56"/>
  <c r="AX98" i="56"/>
  <c r="AG83" i="56"/>
  <c r="O100" i="55"/>
  <c r="AD139" i="56"/>
  <c r="AD110" i="56"/>
  <c r="AF107" i="56"/>
  <c r="K162" i="56"/>
  <c r="AG37" i="56"/>
  <c r="AW42" i="56"/>
  <c r="N140" i="56"/>
  <c r="N55" i="56"/>
  <c r="AW150" i="56"/>
  <c r="AD116" i="56"/>
  <c r="AD45" i="56"/>
  <c r="M104" i="56"/>
  <c r="N33" i="55"/>
  <c r="N73" i="55"/>
  <c r="K91" i="56"/>
  <c r="L111" i="56"/>
  <c r="AF65" i="56"/>
  <c r="AG53" i="56"/>
  <c r="M151" i="56"/>
  <c r="AE87" i="56"/>
  <c r="AG126" i="56"/>
  <c r="AW117" i="56"/>
  <c r="AF98" i="56"/>
  <c r="O66" i="54"/>
  <c r="AY151" i="56"/>
  <c r="AF155" i="56"/>
  <c r="AF51" i="56"/>
  <c r="P85" i="54"/>
  <c r="K79" i="56"/>
  <c r="K135" i="56"/>
  <c r="AX101" i="56"/>
  <c r="AY12" i="56"/>
  <c r="AZ46" i="56"/>
  <c r="Q44" i="54"/>
  <c r="Q58" i="54"/>
  <c r="AG84" i="56"/>
  <c r="R20" i="54"/>
  <c r="M68" i="56"/>
  <c r="N68" i="56"/>
  <c r="P106" i="54"/>
  <c r="AX136" i="56"/>
  <c r="M128" i="56"/>
  <c r="M24" i="56"/>
  <c r="AW106" i="56"/>
  <c r="N6" i="56"/>
  <c r="R5" i="54"/>
  <c r="AG27" i="56"/>
  <c r="L63" i="56"/>
  <c r="L51" i="56"/>
  <c r="M23" i="55"/>
  <c r="N20" i="55"/>
  <c r="AX40" i="56"/>
  <c r="M27" i="55"/>
  <c r="AY125" i="56"/>
  <c r="N69" i="56"/>
  <c r="M70" i="56"/>
  <c r="O24" i="55"/>
  <c r="N31" i="55"/>
  <c r="AY22" i="56"/>
  <c r="AD51" i="56"/>
  <c r="AW110" i="56"/>
  <c r="K74" i="56"/>
  <c r="AD161" i="56"/>
  <c r="AX105" i="56"/>
  <c r="AY112" i="56"/>
  <c r="O93" i="55"/>
  <c r="O13" i="55"/>
  <c r="N30" i="55"/>
  <c r="L88" i="56"/>
  <c r="N34" i="56"/>
  <c r="AZ78" i="56"/>
  <c r="O81" i="54"/>
  <c r="P88" i="55"/>
  <c r="O63" i="54"/>
  <c r="P15" i="55"/>
  <c r="AW105" i="56"/>
  <c r="AX110" i="56"/>
  <c r="AZ94" i="56"/>
  <c r="O111" i="55"/>
  <c r="AZ23" i="56"/>
  <c r="AF122" i="56"/>
  <c r="L78" i="56"/>
  <c r="P74" i="54"/>
  <c r="M67" i="56"/>
  <c r="AG122" i="56"/>
  <c r="AF126" i="56"/>
  <c r="AX6" i="56"/>
  <c r="O35" i="55"/>
  <c r="N118" i="56"/>
  <c r="M72" i="56"/>
  <c r="P147" i="54"/>
  <c r="O129" i="54"/>
  <c r="Q67" i="54"/>
  <c r="AZ25" i="56"/>
  <c r="N26" i="55"/>
  <c r="AZ8" i="56"/>
  <c r="AY84" i="56"/>
  <c r="L115" i="56"/>
  <c r="O38" i="54"/>
  <c r="N16" i="55"/>
  <c r="O148" i="54"/>
  <c r="P5" i="54"/>
  <c r="AF48" i="56"/>
  <c r="AG138" i="56"/>
  <c r="AG160" i="56"/>
  <c r="L10" i="56"/>
  <c r="AZ117" i="56"/>
  <c r="L120" i="56"/>
  <c r="AE140" i="56"/>
  <c r="P123" i="54"/>
  <c r="P65" i="54"/>
  <c r="O61" i="55"/>
  <c r="Q83" i="54"/>
  <c r="N85" i="55"/>
  <c r="Q78" i="54"/>
  <c r="AW74" i="56"/>
  <c r="Q57" i="54"/>
  <c r="AZ19" i="56"/>
  <c r="O7" i="54"/>
  <c r="L85" i="56"/>
  <c r="N103" i="55"/>
  <c r="N49" i="55"/>
  <c r="N67" i="55"/>
  <c r="AY110" i="56"/>
  <c r="AG64" i="56"/>
  <c r="R15" i="54"/>
  <c r="K17" i="56"/>
  <c r="P105" i="55"/>
  <c r="P77" i="54"/>
  <c r="AD115" i="56"/>
  <c r="R25" i="54"/>
  <c r="M14" i="55"/>
  <c r="AD76" i="56"/>
  <c r="R40" i="54"/>
  <c r="AG35" i="56"/>
  <c r="K86" i="56"/>
  <c r="R64" i="54"/>
  <c r="AD49" i="56"/>
  <c r="AX146" i="56"/>
  <c r="N32" i="55"/>
  <c r="M55" i="56"/>
  <c r="N11" i="56"/>
  <c r="N68" i="55"/>
  <c r="AZ45" i="56"/>
  <c r="Q102" i="54"/>
  <c r="M8" i="55"/>
  <c r="P45" i="55"/>
  <c r="P73" i="54"/>
  <c r="M88" i="56"/>
  <c r="AG22" i="56"/>
  <c r="O57" i="54"/>
  <c r="AZ93" i="56"/>
  <c r="P57" i="55"/>
  <c r="P25" i="54"/>
  <c r="AZ70" i="56"/>
  <c r="AY69" i="56"/>
  <c r="M78" i="55"/>
  <c r="AY98" i="56"/>
  <c r="P43" i="55"/>
  <c r="K160" i="56"/>
  <c r="AD150" i="56"/>
  <c r="M54" i="55"/>
  <c r="R73" i="54"/>
  <c r="AG62" i="56"/>
  <c r="AG58" i="56"/>
  <c r="L141" i="56"/>
  <c r="AX162" i="56"/>
  <c r="AX156" i="56"/>
  <c r="M152" i="56"/>
  <c r="R35" i="54"/>
  <c r="N60" i="56"/>
  <c r="Q110" i="54"/>
  <c r="N104" i="56"/>
  <c r="K54" i="56"/>
  <c r="O108" i="54"/>
  <c r="AX66" i="56"/>
  <c r="P140" i="54"/>
  <c r="O53" i="55"/>
  <c r="Q42" i="54"/>
  <c r="AX134" i="56"/>
  <c r="Q100" i="54"/>
  <c r="N76" i="55"/>
  <c r="O94" i="54"/>
  <c r="AY62" i="56"/>
  <c r="L7" i="56"/>
  <c r="AG14" i="56"/>
  <c r="Q121" i="54"/>
  <c r="P94" i="54"/>
  <c r="AG135" i="56"/>
  <c r="R57" i="54"/>
  <c r="P100" i="54"/>
  <c r="AD48" i="56"/>
  <c r="N127" i="56"/>
  <c r="M140" i="56"/>
  <c r="Q132" i="54"/>
  <c r="AZ13" i="56"/>
  <c r="P141" i="54"/>
  <c r="N84" i="55"/>
  <c r="AZ73" i="56"/>
  <c r="AF72" i="56"/>
  <c r="AZ43" i="56"/>
  <c r="R142" i="54"/>
  <c r="AY152" i="56"/>
  <c r="M5" i="56"/>
  <c r="O99" i="54"/>
  <c r="AY35" i="56"/>
  <c r="AY90" i="56"/>
  <c r="Q19" i="54"/>
  <c r="O56" i="54"/>
  <c r="P125" i="54"/>
  <c r="R133" i="54"/>
  <c r="N74" i="56"/>
  <c r="AD81" i="56"/>
  <c r="N8" i="56"/>
  <c r="N8" i="55"/>
  <c r="L75" i="56"/>
  <c r="P21" i="54"/>
  <c r="AF111" i="56"/>
  <c r="R121" i="54"/>
  <c r="K27" i="56"/>
  <c r="L86" i="56"/>
  <c r="AZ153" i="56"/>
  <c r="AE78" i="56"/>
  <c r="AF10" i="56"/>
  <c r="P46" i="55"/>
  <c r="AG148" i="56"/>
  <c r="AX51" i="56"/>
  <c r="AG147" i="56"/>
  <c r="Q68" i="54"/>
  <c r="R70" i="54"/>
  <c r="M10" i="55"/>
  <c r="AZ76" i="56"/>
  <c r="AG49" i="56"/>
  <c r="Q92" i="54"/>
  <c r="M42" i="56"/>
  <c r="Q122" i="54"/>
  <c r="AY162" i="56"/>
  <c r="R128" i="54"/>
  <c r="K106" i="56"/>
  <c r="AY133" i="56"/>
  <c r="P163" i="54"/>
  <c r="P75" i="54"/>
  <c r="M137" i="56"/>
  <c r="O96" i="54"/>
  <c r="M56" i="56"/>
  <c r="L52" i="56"/>
  <c r="AG29" i="56"/>
  <c r="N65" i="56"/>
  <c r="L50" i="56"/>
  <c r="Q12" i="54"/>
  <c r="AG41" i="56"/>
  <c r="AE64" i="56"/>
  <c r="AX140" i="56"/>
  <c r="O83" i="54"/>
  <c r="P136" i="54"/>
  <c r="R75" i="54"/>
  <c r="AW99" i="56"/>
  <c r="R32" i="54"/>
  <c r="N58" i="55"/>
  <c r="M100" i="56"/>
  <c r="AE95" i="56"/>
  <c r="P108" i="54"/>
  <c r="AD41" i="56"/>
  <c r="M147" i="56"/>
  <c r="AZ161" i="56"/>
  <c r="AG67" i="56"/>
  <c r="Q65" i="54"/>
  <c r="AD24" i="56"/>
  <c r="P89" i="54"/>
  <c r="AD98" i="56"/>
  <c r="Q27" i="54"/>
  <c r="O69" i="54"/>
  <c r="P16" i="55"/>
  <c r="AG52" i="56"/>
  <c r="AF124" i="56"/>
  <c r="R53" i="54"/>
  <c r="P92" i="55"/>
  <c r="P122" i="54"/>
  <c r="O52" i="55"/>
  <c r="AG114" i="56"/>
  <c r="AF33" i="56"/>
  <c r="AW129" i="56"/>
  <c r="N82" i="55"/>
  <c r="M81" i="55"/>
  <c r="P33" i="54"/>
  <c r="P47" i="54"/>
  <c r="AD107" i="56"/>
  <c r="AY79" i="56"/>
  <c r="Q52" i="54"/>
  <c r="Q101" i="54"/>
  <c r="M59" i="56"/>
  <c r="Q99" i="54"/>
  <c r="M63" i="56"/>
  <c r="P26" i="54"/>
  <c r="Q107" i="54"/>
  <c r="Q23" i="54"/>
  <c r="O101" i="55"/>
  <c r="O68" i="54"/>
  <c r="P104" i="54"/>
  <c r="P78" i="54"/>
  <c r="AY109" i="56"/>
  <c r="AY154" i="56"/>
  <c r="N83" i="56"/>
  <c r="R134" i="54"/>
  <c r="AF34" i="56"/>
  <c r="AF158" i="56"/>
  <c r="Q96" i="54"/>
  <c r="R11" i="54"/>
  <c r="Q113" i="54"/>
  <c r="R96" i="54"/>
  <c r="P15" i="54"/>
  <c r="Q128" i="54"/>
  <c r="O115" i="54"/>
  <c r="N15" i="55"/>
  <c r="L17" i="56"/>
  <c r="AZ74" i="56"/>
  <c r="P146" i="54"/>
  <c r="Q33" i="54"/>
  <c r="Q115" i="54"/>
  <c r="AG105" i="56"/>
  <c r="Q125" i="54"/>
  <c r="AG65" i="56"/>
  <c r="AD53" i="56"/>
  <c r="M35" i="56"/>
  <c r="AE161" i="56"/>
  <c r="P60" i="55"/>
  <c r="O18" i="54"/>
  <c r="R116" i="54"/>
  <c r="O138" i="54"/>
  <c r="M59" i="55"/>
  <c r="AG133" i="56"/>
  <c r="AG6" i="56"/>
  <c r="AX90" i="56"/>
  <c r="P153" i="54"/>
  <c r="P39" i="55"/>
  <c r="R137" i="54"/>
  <c r="R12" i="54"/>
  <c r="M47" i="56"/>
  <c r="Q9" i="54"/>
  <c r="P53" i="54"/>
  <c r="R22" i="54"/>
  <c r="O77" i="54"/>
  <c r="R69" i="54"/>
  <c r="O159" i="54"/>
  <c r="AF30" i="56"/>
  <c r="AY17" i="56"/>
  <c r="O125" i="54"/>
  <c r="AF99" i="56"/>
  <c r="AZ48" i="56"/>
  <c r="P110" i="54"/>
  <c r="O164" i="54"/>
  <c r="K40" i="56"/>
  <c r="Q131" i="54"/>
  <c r="P112" i="54"/>
  <c r="O128" i="54"/>
  <c r="AE38" i="56"/>
  <c r="O55" i="54"/>
  <c r="M20" i="56"/>
  <c r="P93" i="54"/>
  <c r="AW52" i="56"/>
  <c r="P70" i="55"/>
  <c r="AW71" i="56"/>
  <c r="P158" i="54"/>
  <c r="M15" i="56"/>
  <c r="Q98" i="54"/>
  <c r="M145" i="56"/>
  <c r="AE5" i="56"/>
  <c r="O105" i="55"/>
  <c r="P63" i="54"/>
  <c r="AZ144" i="56"/>
  <c r="N150" i="56"/>
  <c r="AY120" i="56"/>
  <c r="AX64" i="56"/>
  <c r="P75" i="55"/>
  <c r="AY73" i="56"/>
  <c r="O161" i="54"/>
  <c r="N107" i="56"/>
  <c r="AX163" i="56"/>
  <c r="O91" i="55"/>
  <c r="AD20" i="56"/>
  <c r="AW102" i="56"/>
  <c r="K152" i="56"/>
  <c r="L93" i="56"/>
  <c r="L5" i="56"/>
  <c r="AY81" i="56"/>
  <c r="L82" i="56"/>
  <c r="P11" i="55"/>
  <c r="P99" i="55"/>
  <c r="AY83" i="56"/>
  <c r="AG157" i="56"/>
  <c r="AF32" i="56"/>
  <c r="Q49" i="54"/>
  <c r="K134" i="56"/>
  <c r="P114" i="54"/>
  <c r="AG163" i="56"/>
  <c r="M19" i="55"/>
  <c r="AD142" i="56"/>
  <c r="AY131" i="56"/>
  <c r="M14" i="56"/>
  <c r="O66" i="55"/>
  <c r="AD102" i="56"/>
  <c r="AX118" i="56"/>
  <c r="AD131" i="56"/>
  <c r="P35" i="54"/>
  <c r="N92" i="56"/>
  <c r="AW96" i="56"/>
  <c r="AF50" i="56"/>
  <c r="AY123" i="56"/>
  <c r="AG21" i="56"/>
  <c r="AZ87" i="56"/>
  <c r="AF140" i="56"/>
  <c r="L156" i="56"/>
  <c r="Q13" i="54"/>
  <c r="AF104" i="56"/>
  <c r="P49" i="55"/>
  <c r="P80" i="54"/>
  <c r="Q21" i="54"/>
  <c r="P109" i="55"/>
  <c r="AY52" i="56"/>
  <c r="AZ128" i="56"/>
  <c r="Q116" i="54"/>
  <c r="N42" i="55"/>
  <c r="O43" i="55"/>
  <c r="N77" i="56"/>
  <c r="AD74" i="56"/>
  <c r="AG75" i="56"/>
  <c r="AX127" i="56"/>
  <c r="O32" i="55"/>
  <c r="Q123" i="54"/>
  <c r="AX128" i="56"/>
  <c r="AG40" i="56"/>
  <c r="R97" i="54"/>
  <c r="AZ62" i="56"/>
  <c r="AE105" i="56"/>
  <c r="AY160" i="56"/>
  <c r="Q120" i="54"/>
  <c r="AW121" i="56"/>
  <c r="AD23" i="56"/>
  <c r="M91" i="55"/>
  <c r="R49" i="54"/>
  <c r="O116" i="54"/>
  <c r="L101" i="56"/>
  <c r="R17" i="54"/>
  <c r="AZ120" i="56"/>
  <c r="Q133" i="54"/>
  <c r="AW130" i="56"/>
  <c r="Q106" i="54"/>
  <c r="N79" i="56"/>
  <c r="AX71" i="56"/>
  <c r="O86" i="54"/>
  <c r="AF151" i="56"/>
  <c r="K47" i="56"/>
  <c r="Q130" i="54"/>
  <c r="P142" i="54"/>
  <c r="N147" i="56"/>
  <c r="AG34" i="56"/>
  <c r="AF69" i="56"/>
  <c r="AF129" i="56"/>
  <c r="R39" i="54"/>
  <c r="AZ50" i="56"/>
  <c r="R120" i="54"/>
  <c r="AG69" i="56"/>
  <c r="O70" i="55"/>
  <c r="AD91" i="56"/>
  <c r="O157" i="54"/>
  <c r="AG78" i="56"/>
  <c r="P103" i="55"/>
  <c r="N163" i="56"/>
  <c r="R84" i="54"/>
  <c r="R132" i="54"/>
  <c r="O146" i="54"/>
  <c r="R59" i="54"/>
  <c r="R131" i="54"/>
  <c r="P115" i="54"/>
  <c r="N119" i="56"/>
  <c r="AG46" i="56"/>
  <c r="N77" i="55"/>
  <c r="O49" i="55"/>
  <c r="N7" i="56"/>
  <c r="Q74" i="54"/>
  <c r="AD99" i="56"/>
  <c r="M93" i="55"/>
  <c r="Q89" i="54"/>
  <c r="AD147" i="56"/>
  <c r="M13" i="56"/>
  <c r="R47" i="54"/>
  <c r="K50" i="56"/>
  <c r="AZ103" i="56"/>
  <c r="K76" i="56"/>
  <c r="AG57" i="56"/>
  <c r="N28" i="55"/>
  <c r="Q85" i="54"/>
  <c r="AY59" i="56"/>
  <c r="P17" i="55"/>
  <c r="AZ163" i="56"/>
  <c r="Q29" i="54"/>
  <c r="AE123" i="56"/>
  <c r="Q90" i="54"/>
  <c r="O153" i="54"/>
  <c r="AX18" i="56"/>
  <c r="AF161" i="56"/>
  <c r="N46" i="56"/>
  <c r="M90" i="55"/>
  <c r="AG44" i="56"/>
  <c r="AD140" i="56"/>
  <c r="O152" i="54"/>
  <c r="P31" i="54"/>
  <c r="M120" i="56"/>
  <c r="O58" i="55"/>
  <c r="L142" i="56"/>
  <c r="R74" i="54"/>
  <c r="R99" i="54"/>
  <c r="Q16" i="54"/>
  <c r="AZ11" i="56"/>
  <c r="AD158" i="56"/>
  <c r="M123" i="56"/>
  <c r="M73" i="56"/>
  <c r="P77" i="55"/>
  <c r="AY76" i="56"/>
  <c r="M54" i="56"/>
  <c r="M96" i="55"/>
  <c r="O101" i="54"/>
  <c r="P6" i="55"/>
  <c r="AG51" i="56"/>
  <c r="AF136" i="56"/>
  <c r="AE62" i="56"/>
  <c r="AX150" i="56"/>
  <c r="O120" i="54"/>
  <c r="P69" i="54"/>
  <c r="AX124" i="56"/>
  <c r="AG11" i="56"/>
  <c r="R107" i="54"/>
  <c r="AY67" i="56"/>
  <c r="K120" i="56"/>
  <c r="AG26" i="56"/>
  <c r="AZ15" i="56"/>
  <c r="N86" i="56"/>
  <c r="AY85" i="56"/>
  <c r="R124" i="54"/>
  <c r="R122" i="54"/>
  <c r="R127" i="54"/>
  <c r="Q26" i="54"/>
  <c r="N37" i="56"/>
  <c r="AY157" i="56"/>
  <c r="AZ132" i="56"/>
  <c r="O130" i="54"/>
  <c r="AZ98" i="56"/>
  <c r="Q117" i="54"/>
  <c r="O127" i="54"/>
  <c r="Q17" i="54"/>
  <c r="AE33" i="56"/>
  <c r="P102" i="54"/>
  <c r="AF14" i="56"/>
  <c r="Q6" i="54"/>
  <c r="R135" i="54"/>
  <c r="AZ137" i="56"/>
  <c r="AZ51" i="56"/>
  <c r="P55" i="54"/>
  <c r="M56" i="55"/>
  <c r="P117" i="54"/>
  <c r="AZ151" i="56"/>
  <c r="L61" i="56"/>
  <c r="Q8" i="54"/>
  <c r="Q114" i="54"/>
  <c r="R139" i="54"/>
  <c r="AG134" i="56"/>
  <c r="M13" i="55"/>
  <c r="N90" i="56"/>
  <c r="AZ86" i="56"/>
  <c r="AY13" i="56"/>
  <c r="Q55" i="54"/>
  <c r="R143" i="54"/>
  <c r="R81" i="54"/>
  <c r="AD144" i="56"/>
  <c r="O75" i="54"/>
  <c r="K66" i="56"/>
  <c r="AF133" i="56"/>
  <c r="P144" i="54"/>
  <c r="AZ60" i="56"/>
  <c r="R117" i="54"/>
  <c r="Q71" i="54"/>
  <c r="Q127" i="54"/>
  <c r="M136" i="56"/>
  <c r="O105" i="54"/>
  <c r="R109" i="54"/>
  <c r="M36" i="56"/>
  <c r="AZ14" i="56"/>
  <c r="R33" i="54"/>
  <c r="P160" i="54"/>
  <c r="AY61" i="56"/>
  <c r="R29" i="54"/>
  <c r="K143" i="56"/>
  <c r="R100" i="54"/>
  <c r="AG16" i="56"/>
  <c r="O156" i="54"/>
  <c r="AY127" i="56"/>
  <c r="R103" i="54"/>
  <c r="Q109" i="54"/>
  <c r="N19" i="56"/>
  <c r="L21" i="56"/>
  <c r="AF103" i="56"/>
  <c r="K92" i="56"/>
  <c r="M62" i="56"/>
  <c r="AY65" i="56"/>
  <c r="AW88" i="56"/>
  <c r="M48" i="55"/>
  <c r="AF20" i="56"/>
  <c r="P161" i="54"/>
  <c r="AZ135" i="56"/>
  <c r="O140" i="54"/>
  <c r="P135" i="54"/>
  <c r="K119" i="56"/>
  <c r="P12" i="54"/>
  <c r="AE120" i="56"/>
  <c r="N131" i="56"/>
  <c r="R31" i="54"/>
  <c r="L48" i="56"/>
  <c r="AF80" i="56"/>
  <c r="AX75" i="56"/>
  <c r="AZ88" i="56"/>
  <c r="O97" i="54"/>
  <c r="O112" i="55"/>
  <c r="O53" i="54"/>
  <c r="P100" i="55"/>
  <c r="P92" i="54"/>
  <c r="R58" i="54"/>
  <c r="AX141" i="56"/>
  <c r="Q105" i="54"/>
  <c r="Q111" i="54"/>
  <c r="P30" i="55"/>
  <c r="AW55" i="56"/>
  <c r="AX129" i="56"/>
  <c r="M40" i="56"/>
  <c r="M102" i="55"/>
  <c r="AE104" i="56"/>
  <c r="M82" i="56"/>
  <c r="P95" i="55"/>
  <c r="P137" i="54"/>
  <c r="L41" i="56"/>
  <c r="AD133" i="56"/>
  <c r="N64" i="56"/>
  <c r="O20" i="55"/>
  <c r="L87" i="56"/>
  <c r="AE135" i="56"/>
  <c r="K155" i="56"/>
  <c r="AZ7" i="56"/>
  <c r="Q45" i="54"/>
  <c r="P43" i="54"/>
  <c r="K18" i="56"/>
  <c r="O92" i="54"/>
  <c r="R95" i="54"/>
  <c r="O13" i="54"/>
  <c r="L23" i="56"/>
  <c r="R123" i="54"/>
  <c r="R130" i="54"/>
  <c r="AF79" i="56"/>
  <c r="AF70" i="56"/>
  <c r="O106" i="54"/>
  <c r="P162" i="54"/>
  <c r="N17" i="56"/>
  <c r="AZ118" i="56"/>
  <c r="M112" i="55"/>
  <c r="AD89" i="56"/>
  <c r="P62" i="54"/>
  <c r="Q97" i="54"/>
  <c r="R104" i="54"/>
  <c r="O136" i="54"/>
  <c r="P93" i="55"/>
  <c r="AY99" i="56"/>
  <c r="R125" i="54"/>
  <c r="M16" i="56"/>
  <c r="AX112" i="56"/>
  <c r="O89" i="54"/>
  <c r="P96" i="55"/>
  <c r="N22" i="55"/>
  <c r="N72" i="55"/>
  <c r="AD15" i="56"/>
  <c r="P116" i="54"/>
  <c r="Q119" i="54"/>
  <c r="P58" i="55"/>
  <c r="Q88" i="54"/>
  <c r="M148" i="56"/>
  <c r="N38" i="56"/>
  <c r="R66" i="54"/>
  <c r="R85" i="54"/>
  <c r="P61" i="54"/>
  <c r="R118" i="54"/>
  <c r="L25" i="56"/>
  <c r="Q43" i="54"/>
  <c r="R106" i="54"/>
  <c r="L102" i="56"/>
  <c r="O54" i="55"/>
  <c r="P102" i="55"/>
  <c r="AG102" i="56"/>
  <c r="R115" i="54"/>
  <c r="R68" i="54"/>
  <c r="O31" i="55"/>
  <c r="P98" i="54"/>
  <c r="AF164" i="56"/>
  <c r="L126" i="56"/>
  <c r="P83" i="54"/>
  <c r="R63" i="54"/>
  <c r="P59" i="55"/>
  <c r="Q118" i="54"/>
  <c r="N93" i="56"/>
  <c r="O18" i="55"/>
  <c r="M129" i="56"/>
  <c r="AW58" i="56"/>
  <c r="AX97" i="56"/>
  <c r="P87" i="55"/>
  <c r="P6" i="54"/>
  <c r="M81" i="56"/>
  <c r="AG108" i="56"/>
  <c r="AG152" i="56"/>
  <c r="P34" i="54"/>
  <c r="M99" i="55"/>
  <c r="AY105" i="56"/>
  <c r="AY24" i="56"/>
  <c r="Q7" i="54"/>
  <c r="AG7" i="56"/>
  <c r="AG90" i="56"/>
  <c r="P76" i="55"/>
  <c r="AG99" i="56"/>
  <c r="O10" i="55"/>
  <c r="P143" i="54"/>
  <c r="P85" i="55"/>
  <c r="O111" i="54"/>
  <c r="P87" i="54"/>
  <c r="O25" i="55"/>
  <c r="AF84" i="56"/>
  <c r="AW86" i="56"/>
  <c r="M12" i="55"/>
  <c r="AY53" i="56"/>
  <c r="N59" i="56"/>
  <c r="M76" i="56"/>
  <c r="O79" i="55"/>
  <c r="L124" i="56"/>
  <c r="AW79" i="56"/>
  <c r="AG55" i="56"/>
  <c r="P145" i="54"/>
  <c r="AZ127" i="56"/>
  <c r="AF62" i="56"/>
  <c r="P131" i="54"/>
  <c r="P24" i="55"/>
  <c r="AG19" i="56"/>
  <c r="P8" i="54"/>
  <c r="AY80" i="56"/>
  <c r="R101" i="54"/>
  <c r="AE75" i="56"/>
  <c r="AW43" i="56"/>
  <c r="AF17" i="56"/>
  <c r="AF16" i="56"/>
  <c r="N33" i="56"/>
  <c r="AF49" i="56"/>
  <c r="AY50" i="56"/>
  <c r="AZ66" i="56"/>
  <c r="P120" i="54"/>
  <c r="N5" i="56"/>
  <c r="O131" i="54"/>
  <c r="AG149" i="56"/>
  <c r="AE90" i="56"/>
  <c r="R80" i="54"/>
  <c r="O163" i="54"/>
  <c r="P64" i="54"/>
  <c r="P110" i="55"/>
  <c r="L98" i="56"/>
  <c r="R88" i="54"/>
  <c r="AG91" i="56"/>
  <c r="P51" i="54"/>
  <c r="O155" i="54"/>
  <c r="M74" i="56"/>
  <c r="R114" i="54"/>
  <c r="K6" i="56"/>
  <c r="N158" i="56"/>
  <c r="AG118" i="56"/>
  <c r="AZ90" i="56"/>
  <c r="K98" i="56"/>
  <c r="R54" i="54"/>
  <c r="AG32" i="56"/>
  <c r="AW131" i="56"/>
  <c r="L125" i="56"/>
  <c r="Q38" i="54"/>
  <c r="P68" i="55"/>
  <c r="AY39" i="56"/>
  <c r="Q91" i="54"/>
  <c r="O41" i="54"/>
  <c r="M26" i="56"/>
  <c r="R141" i="54"/>
  <c r="AZ64" i="56"/>
  <c r="AF150" i="56"/>
  <c r="P38" i="54"/>
  <c r="R77" i="54"/>
  <c r="P139" i="54"/>
  <c r="P109" i="54"/>
  <c r="AF28" i="56"/>
  <c r="R113" i="54"/>
  <c r="M111" i="56"/>
  <c r="AG95" i="56"/>
  <c r="N40" i="55"/>
  <c r="R44" i="54"/>
  <c r="K14" i="56"/>
  <c r="N24" i="56"/>
  <c r="O145" i="54"/>
  <c r="AW108" i="56"/>
  <c r="AW53" i="56"/>
  <c r="R140" i="54"/>
  <c r="N17" i="55"/>
  <c r="R71" i="54"/>
  <c r="R102" i="54"/>
  <c r="AE76" i="56"/>
  <c r="K45" i="56"/>
  <c r="P91" i="55"/>
  <c r="R138" i="54"/>
  <c r="R93" i="54"/>
  <c r="L136" i="56"/>
  <c r="AG36" i="56"/>
  <c r="AW148" i="56"/>
  <c r="AW91" i="56"/>
  <c r="P101" i="54"/>
  <c r="M34" i="56"/>
  <c r="M53" i="56"/>
  <c r="R119" i="54"/>
  <c r="AE121" i="56"/>
  <c r="O37" i="54"/>
  <c r="P164" i="54"/>
  <c r="AE129" i="56"/>
  <c r="P51" i="55"/>
  <c r="Q53" i="54"/>
  <c r="P150" i="54"/>
  <c r="O69" i="55"/>
  <c r="O134" i="54"/>
  <c r="AG86" i="56"/>
  <c r="P71" i="55"/>
  <c r="AZ101" i="56"/>
  <c r="M29" i="56"/>
  <c r="O98" i="54"/>
  <c r="AY47" i="56"/>
  <c r="AX37" i="56"/>
  <c r="AX45" i="56"/>
  <c r="AW111" i="56"/>
  <c r="AX85" i="56"/>
  <c r="O154" i="54"/>
  <c r="M7" i="56"/>
  <c r="Q104" i="54"/>
  <c r="N39" i="56"/>
  <c r="L94" i="56"/>
  <c r="N27" i="56"/>
  <c r="AG25" i="56"/>
  <c r="AY18" i="56"/>
  <c r="M35" i="55"/>
  <c r="M38" i="56"/>
  <c r="L148" i="56"/>
  <c r="O38" i="55"/>
  <c r="AZ108" i="56"/>
  <c r="L43" i="56"/>
  <c r="AW135" i="56"/>
  <c r="P88" i="54"/>
  <c r="O126" i="54"/>
  <c r="P94" i="55"/>
  <c r="AY113" i="56"/>
  <c r="AW81" i="56"/>
  <c r="AF55" i="56"/>
  <c r="O110" i="54"/>
  <c r="R9" i="54"/>
  <c r="M39" i="56"/>
  <c r="O103" i="55"/>
  <c r="O71" i="54"/>
  <c r="N75" i="55"/>
  <c r="AF54" i="56"/>
  <c r="AE147" i="56"/>
  <c r="AD16" i="56"/>
  <c r="P81" i="54"/>
  <c r="O62" i="55"/>
  <c r="AY93" i="56"/>
  <c r="P121" i="54"/>
  <c r="AZ116" i="56"/>
  <c r="AZ75" i="56"/>
  <c r="R55" i="54"/>
  <c r="R27" i="54"/>
  <c r="N133" i="56"/>
  <c r="K124" i="56"/>
  <c r="R7" i="54"/>
  <c r="R91" i="54"/>
  <c r="AG60" i="56"/>
  <c r="AE153" i="56"/>
  <c r="M141" i="56"/>
  <c r="O28" i="54"/>
  <c r="P95" i="54"/>
  <c r="AE84" i="56"/>
  <c r="Q124" i="54"/>
  <c r="O60" i="55"/>
  <c r="AG159" i="56"/>
  <c r="P126" i="54"/>
  <c r="P148" i="54"/>
  <c r="AE36" i="56"/>
  <c r="AW164" i="56"/>
  <c r="AW87" i="56"/>
  <c r="AY36" i="56"/>
  <c r="AW83" i="56"/>
  <c r="AG15" i="56"/>
  <c r="P151" i="54"/>
  <c r="L67" i="56"/>
  <c r="M18" i="56"/>
  <c r="L91" i="56"/>
  <c r="AZ35" i="56"/>
  <c r="R136" i="54"/>
  <c r="O162" i="54"/>
  <c r="AX88" i="56"/>
  <c r="R8" i="54"/>
  <c r="O117" i="54"/>
  <c r="P40" i="54"/>
  <c r="AG93" i="56"/>
  <c r="R86" i="54"/>
  <c r="Q129" i="54"/>
  <c r="R83" i="54"/>
  <c r="AD124" i="56"/>
  <c r="M135" i="56"/>
  <c r="M61" i="56"/>
  <c r="AE50" i="56"/>
  <c r="R90" i="54"/>
  <c r="O109" i="54"/>
  <c r="N80" i="56"/>
  <c r="M106" i="55"/>
  <c r="M80" i="55"/>
  <c r="AD136" i="56"/>
  <c r="N160" i="56"/>
  <c r="M144" i="56"/>
  <c r="O48" i="54"/>
  <c r="Q79" i="54"/>
  <c r="AX67" i="56"/>
  <c r="AY103" i="56"/>
  <c r="AE156" i="56"/>
  <c r="AX22" i="56"/>
  <c r="AZ22" i="56"/>
  <c r="P133" i="54"/>
  <c r="O8" i="55"/>
  <c r="AG136" i="56"/>
  <c r="N9" i="56"/>
  <c r="O60" i="54"/>
  <c r="K58" i="56"/>
  <c r="AZ37" i="56"/>
  <c r="N85" i="56"/>
  <c r="Q39" i="54"/>
  <c r="N72" i="56"/>
  <c r="AX30" i="56"/>
  <c r="R87" i="54"/>
  <c r="O132" i="54"/>
  <c r="L19" i="56"/>
  <c r="O43" i="54"/>
  <c r="P40" i="55"/>
  <c r="O59" i="55"/>
  <c r="AG112" i="56"/>
  <c r="L114" i="56"/>
  <c r="AF130" i="56"/>
  <c r="AW22" i="56"/>
  <c r="P28" i="55"/>
  <c r="M71" i="55"/>
  <c r="P33" i="55"/>
  <c r="L118" i="56"/>
  <c r="K149" i="56"/>
  <c r="N78" i="56"/>
  <c r="N35" i="56"/>
  <c r="O76" i="54"/>
  <c r="AY40" i="56"/>
  <c r="AY48" i="56"/>
  <c r="N96" i="56"/>
  <c r="AD21" i="56"/>
  <c r="M84" i="55"/>
  <c r="AX74" i="56"/>
  <c r="AZ142" i="56"/>
  <c r="O149" i="54"/>
  <c r="Q25" i="54"/>
  <c r="R10" i="54"/>
  <c r="AE133" i="56"/>
  <c r="Q93" i="54"/>
  <c r="N47" i="56"/>
  <c r="P119" i="54"/>
  <c r="P44" i="54"/>
  <c r="M78" i="56"/>
  <c r="AF73" i="56"/>
  <c r="AD34" i="56"/>
  <c r="AE18" i="56"/>
  <c r="AE122" i="56"/>
  <c r="M36" i="55"/>
  <c r="AY141" i="56"/>
  <c r="R78" i="54"/>
  <c r="P34" i="55"/>
  <c r="AW159" i="56"/>
  <c r="L128" i="56"/>
  <c r="N13" i="56"/>
  <c r="P129" i="54"/>
  <c r="Q76" i="54"/>
  <c r="O11" i="55"/>
  <c r="K37" i="56"/>
  <c r="Q64" i="54"/>
  <c r="AW98" i="56"/>
  <c r="P128" i="54"/>
  <c r="P69" i="55"/>
  <c r="R105" i="54"/>
  <c r="L47" i="56"/>
  <c r="AZ89" i="56"/>
  <c r="P138" i="54"/>
  <c r="R126" i="54"/>
  <c r="AF11" i="56"/>
  <c r="N129" i="56"/>
  <c r="P149" i="54"/>
  <c r="P65" i="55"/>
  <c r="N45" i="56"/>
  <c r="P47" i="55"/>
  <c r="Q108" i="54"/>
  <c r="Q56" i="54"/>
  <c r="N44" i="55"/>
  <c r="R111" i="54"/>
  <c r="O144" i="54"/>
  <c r="N109" i="56"/>
  <c r="N138" i="56"/>
  <c r="O143" i="54"/>
  <c r="P124" i="54"/>
  <c r="Q126" i="54"/>
  <c r="P27" i="55"/>
  <c r="K163" i="56"/>
  <c r="O137" i="54"/>
  <c r="M67" i="55"/>
  <c r="K90" i="56"/>
  <c r="O158" i="54"/>
  <c r="N32" i="56"/>
  <c r="R129" i="54"/>
  <c r="P157" i="54"/>
  <c r="AZ158" i="56"/>
  <c r="O124" i="54"/>
  <c r="AW157" i="56"/>
  <c r="Q87" i="54"/>
  <c r="O135" i="54"/>
  <c r="O113" i="54"/>
  <c r="P152" i="54"/>
  <c r="M113" i="56"/>
  <c r="M108" i="56"/>
  <c r="AW82" i="56"/>
  <c r="O119" i="54"/>
  <c r="AF125" i="56"/>
  <c r="N89" i="56"/>
  <c r="L72" i="56"/>
  <c r="Q112" i="54"/>
  <c r="K129" i="56"/>
  <c r="AX144" i="56"/>
  <c r="AD85" i="56"/>
  <c r="Q86" i="54"/>
  <c r="AZ131" i="56"/>
  <c r="AE59" i="56"/>
  <c r="R51" i="54"/>
  <c r="AG145" i="56"/>
  <c r="Q156" i="54"/>
  <c r="Q136" i="54"/>
  <c r="Q137" i="54"/>
  <c r="Q159" i="54"/>
  <c r="Q153" i="54"/>
  <c r="Q135" i="54"/>
  <c r="Q164" i="54"/>
  <c r="Q157" i="54"/>
  <c r="Q139" i="54"/>
  <c r="Q145" i="54"/>
  <c r="Q150" i="54"/>
  <c r="Q147" i="54"/>
  <c r="Q140" i="54"/>
  <c r="Q152" i="54"/>
  <c r="Q134" i="54"/>
  <c r="Q142" i="54"/>
  <c r="Q144" i="54"/>
  <c r="Q154" i="54"/>
  <c r="Q138" i="54"/>
  <c r="Q148" i="54"/>
  <c r="Q146" i="54"/>
  <c r="Q162" i="54"/>
  <c r="Q161" i="54"/>
  <c r="Q151" i="54"/>
  <c r="Q155" i="54"/>
  <c r="Q160" i="54"/>
  <c r="Q158" i="54"/>
  <c r="Q143" i="54"/>
  <c r="Q149" i="54"/>
  <c r="Q163" i="54"/>
  <c r="Q141" i="54"/>
  <c r="AD156" i="51" l="1"/>
  <c r="W201" i="51"/>
  <c r="G19" i="54"/>
  <c r="AE65" i="51"/>
  <c r="AI65" i="51" s="1"/>
  <c r="AJ65" i="51" s="1"/>
  <c r="AE198" i="51"/>
  <c r="AE199" i="51" s="1"/>
  <c r="AD200" i="51"/>
  <c r="CM197" i="50"/>
  <c r="CQ196" i="50"/>
  <c r="CR196" i="50" s="1"/>
  <c r="CK65" i="50"/>
  <c r="CP64" i="50"/>
  <c r="CR64" i="50" s="1"/>
  <c r="CK198" i="50"/>
  <c r="CP197" i="50"/>
  <c r="CM154" i="50"/>
  <c r="CQ153" i="50"/>
  <c r="CM66" i="50"/>
  <c r="CQ66" i="50" s="1"/>
  <c r="CQ65" i="50"/>
  <c r="CK153" i="50"/>
  <c r="CP152" i="50"/>
  <c r="CR152" i="50" s="1"/>
  <c r="CM110" i="50"/>
  <c r="CQ109" i="50"/>
  <c r="CK109" i="50"/>
  <c r="CP108" i="50"/>
  <c r="CR108" i="50" s="1"/>
  <c r="AI152" i="51"/>
  <c r="AJ152" i="51" s="1"/>
  <c r="AE153" i="51"/>
  <c r="R148" i="54"/>
  <c r="R153" i="54"/>
  <c r="R149" i="54"/>
  <c r="R151" i="54"/>
  <c r="R146" i="54"/>
  <c r="R152" i="54"/>
  <c r="R150" i="54"/>
  <c r="R147" i="54"/>
  <c r="R144" i="54"/>
  <c r="R145" i="54"/>
  <c r="AD201" i="51" l="1"/>
  <c r="G20" i="54"/>
  <c r="AE66" i="51"/>
  <c r="AI66" i="51" s="1"/>
  <c r="AJ66" i="51" s="1"/>
  <c r="AI198" i="51"/>
  <c r="AJ198" i="51" s="1"/>
  <c r="CK154" i="50"/>
  <c r="CP153" i="50"/>
  <c r="CR153" i="50" s="1"/>
  <c r="CM198" i="50"/>
  <c r="CQ197" i="50"/>
  <c r="CR197" i="50" s="1"/>
  <c r="CK110" i="50"/>
  <c r="CP109" i="50"/>
  <c r="CR109" i="50" s="1"/>
  <c r="CM155" i="50"/>
  <c r="CQ154" i="50"/>
  <c r="CK66" i="50"/>
  <c r="CP66" i="50" s="1"/>
  <c r="CR66" i="50" s="1"/>
  <c r="CP65" i="50"/>
  <c r="CR65" i="50" s="1"/>
  <c r="CM111" i="50"/>
  <c r="CQ111" i="50" s="1"/>
  <c r="CQ110" i="50"/>
  <c r="CK199" i="50"/>
  <c r="CP198" i="50"/>
  <c r="AI199" i="51"/>
  <c r="AJ199" i="51" s="1"/>
  <c r="AE200" i="51"/>
  <c r="AI153" i="51"/>
  <c r="AJ153" i="51" s="1"/>
  <c r="AE154" i="51"/>
  <c r="R161" i="54"/>
  <c r="R156" i="54"/>
  <c r="R162" i="54"/>
  <c r="R158" i="54"/>
  <c r="R155" i="54"/>
  <c r="R164" i="54"/>
  <c r="R157" i="54"/>
  <c r="R159" i="54"/>
  <c r="R160" i="54"/>
  <c r="R154" i="54"/>
  <c r="R163" i="54"/>
  <c r="CK155" i="50" l="1"/>
  <c r="CP154" i="50"/>
  <c r="CR154" i="50" s="1"/>
  <c r="CM156" i="50"/>
  <c r="CQ156" i="50" s="1"/>
  <c r="CQ155" i="50"/>
  <c r="CK200" i="50"/>
  <c r="CP199" i="50"/>
  <c r="CK111" i="50"/>
  <c r="CP111" i="50" s="1"/>
  <c r="CR111" i="50" s="1"/>
  <c r="CP110" i="50"/>
  <c r="CR110" i="50" s="1"/>
  <c r="CM199" i="50"/>
  <c r="CQ198" i="50"/>
  <c r="CR198" i="50" s="1"/>
  <c r="AI154" i="51"/>
  <c r="AJ154" i="51" s="1"/>
  <c r="AE155" i="51"/>
  <c r="AI200" i="51"/>
  <c r="AJ200" i="51" s="1"/>
  <c r="AE201" i="51"/>
  <c r="AI201" i="51" s="1"/>
  <c r="AJ201" i="51" s="1"/>
  <c r="CM200" i="50" l="1"/>
  <c r="CQ199" i="50"/>
  <c r="CR199" i="50" s="1"/>
  <c r="CK156" i="50"/>
  <c r="CP156" i="50" s="1"/>
  <c r="CR156" i="50" s="1"/>
  <c r="CP155" i="50"/>
  <c r="CR155" i="50" s="1"/>
  <c r="CK201" i="50"/>
  <c r="CP201" i="50" s="1"/>
  <c r="CP200" i="50"/>
  <c r="AI155" i="51"/>
  <c r="AJ155" i="51" s="1"/>
  <c r="AE156" i="51"/>
  <c r="AI156" i="51" s="1"/>
  <c r="AJ156" i="51" s="1"/>
  <c r="CM201" i="50" l="1"/>
  <c r="CQ201" i="50" s="1"/>
  <c r="CR201" i="50" s="1"/>
  <c r="CQ200" i="50"/>
  <c r="CR200" i="50" s="1"/>
  <c r="BI51" i="60" l="1"/>
  <c r="BI52" i="60" s="1"/>
  <c r="BI53" i="60" s="1"/>
  <c r="BI54" i="60" s="1"/>
  <c r="BI55" i="60" s="1"/>
  <c r="BI56" i="60" s="1"/>
  <c r="BI57" i="60" s="1"/>
  <c r="BI58" i="60" s="1"/>
  <c r="BI59" i="60" s="1"/>
  <c r="BI60" i="60" s="1"/>
  <c r="BI61" i="60" s="1"/>
  <c r="BI62" i="60" s="1"/>
  <c r="BI63" i="60" s="1"/>
  <c r="BI64" i="60" s="1"/>
  <c r="BI65" i="60" s="1"/>
  <c r="BI66" i="60" s="1"/>
  <c r="BH51" i="60"/>
  <c r="BH52" i="60" s="1"/>
  <c r="BH96" i="60"/>
  <c r="BH97" i="60" s="1"/>
  <c r="BI96" i="60"/>
  <c r="BI97" i="60" s="1"/>
  <c r="BI98" i="60" s="1"/>
  <c r="BI99" i="60" s="1"/>
  <c r="BI100" i="60" s="1"/>
  <c r="BI101" i="60" s="1"/>
  <c r="BI102" i="60" s="1"/>
  <c r="BI103" i="60" s="1"/>
  <c r="BI104" i="60" s="1"/>
  <c r="BI105" i="60" s="1"/>
  <c r="BI106" i="60" s="1"/>
  <c r="BI107" i="60" s="1"/>
  <c r="BI108" i="60" s="1"/>
  <c r="BI109" i="60" s="1"/>
  <c r="BI110" i="60" s="1"/>
  <c r="BI111" i="60" s="1"/>
  <c r="BG96" i="60" l="1"/>
  <c r="BG97" i="60" s="1"/>
  <c r="BG98" i="60" s="1"/>
  <c r="BG99" i="60" s="1"/>
  <c r="BG100" i="60" s="1"/>
  <c r="BG101" i="60" s="1"/>
  <c r="BG102" i="60" s="1"/>
  <c r="BG103" i="60" s="1"/>
  <c r="BG104" i="60" s="1"/>
  <c r="BG105" i="60" s="1"/>
  <c r="BG106" i="60" s="1"/>
  <c r="BG107" i="60" s="1"/>
  <c r="BG108" i="60" s="1"/>
  <c r="BG109" i="60" s="1"/>
  <c r="BG110" i="60" s="1"/>
  <c r="BG111" i="60" s="1"/>
  <c r="BG51" i="60"/>
  <c r="BI141" i="60"/>
  <c r="BI142" i="60" s="1"/>
  <c r="BI143" i="60" s="1"/>
  <c r="BI144" i="60" s="1"/>
  <c r="BI145" i="60" s="1"/>
  <c r="BI146" i="60" s="1"/>
  <c r="BI147" i="60" s="1"/>
  <c r="BI148" i="60" s="1"/>
  <c r="BI149" i="60" s="1"/>
  <c r="BI150" i="60" s="1"/>
  <c r="BI151" i="60" s="1"/>
  <c r="BI152" i="60" s="1"/>
  <c r="BI153" i="60" s="1"/>
  <c r="BI154" i="60" s="1"/>
  <c r="BI155" i="60" s="1"/>
  <c r="BI156" i="60" s="1"/>
  <c r="BH141" i="60"/>
  <c r="BG141" i="60"/>
  <c r="BG142" i="60" s="1"/>
  <c r="BG143" i="60" s="1"/>
  <c r="BG144" i="60" s="1"/>
  <c r="BG145" i="60" s="1"/>
  <c r="BG146" i="60" s="1"/>
  <c r="BG147" i="60" s="1"/>
  <c r="BG148" i="60" s="1"/>
  <c r="BG149" i="60" s="1"/>
  <c r="BG150" i="60" s="1"/>
  <c r="BG151" i="60" s="1"/>
  <c r="BG152" i="60" s="1"/>
  <c r="BG153" i="60" s="1"/>
  <c r="BG154" i="60" s="1"/>
  <c r="BG155" i="60" s="1"/>
  <c r="BG156" i="60" s="1"/>
  <c r="BH186" i="60"/>
  <c r="BI186" i="60"/>
  <c r="BI187" i="60" s="1"/>
  <c r="BI188" i="60" s="1"/>
  <c r="BI189" i="60" s="1"/>
  <c r="BI190" i="60" s="1"/>
  <c r="BI191" i="60" s="1"/>
  <c r="BI192" i="60" s="1"/>
  <c r="BI193" i="60" s="1"/>
  <c r="BI194" i="60" s="1"/>
  <c r="BI195" i="60" s="1"/>
  <c r="BI196" i="60" s="1"/>
  <c r="BI197" i="60" s="1"/>
  <c r="BI198" i="60" s="1"/>
  <c r="BI199" i="60" s="1"/>
  <c r="BI200" i="60" s="1"/>
  <c r="BI201" i="60" s="1"/>
  <c r="BH98" i="60"/>
  <c r="BH53" i="60"/>
  <c r="BG52" i="60" l="1"/>
  <c r="BJ51" i="60"/>
  <c r="BG186" i="60"/>
  <c r="BG187" i="60" s="1"/>
  <c r="BG188" i="60" s="1"/>
  <c r="BG189" i="60" s="1"/>
  <c r="BG190" i="60" s="1"/>
  <c r="BG191" i="60" s="1"/>
  <c r="BG192" i="60" s="1"/>
  <c r="BG193" i="60" s="1"/>
  <c r="BG194" i="60" s="1"/>
  <c r="BG195" i="60" s="1"/>
  <c r="BG196" i="60" s="1"/>
  <c r="BG197" i="60" s="1"/>
  <c r="BG198" i="60" s="1"/>
  <c r="BG199" i="60" s="1"/>
  <c r="BG200" i="60" s="1"/>
  <c r="BG201" i="60" s="1"/>
  <c r="BJ97" i="60"/>
  <c r="BJ96" i="60"/>
  <c r="BH187" i="60"/>
  <c r="BH188" i="60" s="1"/>
  <c r="BJ141" i="60"/>
  <c r="BH142" i="60"/>
  <c r="BH99" i="60"/>
  <c r="BJ98" i="60"/>
  <c r="BH54" i="60"/>
  <c r="BJ186" i="60" l="1"/>
  <c r="BG53" i="60"/>
  <c r="BJ52" i="60"/>
  <c r="BJ187" i="60"/>
  <c r="BJ142" i="60"/>
  <c r="BH143" i="60"/>
  <c r="BJ188" i="60"/>
  <c r="BH189" i="60"/>
  <c r="BH100" i="60"/>
  <c r="BJ99" i="60"/>
  <c r="BH55" i="60"/>
  <c r="BG54" i="60" l="1"/>
  <c r="BJ53" i="60"/>
  <c r="BH144" i="60"/>
  <c r="BJ143" i="60"/>
  <c r="BH190" i="60"/>
  <c r="BJ189" i="60"/>
  <c r="BH101" i="60"/>
  <c r="BJ100" i="60"/>
  <c r="BH56" i="60"/>
  <c r="BG55" i="60" l="1"/>
  <c r="BJ54" i="60"/>
  <c r="BH145" i="60"/>
  <c r="BJ144" i="60"/>
  <c r="BJ190" i="60"/>
  <c r="BH191" i="60"/>
  <c r="BH102" i="60"/>
  <c r="BJ101" i="60"/>
  <c r="BH57" i="60"/>
  <c r="BG56" i="60" l="1"/>
  <c r="BJ55" i="60"/>
  <c r="BJ145" i="60"/>
  <c r="BH146" i="60"/>
  <c r="BH192" i="60"/>
  <c r="BJ191" i="60"/>
  <c r="BH103" i="60"/>
  <c r="BJ102" i="60"/>
  <c r="BH58" i="60"/>
  <c r="BG57" i="60" l="1"/>
  <c r="BJ56" i="60"/>
  <c r="BJ146" i="60"/>
  <c r="BH147" i="60"/>
  <c r="BJ192" i="60"/>
  <c r="BH193" i="60"/>
  <c r="BH104" i="60"/>
  <c r="BJ103" i="60"/>
  <c r="BH59" i="60"/>
  <c r="BG58" i="60" l="1"/>
  <c r="BJ57" i="60"/>
  <c r="BJ147" i="60"/>
  <c r="BH148" i="60"/>
  <c r="BH194" i="60"/>
  <c r="BJ193" i="60"/>
  <c r="BH105" i="60"/>
  <c r="BJ104" i="60"/>
  <c r="BH60" i="60"/>
  <c r="BG59" i="60" l="1"/>
  <c r="BJ58" i="60"/>
  <c r="BH149" i="60"/>
  <c r="BJ148" i="60"/>
  <c r="BH195" i="60"/>
  <c r="BJ194" i="60"/>
  <c r="BH106" i="60"/>
  <c r="BJ105" i="60"/>
  <c r="BH61" i="60"/>
  <c r="BG60" i="60" l="1"/>
  <c r="BJ59" i="60"/>
  <c r="BJ149" i="60"/>
  <c r="BH150" i="60"/>
  <c r="BH196" i="60"/>
  <c r="BJ195" i="60"/>
  <c r="BH107" i="60"/>
  <c r="BJ106" i="60"/>
  <c r="BH62" i="60"/>
  <c r="BG61" i="60" l="1"/>
  <c r="BJ60" i="60"/>
  <c r="BJ150" i="60"/>
  <c r="BH151" i="60"/>
  <c r="BH197" i="60"/>
  <c r="BJ196" i="60"/>
  <c r="BH108" i="60"/>
  <c r="BJ107" i="60"/>
  <c r="BT155" i="60" s="1"/>
  <c r="BX155" i="60" s="1"/>
  <c r="BH63" i="60"/>
  <c r="BG62" i="60" l="1"/>
  <c r="BJ61" i="60"/>
  <c r="BH152" i="60"/>
  <c r="BJ151" i="60"/>
  <c r="BH198" i="60"/>
  <c r="BJ197" i="60"/>
  <c r="BH109" i="60"/>
  <c r="BJ108" i="60"/>
  <c r="BT156" i="60" s="1"/>
  <c r="BX156" i="60" s="1"/>
  <c r="BH64" i="60"/>
  <c r="E5" i="58"/>
  <c r="M5" i="58" s="1"/>
  <c r="BG63" i="60" l="1"/>
  <c r="BJ62" i="60"/>
  <c r="BH153" i="60"/>
  <c r="BJ152" i="60"/>
  <c r="BH199" i="60"/>
  <c r="BJ198" i="60"/>
  <c r="BH110" i="60"/>
  <c r="BJ109" i="60"/>
  <c r="BH65" i="60"/>
  <c r="E6" i="58"/>
  <c r="BG64" i="60" l="1"/>
  <c r="BJ63" i="60"/>
  <c r="BJ153" i="60"/>
  <c r="BH154" i="60"/>
  <c r="BH200" i="60"/>
  <c r="BJ199" i="60"/>
  <c r="BH111" i="60"/>
  <c r="BJ111" i="60" s="1"/>
  <c r="BJ110" i="60"/>
  <c r="BH66" i="60"/>
  <c r="M7" i="58"/>
  <c r="M8" i="58"/>
  <c r="M6" i="58"/>
  <c r="BG65" i="60" l="1"/>
  <c r="BJ64" i="60"/>
  <c r="BT96" i="60" s="1"/>
  <c r="BX96" i="60" s="1"/>
  <c r="BJ154" i="60"/>
  <c r="BH155" i="60"/>
  <c r="BH201" i="60"/>
  <c r="BJ201" i="60" s="1"/>
  <c r="BJ200" i="60"/>
  <c r="E7" i="58"/>
  <c r="BG66" i="60" l="1"/>
  <c r="BJ66" i="60" s="1"/>
  <c r="BJ65" i="60"/>
  <c r="BT97" i="60" s="1"/>
  <c r="BH156" i="60"/>
  <c r="BJ156" i="60" s="1"/>
  <c r="BJ155" i="60"/>
  <c r="M15" i="58"/>
  <c r="M12" i="58"/>
  <c r="M9" i="58"/>
  <c r="M11" i="58"/>
  <c r="M13" i="58"/>
  <c r="M10" i="58"/>
  <c r="M14" i="58"/>
  <c r="BT98" i="60" l="1"/>
  <c r="BX97" i="60"/>
  <c r="E8" i="58"/>
  <c r="BT99" i="60" l="1"/>
  <c r="BX98" i="60"/>
  <c r="M22" i="58"/>
  <c r="M23" i="58"/>
  <c r="M20" i="58"/>
  <c r="M18" i="58"/>
  <c r="M19" i="58"/>
  <c r="M17" i="58"/>
  <c r="M16" i="58"/>
  <c r="M21" i="58"/>
  <c r="BX99" i="60" l="1"/>
  <c r="BT100" i="60"/>
  <c r="E9" i="58"/>
  <c r="BX100" i="60" l="1"/>
  <c r="BT101" i="60"/>
  <c r="M33" i="58"/>
  <c r="M31" i="58"/>
  <c r="M27" i="58"/>
  <c r="M34" i="58"/>
  <c r="M24" i="58"/>
  <c r="M26" i="58"/>
  <c r="M35" i="58"/>
  <c r="M25" i="58"/>
  <c r="M28" i="58"/>
  <c r="M32" i="58"/>
  <c r="M30" i="58"/>
  <c r="M29" i="58"/>
  <c r="BX101" i="60" l="1"/>
  <c r="BT102" i="60"/>
  <c r="AE29" i="58"/>
  <c r="AF29" i="58"/>
  <c r="AF30" i="58"/>
  <c r="AE30" i="58"/>
  <c r="AF32" i="58"/>
  <c r="AE32" i="58"/>
  <c r="AE34" i="58"/>
  <c r="AF34" i="58"/>
  <c r="AE28" i="58"/>
  <c r="AF28" i="58"/>
  <c r="AF31" i="58"/>
  <c r="AE31" i="58"/>
  <c r="AF35" i="58"/>
  <c r="AE35" i="58"/>
  <c r="AF33" i="58"/>
  <c r="AE33" i="58"/>
  <c r="BX102" i="60" l="1"/>
  <c r="BT103" i="60"/>
  <c r="BX103" i="60" l="1"/>
  <c r="BT104" i="60"/>
  <c r="BX104" i="60" l="1"/>
  <c r="BT105" i="60"/>
  <c r="BX105" i="60" l="1"/>
  <c r="BT106" i="60"/>
  <c r="BX106" i="60" l="1"/>
  <c r="BT107" i="60"/>
  <c r="BT108" i="60" l="1"/>
  <c r="BX107" i="60"/>
  <c r="BT109" i="60" l="1"/>
  <c r="BX108" i="60"/>
  <c r="BX109" i="60" l="1"/>
  <c r="BT110" i="60"/>
  <c r="J225" i="50"/>
  <c r="J226" i="50"/>
  <c r="BT111" i="60" l="1"/>
  <c r="BX111" i="60" s="1"/>
  <c r="BX110" i="60"/>
  <c r="J228" i="50"/>
  <c r="J227" i="50"/>
  <c r="J229" i="50" l="1"/>
  <c r="J230" i="50"/>
  <c r="J231" i="50" l="1"/>
  <c r="J232" i="50"/>
  <c r="J234" i="50" l="1"/>
  <c r="J233" i="50"/>
  <c r="J236" i="50" l="1"/>
  <c r="J235" i="50"/>
  <c r="J237" i="50" l="1"/>
  <c r="J238" i="50"/>
  <c r="J240" i="50" l="1"/>
  <c r="J239" i="50"/>
  <c r="J241" i="50" l="1"/>
  <c r="J242" i="50"/>
  <c r="J244" i="50" l="1"/>
  <c r="J243" i="50"/>
  <c r="J245" i="50" l="1"/>
  <c r="J246" i="50"/>
  <c r="J248" i="50" l="1"/>
  <c r="J247" i="50"/>
  <c r="J250" i="50" l="1"/>
  <c r="J249" i="50"/>
  <c r="J251" i="50" l="1"/>
  <c r="J252" i="50"/>
  <c r="J253" i="50" l="1"/>
  <c r="J254" i="50"/>
  <c r="J255" i="50" l="1"/>
  <c r="J256" i="50"/>
  <c r="J258" i="50" l="1"/>
  <c r="J257" i="50"/>
  <c r="J259" i="50" l="1"/>
  <c r="J260" i="50"/>
  <c r="J261" i="50" l="1"/>
  <c r="J262" i="50"/>
  <c r="J264" i="50" l="1"/>
  <c r="J263" i="50"/>
  <c r="J265" i="50" l="1"/>
  <c r="J266" i="50"/>
  <c r="J268" i="50" l="1"/>
  <c r="J267" i="50"/>
  <c r="J270" i="50" l="1"/>
  <c r="J269" i="50"/>
  <c r="J272" i="50" l="1"/>
  <c r="J271" i="50"/>
  <c r="J274" i="50" l="1"/>
  <c r="J273" i="50"/>
  <c r="J276" i="50" l="1"/>
  <c r="J275" i="50"/>
  <c r="J278" i="50" l="1"/>
  <c r="J277" i="50"/>
  <c r="J279" i="50" l="1"/>
  <c r="J280" i="50"/>
  <c r="J282" i="50" l="1"/>
  <c r="J281" i="50"/>
  <c r="J283" i="50" l="1"/>
  <c r="J284" i="50"/>
  <c r="J285" i="50" l="1"/>
  <c r="J286" i="50"/>
  <c r="J288" i="50" l="1"/>
  <c r="J287" i="50"/>
  <c r="J290" i="50" l="1"/>
  <c r="J289" i="50"/>
  <c r="J292" i="50" l="1"/>
  <c r="J291" i="50"/>
  <c r="J293" i="50" l="1"/>
  <c r="J294" i="50"/>
  <c r="J295" i="50" l="1"/>
  <c r="J296" i="50"/>
  <c r="J297" i="50" l="1"/>
  <c r="J298" i="50"/>
  <c r="J299" i="50" l="1"/>
  <c r="J300" i="50"/>
  <c r="J301" i="50" l="1"/>
  <c r="J302" i="50"/>
  <c r="J303" i="50" l="1"/>
  <c r="J304" i="50"/>
  <c r="J223" i="50" l="1"/>
  <c r="J224" i="50"/>
  <c r="J139" i="50" l="1"/>
  <c r="J140" i="50"/>
  <c r="J51" i="50"/>
  <c r="J52" i="50"/>
  <c r="J43" i="50"/>
  <c r="J44" i="50"/>
  <c r="J46" i="50"/>
  <c r="J45" i="50"/>
  <c r="J55" i="50"/>
  <c r="J56" i="50"/>
  <c r="J133" i="50"/>
  <c r="J134" i="50"/>
  <c r="J49" i="50"/>
  <c r="J50" i="50"/>
  <c r="J47" i="50"/>
  <c r="J48" i="50"/>
  <c r="J137" i="50"/>
  <c r="J138" i="50"/>
  <c r="J141" i="50"/>
  <c r="J142" i="50"/>
  <c r="J126" i="50"/>
  <c r="J125" i="50"/>
  <c r="J54" i="50"/>
  <c r="J53" i="50"/>
  <c r="J132" i="50"/>
  <c r="J131" i="50"/>
  <c r="J127" i="50"/>
  <c r="J128" i="50"/>
  <c r="J130" i="50"/>
  <c r="J129" i="50"/>
  <c r="J123" i="50"/>
  <c r="J124" i="50"/>
  <c r="J58" i="50"/>
  <c r="J57" i="50"/>
  <c r="J61" i="50"/>
  <c r="J62" i="50"/>
  <c r="J59" i="50"/>
  <c r="J60" i="50"/>
  <c r="J136" i="50"/>
  <c r="J135" i="50"/>
  <c r="J153" i="50" l="1"/>
  <c r="J154" i="50"/>
  <c r="J157" i="50"/>
  <c r="J158" i="50"/>
  <c r="J103" i="50"/>
  <c r="J104" i="50"/>
  <c r="J186" i="50"/>
  <c r="J185" i="50"/>
  <c r="J65" i="50"/>
  <c r="J66" i="50"/>
  <c r="J144" i="50"/>
  <c r="J143" i="50"/>
  <c r="J39" i="50"/>
  <c r="J40" i="50"/>
  <c r="J172" i="50"/>
  <c r="J171" i="50"/>
  <c r="J28" i="50"/>
  <c r="J27" i="50"/>
  <c r="J165" i="50"/>
  <c r="J166" i="50"/>
  <c r="J156" i="50"/>
  <c r="J155" i="50"/>
  <c r="J195" i="50"/>
  <c r="J196" i="50"/>
  <c r="J5" i="50"/>
  <c r="J6" i="50"/>
  <c r="J25" i="50"/>
  <c r="J26" i="50"/>
  <c r="J81" i="50"/>
  <c r="J82" i="50"/>
  <c r="J177" i="50"/>
  <c r="J178" i="50"/>
  <c r="J211" i="50"/>
  <c r="J212" i="50"/>
  <c r="J18" i="50"/>
  <c r="J17" i="50"/>
  <c r="J91" i="50"/>
  <c r="J92" i="50"/>
  <c r="J75" i="50"/>
  <c r="J76" i="50"/>
  <c r="J180" i="50"/>
  <c r="J179" i="50"/>
  <c r="J207" i="50"/>
  <c r="J208" i="50"/>
  <c r="J198" i="50"/>
  <c r="J197" i="50"/>
  <c r="J30" i="50"/>
  <c r="J29" i="50"/>
  <c r="J79" i="50"/>
  <c r="J80" i="50"/>
  <c r="J150" i="50"/>
  <c r="J149" i="50"/>
  <c r="J102" i="50"/>
  <c r="J101" i="50"/>
  <c r="J64" i="50"/>
  <c r="J63" i="50"/>
  <c r="J73" i="50"/>
  <c r="J74" i="50"/>
  <c r="J145" i="50"/>
  <c r="J146" i="50"/>
  <c r="J24" i="50"/>
  <c r="J23" i="50"/>
  <c r="J113" i="50"/>
  <c r="J114" i="50"/>
  <c r="J190" i="50"/>
  <c r="J189" i="50"/>
  <c r="J72" i="50"/>
  <c r="J71" i="50"/>
  <c r="J187" i="50"/>
  <c r="J188" i="50"/>
  <c r="J69" i="50"/>
  <c r="J70" i="50"/>
  <c r="J169" i="50"/>
  <c r="J170" i="50"/>
  <c r="J210" i="50"/>
  <c r="J209" i="50"/>
  <c r="J7" i="50"/>
  <c r="J8" i="50"/>
  <c r="J38" i="50"/>
  <c r="J37" i="50"/>
  <c r="J77" i="50"/>
  <c r="J78" i="50"/>
  <c r="J181" i="50"/>
  <c r="J182" i="50"/>
  <c r="J216" i="50"/>
  <c r="J215" i="50"/>
  <c r="J14" i="50"/>
  <c r="J13" i="50"/>
  <c r="J84" i="50"/>
  <c r="J83" i="50"/>
  <c r="J205" i="50"/>
  <c r="J206" i="50"/>
  <c r="J173" i="50"/>
  <c r="J174" i="50"/>
  <c r="J220" i="50"/>
  <c r="J219" i="50"/>
  <c r="J21" i="50"/>
  <c r="J22" i="50"/>
  <c r="J96" i="50"/>
  <c r="J95" i="50"/>
  <c r="J67" i="50"/>
  <c r="J68" i="50"/>
  <c r="J33" i="50"/>
  <c r="J34" i="50"/>
  <c r="J36" i="50"/>
  <c r="J35" i="50"/>
  <c r="J31" i="50"/>
  <c r="J32" i="50"/>
  <c r="J163" i="50"/>
  <c r="J164" i="50"/>
  <c r="J111" i="50"/>
  <c r="J112" i="50"/>
  <c r="J222" i="50"/>
  <c r="J221" i="50"/>
  <c r="J115" i="50"/>
  <c r="J116" i="50"/>
  <c r="J15" i="50"/>
  <c r="J16" i="50"/>
  <c r="J105" i="50"/>
  <c r="J106" i="50"/>
  <c r="J120" i="50"/>
  <c r="J119" i="50"/>
  <c r="J121" i="50"/>
  <c r="J122" i="50"/>
  <c r="J213" i="50"/>
  <c r="J214" i="50"/>
  <c r="J90" i="50"/>
  <c r="J89" i="50"/>
  <c r="J175" i="50"/>
  <c r="J176" i="50"/>
  <c r="J12" i="50"/>
  <c r="J11" i="50"/>
  <c r="J86" i="50"/>
  <c r="J85" i="50"/>
  <c r="J168" i="50"/>
  <c r="J167" i="50"/>
  <c r="J203" i="50"/>
  <c r="J204" i="50"/>
  <c r="J93" i="50"/>
  <c r="J94" i="50"/>
  <c r="J117" i="50"/>
  <c r="J118" i="50"/>
  <c r="J159" i="50"/>
  <c r="J160" i="50"/>
  <c r="J217" i="50"/>
  <c r="J218" i="50"/>
  <c r="J9" i="50"/>
  <c r="J10" i="50"/>
  <c r="J87" i="50"/>
  <c r="J88" i="50"/>
  <c r="J108" i="50"/>
  <c r="J107" i="50"/>
  <c r="J151" i="50"/>
  <c r="J152" i="50"/>
  <c r="J199" i="50"/>
  <c r="J200" i="50"/>
  <c r="J42" i="50"/>
  <c r="J41" i="50"/>
  <c r="J97" i="50"/>
  <c r="J98" i="50"/>
  <c r="J109" i="50"/>
  <c r="J110" i="50"/>
  <c r="J147" i="50"/>
  <c r="J148" i="50"/>
  <c r="J192" i="50"/>
  <c r="J191" i="50"/>
  <c r="J19" i="50"/>
  <c r="J20" i="50"/>
  <c r="J99" i="50"/>
  <c r="J100" i="50"/>
  <c r="J202" i="50"/>
  <c r="J201" i="50"/>
  <c r="J193" i="50"/>
  <c r="J194" i="50"/>
  <c r="J183" i="50"/>
  <c r="J184" i="50"/>
  <c r="J162" i="50"/>
  <c r="J161" i="50"/>
  <c r="CC186" i="50" l="1"/>
  <c r="CC187" i="50" s="1"/>
  <c r="CC188" i="50" s="1"/>
  <c r="CC189" i="50" s="1"/>
  <c r="CC190" i="50" s="1"/>
  <c r="CC191" i="50" s="1"/>
  <c r="CC192" i="50" s="1"/>
  <c r="CC193" i="50" s="1"/>
  <c r="CC194" i="50" s="1"/>
  <c r="CC195" i="50" s="1"/>
  <c r="CC196" i="50" s="1"/>
  <c r="CC197" i="50" s="1"/>
  <c r="CC198" i="50" s="1"/>
  <c r="CC199" i="50" s="1"/>
  <c r="CC200" i="50" s="1"/>
  <c r="CD186" i="50"/>
  <c r="CD187" i="50" s="1"/>
  <c r="CD188" i="50" s="1"/>
  <c r="CD189" i="50" s="1"/>
  <c r="CD190" i="50" s="1"/>
  <c r="CD191" i="50" s="1"/>
  <c r="CD192" i="50" s="1"/>
  <c r="CD193" i="50" s="1"/>
  <c r="CD194" i="50" s="1"/>
  <c r="CD195" i="50" s="1"/>
  <c r="CD196" i="50" s="1"/>
  <c r="CD197" i="50" s="1"/>
  <c r="CD198" i="50" s="1"/>
  <c r="CD199" i="50" s="1"/>
  <c r="CD200" i="50" s="1"/>
  <c r="CD201" i="50" l="1"/>
  <c r="CB186" i="50"/>
  <c r="CC201" i="50"/>
  <c r="CC96" i="50"/>
  <c r="CC97" i="50" s="1"/>
  <c r="CC98" i="50" s="1"/>
  <c r="CC99" i="50" s="1"/>
  <c r="CC100" i="50" s="1"/>
  <c r="CC101" i="50" s="1"/>
  <c r="CC102" i="50" s="1"/>
  <c r="CC103" i="50" s="1"/>
  <c r="CC104" i="50" s="1"/>
  <c r="CC105" i="50" s="1"/>
  <c r="CC106" i="50" s="1"/>
  <c r="CC107" i="50" s="1"/>
  <c r="CC108" i="50" s="1"/>
  <c r="CC109" i="50" s="1"/>
  <c r="CC110" i="50" s="1"/>
  <c r="CC111" i="50" s="1"/>
  <c r="CD96" i="50"/>
  <c r="CD97" i="50" s="1"/>
  <c r="CD98" i="50" s="1"/>
  <c r="CD99" i="50" s="1"/>
  <c r="CD100" i="50" s="1"/>
  <c r="CD101" i="50" s="1"/>
  <c r="CD102" i="50" s="1"/>
  <c r="CD103" i="50" s="1"/>
  <c r="CD104" i="50" s="1"/>
  <c r="CD105" i="50" s="1"/>
  <c r="CD106" i="50" s="1"/>
  <c r="CD107" i="50" s="1"/>
  <c r="CD108" i="50" s="1"/>
  <c r="CD109" i="50" s="1"/>
  <c r="CD110" i="50" s="1"/>
  <c r="CD111" i="50" s="1"/>
  <c r="CD141" i="50"/>
  <c r="CD142" i="50" s="1"/>
  <c r="CD143" i="50" s="1"/>
  <c r="CD144" i="50" s="1"/>
  <c r="CD145" i="50" s="1"/>
  <c r="CD146" i="50" s="1"/>
  <c r="CD147" i="50" s="1"/>
  <c r="CD148" i="50" s="1"/>
  <c r="CD149" i="50" s="1"/>
  <c r="CD150" i="50" s="1"/>
  <c r="CD151" i="50" s="1"/>
  <c r="CD152" i="50" s="1"/>
  <c r="CD153" i="50" s="1"/>
  <c r="CD154" i="50" s="1"/>
  <c r="CD155" i="50" s="1"/>
  <c r="CD156" i="50" s="1"/>
  <c r="CC141" i="50"/>
  <c r="CC142" i="50" s="1"/>
  <c r="CC143" i="50" s="1"/>
  <c r="CC144" i="50" s="1"/>
  <c r="CC145" i="50" s="1"/>
  <c r="CC146" i="50" s="1"/>
  <c r="CC147" i="50" s="1"/>
  <c r="CC148" i="50" s="1"/>
  <c r="CC149" i="50" s="1"/>
  <c r="CC150" i="50" s="1"/>
  <c r="CC151" i="50" s="1"/>
  <c r="CC152" i="50" s="1"/>
  <c r="CC153" i="50" s="1"/>
  <c r="CC154" i="50" s="1"/>
  <c r="CC155" i="50" s="1"/>
  <c r="CC156" i="50" s="1"/>
  <c r="CB141" i="50" l="1"/>
  <c r="CE141" i="50" s="1"/>
  <c r="CB96" i="50"/>
  <c r="CE96" i="50" s="1"/>
  <c r="CB187" i="50"/>
  <c r="CE186" i="50"/>
  <c r="CD51" i="50"/>
  <c r="CD52" i="50" s="1"/>
  <c r="CD53" i="50" s="1"/>
  <c r="CD54" i="50" s="1"/>
  <c r="CD55" i="50" s="1"/>
  <c r="CD56" i="50" s="1"/>
  <c r="CD57" i="50" s="1"/>
  <c r="CD58" i="50" s="1"/>
  <c r="CD59" i="50" s="1"/>
  <c r="CD60" i="50" s="1"/>
  <c r="CD61" i="50" s="1"/>
  <c r="CD62" i="50" s="1"/>
  <c r="CD63" i="50" s="1"/>
  <c r="CD64" i="50" s="1"/>
  <c r="CD65" i="50" s="1"/>
  <c r="CD66" i="50" s="1"/>
  <c r="CC51" i="50"/>
  <c r="CC52" i="50" s="1"/>
  <c r="CC53" i="50" s="1"/>
  <c r="CC54" i="50" s="1"/>
  <c r="CC55" i="50" s="1"/>
  <c r="CC56" i="50" s="1"/>
  <c r="CC57" i="50" s="1"/>
  <c r="CC58" i="50" s="1"/>
  <c r="CC59" i="50" s="1"/>
  <c r="CC60" i="50" s="1"/>
  <c r="CC61" i="50" s="1"/>
  <c r="CC62" i="50" s="1"/>
  <c r="CC63" i="50" s="1"/>
  <c r="CC64" i="50" s="1"/>
  <c r="CC65" i="50" s="1"/>
  <c r="CC66" i="50" s="1"/>
  <c r="CB97" i="50" l="1"/>
  <c r="CB98" i="50" s="1"/>
  <c r="CB142" i="50"/>
  <c r="CE142" i="50" s="1"/>
  <c r="CB51" i="50"/>
  <c r="CB188" i="50"/>
  <c r="CE187" i="50"/>
  <c r="CE97" i="50" l="1"/>
  <c r="CB143" i="50"/>
  <c r="CB144" i="50" s="1"/>
  <c r="CB99" i="50"/>
  <c r="CE98" i="50"/>
  <c r="CB52" i="50"/>
  <c r="CE51" i="50"/>
  <c r="CB189" i="50"/>
  <c r="CE188" i="50"/>
  <c r="CE143" i="50" l="1"/>
  <c r="CB190" i="50"/>
  <c r="CE189" i="50"/>
  <c r="CB100" i="50"/>
  <c r="CE99" i="50"/>
  <c r="CB145" i="50"/>
  <c r="CE144" i="50"/>
  <c r="CB53" i="50"/>
  <c r="CE52" i="50"/>
  <c r="CB191" i="50" l="1"/>
  <c r="CE190" i="50"/>
  <c r="CB54" i="50"/>
  <c r="CE53" i="50"/>
  <c r="CB146" i="50"/>
  <c r="CE145" i="50"/>
  <c r="CB101" i="50"/>
  <c r="CE100" i="50"/>
  <c r="CB55" i="50" l="1"/>
  <c r="CE54" i="50"/>
  <c r="CE191" i="50"/>
  <c r="CB192" i="50"/>
  <c r="CE101" i="50"/>
  <c r="CB102" i="50"/>
  <c r="CE146" i="50"/>
  <c r="CB147" i="50"/>
  <c r="CB103" i="50" l="1"/>
  <c r="CE102" i="50"/>
  <c r="CB193" i="50"/>
  <c r="CE192" i="50"/>
  <c r="CB56" i="50"/>
  <c r="CE55" i="50"/>
  <c r="CB148" i="50"/>
  <c r="CE147" i="50"/>
  <c r="CB149" i="50" l="1"/>
  <c r="CE148" i="50"/>
  <c r="CB57" i="50"/>
  <c r="CE56" i="50"/>
  <c r="CB194" i="50"/>
  <c r="CE193" i="50"/>
  <c r="CB104" i="50"/>
  <c r="CE103" i="50"/>
  <c r="CB58" i="50" l="1"/>
  <c r="CE57" i="50"/>
  <c r="CB195" i="50"/>
  <c r="CE194" i="50"/>
  <c r="CB150" i="50"/>
  <c r="CE149" i="50"/>
  <c r="CE104" i="50"/>
  <c r="CB105" i="50"/>
  <c r="CB151" i="50" l="1"/>
  <c r="CE150" i="50"/>
  <c r="CB106" i="50"/>
  <c r="CE105" i="50"/>
  <c r="CE58" i="50"/>
  <c r="CB59" i="50"/>
  <c r="CE195" i="50"/>
  <c r="CB196" i="50"/>
  <c r="CB197" i="50" l="1"/>
  <c r="CE196" i="50"/>
  <c r="CB107" i="50"/>
  <c r="CE106" i="50"/>
  <c r="CB152" i="50"/>
  <c r="CE151" i="50"/>
  <c r="CB60" i="50"/>
  <c r="CE59" i="50"/>
  <c r="CB198" i="50" l="1"/>
  <c r="CE197" i="50"/>
  <c r="CB153" i="50"/>
  <c r="CE152" i="50"/>
  <c r="CB61" i="50"/>
  <c r="CE60" i="50"/>
  <c r="CB108" i="50"/>
  <c r="CE107" i="50"/>
  <c r="CE61" i="50" l="1"/>
  <c r="CB62" i="50"/>
  <c r="CB109" i="50"/>
  <c r="CE108" i="50"/>
  <c r="CE153" i="50"/>
  <c r="CB154" i="50"/>
  <c r="CB199" i="50"/>
  <c r="CE198" i="50"/>
  <c r="CB200" i="50" l="1"/>
  <c r="CE199" i="50"/>
  <c r="CB110" i="50"/>
  <c r="CE109" i="50"/>
  <c r="CB63" i="50"/>
  <c r="CE62" i="50"/>
  <c r="CB155" i="50"/>
  <c r="CE154" i="50"/>
  <c r="CB111" i="50" l="1"/>
  <c r="CE110" i="50"/>
  <c r="CB156" i="50"/>
  <c r="CE155" i="50"/>
  <c r="CE200" i="50"/>
  <c r="CB201" i="50"/>
  <c r="CE201" i="50" s="1"/>
  <c r="CB64" i="50"/>
  <c r="CE63" i="50"/>
  <c r="CB65" i="50" l="1"/>
  <c r="CE64" i="50"/>
  <c r="CE111" i="50"/>
  <c r="CE156" i="50"/>
  <c r="CB66" i="50" l="1"/>
  <c r="CE66" i="50" s="1"/>
  <c r="CE65" i="50"/>
  <c r="BT7" i="60" l="1"/>
  <c r="BT8" i="60" s="1"/>
  <c r="BX8" i="60" s="1"/>
  <c r="BX6" i="60"/>
  <c r="AC22" i="56"/>
  <c r="BX7" i="60" l="1"/>
  <c r="BT9" i="60"/>
  <c r="AC10" i="56"/>
  <c r="BT10" i="60" l="1"/>
  <c r="BX9" i="60"/>
  <c r="AC11" i="56"/>
  <c r="BX10" i="60" l="1"/>
  <c r="BT11" i="60"/>
  <c r="AC9" i="56"/>
  <c r="BX11" i="60" l="1"/>
  <c r="BT12" i="60"/>
  <c r="BX12" i="60" l="1"/>
  <c r="BT13" i="60"/>
  <c r="AC6" i="56"/>
  <c r="AC8" i="56"/>
  <c r="BT14" i="60" l="1"/>
  <c r="BX13" i="60"/>
  <c r="AC21" i="56"/>
  <c r="BT15" i="60" l="1"/>
  <c r="BX14" i="60"/>
  <c r="AC19" i="56"/>
  <c r="BX15" i="60" l="1"/>
  <c r="BT16" i="60"/>
  <c r="AC5" i="56"/>
  <c r="BX16" i="60" l="1"/>
  <c r="BT17" i="60"/>
  <c r="AC7" i="56"/>
  <c r="BT18" i="60" l="1"/>
  <c r="BX17" i="60"/>
  <c r="BT19" i="60" l="1"/>
  <c r="BX18" i="60"/>
  <c r="AC13" i="56"/>
  <c r="BX19" i="60" l="1"/>
  <c r="BT20" i="60"/>
  <c r="AC17" i="56"/>
  <c r="BT21" i="60" l="1"/>
  <c r="BX21" i="60" s="1"/>
  <c r="BX20" i="60"/>
  <c r="AC23" i="56"/>
  <c r="BG6" i="60" l="1"/>
  <c r="BG7" i="60" s="1"/>
  <c r="BG8" i="60" s="1"/>
  <c r="BG9" i="60" s="1"/>
  <c r="BG10" i="60" s="1"/>
  <c r="BG11" i="60" s="1"/>
  <c r="BG12" i="60" s="1"/>
  <c r="BG13" i="60" s="1"/>
  <c r="BG14" i="60" s="1"/>
  <c r="BG15" i="60" s="1"/>
  <c r="BG16" i="60" s="1"/>
  <c r="BG17" i="60" s="1"/>
  <c r="BG18" i="60" s="1"/>
  <c r="BG19" i="60" s="1"/>
  <c r="BG20" i="60" s="1"/>
  <c r="BG21" i="60" s="1"/>
  <c r="AC18" i="56"/>
  <c r="AC20" i="56"/>
  <c r="AC14" i="56"/>
  <c r="AC16" i="56"/>
  <c r="AC12" i="56"/>
  <c r="AC15" i="56"/>
  <c r="CB6" i="50" l="1"/>
  <c r="BH6" i="60"/>
  <c r="CC6" i="50"/>
  <c r="CC7" i="50" s="1"/>
  <c r="CC8" i="50" s="1"/>
  <c r="CC9" i="50" s="1"/>
  <c r="CC10" i="50" s="1"/>
  <c r="CC11" i="50" s="1"/>
  <c r="CC12" i="50" s="1"/>
  <c r="CC13" i="50" s="1"/>
  <c r="CC14" i="50" s="1"/>
  <c r="CC15" i="50" s="1"/>
  <c r="CC16" i="50" s="1"/>
  <c r="CC17" i="50" s="1"/>
  <c r="CC18" i="50" s="1"/>
  <c r="CC19" i="50" s="1"/>
  <c r="CC20" i="50" s="1"/>
  <c r="CC21" i="50" s="1"/>
  <c r="CD6" i="50"/>
  <c r="CD7" i="50" s="1"/>
  <c r="CD8" i="50" s="1"/>
  <c r="CD9" i="50" s="1"/>
  <c r="CD10" i="50" s="1"/>
  <c r="CD11" i="50" s="1"/>
  <c r="CD12" i="50" s="1"/>
  <c r="CD13" i="50" s="1"/>
  <c r="CD14" i="50" s="1"/>
  <c r="CD15" i="50" s="1"/>
  <c r="CD16" i="50" s="1"/>
  <c r="CD17" i="50" s="1"/>
  <c r="CD18" i="50" s="1"/>
  <c r="CD19" i="50" s="1"/>
  <c r="CD20" i="50" s="1"/>
  <c r="CD21" i="50" s="1"/>
  <c r="BI6" i="60"/>
  <c r="BI7" i="60" s="1"/>
  <c r="BI8" i="60" s="1"/>
  <c r="BI9" i="60" s="1"/>
  <c r="BI10" i="60" s="1"/>
  <c r="BI11" i="60" s="1"/>
  <c r="BI12" i="60" s="1"/>
  <c r="BI13" i="60" s="1"/>
  <c r="BI14" i="60" s="1"/>
  <c r="BI15" i="60" s="1"/>
  <c r="BI16" i="60" s="1"/>
  <c r="BI17" i="60" s="1"/>
  <c r="BI18" i="60" s="1"/>
  <c r="BI19" i="60" s="1"/>
  <c r="BI20" i="60" s="1"/>
  <c r="BI21" i="60" s="1"/>
  <c r="BJ6" i="60" l="1"/>
  <c r="BH7" i="60"/>
  <c r="CE6" i="50"/>
  <c r="CB7" i="50"/>
  <c r="CE7" i="50" l="1"/>
  <c r="CB8" i="50"/>
  <c r="BH8" i="60"/>
  <c r="BJ7" i="60"/>
  <c r="BH9" i="60" l="1"/>
  <c r="BJ8" i="60"/>
  <c r="CB9" i="50"/>
  <c r="CE8" i="50"/>
  <c r="BH10" i="60" l="1"/>
  <c r="BJ9" i="60"/>
  <c r="CB10" i="50"/>
  <c r="CE9" i="50"/>
  <c r="BH11" i="60" l="1"/>
  <c r="BJ10" i="60"/>
  <c r="CE10" i="50"/>
  <c r="CB11" i="50"/>
  <c r="CE11" i="50" l="1"/>
  <c r="CB12" i="50"/>
  <c r="BH12" i="60"/>
  <c r="BJ11" i="60"/>
  <c r="BJ12" i="60" l="1"/>
  <c r="BH13" i="60"/>
  <c r="CB13" i="50"/>
  <c r="CE12" i="50"/>
  <c r="CE13" i="50" l="1"/>
  <c r="CB14" i="50"/>
  <c r="BH14" i="60"/>
  <c r="BJ13" i="60"/>
  <c r="CE14" i="50" l="1"/>
  <c r="CB15" i="50"/>
  <c r="BH15" i="60"/>
  <c r="BJ14" i="60"/>
  <c r="BH16" i="60" l="1"/>
  <c r="BJ15" i="60"/>
  <c r="CE15" i="50"/>
  <c r="CB16" i="50"/>
  <c r="CE16" i="50" l="1"/>
  <c r="CB17" i="50"/>
  <c r="BH17" i="60"/>
  <c r="BJ16" i="60"/>
  <c r="BH18" i="60" l="1"/>
  <c r="BJ17" i="60"/>
  <c r="CB18" i="50"/>
  <c r="CE17" i="50"/>
  <c r="CE18" i="50" l="1"/>
  <c r="CB19" i="50"/>
  <c r="BH19" i="60"/>
  <c r="BJ18" i="60"/>
  <c r="BJ19" i="60" l="1"/>
  <c r="BH20" i="60"/>
  <c r="CB20" i="50"/>
  <c r="CE19" i="50"/>
  <c r="BH21" i="60" l="1"/>
  <c r="BJ21" i="60" s="1"/>
  <c r="BJ20" i="60"/>
  <c r="CE20" i="50"/>
  <c r="CB21" i="50"/>
  <c r="CE21" i="50" s="1"/>
  <c r="BP96" i="60" l="1"/>
  <c r="BW96" i="60" s="1"/>
  <c r="BY96" i="60" s="1"/>
  <c r="BP51" i="60"/>
  <c r="BW51" i="60" s="1"/>
  <c r="BY51" i="60" s="1"/>
  <c r="BP6" i="60"/>
  <c r="BP186" i="60"/>
  <c r="BW186" i="60" s="1"/>
  <c r="BY186" i="60" s="1"/>
  <c r="BP141" i="60"/>
  <c r="BW141" i="60" l="1"/>
  <c r="BY141" i="60" s="1"/>
  <c r="BW6" i="60"/>
  <c r="BY6" i="60" s="1"/>
  <c r="BP187" i="60" l="1"/>
  <c r="BW187" i="60" s="1"/>
  <c r="BY187" i="60" s="1"/>
  <c r="BP97" i="60"/>
  <c r="BW97" i="60" s="1"/>
  <c r="BY97" i="60" s="1"/>
  <c r="BP52" i="60"/>
  <c r="BW52" i="60" s="1"/>
  <c r="BY52" i="60" s="1"/>
  <c r="BP142" i="60"/>
  <c r="BW142" i="60" s="1"/>
  <c r="BY142" i="60" s="1"/>
  <c r="BP7" i="60"/>
  <c r="BW7" i="60" l="1"/>
  <c r="BY7" i="60" s="1"/>
  <c r="BP188" i="60" l="1"/>
  <c r="BW188" i="60" s="1"/>
  <c r="BY188" i="60" s="1"/>
  <c r="BP143" i="60"/>
  <c r="BW143" i="60" s="1"/>
  <c r="BY143" i="60" s="1"/>
  <c r="BP53" i="60"/>
  <c r="BW53" i="60" s="1"/>
  <c r="BY53" i="60" s="1"/>
  <c r="BP98" i="60"/>
  <c r="BW98" i="60" s="1"/>
  <c r="BY98" i="60" s="1"/>
  <c r="BP8" i="60"/>
  <c r="BW8" i="60" l="1"/>
  <c r="BY8" i="60" s="1"/>
  <c r="BP189" i="60" l="1"/>
  <c r="BP144" i="60"/>
  <c r="BW144" i="60" s="1"/>
  <c r="BY144" i="60" s="1"/>
  <c r="BP54" i="60"/>
  <c r="BW54" i="60" s="1"/>
  <c r="BY54" i="60" s="1"/>
  <c r="BP99" i="60"/>
  <c r="BW99" i="60" s="1"/>
  <c r="BY99" i="60" s="1"/>
  <c r="BP9" i="60"/>
  <c r="BW189" i="60" l="1"/>
  <c r="BY189" i="60" s="1"/>
  <c r="BW9" i="60"/>
  <c r="BY9" i="60" s="1"/>
  <c r="BP145" i="60" l="1"/>
  <c r="BW145" i="60" s="1"/>
  <c r="BY145" i="60" s="1"/>
  <c r="BP55" i="60"/>
  <c r="BW55" i="60" s="1"/>
  <c r="BY55" i="60" s="1"/>
  <c r="BP100" i="60"/>
  <c r="BW100" i="60" s="1"/>
  <c r="BY100" i="60" s="1"/>
  <c r="BP190" i="60"/>
  <c r="BW190" i="60" s="1"/>
  <c r="BY190" i="60" s="1"/>
  <c r="BP10" i="60"/>
  <c r="BW10" i="60" l="1"/>
  <c r="BY10" i="60" s="1"/>
  <c r="BP191" i="60" l="1"/>
  <c r="BW191" i="60" s="1"/>
  <c r="BY191" i="60" s="1"/>
  <c r="BP146" i="60"/>
  <c r="BW146" i="60" s="1"/>
  <c r="BY146" i="60" s="1"/>
  <c r="BP56" i="60"/>
  <c r="BW56" i="60" s="1"/>
  <c r="BY56" i="60" s="1"/>
  <c r="BP101" i="60"/>
  <c r="BW101" i="60" s="1"/>
  <c r="BY101" i="60" s="1"/>
  <c r="BP11" i="60"/>
  <c r="BW11" i="60" l="1"/>
  <c r="BY11" i="60" s="1"/>
  <c r="O3" i="63" l="1"/>
  <c r="X3" i="63"/>
  <c r="AC3" i="63" s="1"/>
  <c r="Z3" i="63"/>
  <c r="AE3" i="63" s="1"/>
  <c r="Y3" i="63"/>
  <c r="AD3" i="63" s="1"/>
  <c r="X7" i="63"/>
  <c r="AC7" i="63" s="1"/>
  <c r="Z5" i="63"/>
  <c r="AE5" i="63" s="1"/>
  <c r="Y5" i="63"/>
  <c r="AD5" i="63" s="1"/>
  <c r="X5" i="63"/>
  <c r="AC5" i="63" s="1"/>
  <c r="Y6" i="63"/>
  <c r="AD6" i="63" s="1"/>
  <c r="X6" i="63"/>
  <c r="AC6" i="63" s="1"/>
  <c r="Z4" i="63"/>
  <c r="AE4" i="63" s="1"/>
  <c r="Y4" i="63"/>
  <c r="AD4" i="63" s="1"/>
  <c r="X4" i="63"/>
  <c r="AC4" i="63" s="1"/>
  <c r="AJ3" i="63" l="1"/>
  <c r="AK3" i="63"/>
  <c r="AL3" i="63"/>
  <c r="BP192" i="60" l="1"/>
  <c r="BW192" i="60" s="1"/>
  <c r="BY192" i="60" s="1"/>
  <c r="BP147" i="60"/>
  <c r="BW147" i="60" s="1"/>
  <c r="BY147" i="60" s="1"/>
  <c r="BP57" i="60"/>
  <c r="BW57" i="60" s="1"/>
  <c r="BY57" i="60" s="1"/>
  <c r="BP102" i="60"/>
  <c r="BW102" i="60" s="1"/>
  <c r="BY102" i="60" s="1"/>
  <c r="BP12" i="60"/>
  <c r="O4" i="63" l="1"/>
  <c r="BW12" i="60"/>
  <c r="BY12" i="60" s="1"/>
  <c r="AA5" i="63"/>
  <c r="AF5" i="63" s="1"/>
  <c r="Y7" i="63"/>
  <c r="AD7" i="63" s="1"/>
  <c r="Z10" i="63"/>
  <c r="AE10" i="63" s="1"/>
  <c r="X12" i="63"/>
  <c r="AC12" i="63" s="1"/>
  <c r="AB5" i="63"/>
  <c r="AG5" i="63" s="1"/>
  <c r="Z7" i="63"/>
  <c r="AE7" i="63" s="1"/>
  <c r="AA7" i="63"/>
  <c r="AF7" i="63" s="1"/>
  <c r="Y9" i="63"/>
  <c r="AD9" i="63" s="1"/>
  <c r="AA4" i="63"/>
  <c r="AF4" i="63" s="1"/>
  <c r="Z9" i="63"/>
  <c r="AE9" i="63" s="1"/>
  <c r="X11" i="63"/>
  <c r="AC11" i="63" s="1"/>
  <c r="AB4" i="63"/>
  <c r="AG4" i="63" s="1"/>
  <c r="Z6" i="63"/>
  <c r="AE6" i="63" s="1"/>
  <c r="X8" i="63"/>
  <c r="AC8" i="63" s="1"/>
  <c r="Y11" i="63"/>
  <c r="AD11" i="63" s="1"/>
  <c r="AA6" i="63"/>
  <c r="AF6" i="63" s="1"/>
  <c r="Y8" i="63"/>
  <c r="AD8" i="63" s="1"/>
  <c r="AB6" i="63"/>
  <c r="AG6" i="63" s="1"/>
  <c r="Z8" i="63"/>
  <c r="AE8" i="63" s="1"/>
  <c r="X10" i="63"/>
  <c r="AC10" i="63" s="1"/>
  <c r="Y10" i="63"/>
  <c r="AD10" i="63" s="1"/>
  <c r="Y12" i="63"/>
  <c r="AD12" i="63" s="1"/>
  <c r="X13" i="63"/>
  <c r="AC13" i="63" s="1"/>
  <c r="X9" i="63"/>
  <c r="AC9" i="63" s="1"/>
  <c r="X14" i="63"/>
  <c r="AC14" i="63" s="1"/>
  <c r="AB3" i="63"/>
  <c r="AG3" i="63" s="1"/>
  <c r="AA3" i="63"/>
  <c r="AF3" i="63" s="1"/>
  <c r="AM3" i="63" l="1"/>
  <c r="AN3" i="63"/>
  <c r="AJ4" i="63"/>
  <c r="O5" i="63" l="1"/>
  <c r="AB8" i="63"/>
  <c r="AG8" i="63" s="1"/>
  <c r="AA13" i="63"/>
  <c r="AF13" i="63" s="1"/>
  <c r="Y15" i="63"/>
  <c r="AD15" i="63" s="1"/>
  <c r="X20" i="63"/>
  <c r="AC20" i="63" s="1"/>
  <c r="AB10" i="63"/>
  <c r="AG10" i="63" s="1"/>
  <c r="AB7" i="63"/>
  <c r="AG7" i="63" s="1"/>
  <c r="AA12" i="63"/>
  <c r="AF12" i="63" s="1"/>
  <c r="AA9" i="63"/>
  <c r="AF9" i="63" s="1"/>
  <c r="AB9" i="63"/>
  <c r="AG9" i="63" s="1"/>
  <c r="AA11" i="63"/>
  <c r="AF11" i="63" s="1"/>
  <c r="Y13" i="63"/>
  <c r="AD13" i="63" s="1"/>
  <c r="Z16" i="63"/>
  <c r="AE16" i="63" s="1"/>
  <c r="X18" i="63"/>
  <c r="AC18" i="63" s="1"/>
  <c r="AA8" i="63"/>
  <c r="AF8" i="63" s="1"/>
  <c r="AB11" i="63"/>
  <c r="AG11" i="63" s="1"/>
  <c r="Z13" i="63"/>
  <c r="AE13" i="63" s="1"/>
  <c r="X15" i="63"/>
  <c r="AC15" i="63" s="1"/>
  <c r="Y18" i="63"/>
  <c r="AD18" i="63" s="1"/>
  <c r="AA10" i="63"/>
  <c r="AF10" i="63" s="1"/>
  <c r="Y14" i="63"/>
  <c r="AD14" i="63" s="1"/>
  <c r="X17" i="63"/>
  <c r="AC17" i="63" s="1"/>
  <c r="Y19" i="63"/>
  <c r="AD19" i="63" s="1"/>
  <c r="Z11" i="63"/>
  <c r="AE11" i="63" s="1"/>
  <c r="Z14" i="63"/>
  <c r="AE14" i="63" s="1"/>
  <c r="Y17" i="63"/>
  <c r="AD17" i="63" s="1"/>
  <c r="AA14" i="63"/>
  <c r="AF14" i="63" s="1"/>
  <c r="Z17" i="63"/>
  <c r="AE17" i="63" s="1"/>
  <c r="Z12" i="63"/>
  <c r="AE12" i="63" s="1"/>
  <c r="Z15" i="63"/>
  <c r="AE15" i="63" s="1"/>
  <c r="AB12" i="63"/>
  <c r="AG12" i="63" s="1"/>
  <c r="AB13" i="63"/>
  <c r="AG13" i="63" s="1"/>
  <c r="X16" i="63"/>
  <c r="AC16" i="63" s="1"/>
  <c r="X21" i="63"/>
  <c r="AC21" i="63" s="1"/>
  <c r="Y16" i="63"/>
  <c r="AD16" i="63" s="1"/>
  <c r="X19" i="63"/>
  <c r="AC19" i="63" s="1"/>
  <c r="AN4" i="63" l="1"/>
  <c r="AL4" i="63"/>
  <c r="AK4" i="63"/>
  <c r="AM4" i="63"/>
  <c r="BP193" i="60" l="1"/>
  <c r="BW193" i="60" s="1"/>
  <c r="BY193" i="60" s="1"/>
  <c r="BP148" i="60"/>
  <c r="BW148" i="60" s="1"/>
  <c r="BY148" i="60" s="1"/>
  <c r="BP58" i="60"/>
  <c r="BW58" i="60" s="1"/>
  <c r="BY58" i="60" s="1"/>
  <c r="BP103" i="60"/>
  <c r="BW103" i="60" s="1"/>
  <c r="BY103" i="60" s="1"/>
  <c r="BP13" i="60"/>
  <c r="BW13" i="60" l="1"/>
  <c r="BY13" i="60" s="1"/>
  <c r="O6" i="63" l="1"/>
  <c r="AB16" i="63"/>
  <c r="AG16" i="63" s="1"/>
  <c r="Z18" i="63"/>
  <c r="AE18" i="63" s="1"/>
  <c r="Y23" i="63"/>
  <c r="AD23" i="63" s="1"/>
  <c r="X28" i="63"/>
  <c r="AC28" i="63" s="1"/>
  <c r="AB14" i="63"/>
  <c r="AG14" i="63" s="1"/>
  <c r="AA19" i="63"/>
  <c r="AF19" i="63" s="1"/>
  <c r="Y21" i="63"/>
  <c r="AD21" i="63" s="1"/>
  <c r="Z24" i="63"/>
  <c r="AE24" i="63" s="1"/>
  <c r="X26" i="63"/>
  <c r="AC26" i="63" s="1"/>
  <c r="AA16" i="63"/>
  <c r="AF16" i="63" s="1"/>
  <c r="Z21" i="63"/>
  <c r="AE21" i="63" s="1"/>
  <c r="X23" i="63"/>
  <c r="AC23" i="63" s="1"/>
  <c r="X22" i="63"/>
  <c r="AC22" i="63" s="1"/>
  <c r="Y24" i="63"/>
  <c r="AD24" i="63" s="1"/>
  <c r="X27" i="63"/>
  <c r="AC27" i="63" s="1"/>
  <c r="Z19" i="63"/>
  <c r="AE19" i="63" s="1"/>
  <c r="Y22" i="63"/>
  <c r="AD22" i="63" s="1"/>
  <c r="X25" i="63"/>
  <c r="AC25" i="63" s="1"/>
  <c r="Y20" i="63"/>
  <c r="AD20" i="63" s="1"/>
  <c r="Z22" i="63"/>
  <c r="AE22" i="63" s="1"/>
  <c r="Y25" i="63"/>
  <c r="AD25" i="63" s="1"/>
  <c r="AA17" i="63"/>
  <c r="AF17" i="63" s="1"/>
  <c r="Z20" i="63"/>
  <c r="AE20" i="63" s="1"/>
  <c r="AA15" i="63"/>
  <c r="AF15" i="63" s="1"/>
  <c r="AB17" i="63"/>
  <c r="AG17" i="63" s="1"/>
  <c r="Z23" i="63"/>
  <c r="AE23" i="63" s="1"/>
  <c r="AB15" i="63"/>
  <c r="AG15" i="63" s="1"/>
  <c r="AA18" i="63"/>
  <c r="AF18" i="63" s="1"/>
  <c r="AB18" i="63"/>
  <c r="AG18" i="63" s="1"/>
  <c r="X24" i="63"/>
  <c r="AC24" i="63" s="1"/>
  <c r="AL5" i="63" l="1"/>
  <c r="AJ5" i="63"/>
  <c r="AK5" i="63"/>
  <c r="BP194" i="60" l="1"/>
  <c r="BW194" i="60" s="1"/>
  <c r="BY194" i="60" s="1"/>
  <c r="BP149" i="60"/>
  <c r="BW149" i="60" s="1"/>
  <c r="BY149" i="60" s="1"/>
  <c r="BP59" i="60"/>
  <c r="BW59" i="60" s="1"/>
  <c r="BY59" i="60" s="1"/>
  <c r="BP104" i="60"/>
  <c r="BW104" i="60" s="1"/>
  <c r="BY104" i="60" s="1"/>
  <c r="BP14" i="60"/>
  <c r="BW14" i="60" l="1"/>
  <c r="BY14" i="60" s="1"/>
  <c r="O7" i="63" l="1"/>
  <c r="AA21" i="63"/>
  <c r="AF21" i="63" s="1"/>
  <c r="Z26" i="63"/>
  <c r="AE26" i="63" s="1"/>
  <c r="Y31" i="63"/>
  <c r="AD31" i="63" s="1"/>
  <c r="AB22" i="63"/>
  <c r="AG22" i="63" s="1"/>
  <c r="Y29" i="63"/>
  <c r="AD29" i="63" s="1"/>
  <c r="X34" i="63"/>
  <c r="AC34" i="63" s="1"/>
  <c r="AB19" i="63"/>
  <c r="AG19" i="63" s="1"/>
  <c r="AA24" i="63"/>
  <c r="AF24" i="63" s="1"/>
  <c r="Y26" i="63"/>
  <c r="AD26" i="63" s="1"/>
  <c r="Z29" i="63"/>
  <c r="AE29" i="63" s="1"/>
  <c r="X31" i="63"/>
  <c r="AC31" i="63" s="1"/>
  <c r="X32" i="63"/>
  <c r="AC32" i="63" s="1"/>
  <c r="Y27" i="63"/>
  <c r="AD27" i="63" s="1"/>
  <c r="X30" i="63"/>
  <c r="AC30" i="63" s="1"/>
  <c r="X35" i="63"/>
  <c r="AC35" i="63" s="1"/>
  <c r="Z27" i="63"/>
  <c r="AE27" i="63" s="1"/>
  <c r="Y30" i="63"/>
  <c r="AD30" i="63" s="1"/>
  <c r="X33" i="63"/>
  <c r="AC33" i="63" s="1"/>
  <c r="AA22" i="63"/>
  <c r="AF22" i="63" s="1"/>
  <c r="Y28" i="63"/>
  <c r="AD28" i="63" s="1"/>
  <c r="AA20" i="63"/>
  <c r="AF20" i="63" s="1"/>
  <c r="Z28" i="63"/>
  <c r="AE28" i="63" s="1"/>
  <c r="AB20" i="63"/>
  <c r="AG20" i="63" s="1"/>
  <c r="AA23" i="63"/>
  <c r="AF23" i="63" s="1"/>
  <c r="AB23" i="63"/>
  <c r="AG23" i="63" s="1"/>
  <c r="AB21" i="63"/>
  <c r="AG21" i="63" s="1"/>
  <c r="X29" i="63"/>
  <c r="AC29" i="63" s="1"/>
  <c r="Z25" i="63"/>
  <c r="AE25" i="63" s="1"/>
  <c r="AN5" i="63" l="1"/>
  <c r="AM5" i="63"/>
  <c r="AJ6" i="63"/>
  <c r="O8" i="63" l="1"/>
  <c r="AB24" i="63"/>
  <c r="AG24" i="63" s="1"/>
  <c r="AA29" i="63"/>
  <c r="AF29" i="63" s="1"/>
  <c r="Z34" i="63"/>
  <c r="AE34" i="63" s="1"/>
  <c r="X36" i="63"/>
  <c r="AC36" i="63" s="1"/>
  <c r="AA27" i="63"/>
  <c r="AF27" i="63" s="1"/>
  <c r="Z32" i="63"/>
  <c r="AE32" i="63" s="1"/>
  <c r="Y37" i="63"/>
  <c r="AD37" i="63" s="1"/>
  <c r="X42" i="63"/>
  <c r="AC42" i="63" s="1"/>
  <c r="AB27" i="63"/>
  <c r="AG27" i="63" s="1"/>
  <c r="Y34" i="63"/>
  <c r="AD34" i="63" s="1"/>
  <c r="X39" i="63"/>
  <c r="AC39" i="63" s="1"/>
  <c r="X37" i="63"/>
  <c r="AC37" i="63" s="1"/>
  <c r="Y32" i="63"/>
  <c r="AD32" i="63" s="1"/>
  <c r="X40" i="63"/>
  <c r="AC40" i="63" s="1"/>
  <c r="Y35" i="63"/>
  <c r="AD35" i="63" s="1"/>
  <c r="X38" i="63"/>
  <c r="AC38" i="63" s="1"/>
  <c r="Z30" i="63"/>
  <c r="AE30" i="63" s="1"/>
  <c r="X41" i="63"/>
  <c r="AC41" i="63" s="1"/>
  <c r="Y33" i="63"/>
  <c r="AD33" i="63" s="1"/>
  <c r="AA25" i="63"/>
  <c r="AF25" i="63" s="1"/>
  <c r="Z33" i="63"/>
  <c r="AE33" i="63" s="1"/>
  <c r="Y36" i="63"/>
  <c r="AD36" i="63" s="1"/>
  <c r="AB25" i="63"/>
  <c r="AG25" i="63" s="1"/>
  <c r="AA28" i="63"/>
  <c r="AF28" i="63" s="1"/>
  <c r="Z31" i="63"/>
  <c r="AE31" i="63" s="1"/>
  <c r="AA26" i="63"/>
  <c r="AF26" i="63" s="1"/>
  <c r="AB26" i="63"/>
  <c r="AG26" i="63" s="1"/>
  <c r="AL6" i="63" l="1"/>
  <c r="AK6" i="63"/>
  <c r="BP195" i="60"/>
  <c r="BW195" i="60" s="1"/>
  <c r="BY195" i="60" s="1"/>
  <c r="BP150" i="60"/>
  <c r="BW150" i="60" s="1"/>
  <c r="BY150" i="60" s="1"/>
  <c r="BP60" i="60"/>
  <c r="BW60" i="60" s="1"/>
  <c r="BY60" i="60" s="1"/>
  <c r="BP105" i="60"/>
  <c r="BW105" i="60" s="1"/>
  <c r="BY105" i="60" s="1"/>
  <c r="BP15" i="60"/>
  <c r="BW15" i="60" l="1"/>
  <c r="BY15" i="60" s="1"/>
  <c r="O9" i="63" l="1"/>
  <c r="AB32" i="63"/>
  <c r="AG32" i="63" s="1"/>
  <c r="Y39" i="63"/>
  <c r="AD39" i="63" s="1"/>
  <c r="X44" i="63"/>
  <c r="AC44" i="63" s="1"/>
  <c r="AB30" i="63"/>
  <c r="AG30" i="63" s="1"/>
  <c r="AA32" i="63"/>
  <c r="AF32" i="63" s="1"/>
  <c r="Z37" i="63"/>
  <c r="AE37" i="63" s="1"/>
  <c r="Y42" i="63"/>
  <c r="AD42" i="63" s="1"/>
  <c r="X47" i="63"/>
  <c r="AC47" i="63" s="1"/>
  <c r="AB29" i="63"/>
  <c r="AG29" i="63" s="1"/>
  <c r="X45" i="63"/>
  <c r="AC45" i="63" s="1"/>
  <c r="Y40" i="63"/>
  <c r="AD40" i="63" s="1"/>
  <c r="X43" i="63"/>
  <c r="AC43" i="63" s="1"/>
  <c r="X48" i="63"/>
  <c r="AC48" i="63" s="1"/>
  <c r="Z35" i="63"/>
  <c r="AE35" i="63" s="1"/>
  <c r="Y38" i="63"/>
  <c r="AD38" i="63" s="1"/>
  <c r="X46" i="63"/>
  <c r="AC46" i="63" s="1"/>
  <c r="AA30" i="63"/>
  <c r="AF30" i="63" s="1"/>
  <c r="Z38" i="63"/>
  <c r="AE38" i="63" s="1"/>
  <c r="Y41" i="63"/>
  <c r="AD41" i="63" s="1"/>
  <c r="X49" i="63"/>
  <c r="AC49" i="63" s="1"/>
  <c r="AA33" i="63"/>
  <c r="AF33" i="63" s="1"/>
  <c r="Z36" i="63"/>
  <c r="AE36" i="63" s="1"/>
  <c r="AB28" i="63"/>
  <c r="AG28" i="63" s="1"/>
  <c r="AA31" i="63"/>
  <c r="AF31" i="63" s="1"/>
  <c r="Z39" i="63"/>
  <c r="AE39" i="63" s="1"/>
  <c r="AB31" i="63"/>
  <c r="AG31" i="63" s="1"/>
  <c r="AA34" i="63"/>
  <c r="AF34" i="63" s="1"/>
  <c r="Y43" i="63"/>
  <c r="AD43" i="63" s="1"/>
  <c r="AK7" i="63" l="1"/>
  <c r="AM6" i="63"/>
  <c r="AJ7" i="63"/>
  <c r="BP196" i="60" l="1"/>
  <c r="BW196" i="60" s="1"/>
  <c r="BY196" i="60" s="1"/>
  <c r="BP151" i="60"/>
  <c r="BW151" i="60" s="1"/>
  <c r="BY151" i="60" s="1"/>
  <c r="BP61" i="60"/>
  <c r="BW61" i="60" s="1"/>
  <c r="BY61" i="60" s="1"/>
  <c r="BP106" i="60"/>
  <c r="BW106" i="60" s="1"/>
  <c r="BY106" i="60" s="1"/>
  <c r="BP16" i="60"/>
  <c r="BW16" i="60" l="1"/>
  <c r="BY16" i="60" s="1"/>
  <c r="O10" i="63" l="1"/>
  <c r="AA37" i="63"/>
  <c r="AF37" i="63" s="1"/>
  <c r="Z42" i="63"/>
  <c r="AE42" i="63" s="1"/>
  <c r="Y47" i="63"/>
  <c r="AD47" i="63" s="1"/>
  <c r="X52" i="63"/>
  <c r="AC52" i="63" s="1"/>
  <c r="AA35" i="63"/>
  <c r="AF35" i="63" s="1"/>
  <c r="AB38" i="63"/>
  <c r="AG38" i="63" s="1"/>
  <c r="Z40" i="63"/>
  <c r="AE40" i="63" s="1"/>
  <c r="Y45" i="63"/>
  <c r="AD45" i="63" s="1"/>
  <c r="X50" i="63"/>
  <c r="AC50" i="63" s="1"/>
  <c r="AB35" i="63"/>
  <c r="AG35" i="63" s="1"/>
  <c r="Z45" i="63"/>
  <c r="AE45" i="63" s="1"/>
  <c r="Y50" i="63"/>
  <c r="AD50" i="63" s="1"/>
  <c r="X55" i="63"/>
  <c r="AC55" i="63" s="1"/>
  <c r="Y48" i="63"/>
  <c r="AD48" i="63" s="1"/>
  <c r="AB34" i="63"/>
  <c r="AG34" i="63" s="1"/>
  <c r="AB37" i="63"/>
  <c r="AG37" i="63" s="1"/>
  <c r="X53" i="63"/>
  <c r="AC53" i="63" s="1"/>
  <c r="X51" i="63"/>
  <c r="AC51" i="63" s="1"/>
  <c r="X56" i="63"/>
  <c r="AC56" i="63" s="1"/>
  <c r="Z43" i="63"/>
  <c r="AE43" i="63" s="1"/>
  <c r="Y46" i="63"/>
  <c r="AD46" i="63" s="1"/>
  <c r="X54" i="63"/>
  <c r="AC54" i="63" s="1"/>
  <c r="AA38" i="63"/>
  <c r="AF38" i="63" s="1"/>
  <c r="Z41" i="63"/>
  <c r="AE41" i="63" s="1"/>
  <c r="Y44" i="63"/>
  <c r="AD44" i="63" s="1"/>
  <c r="Y49" i="63"/>
  <c r="AD49" i="63" s="1"/>
  <c r="AB33" i="63"/>
  <c r="AG33" i="63" s="1"/>
  <c r="AA36" i="63"/>
  <c r="AF36" i="63" s="1"/>
  <c r="Z44" i="63"/>
  <c r="AE44" i="63" s="1"/>
  <c r="AB36" i="63"/>
  <c r="AG36" i="63" s="1"/>
  <c r="AA39" i="63"/>
  <c r="AF39" i="63" s="1"/>
  <c r="AN6" i="63" l="1"/>
  <c r="AL7" i="63"/>
  <c r="AJ8" i="63"/>
  <c r="O11" i="63" l="1"/>
  <c r="BP197" i="60"/>
  <c r="BW197" i="60" s="1"/>
  <c r="BY197" i="60" s="1"/>
  <c r="BP152" i="60"/>
  <c r="BW152" i="60" s="1"/>
  <c r="BY152" i="60" s="1"/>
  <c r="BP62" i="60"/>
  <c r="BW62" i="60" s="1"/>
  <c r="BY62" i="60" s="1"/>
  <c r="BP107" i="60"/>
  <c r="BW107" i="60" s="1"/>
  <c r="BY107" i="60" s="1"/>
  <c r="BP17" i="60"/>
  <c r="AB40" i="63"/>
  <c r="AG40" i="63" s="1"/>
  <c r="AA45" i="63"/>
  <c r="AF45" i="63" s="1"/>
  <c r="Z50" i="63"/>
  <c r="AE50" i="63" s="1"/>
  <c r="Y55" i="63"/>
  <c r="AD55" i="63" s="1"/>
  <c r="X60" i="63"/>
  <c r="AC60" i="63" s="1"/>
  <c r="AA43" i="63"/>
  <c r="AF43" i="63" s="1"/>
  <c r="Z48" i="63"/>
  <c r="AE48" i="63" s="1"/>
  <c r="Y53" i="63"/>
  <c r="AD53" i="63" s="1"/>
  <c r="X58" i="63"/>
  <c r="AC58" i="63" s="1"/>
  <c r="AA40" i="63"/>
  <c r="AF40" i="63" s="1"/>
  <c r="AB43" i="63"/>
  <c r="AG43" i="63" s="1"/>
  <c r="X63" i="63"/>
  <c r="AC63" i="63" s="1"/>
  <c r="X59" i="63"/>
  <c r="AC59" i="63" s="1"/>
  <c r="AB39" i="63"/>
  <c r="AG39" i="63" s="1"/>
  <c r="AA42" i="63"/>
  <c r="AF42" i="63" s="1"/>
  <c r="AB44" i="63"/>
  <c r="AG44" i="63" s="1"/>
  <c r="AB42" i="63"/>
  <c r="AG42" i="63" s="1"/>
  <c r="AB45" i="63"/>
  <c r="AG45" i="63" s="1"/>
  <c r="X61" i="63"/>
  <c r="AC61" i="63" s="1"/>
  <c r="Y56" i="63"/>
  <c r="AD56" i="63" s="1"/>
  <c r="Y51" i="63"/>
  <c r="AD51" i="63" s="1"/>
  <c r="Z46" i="63"/>
  <c r="AE46" i="63" s="1"/>
  <c r="Z51" i="63"/>
  <c r="AE51" i="63" s="1"/>
  <c r="Y54" i="63"/>
  <c r="AD54" i="63" s="1"/>
  <c r="X57" i="63"/>
  <c r="AC57" i="63" s="1"/>
  <c r="X62" i="63"/>
  <c r="AC62" i="63" s="1"/>
  <c r="AA41" i="63"/>
  <c r="AF41" i="63" s="1"/>
  <c r="AA46" i="63"/>
  <c r="AF46" i="63" s="1"/>
  <c r="Z49" i="63"/>
  <c r="AE49" i="63" s="1"/>
  <c r="Y52" i="63"/>
  <c r="AD52" i="63" s="1"/>
  <c r="Y57" i="63"/>
  <c r="AD57" i="63" s="1"/>
  <c r="AB41" i="63"/>
  <c r="AG41" i="63" s="1"/>
  <c r="AA44" i="63"/>
  <c r="AF44" i="63" s="1"/>
  <c r="Z47" i="63"/>
  <c r="AE47" i="63" s="1"/>
  <c r="Z52" i="63"/>
  <c r="AE52" i="63" s="1"/>
  <c r="AJ9" i="63" l="1"/>
  <c r="AN7" i="63"/>
  <c r="AK8" i="63"/>
  <c r="AM7" i="63"/>
  <c r="BW17" i="60"/>
  <c r="BY17" i="60" s="1"/>
  <c r="O12" i="63" l="1"/>
  <c r="AB48" i="63"/>
  <c r="AG48" i="63" s="1"/>
  <c r="AA53" i="63"/>
  <c r="AF53" i="63" s="1"/>
  <c r="Z58" i="63"/>
  <c r="AE58" i="63" s="1"/>
  <c r="Y63" i="63"/>
  <c r="AD63" i="63" s="1"/>
  <c r="X68" i="63"/>
  <c r="AC68" i="63" s="1"/>
  <c r="AB46" i="63"/>
  <c r="AG46" i="63" s="1"/>
  <c r="AA51" i="63"/>
  <c r="AF51" i="63" s="1"/>
  <c r="Z56" i="63"/>
  <c r="AE56" i="63" s="1"/>
  <c r="Y61" i="63"/>
  <c r="AD61" i="63" s="1"/>
  <c r="X66" i="63"/>
  <c r="AC66" i="63" s="1"/>
  <c r="AA48" i="63"/>
  <c r="AF48" i="63" s="1"/>
  <c r="AB51" i="63"/>
  <c r="AG51" i="63" s="1"/>
  <c r="Z53" i="63"/>
  <c r="AE53" i="63" s="1"/>
  <c r="Y58" i="63"/>
  <c r="AD58" i="63" s="1"/>
  <c r="AA47" i="63"/>
  <c r="AF47" i="63" s="1"/>
  <c r="AB49" i="63"/>
  <c r="AG49" i="63" s="1"/>
  <c r="AA52" i="63"/>
  <c r="AF52" i="63" s="1"/>
  <c r="Z55" i="63"/>
  <c r="AE55" i="63" s="1"/>
  <c r="AB47" i="63"/>
  <c r="AG47" i="63" s="1"/>
  <c r="AA50" i="63"/>
  <c r="AF50" i="63" s="1"/>
  <c r="AB52" i="63"/>
  <c r="AG52" i="63" s="1"/>
  <c r="AB50" i="63"/>
  <c r="AG50" i="63" s="1"/>
  <c r="AB53" i="63"/>
  <c r="AG53" i="63" s="1"/>
  <c r="X69" i="63"/>
  <c r="AC69" i="63" s="1"/>
  <c r="Y59" i="63"/>
  <c r="AD59" i="63" s="1"/>
  <c r="Y64" i="63"/>
  <c r="AD64" i="63" s="1"/>
  <c r="X67" i="63"/>
  <c r="AC67" i="63" s="1"/>
  <c r="Z54" i="63"/>
  <c r="AE54" i="63" s="1"/>
  <c r="Z59" i="63"/>
  <c r="AE59" i="63" s="1"/>
  <c r="Y62" i="63"/>
  <c r="AD62" i="63" s="1"/>
  <c r="X65" i="63"/>
  <c r="AC65" i="63" s="1"/>
  <c r="X70" i="63"/>
  <c r="AC70" i="63" s="1"/>
  <c r="AA49" i="63"/>
  <c r="AF49" i="63" s="1"/>
  <c r="AA54" i="63"/>
  <c r="AF54" i="63" s="1"/>
  <c r="Z57" i="63"/>
  <c r="AE57" i="63" s="1"/>
  <c r="Y60" i="63"/>
  <c r="AD60" i="63" s="1"/>
  <c r="X64" i="63"/>
  <c r="AC64" i="63" s="1"/>
  <c r="AN8" i="63" l="1"/>
  <c r="AL8" i="63"/>
  <c r="AK9" i="63"/>
  <c r="AM8" i="63"/>
  <c r="BP198" i="60" l="1"/>
  <c r="BW198" i="60" s="1"/>
  <c r="BY198" i="60" s="1"/>
  <c r="BP153" i="60"/>
  <c r="BW153" i="60" s="1"/>
  <c r="BY153" i="60" s="1"/>
  <c r="BP63" i="60"/>
  <c r="BW63" i="60" s="1"/>
  <c r="BY63" i="60" s="1"/>
  <c r="BP108" i="60"/>
  <c r="BW108" i="60" s="1"/>
  <c r="BY108" i="60" s="1"/>
  <c r="BP18" i="60"/>
  <c r="BW18" i="60" l="1"/>
  <c r="BY18" i="60" s="1"/>
  <c r="O13" i="63" l="1"/>
  <c r="AB56" i="63"/>
  <c r="AG56" i="63" s="1"/>
  <c r="AA61" i="63"/>
  <c r="AF61" i="63" s="1"/>
  <c r="Z66" i="63"/>
  <c r="AE66" i="63" s="1"/>
  <c r="Y71" i="63"/>
  <c r="AD71" i="63" s="1"/>
  <c r="X76" i="63"/>
  <c r="AC76" i="63" s="1"/>
  <c r="AB54" i="63"/>
  <c r="AG54" i="63" s="1"/>
  <c r="AA59" i="63"/>
  <c r="AF59" i="63" s="1"/>
  <c r="Z64" i="63"/>
  <c r="AE64" i="63" s="1"/>
  <c r="Y69" i="63"/>
  <c r="AD69" i="63" s="1"/>
  <c r="X74" i="63"/>
  <c r="AC74" i="63" s="1"/>
  <c r="AA56" i="63"/>
  <c r="AF56" i="63" s="1"/>
  <c r="AB59" i="63"/>
  <c r="AG59" i="63" s="1"/>
  <c r="Z61" i="63"/>
  <c r="AE61" i="63" s="1"/>
  <c r="Y66" i="63"/>
  <c r="AD66" i="63" s="1"/>
  <c r="X71" i="63"/>
  <c r="AC71" i="63" s="1"/>
  <c r="AA57" i="63"/>
  <c r="AF57" i="63" s="1"/>
  <c r="Z60" i="63"/>
  <c r="AE60" i="63" s="1"/>
  <c r="AA62" i="63"/>
  <c r="AF62" i="63" s="1"/>
  <c r="Z65" i="63"/>
  <c r="AE65" i="63" s="1"/>
  <c r="Y68" i="63"/>
  <c r="AD68" i="63" s="1"/>
  <c r="AA55" i="63"/>
  <c r="AF55" i="63" s="1"/>
  <c r="AB57" i="63"/>
  <c r="AG57" i="63" s="1"/>
  <c r="AA60" i="63"/>
  <c r="AF60" i="63" s="1"/>
  <c r="Z63" i="63"/>
  <c r="AE63" i="63" s="1"/>
  <c r="AB55" i="63"/>
  <c r="AG55" i="63" s="1"/>
  <c r="AA58" i="63"/>
  <c r="AF58" i="63" s="1"/>
  <c r="AB60" i="63"/>
  <c r="AG60" i="63" s="1"/>
  <c r="X72" i="63"/>
  <c r="AC72" i="63" s="1"/>
  <c r="X77" i="63"/>
  <c r="AC77" i="63" s="1"/>
  <c r="Y67" i="63"/>
  <c r="AD67" i="63" s="1"/>
  <c r="X75" i="63"/>
  <c r="AC75" i="63" s="1"/>
  <c r="Z62" i="63"/>
  <c r="AE62" i="63" s="1"/>
  <c r="Y65" i="63"/>
  <c r="AD65" i="63" s="1"/>
  <c r="Y70" i="63"/>
  <c r="AD70" i="63" s="1"/>
  <c r="X73" i="63"/>
  <c r="AC73" i="63" s="1"/>
  <c r="AB58" i="63"/>
  <c r="AG58" i="63" s="1"/>
  <c r="Z92" i="63"/>
  <c r="AE92" i="63" s="1"/>
  <c r="Z94" i="63"/>
  <c r="AE94" i="63" s="1"/>
  <c r="Z84" i="63"/>
  <c r="AE84" i="63" s="1"/>
  <c r="AA71" i="63"/>
  <c r="AF71" i="63" s="1"/>
  <c r="Z102" i="63"/>
  <c r="AE102" i="63" s="1"/>
  <c r="Z100" i="63"/>
  <c r="AE100" i="63" s="1"/>
  <c r="Z98" i="63"/>
  <c r="AE98" i="63" s="1"/>
  <c r="AB95" i="63"/>
  <c r="AG95" i="63" s="1"/>
  <c r="X93" i="63"/>
  <c r="AC93" i="63" s="1"/>
  <c r="AB90" i="63"/>
  <c r="AG90" i="63" s="1"/>
  <c r="X88" i="63"/>
  <c r="AC88" i="63" s="1"/>
  <c r="AB85" i="63"/>
  <c r="AG85" i="63" s="1"/>
  <c r="X83" i="63"/>
  <c r="AC83" i="63" s="1"/>
  <c r="Y80" i="63"/>
  <c r="AD80" i="63" s="1"/>
  <c r="X78" i="63"/>
  <c r="AC78" i="63" s="1"/>
  <c r="Y75" i="63"/>
  <c r="AD75" i="63" s="1"/>
  <c r="Z67" i="63"/>
  <c r="AE67" i="63" s="1"/>
  <c r="Y102" i="63"/>
  <c r="AD102" i="63" s="1"/>
  <c r="Y100" i="63"/>
  <c r="AD100" i="63" s="1"/>
  <c r="AB97" i="63"/>
  <c r="AG97" i="63" s="1"/>
  <c r="AA95" i="63"/>
  <c r="AF95" i="63" s="1"/>
  <c r="AB92" i="63"/>
  <c r="AG92" i="63" s="1"/>
  <c r="AA90" i="63"/>
  <c r="AF90" i="63" s="1"/>
  <c r="AB87" i="63"/>
  <c r="AG87" i="63" s="1"/>
  <c r="X85" i="63"/>
  <c r="AC85" i="63" s="1"/>
  <c r="AB82" i="63"/>
  <c r="AG82" i="63" s="1"/>
  <c r="X80" i="63"/>
  <c r="AC80" i="63" s="1"/>
  <c r="AB77" i="63"/>
  <c r="AG77" i="63" s="1"/>
  <c r="Y72" i="63"/>
  <c r="AD72" i="63" s="1"/>
  <c r="X102" i="63"/>
  <c r="AC102" i="63" s="1"/>
  <c r="X100" i="63"/>
  <c r="AC100" i="63" s="1"/>
  <c r="AA97" i="63"/>
  <c r="AF97" i="63" s="1"/>
  <c r="Z95" i="63"/>
  <c r="AE95" i="63" s="1"/>
  <c r="AA92" i="63"/>
  <c r="AF92" i="63" s="1"/>
  <c r="AB89" i="63"/>
  <c r="AG89" i="63" s="1"/>
  <c r="AA87" i="63"/>
  <c r="AF87" i="63" s="1"/>
  <c r="AB84" i="63"/>
  <c r="AG84" i="63" s="1"/>
  <c r="AA82" i="63"/>
  <c r="AF82" i="63" s="1"/>
  <c r="AB79" i="63"/>
  <c r="AG79" i="63" s="1"/>
  <c r="AB74" i="63"/>
  <c r="AG74" i="63" s="1"/>
  <c r="AB69" i="63"/>
  <c r="AG69" i="63" s="1"/>
  <c r="Z99" i="63"/>
  <c r="AE99" i="63" s="1"/>
  <c r="AA84" i="63"/>
  <c r="AF84" i="63" s="1"/>
  <c r="AB76" i="63"/>
  <c r="AG76" i="63" s="1"/>
  <c r="AA74" i="63"/>
  <c r="AF74" i="63" s="1"/>
  <c r="AB101" i="63"/>
  <c r="AG101" i="63" s="1"/>
  <c r="Z87" i="63"/>
  <c r="AE87" i="63" s="1"/>
  <c r="AB71" i="63"/>
  <c r="AG71" i="63" s="1"/>
  <c r="AA101" i="63"/>
  <c r="AF101" i="63" s="1"/>
  <c r="AA86" i="63"/>
  <c r="AF86" i="63" s="1"/>
  <c r="AB73" i="63"/>
  <c r="AG73" i="63" s="1"/>
  <c r="AB63" i="63"/>
  <c r="AG63" i="63" s="1"/>
  <c r="AA94" i="63"/>
  <c r="AF94" i="63" s="1"/>
  <c r="AB81" i="63"/>
  <c r="AG81" i="63" s="1"/>
  <c r="AB66" i="63"/>
  <c r="AG66" i="63" s="1"/>
  <c r="Y97" i="63"/>
  <c r="AD97" i="63" s="1"/>
  <c r="AA76" i="63"/>
  <c r="AF76" i="63" s="1"/>
  <c r="AA89" i="63"/>
  <c r="AF89" i="63" s="1"/>
  <c r="AB61" i="63"/>
  <c r="AG61" i="63" s="1"/>
  <c r="Z89" i="63"/>
  <c r="AE89" i="63" s="1"/>
  <c r="AA66" i="63"/>
  <c r="AF66" i="63" s="1"/>
  <c r="AB103" i="63"/>
  <c r="AG103" i="63" s="1"/>
  <c r="AA79" i="63"/>
  <c r="AF79" i="63" s="1"/>
  <c r="AA103" i="63"/>
  <c r="AF103" i="63" s="1"/>
  <c r="Y92" i="63"/>
  <c r="AD92" i="63" s="1"/>
  <c r="Z79" i="63"/>
  <c r="AE79" i="63" s="1"/>
  <c r="AB68" i="63"/>
  <c r="AG68" i="63" s="1"/>
  <c r="Z103" i="63"/>
  <c r="AE103" i="63" s="1"/>
  <c r="X101" i="63"/>
  <c r="AC101" i="63" s="1"/>
  <c r="X99" i="63"/>
  <c r="AC99" i="63" s="1"/>
  <c r="X97" i="63"/>
  <c r="AC97" i="63" s="1"/>
  <c r="Y94" i="63"/>
  <c r="AD94" i="63" s="1"/>
  <c r="Z91" i="63"/>
  <c r="AE91" i="63" s="1"/>
  <c r="Y89" i="63"/>
  <c r="AD89" i="63" s="1"/>
  <c r="Z86" i="63"/>
  <c r="AE86" i="63" s="1"/>
  <c r="Y84" i="63"/>
  <c r="AD84" i="63" s="1"/>
  <c r="Z81" i="63"/>
  <c r="AE81" i="63" s="1"/>
  <c r="AA78" i="63"/>
  <c r="AF78" i="63" s="1"/>
  <c r="Z76" i="63"/>
  <c r="AE76" i="63" s="1"/>
  <c r="AA73" i="63"/>
  <c r="AF73" i="63" s="1"/>
  <c r="Z71" i="63"/>
  <c r="AE71" i="63" s="1"/>
  <c r="AA68" i="63"/>
  <c r="AF68" i="63" s="1"/>
  <c r="AB65" i="63"/>
  <c r="AG65" i="63" s="1"/>
  <c r="AA63" i="63"/>
  <c r="AF63" i="63" s="1"/>
  <c r="Y103" i="63"/>
  <c r="AD103" i="63" s="1"/>
  <c r="AB100" i="63"/>
  <c r="AG100" i="63" s="1"/>
  <c r="AB98" i="63"/>
  <c r="AG98" i="63" s="1"/>
  <c r="Y96" i="63"/>
  <c r="AD96" i="63" s="1"/>
  <c r="X94" i="63"/>
  <c r="AC94" i="63" s="1"/>
  <c r="Y91" i="63"/>
  <c r="AD91" i="63" s="1"/>
  <c r="X89" i="63"/>
  <c r="AC89" i="63" s="1"/>
  <c r="Y86" i="63"/>
  <c r="AD86" i="63" s="1"/>
  <c r="Z83" i="63"/>
  <c r="AE83" i="63" s="1"/>
  <c r="Y81" i="63"/>
  <c r="AD81" i="63" s="1"/>
  <c r="Z78" i="63"/>
  <c r="AE78" i="63" s="1"/>
  <c r="Y76" i="63"/>
  <c r="AD76" i="63" s="1"/>
  <c r="Z73" i="63"/>
  <c r="AE73" i="63" s="1"/>
  <c r="AA70" i="63"/>
  <c r="AF70" i="63" s="1"/>
  <c r="Z68" i="63"/>
  <c r="AE68" i="63" s="1"/>
  <c r="AA65" i="63"/>
  <c r="AF65" i="63" s="1"/>
  <c r="AA102" i="63"/>
  <c r="AF102" i="63" s="1"/>
  <c r="AA100" i="63"/>
  <c r="AF100" i="63" s="1"/>
  <c r="AA98" i="63"/>
  <c r="AF98" i="63" s="1"/>
  <c r="X96" i="63"/>
  <c r="AC96" i="63" s="1"/>
  <c r="AB93" i="63"/>
  <c r="AG93" i="63" s="1"/>
  <c r="X91" i="63"/>
  <c r="AC91" i="63" s="1"/>
  <c r="Y88" i="63"/>
  <c r="AD88" i="63" s="1"/>
  <c r="X86" i="63"/>
  <c r="AC86" i="63" s="1"/>
  <c r="Y83" i="63"/>
  <c r="AD83" i="63" s="1"/>
  <c r="X81" i="63"/>
  <c r="AC81" i="63" s="1"/>
  <c r="Y78" i="63"/>
  <c r="AD78" i="63" s="1"/>
  <c r="Z75" i="63"/>
  <c r="AE75" i="63" s="1"/>
  <c r="Y73" i="63"/>
  <c r="AD73" i="63" s="1"/>
  <c r="Z70" i="63"/>
  <c r="AE70" i="63" s="1"/>
  <c r="Z97" i="63"/>
  <c r="AE97" i="63" s="1"/>
  <c r="Y99" i="63"/>
  <c r="AD99" i="63" s="1"/>
  <c r="AA81" i="63"/>
  <c r="AF81" i="63" s="1"/>
  <c r="AB96" i="63"/>
  <c r="AG96" i="63" s="1"/>
  <c r="AA93" i="63"/>
  <c r="AF93" i="63" s="1"/>
  <c r="Z90" i="63"/>
  <c r="AE90" i="63" s="1"/>
  <c r="X103" i="63"/>
  <c r="AC103" i="63" s="1"/>
  <c r="Z101" i="63"/>
  <c r="AE101" i="63" s="1"/>
  <c r="AB99" i="63"/>
  <c r="AG99" i="63" s="1"/>
  <c r="Y98" i="63"/>
  <c r="AD98" i="63" s="1"/>
  <c r="AA96" i="63"/>
  <c r="AF96" i="63" s="1"/>
  <c r="X95" i="63"/>
  <c r="AC95" i="63" s="1"/>
  <c r="Z93" i="63"/>
  <c r="AE93" i="63" s="1"/>
  <c r="AB91" i="63"/>
  <c r="AG91" i="63" s="1"/>
  <c r="Y90" i="63"/>
  <c r="AD90" i="63" s="1"/>
  <c r="AA88" i="63"/>
  <c r="AF88" i="63" s="1"/>
  <c r="X87" i="63"/>
  <c r="AC87" i="63" s="1"/>
  <c r="Z85" i="63"/>
  <c r="AE85" i="63" s="1"/>
  <c r="AB83" i="63"/>
  <c r="AG83" i="63" s="1"/>
  <c r="Y82" i="63"/>
  <c r="AD82" i="63" s="1"/>
  <c r="AA80" i="63"/>
  <c r="AF80" i="63" s="1"/>
  <c r="X79" i="63"/>
  <c r="AC79" i="63" s="1"/>
  <c r="Z77" i="63"/>
  <c r="AE77" i="63" s="1"/>
  <c r="AB75" i="63"/>
  <c r="AG75" i="63" s="1"/>
  <c r="Y74" i="63"/>
  <c r="AD74" i="63" s="1"/>
  <c r="AA72" i="63"/>
  <c r="AF72" i="63" s="1"/>
  <c r="Z69" i="63"/>
  <c r="AE69" i="63" s="1"/>
  <c r="AB67" i="63"/>
  <c r="AG67" i="63" s="1"/>
  <c r="AA64" i="63"/>
  <c r="AF64" i="63" s="1"/>
  <c r="AB102" i="63"/>
  <c r="AG102" i="63" s="1"/>
  <c r="Y101" i="63"/>
  <c r="AD101" i="63" s="1"/>
  <c r="AA99" i="63"/>
  <c r="AF99" i="63" s="1"/>
  <c r="X98" i="63"/>
  <c r="AC98" i="63" s="1"/>
  <c r="Z96" i="63"/>
  <c r="AE96" i="63" s="1"/>
  <c r="AB94" i="63"/>
  <c r="AG94" i="63" s="1"/>
  <c r="Y93" i="63"/>
  <c r="AD93" i="63" s="1"/>
  <c r="AA91" i="63"/>
  <c r="AF91" i="63" s="1"/>
  <c r="X90" i="63"/>
  <c r="AC90" i="63" s="1"/>
  <c r="Z88" i="63"/>
  <c r="AE88" i="63" s="1"/>
  <c r="AB86" i="63"/>
  <c r="AG86" i="63" s="1"/>
  <c r="Y85" i="63"/>
  <c r="AD85" i="63" s="1"/>
  <c r="AA83" i="63"/>
  <c r="AF83" i="63" s="1"/>
  <c r="X82" i="63"/>
  <c r="AC82" i="63" s="1"/>
  <c r="Z80" i="63"/>
  <c r="AE80" i="63" s="1"/>
  <c r="AB78" i="63"/>
  <c r="AG78" i="63" s="1"/>
  <c r="Y77" i="63"/>
  <c r="AD77" i="63" s="1"/>
  <c r="AA75" i="63"/>
  <c r="AF75" i="63" s="1"/>
  <c r="Z72" i="63"/>
  <c r="AE72" i="63" s="1"/>
  <c r="AB70" i="63"/>
  <c r="AG70" i="63" s="1"/>
  <c r="AA67" i="63"/>
  <c r="AF67" i="63" s="1"/>
  <c r="AB62" i="63"/>
  <c r="AG62" i="63" s="1"/>
  <c r="Y95" i="63"/>
  <c r="AD95" i="63" s="1"/>
  <c r="X92" i="63"/>
  <c r="AC92" i="63" s="1"/>
  <c r="AB88" i="63"/>
  <c r="AG88" i="63" s="1"/>
  <c r="Y87" i="63"/>
  <c r="AD87" i="63" s="1"/>
  <c r="AA85" i="63"/>
  <c r="AF85" i="63" s="1"/>
  <c r="X84" i="63"/>
  <c r="AC84" i="63" s="1"/>
  <c r="Z82" i="63"/>
  <c r="AE82" i="63" s="1"/>
  <c r="AB80" i="63"/>
  <c r="AG80" i="63" s="1"/>
  <c r="Y79" i="63"/>
  <c r="AD79" i="63" s="1"/>
  <c r="AA77" i="63"/>
  <c r="AF77" i="63" s="1"/>
  <c r="Z74" i="63"/>
  <c r="AE74" i="63" s="1"/>
  <c r="AB72" i="63"/>
  <c r="AG72" i="63" s="1"/>
  <c r="AA69" i="63"/>
  <c r="AF69" i="63" s="1"/>
  <c r="AB64" i="63"/>
  <c r="AG64" i="63" s="1"/>
  <c r="AM11" i="63" l="1"/>
  <c r="AK12" i="63"/>
  <c r="AN11" i="63"/>
  <c r="AL12" i="63"/>
  <c r="AJ13" i="63"/>
  <c r="AM12" i="63"/>
  <c r="AK10" i="63"/>
  <c r="AK11" i="63"/>
  <c r="AN12" i="63"/>
  <c r="AL10" i="63"/>
  <c r="AL11" i="63"/>
  <c r="AK13" i="63"/>
  <c r="AM9" i="63"/>
  <c r="AM10" i="63"/>
  <c r="AL13" i="63"/>
  <c r="AM13" i="63"/>
  <c r="AN13" i="63"/>
  <c r="AN9" i="63"/>
  <c r="AN10" i="63"/>
  <c r="AJ11" i="63"/>
  <c r="AJ12" i="63"/>
  <c r="AJ10" i="63"/>
  <c r="AL9" i="63"/>
  <c r="BP199" i="60" l="1"/>
  <c r="BW199" i="60" s="1"/>
  <c r="BY199" i="60" s="1"/>
  <c r="BP154" i="60"/>
  <c r="BW154" i="60" s="1"/>
  <c r="BY154" i="60" s="1"/>
  <c r="BP64" i="60"/>
  <c r="BW64" i="60" s="1"/>
  <c r="BY64" i="60" s="1"/>
  <c r="BP109" i="60"/>
  <c r="BW109" i="60" s="1"/>
  <c r="BY109" i="60" s="1"/>
  <c r="BP19" i="60"/>
  <c r="BW19" i="60" l="1"/>
  <c r="BY19" i="60" s="1"/>
  <c r="BP200" i="60" l="1"/>
  <c r="BW200" i="60" s="1"/>
  <c r="BY200" i="60" s="1"/>
  <c r="BP155" i="60"/>
  <c r="BW155" i="60" s="1"/>
  <c r="BY155" i="60" s="1"/>
  <c r="BP65" i="60"/>
  <c r="BW65" i="60" s="1"/>
  <c r="BY65" i="60" s="1"/>
  <c r="BP110" i="60"/>
  <c r="BW110" i="60" s="1"/>
  <c r="BY110" i="60" s="1"/>
  <c r="BP20" i="60"/>
  <c r="BW20" i="60" l="1"/>
  <c r="BY20" i="60" s="1"/>
  <c r="BP201" i="60" l="1"/>
  <c r="BW201" i="60" s="1"/>
  <c r="BY201" i="60" s="1"/>
  <c r="BP156" i="60"/>
  <c r="BW156" i="60" s="1"/>
  <c r="BY156" i="60" s="1"/>
  <c r="BP66" i="60"/>
  <c r="BW66" i="60" s="1"/>
  <c r="BY66" i="60" s="1"/>
  <c r="BP111" i="60"/>
  <c r="BW111" i="60" s="1"/>
  <c r="BY111" i="60" s="1"/>
  <c r="BP21" i="60"/>
  <c r="BW21" i="60" s="1"/>
  <c r="BY21" i="60" s="1"/>
  <c r="U7" i="59" l="1"/>
  <c r="R44" i="59"/>
  <c r="Q44" i="59"/>
  <c r="S45" i="59"/>
  <c r="Q8" i="59"/>
  <c r="R50" i="59"/>
  <c r="Q19" i="59"/>
  <c r="T20" i="59"/>
  <c r="S10" i="59"/>
  <c r="T78" i="59"/>
  <c r="Q45" i="59"/>
  <c r="Q9" i="59"/>
  <c r="T16" i="59"/>
  <c r="R73" i="59"/>
  <c r="R21" i="59"/>
  <c r="Q18" i="59"/>
  <c r="S16" i="59"/>
  <c r="U14" i="59"/>
  <c r="R13" i="59"/>
  <c r="Q10" i="59"/>
  <c r="S8" i="59"/>
  <c r="T44" i="59"/>
  <c r="R46" i="59"/>
  <c r="U47" i="59"/>
  <c r="S49" i="59"/>
  <c r="T73" i="59"/>
  <c r="R75" i="59"/>
  <c r="T46" i="59"/>
  <c r="U13" i="59"/>
  <c r="R18" i="59"/>
  <c r="U46" i="59"/>
  <c r="R12" i="59"/>
  <c r="T47" i="59"/>
  <c r="R45" i="59"/>
  <c r="Q50" i="59"/>
  <c r="Q11" i="59"/>
  <c r="U15" i="59"/>
  <c r="U78" i="59"/>
  <c r="Q21" i="59"/>
  <c r="S19" i="59"/>
  <c r="U17" i="59"/>
  <c r="T14" i="59"/>
  <c r="Q13" i="59"/>
  <c r="S11" i="59"/>
  <c r="U9" i="59"/>
  <c r="R8" i="59"/>
  <c r="U44" i="59"/>
  <c r="S46" i="59"/>
  <c r="T49" i="59"/>
  <c r="S75" i="59"/>
  <c r="Q77" i="59"/>
  <c r="U102" i="59"/>
  <c r="S104" i="59"/>
  <c r="Q106" i="59"/>
  <c r="U131" i="59"/>
  <c r="S21" i="59"/>
  <c r="T76" i="59"/>
  <c r="S48" i="59"/>
  <c r="Q48" i="59"/>
  <c r="T45" i="59"/>
  <c r="U11" i="59"/>
  <c r="Q46" i="59"/>
  <c r="S44" i="59"/>
  <c r="S17" i="59"/>
  <c r="T7" i="59"/>
  <c r="Q12" i="59"/>
  <c r="R9" i="59"/>
  <c r="U48" i="59"/>
  <c r="T21" i="59"/>
  <c r="T15" i="59"/>
  <c r="R19" i="59"/>
  <c r="S15" i="59"/>
  <c r="U19" i="59"/>
  <c r="R20" i="59"/>
  <c r="T9" i="59"/>
  <c r="T74" i="59"/>
  <c r="S14" i="59"/>
  <c r="R79" i="59"/>
  <c r="S20" i="59"/>
  <c r="U20" i="59"/>
  <c r="T13" i="59"/>
  <c r="T18" i="59"/>
  <c r="S12" i="59"/>
  <c r="U49" i="59"/>
  <c r="R105" i="59"/>
  <c r="R7" i="59"/>
  <c r="T48" i="59"/>
  <c r="T75" i="59"/>
  <c r="U16" i="59"/>
  <c r="R15" i="59"/>
  <c r="T8" i="59"/>
  <c r="T17" i="59"/>
  <c r="T106" i="59"/>
  <c r="S7" i="59"/>
  <c r="Q15" i="59"/>
  <c r="Q20" i="59"/>
  <c r="R17" i="59"/>
  <c r="R78" i="59"/>
  <c r="T11" i="59"/>
  <c r="R74" i="59"/>
  <c r="R48" i="59"/>
  <c r="U12" i="59"/>
  <c r="Q47" i="59"/>
  <c r="Q16" i="59"/>
  <c r="U8" i="59"/>
  <c r="R10" i="59"/>
  <c r="T50" i="59"/>
  <c r="U104" i="59"/>
  <c r="T103" i="59"/>
  <c r="R16" i="59"/>
  <c r="S13" i="59"/>
  <c r="R77" i="59"/>
  <c r="T19" i="59"/>
  <c r="U45" i="59"/>
  <c r="Q17" i="59"/>
  <c r="S18" i="59"/>
  <c r="Q14" i="59"/>
  <c r="U21" i="59"/>
  <c r="R102" i="59"/>
  <c r="R106" i="59"/>
  <c r="R47" i="59"/>
  <c r="Q7" i="59"/>
  <c r="U107" i="59"/>
  <c r="U10" i="59"/>
  <c r="T10" i="59"/>
  <c r="Q49" i="59"/>
  <c r="S50" i="59"/>
  <c r="S9" i="59"/>
  <c r="R14" i="59"/>
  <c r="S47" i="59"/>
  <c r="R11" i="59"/>
  <c r="U50" i="59"/>
  <c r="U18" i="59"/>
  <c r="R49" i="59"/>
  <c r="T12" i="59"/>
  <c r="S73" i="59" l="1"/>
  <c r="R103" i="59"/>
  <c r="S133" i="59"/>
  <c r="R134" i="59"/>
  <c r="Q104" i="59"/>
  <c r="U137" i="59"/>
  <c r="S76" i="59"/>
  <c r="U76" i="59"/>
  <c r="T77" i="59"/>
  <c r="R104" i="59"/>
  <c r="S77" i="59"/>
  <c r="U73" i="59"/>
  <c r="U133" i="59"/>
  <c r="U108" i="59"/>
  <c r="Q79" i="59"/>
  <c r="R108" i="59"/>
  <c r="Q74" i="59"/>
  <c r="R136" i="59"/>
  <c r="U106" i="59"/>
  <c r="T79" i="59"/>
  <c r="Q78" i="59"/>
  <c r="Q75" i="59"/>
  <c r="Q76" i="59"/>
  <c r="R132" i="59"/>
  <c r="R135" i="59"/>
  <c r="S78" i="59"/>
  <c r="S74" i="59"/>
  <c r="T102" i="59"/>
  <c r="T104" i="59"/>
  <c r="U136" i="59"/>
  <c r="S105" i="59"/>
  <c r="T132" i="59"/>
  <c r="T105" i="59"/>
  <c r="U74" i="59"/>
  <c r="T107" i="59"/>
  <c r="R107" i="59"/>
  <c r="Q73" i="59"/>
  <c r="U77" i="59"/>
  <c r="S103" i="59"/>
  <c r="U79" i="59"/>
  <c r="T133" i="59"/>
  <c r="S79" i="59"/>
  <c r="R131" i="59"/>
  <c r="Q135" i="59"/>
  <c r="R76" i="59"/>
  <c r="U75" i="59"/>
  <c r="T135" i="59"/>
  <c r="S108" i="59" l="1"/>
  <c r="T131" i="59"/>
  <c r="S132" i="59"/>
  <c r="U135" i="59"/>
  <c r="Q105" i="59"/>
  <c r="R133" i="59"/>
  <c r="R137" i="59"/>
  <c r="U103" i="59"/>
  <c r="S106" i="59"/>
  <c r="S107" i="59"/>
  <c r="Q103" i="59"/>
  <c r="T136" i="59"/>
  <c r="T134" i="59"/>
  <c r="S102" i="59"/>
  <c r="T108" i="59"/>
  <c r="Q108" i="59"/>
  <c r="Q102" i="59"/>
  <c r="Q133" i="59"/>
  <c r="S134" i="59"/>
  <c r="Q107" i="59"/>
  <c r="U105" i="59"/>
  <c r="Q131" i="59" l="1"/>
  <c r="S137" i="59"/>
  <c r="Q132" i="59"/>
  <c r="S136" i="59"/>
  <c r="U134" i="59"/>
  <c r="S131" i="59"/>
  <c r="U132" i="59"/>
  <c r="Q134" i="59"/>
  <c r="Q136" i="59"/>
  <c r="Q137" i="59"/>
  <c r="S135" i="59"/>
  <c r="T137" i="59"/>
  <c r="S68" i="59" l="1"/>
  <c r="S70" i="59"/>
  <c r="T72" i="59"/>
  <c r="Q72" i="59"/>
  <c r="S69" i="59"/>
  <c r="Q67" i="59"/>
  <c r="T70" i="59"/>
  <c r="T65" i="59"/>
  <c r="R66" i="59"/>
  <c r="Q69" i="59"/>
  <c r="U70" i="59"/>
  <c r="T68" i="59"/>
  <c r="Q70" i="59"/>
  <c r="T66" i="59"/>
  <c r="Q68" i="59"/>
  <c r="U69" i="59"/>
  <c r="U65" i="59"/>
  <c r="R71" i="59"/>
  <c r="S66" i="59"/>
  <c r="Q66" i="59"/>
  <c r="T71" i="59"/>
  <c r="U68" i="59"/>
  <c r="R67" i="59"/>
  <c r="Q65" i="59"/>
  <c r="U67" i="59"/>
  <c r="S72" i="59"/>
  <c r="S67" i="59"/>
  <c r="R68" i="59"/>
  <c r="Q71" i="59"/>
  <c r="R69" i="59"/>
  <c r="U66" i="59"/>
  <c r="S71" i="59"/>
  <c r="S65" i="59"/>
  <c r="R70" i="59"/>
  <c r="U72" i="59"/>
  <c r="U71" i="59"/>
  <c r="T69" i="59"/>
  <c r="R72" i="59"/>
  <c r="R65" i="59"/>
  <c r="T67" i="59"/>
  <c r="Q35" i="59" l="1"/>
  <c r="U124" i="59"/>
  <c r="U39" i="59"/>
  <c r="R43" i="59"/>
  <c r="S97" i="59"/>
  <c r="R35" i="59"/>
  <c r="R36" i="59"/>
  <c r="R38" i="59"/>
  <c r="S95" i="59"/>
  <c r="R39" i="59"/>
  <c r="T35" i="59"/>
  <c r="Q95" i="59"/>
  <c r="Q94" i="59"/>
  <c r="R122" i="59"/>
  <c r="Q6" i="59"/>
  <c r="Q64" i="59"/>
  <c r="U37" i="59"/>
  <c r="T129" i="59"/>
  <c r="R99" i="59"/>
  <c r="R126" i="59"/>
  <c r="Q127" i="59"/>
  <c r="T126" i="59"/>
  <c r="Q37" i="59"/>
  <c r="R37" i="59"/>
  <c r="Q125" i="59"/>
  <c r="S36" i="59"/>
  <c r="S129" i="59"/>
  <c r="T97" i="59"/>
  <c r="S100" i="59"/>
  <c r="R93" i="59"/>
  <c r="S6" i="59"/>
  <c r="S98" i="59"/>
  <c r="R98" i="59"/>
  <c r="Q126" i="59"/>
  <c r="U123" i="59"/>
  <c r="R127" i="59"/>
  <c r="Q129" i="59"/>
  <c r="T41" i="59"/>
  <c r="T43" i="59"/>
  <c r="S39" i="59"/>
  <c r="T100" i="59"/>
  <c r="S130" i="59"/>
  <c r="U126" i="59"/>
  <c r="U100" i="59"/>
  <c r="Q98" i="59"/>
  <c r="T99" i="59"/>
  <c r="S43" i="59"/>
  <c r="S93" i="59"/>
  <c r="S127" i="59"/>
  <c r="T38" i="59"/>
  <c r="S122" i="59"/>
  <c r="U122" i="59"/>
  <c r="Q96" i="59"/>
  <c r="U127" i="59"/>
  <c r="U38" i="59"/>
  <c r="T93" i="59"/>
  <c r="U101" i="59"/>
  <c r="T98" i="59"/>
  <c r="R125" i="59"/>
  <c r="T6" i="59"/>
  <c r="Q130" i="59"/>
  <c r="U93" i="59"/>
  <c r="T130" i="59"/>
  <c r="S42" i="59"/>
  <c r="U6" i="59"/>
  <c r="R41" i="59"/>
  <c r="R97" i="59"/>
  <c r="S64" i="59"/>
  <c r="T36" i="59"/>
  <c r="Q38" i="59"/>
  <c r="S126" i="59"/>
  <c r="T123" i="59"/>
  <c r="T101" i="59"/>
  <c r="Q41" i="59"/>
  <c r="U96" i="59"/>
  <c r="Q122" i="59"/>
  <c r="T128" i="59"/>
  <c r="T124" i="59"/>
  <c r="S128" i="59"/>
  <c r="R101" i="59"/>
  <c r="T95" i="59"/>
  <c r="R124" i="59"/>
  <c r="Q100" i="59"/>
  <c r="S37" i="59"/>
  <c r="T127" i="59"/>
  <c r="U94" i="59"/>
  <c r="R123" i="59"/>
  <c r="T39" i="59"/>
  <c r="R64" i="59"/>
  <c r="T37" i="59"/>
  <c r="Q124" i="59"/>
  <c r="T122" i="59"/>
  <c r="R100" i="59"/>
  <c r="S38" i="59"/>
  <c r="R129" i="59"/>
  <c r="U36" i="59"/>
  <c r="S94" i="59"/>
  <c r="S99" i="59"/>
  <c r="T125" i="59"/>
  <c r="T96" i="59"/>
  <c r="Q39" i="59"/>
  <c r="Q97" i="59"/>
  <c r="U35" i="59"/>
  <c r="S125" i="59"/>
  <c r="Q93" i="59"/>
  <c r="V93" i="59" s="1"/>
  <c r="V94" i="59" s="1"/>
  <c r="V95" i="59" s="1"/>
  <c r="S40" i="59"/>
  <c r="S35" i="59"/>
  <c r="R130" i="59"/>
  <c r="U41" i="59"/>
  <c r="Q123" i="59"/>
  <c r="S41" i="59"/>
  <c r="T94" i="59"/>
  <c r="U98" i="59"/>
  <c r="R40" i="59"/>
  <c r="U128" i="59"/>
  <c r="T42" i="59"/>
  <c r="U42" i="59"/>
  <c r="R42" i="59"/>
  <c r="T64" i="59"/>
  <c r="Q101" i="59"/>
  <c r="U40" i="59"/>
  <c r="S101" i="59"/>
  <c r="U97" i="59"/>
  <c r="R95" i="59"/>
  <c r="Q128" i="59"/>
  <c r="R128" i="59"/>
  <c r="U43" i="59"/>
  <c r="Q99" i="59"/>
  <c r="R96" i="59"/>
  <c r="R94" i="59"/>
  <c r="Q40" i="59"/>
  <c r="Q43" i="59"/>
  <c r="U99" i="59"/>
  <c r="U125" i="59"/>
  <c r="S123" i="59"/>
  <c r="Q42" i="59"/>
  <c r="T40" i="59"/>
  <c r="U130" i="59"/>
  <c r="Q36" i="59"/>
  <c r="U129" i="59"/>
  <c r="U95" i="59"/>
  <c r="U64" i="59"/>
  <c r="R6" i="59"/>
  <c r="S96" i="59"/>
  <c r="S124" i="59"/>
  <c r="V64" i="59" l="1"/>
  <c r="V65" i="59" s="1"/>
  <c r="V66" i="59" s="1"/>
  <c r="V67" i="59" s="1"/>
  <c r="V68" i="59" s="1"/>
  <c r="V69" i="59" s="1"/>
  <c r="V70" i="59" s="1"/>
  <c r="V71" i="59" s="1"/>
  <c r="V72" i="59" s="1"/>
  <c r="V73" i="59" s="1"/>
  <c r="V74" i="59" s="1"/>
  <c r="V75" i="59" s="1"/>
  <c r="V76" i="59" s="1"/>
  <c r="V77" i="59" s="1"/>
  <c r="V78" i="59" s="1"/>
  <c r="V79" i="59" s="1"/>
  <c r="V6" i="59"/>
  <c r="V7" i="59" s="1"/>
  <c r="V8" i="59" s="1"/>
  <c r="V9" i="59" s="1"/>
  <c r="V10" i="59" s="1"/>
  <c r="V11" i="59" s="1"/>
  <c r="V12" i="59" s="1"/>
  <c r="V13" i="59" s="1"/>
  <c r="V14" i="59" s="1"/>
  <c r="V15" i="59" s="1"/>
  <c r="V16" i="59" s="1"/>
  <c r="V17" i="59" s="1"/>
  <c r="V18" i="59" s="1"/>
  <c r="V19" i="59" s="1"/>
  <c r="V20" i="59" s="1"/>
  <c r="V21" i="59" s="1"/>
  <c r="V122" i="59"/>
  <c r="V123" i="59" s="1"/>
  <c r="V124" i="59" s="1"/>
  <c r="V125" i="59" s="1"/>
  <c r="V126" i="59" s="1"/>
  <c r="V127" i="59" s="1"/>
  <c r="V128" i="59" s="1"/>
  <c r="V129" i="59" s="1"/>
  <c r="V130" i="59" s="1"/>
  <c r="V131" i="59" s="1"/>
  <c r="V132" i="59" s="1"/>
  <c r="V133" i="59" s="1"/>
  <c r="V134" i="59" s="1"/>
  <c r="V135" i="59" s="1"/>
  <c r="V136" i="59" s="1"/>
  <c r="V137" i="59" s="1"/>
  <c r="V96" i="59"/>
  <c r="V97" i="59" s="1"/>
  <c r="V98" i="59" s="1"/>
  <c r="V99" i="59" s="1"/>
  <c r="V100" i="59" s="1"/>
  <c r="V101" i="59" s="1"/>
  <c r="V102" i="59" s="1"/>
  <c r="V103" i="59" s="1"/>
  <c r="V104" i="59" s="1"/>
  <c r="V105" i="59" s="1"/>
  <c r="V106" i="59" s="1"/>
  <c r="V107" i="59" s="1"/>
  <c r="V108" i="59" s="1"/>
  <c r="V35" i="59"/>
  <c r="V36" i="59" s="1"/>
  <c r="V37" i="59" s="1"/>
  <c r="V38" i="59" s="1"/>
  <c r="V39" i="59" s="1"/>
  <c r="V40" i="59" s="1"/>
  <c r="V41" i="59" s="1"/>
  <c r="V42" i="59" s="1"/>
  <c r="V43" i="59" s="1"/>
  <c r="V44" i="59" s="1"/>
  <c r="V45" i="59" s="1"/>
  <c r="V46" i="59" s="1"/>
  <c r="V47" i="59" s="1"/>
  <c r="V48" i="59" s="1"/>
  <c r="V49" i="59" s="1"/>
  <c r="V50" i="59" s="1"/>
  <c r="AE97" i="51" l="1"/>
  <c r="AI97" i="51" s="1"/>
  <c r="AJ97" i="51" s="1"/>
  <c r="AE98" i="51" l="1"/>
  <c r="AI98" i="51" s="1"/>
  <c r="AJ98" i="51" s="1"/>
  <c r="AE99" i="51" l="1"/>
  <c r="AI99" i="51" l="1"/>
  <c r="AJ99" i="51" s="1"/>
  <c r="AE100" i="51"/>
  <c r="AI100" i="51" l="1"/>
  <c r="AJ100" i="51" s="1"/>
  <c r="AE101" i="51"/>
  <c r="AI101" i="51" l="1"/>
  <c r="AJ101" i="51" s="1"/>
  <c r="AE102" i="51"/>
  <c r="AI102" i="51" l="1"/>
  <c r="AJ102" i="51" s="1"/>
  <c r="AE103" i="51"/>
  <c r="AI103" i="51" l="1"/>
  <c r="AJ103" i="51" s="1"/>
  <c r="AE104" i="51"/>
  <c r="AI104" i="51" l="1"/>
  <c r="AJ104" i="51" s="1"/>
  <c r="AE105" i="51"/>
  <c r="AI105" i="51" l="1"/>
  <c r="AJ105" i="51" s="1"/>
  <c r="AE106" i="51"/>
  <c r="AI106" i="51" l="1"/>
  <c r="AJ106" i="51" s="1"/>
  <c r="AE107" i="51"/>
  <c r="AI107" i="51" l="1"/>
  <c r="AJ107" i="51" s="1"/>
  <c r="AE108" i="51"/>
  <c r="AE109" i="51" l="1"/>
  <c r="AI108" i="51"/>
  <c r="AJ108" i="51" s="1"/>
  <c r="AI109" i="51" l="1"/>
  <c r="AJ109" i="51" s="1"/>
  <c r="AE110" i="51"/>
  <c r="AE111" i="51" l="1"/>
  <c r="AI111" i="51" s="1"/>
  <c r="AJ111" i="51" s="1"/>
  <c r="AI110" i="51"/>
  <c r="AJ110" i="5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abc123</author>
  </authors>
  <commentList>
    <comment ref="E34" authorId="0" shapeId="0" xr:uid="{00000000-0006-0000-0200-000001000000}">
      <text>
        <r>
          <rPr>
            <b/>
            <sz val="9"/>
            <color indexed="81"/>
            <rFont val="宋体"/>
            <family val="3"/>
            <charset val="134"/>
          </rPr>
          <t>vip赠送3件蓝色装备</t>
        </r>
      </text>
    </comment>
    <comment ref="E63" authorId="0" shapeId="0" xr:uid="{00000000-0006-0000-0200-000002000000}">
      <text>
        <r>
          <rPr>
            <b/>
            <sz val="9"/>
            <color indexed="81"/>
            <rFont val="宋体"/>
            <family val="3"/>
            <charset val="134"/>
          </rPr>
          <t>vip赠送3件蓝色装备</t>
        </r>
      </text>
    </comment>
    <comment ref="F63" authorId="0" shapeId="0" xr:uid="{00000000-0006-0000-0200-000003000000}">
      <text>
        <r>
          <rPr>
            <b/>
            <sz val="9"/>
            <color indexed="81"/>
            <rFont val="宋体"/>
            <family val="3"/>
            <charset val="134"/>
          </rPr>
          <t>vip赠送3件紫色装备</t>
        </r>
      </text>
    </comment>
    <comment ref="E92" authorId="0" shapeId="0" xr:uid="{00000000-0006-0000-0200-000004000000}">
      <text>
        <r>
          <rPr>
            <b/>
            <sz val="9"/>
            <color indexed="81"/>
            <rFont val="宋体"/>
            <family val="3"/>
            <charset val="134"/>
          </rPr>
          <t>vip赠送3件蓝色装备</t>
        </r>
      </text>
    </comment>
    <comment ref="F92" authorId="0" shapeId="0" xr:uid="{00000000-0006-0000-0200-000005000000}">
      <text>
        <r>
          <rPr>
            <b/>
            <sz val="9"/>
            <color indexed="81"/>
            <rFont val="宋体"/>
            <family val="3"/>
            <charset val="134"/>
          </rPr>
          <t>vip赠送3件紫色装备</t>
        </r>
      </text>
    </comment>
    <comment ref="G92" authorId="0" shapeId="0" xr:uid="{00000000-0006-0000-0200-000006000000}">
      <text>
        <r>
          <rPr>
            <b/>
            <sz val="9"/>
            <color indexed="81"/>
            <rFont val="宋体"/>
            <family val="3"/>
            <charset val="134"/>
          </rPr>
          <t>vip赠送3件橙色装备</t>
        </r>
      </text>
    </comment>
    <comment ref="H92" authorId="0" shapeId="0" xr:uid="{00000000-0006-0000-0200-000007000000}">
      <text>
        <r>
          <rPr>
            <b/>
            <sz val="9"/>
            <color indexed="81"/>
            <rFont val="宋体"/>
            <family val="3"/>
            <charset val="134"/>
          </rPr>
          <t>vip增送3件红色装备</t>
        </r>
      </text>
    </comment>
    <comment ref="E121" authorId="0" shapeId="0" xr:uid="{00000000-0006-0000-0200-000008000000}">
      <text>
        <r>
          <rPr>
            <b/>
            <sz val="9"/>
            <color indexed="81"/>
            <rFont val="宋体"/>
            <family val="3"/>
            <charset val="134"/>
          </rPr>
          <t>vip赠送3件蓝色装备</t>
        </r>
      </text>
    </comment>
    <comment ref="F121" authorId="0" shapeId="0" xr:uid="{00000000-0006-0000-0200-000009000000}">
      <text>
        <r>
          <rPr>
            <b/>
            <sz val="9"/>
            <color indexed="81"/>
            <rFont val="宋体"/>
            <family val="3"/>
            <charset val="134"/>
          </rPr>
          <t>vip赠送3件紫色装备</t>
        </r>
      </text>
    </comment>
    <comment ref="G121" authorId="0" shapeId="0" xr:uid="{00000000-0006-0000-0200-00000A000000}">
      <text>
        <r>
          <rPr>
            <b/>
            <sz val="9"/>
            <color indexed="81"/>
            <rFont val="宋体"/>
            <family val="3"/>
            <charset val="134"/>
          </rPr>
          <t>vip赠送3件橙色装备</t>
        </r>
      </text>
    </comment>
    <comment ref="H121" authorId="0" shapeId="0" xr:uid="{00000000-0006-0000-0200-00000B000000}">
      <text>
        <r>
          <rPr>
            <b/>
            <sz val="9"/>
            <color indexed="81"/>
            <rFont val="宋体"/>
            <family val="3"/>
            <charset val="134"/>
          </rPr>
          <t>vip赠送3件红色装备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abc123</author>
    <author>Windows 用户</author>
  </authors>
  <commentList>
    <comment ref="I3" authorId="0" shapeId="0" xr:uid="{CA6971F2-B9BC-40C6-B2FF-27E97ED33DD4}">
      <text>
        <r>
          <rPr>
            <b/>
            <sz val="9"/>
            <color indexed="81"/>
            <rFont val="宋体"/>
            <family val="3"/>
            <charset val="134"/>
          </rPr>
          <t>新增的特殊装备，属性为红色的1.1倍，价值调整为红色的1.5倍，升级经验不变</t>
        </r>
      </text>
    </comment>
    <comment ref="AA3" authorId="1" shapeId="0" xr:uid="{00000000-0006-0000-0300-000001000000}">
      <text>
        <r>
          <rPr>
            <b/>
            <sz val="9"/>
            <color indexed="81"/>
            <rFont val="宋体"/>
            <family val="3"/>
            <charset val="134"/>
          </rPr>
          <t>三件装备总计</t>
        </r>
      </text>
    </comment>
    <comment ref="AH3" authorId="1" shapeId="0" xr:uid="{00000000-0006-0000-0300-000002000000}">
      <text>
        <r>
          <rPr>
            <b/>
            <sz val="9"/>
            <color indexed="81"/>
            <rFont val="宋体"/>
            <family val="3"/>
            <charset val="134"/>
          </rPr>
          <t>三件装备总计</t>
        </r>
      </text>
    </comment>
    <comment ref="C4" authorId="1" shapeId="0" xr:uid="{00000000-0006-0000-0300-000003000000}">
      <text>
        <r>
          <rPr>
            <b/>
            <sz val="9"/>
            <color indexed="81"/>
            <rFont val="宋体"/>
            <family val="3"/>
            <charset val="134"/>
          </rPr>
          <t>三属性平均值</t>
        </r>
      </text>
    </comment>
    <comment ref="C5" authorId="2" shapeId="0" xr:uid="{00000000-0006-0000-0300-000004000000}">
      <text>
        <r>
          <rPr>
            <b/>
            <sz val="9"/>
            <color indexed="81"/>
            <rFont val="宋体"/>
            <family val="3"/>
            <charset val="134"/>
          </rPr>
          <t>三个部件总计值下同</t>
        </r>
      </text>
    </comment>
    <comment ref="BT5" authorId="2" shapeId="0" xr:uid="{00000000-0006-0000-0300-000005000000}">
      <text>
        <r>
          <rPr>
            <b/>
            <sz val="9"/>
            <color indexed="81"/>
            <rFont val="宋体"/>
            <family val="3"/>
            <charset val="134"/>
          </rPr>
          <t>提供单一属性总值/总套数</t>
        </r>
      </text>
    </comment>
    <comment ref="C8" authorId="1" shapeId="0" xr:uid="{00000000-0006-0000-0300-000006000000}">
      <text>
        <r>
          <rPr>
            <b/>
            <sz val="9"/>
            <color indexed="81"/>
            <rFont val="宋体"/>
            <family val="3"/>
            <charset val="134"/>
          </rPr>
          <t>三个部件总计值下同</t>
        </r>
      </text>
    </comment>
    <comment ref="I13" authorId="0" shapeId="0" xr:uid="{6E1EF8EA-0583-41E1-BB6A-B207CB2E5560}">
      <text>
        <r>
          <rPr>
            <b/>
            <sz val="9"/>
            <color indexed="81"/>
            <rFont val="宋体"/>
            <family val="3"/>
            <charset val="134"/>
          </rPr>
          <t>新增的特殊装备，属性为红色的1.1倍，价值调整为红色的1.5倍，升级经验不变</t>
        </r>
      </text>
    </comment>
    <comment ref="C16" authorId="1" shapeId="0" xr:uid="{00000000-0006-0000-0300-000007000000}">
      <text>
        <r>
          <rPr>
            <b/>
            <sz val="9"/>
            <color indexed="81"/>
            <rFont val="宋体"/>
            <family val="3"/>
            <charset val="134"/>
          </rPr>
          <t>3件装备总计</t>
        </r>
      </text>
    </comment>
    <comment ref="BT34" authorId="2" shapeId="0" xr:uid="{00000000-0006-0000-0300-000008000000}">
      <text>
        <r>
          <rPr>
            <b/>
            <sz val="9"/>
            <color indexed="81"/>
            <rFont val="宋体"/>
            <family val="3"/>
            <charset val="134"/>
          </rPr>
          <t>提供单一属性总值/总套数</t>
        </r>
      </text>
    </comment>
    <comment ref="BT63" authorId="2" shapeId="0" xr:uid="{00000000-0006-0000-0300-000009000000}">
      <text>
        <r>
          <rPr>
            <b/>
            <sz val="9"/>
            <color indexed="81"/>
            <rFont val="宋体"/>
            <family val="3"/>
            <charset val="134"/>
          </rPr>
          <t>提供单一属性总值/总套数</t>
        </r>
      </text>
    </comment>
    <comment ref="BT92" authorId="2" shapeId="0" xr:uid="{00000000-0006-0000-0300-00000A000000}">
      <text>
        <r>
          <rPr>
            <b/>
            <sz val="9"/>
            <color indexed="81"/>
            <rFont val="宋体"/>
            <family val="3"/>
            <charset val="134"/>
          </rPr>
          <t>提供单一属性总值/总套数</t>
        </r>
      </text>
    </comment>
    <comment ref="BT121" authorId="2" shapeId="0" xr:uid="{00000000-0006-0000-0300-00000B000000}">
      <text>
        <r>
          <rPr>
            <b/>
            <sz val="9"/>
            <color indexed="81"/>
            <rFont val="宋体"/>
            <family val="3"/>
            <charset val="134"/>
          </rPr>
          <t>提供单一属性总值/总套数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abc123</author>
  </authors>
  <commentList>
    <comment ref="D118" authorId="0" shapeId="0" xr:uid="{00000000-0006-0000-0400-000002000000}">
      <text>
        <r>
          <rPr>
            <b/>
            <sz val="9"/>
            <color indexed="81"/>
            <rFont val="宋体"/>
            <family val="3"/>
            <charset val="134"/>
          </rPr>
          <t>暂不开放</t>
        </r>
      </text>
    </comment>
    <comment ref="E119" authorId="0" shapeId="0" xr:uid="{00000000-0006-0000-0400-000003000000}">
      <text>
        <r>
          <rPr>
            <b/>
            <sz val="9"/>
            <color indexed="81"/>
            <rFont val="宋体"/>
            <family val="3"/>
            <charset val="134"/>
          </rPr>
          <t>暂不开放</t>
        </r>
      </text>
    </comment>
    <comment ref="F120" authorId="0" shapeId="0" xr:uid="{091B9116-9D94-40C9-9375-F415ECE78E4D}">
      <text>
        <r>
          <rPr>
            <b/>
            <sz val="9"/>
            <color indexed="81"/>
            <rFont val="宋体"/>
            <family val="3"/>
            <charset val="134"/>
          </rPr>
          <t>暂不开放</t>
        </r>
      </text>
    </comment>
    <comment ref="G121" authorId="0" shapeId="0" xr:uid="{3C763E00-4D2F-48B2-813B-764862EBAC22}">
      <text>
        <r>
          <rPr>
            <b/>
            <sz val="9"/>
            <color indexed="81"/>
            <rFont val="宋体"/>
            <family val="3"/>
            <charset val="134"/>
          </rPr>
          <t>暂不开放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R5" authorId="0" shapeId="0" xr:uid="{6ADB74B8-E11A-4E05-9AB4-8014AD33727C}">
      <text>
        <r>
          <rPr>
            <b/>
            <sz val="9"/>
            <color indexed="81"/>
            <rFont val="宋体"/>
            <family val="3"/>
            <charset val="134"/>
          </rPr>
          <t>装备突破那里已经计算了所有行军令产出装备的价值，不再在这里进行装备消耗计算，两边的差值即为玩家的付费空间</t>
        </r>
      </text>
    </comment>
    <comment ref="P6" authorId="0" shapeId="0" xr:uid="{EBEED704-4D15-4893-8D44-A3F9329069F8}">
      <text>
        <r>
          <rPr>
            <b/>
            <sz val="9"/>
            <color indexed="81"/>
            <rFont val="宋体"/>
            <family val="3"/>
            <charset val="134"/>
          </rPr>
          <t>三维平均值</t>
        </r>
      </text>
    </comment>
    <comment ref="P36" authorId="0" shapeId="0" xr:uid="{5E2CD37E-E68D-442D-A34A-6B7F5533B955}">
      <text>
        <r>
          <rPr>
            <b/>
            <sz val="9"/>
            <color indexed="81"/>
            <rFont val="宋体"/>
            <family val="3"/>
            <charset val="134"/>
          </rPr>
          <t>三维总值</t>
        </r>
      </text>
    </comment>
    <comment ref="BR50" authorId="0" shapeId="0" xr:uid="{C41D863B-9EF0-4A74-B59D-6213A0C5ED92}">
      <text>
        <r>
          <rPr>
            <b/>
            <sz val="9"/>
            <color indexed="81"/>
            <rFont val="宋体"/>
            <family val="3"/>
            <charset val="134"/>
          </rPr>
          <t>装备突破那里已经计算了所有行军令产出装备的价值，不再在这里进行装备消耗计算，两边的差值即为玩家的付费空间</t>
        </r>
      </text>
    </comment>
    <comment ref="BR95" authorId="0" shapeId="0" xr:uid="{2D693F3C-217C-4CEF-89C0-1B0FEFC620D1}">
      <text>
        <r>
          <rPr>
            <b/>
            <sz val="9"/>
            <color indexed="81"/>
            <rFont val="宋体"/>
            <family val="3"/>
            <charset val="134"/>
          </rPr>
          <t>装备突破那里已经计算了所有行军令产出装备的价值，不再在这里进行装备消耗计算，两边的差值即为玩家的付费空间</t>
        </r>
      </text>
    </comment>
    <comment ref="BR140" authorId="0" shapeId="0" xr:uid="{BE4E6C49-9F55-4B8C-B6F1-634E615BB289}">
      <text>
        <r>
          <rPr>
            <b/>
            <sz val="9"/>
            <color indexed="81"/>
            <rFont val="宋体"/>
            <family val="3"/>
            <charset val="134"/>
          </rPr>
          <t>装备突破那里已经计算了所有行军令产出装备的价值，不再在这里进行装备消耗计算，两边的差值即为玩家的付费空间</t>
        </r>
      </text>
    </comment>
    <comment ref="BR185" authorId="0" shapeId="0" xr:uid="{A90E71AC-F993-4AE6-ADFB-8F599C38B0E2}">
      <text>
        <r>
          <rPr>
            <b/>
            <sz val="9"/>
            <color indexed="81"/>
            <rFont val="宋体"/>
            <family val="3"/>
            <charset val="134"/>
          </rPr>
          <t>装备突破那里已经计算了所有行军令产出装备的价值，不再在这里进行装备消耗计算，两边的差值即为玩家的付费空间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4" authorId="0" shapeId="0" xr:uid="{00000000-0006-0000-0900-000001000000}">
      <text>
        <r>
          <rPr>
            <b/>
            <sz val="9"/>
            <color indexed="81"/>
            <rFont val="宋体"/>
            <family val="3"/>
            <charset val="134"/>
          </rPr>
          <t>根据[装备]-节奏预期 来做</t>
        </r>
      </text>
    </comment>
    <comment ref="W4" authorId="0" shapeId="0" xr:uid="{00000000-0006-0000-0900-000002000000}">
      <text>
        <r>
          <rPr>
            <b/>
            <sz val="9"/>
            <color indexed="81"/>
            <rFont val="宋体"/>
            <family val="3"/>
            <charset val="134"/>
          </rPr>
          <t>武将所带士兵的攻击</t>
        </r>
      </text>
    </comment>
    <comment ref="X4" authorId="0" shapeId="0" xr:uid="{00000000-0006-0000-0900-000003000000}">
      <text>
        <r>
          <rPr>
            <b/>
            <sz val="9"/>
            <color indexed="81"/>
            <rFont val="宋体"/>
            <family val="3"/>
            <charset val="134"/>
          </rPr>
          <t>武将所带士兵的血量</t>
        </r>
      </text>
    </comment>
    <comment ref="AE4" authorId="0" shapeId="0" xr:uid="{00000000-0006-0000-0900-000004000000}">
      <text>
        <r>
          <rPr>
            <b/>
            <sz val="9"/>
            <color indexed="81"/>
            <rFont val="宋体"/>
            <family val="3"/>
            <charset val="134"/>
          </rPr>
          <t>武将所带士兵的攻击</t>
        </r>
      </text>
    </comment>
    <comment ref="AF4" authorId="0" shapeId="0" xr:uid="{00000000-0006-0000-0900-000005000000}">
      <text>
        <r>
          <rPr>
            <b/>
            <sz val="9"/>
            <color indexed="81"/>
            <rFont val="宋体"/>
            <family val="3"/>
            <charset val="134"/>
          </rPr>
          <t>武将所带士兵的血量</t>
        </r>
      </text>
    </comment>
  </commentList>
</comments>
</file>

<file path=xl/sharedStrings.xml><?xml version="1.0" encoding="utf-8"?>
<sst xmlns="http://schemas.openxmlformats.org/spreadsheetml/2006/main" count="1914" uniqueCount="461">
  <si>
    <t>绿</t>
    <phoneticPr fontId="1" type="noConversion"/>
  </si>
  <si>
    <t>蓝</t>
    <phoneticPr fontId="1" type="noConversion"/>
  </si>
  <si>
    <t>紫</t>
    <phoneticPr fontId="1" type="noConversion"/>
  </si>
  <si>
    <t>橙</t>
    <phoneticPr fontId="1" type="noConversion"/>
  </si>
  <si>
    <t>红</t>
    <phoneticPr fontId="1" type="noConversion"/>
  </si>
  <si>
    <t>红</t>
    <phoneticPr fontId="1" type="noConversion"/>
  </si>
  <si>
    <t>属性设定</t>
    <phoneticPr fontId="1" type="noConversion"/>
  </si>
  <si>
    <t>生命</t>
    <phoneticPr fontId="1" type="noConversion"/>
  </si>
  <si>
    <t>攻击</t>
    <phoneticPr fontId="1" type="noConversion"/>
  </si>
  <si>
    <t>防御</t>
    <phoneticPr fontId="1" type="noConversion"/>
  </si>
  <si>
    <t>装备培养</t>
    <phoneticPr fontId="1" type="noConversion"/>
  </si>
  <si>
    <t>升级</t>
    <phoneticPr fontId="1" type="noConversion"/>
  </si>
  <si>
    <t>升星</t>
    <phoneticPr fontId="1" type="noConversion"/>
  </si>
  <si>
    <t>装备品质</t>
    <phoneticPr fontId="1" type="noConversion"/>
  </si>
  <si>
    <t>绿</t>
    <phoneticPr fontId="1" type="noConversion"/>
  </si>
  <si>
    <t>蓝</t>
    <phoneticPr fontId="1" type="noConversion"/>
  </si>
  <si>
    <t>紫</t>
    <phoneticPr fontId="1" type="noConversion"/>
  </si>
  <si>
    <t>橙</t>
    <phoneticPr fontId="1" type="noConversion"/>
  </si>
  <si>
    <t>红</t>
    <phoneticPr fontId="1" type="noConversion"/>
  </si>
  <si>
    <t>品质</t>
    <phoneticPr fontId="1" type="noConversion"/>
  </si>
  <si>
    <t>属性设定</t>
    <phoneticPr fontId="1" type="noConversion"/>
  </si>
  <si>
    <t>初始属性</t>
    <phoneticPr fontId="1" type="noConversion"/>
  </si>
  <si>
    <t>成长属性</t>
    <phoneticPr fontId="1" type="noConversion"/>
  </si>
  <si>
    <t>定阶段时间</t>
    <phoneticPr fontId="1" type="noConversion"/>
  </si>
  <si>
    <t>阶段获得的属性</t>
    <phoneticPr fontId="1" type="noConversion"/>
  </si>
  <si>
    <t>绿</t>
    <phoneticPr fontId="1" type="noConversion"/>
  </si>
  <si>
    <t>蓝</t>
    <phoneticPr fontId="1" type="noConversion"/>
  </si>
  <si>
    <t>橙</t>
    <phoneticPr fontId="1" type="noConversion"/>
  </si>
  <si>
    <t>1星蓝</t>
    <phoneticPr fontId="1" type="noConversion"/>
  </si>
  <si>
    <t>1星紫</t>
    <phoneticPr fontId="1" type="noConversion"/>
  </si>
  <si>
    <t>2星紫</t>
    <phoneticPr fontId="1" type="noConversion"/>
  </si>
  <si>
    <t>1星橙</t>
    <phoneticPr fontId="1" type="noConversion"/>
  </si>
  <si>
    <t>2星橙</t>
    <phoneticPr fontId="1" type="noConversion"/>
  </si>
  <si>
    <t>3星橙</t>
    <phoneticPr fontId="1" type="noConversion"/>
  </si>
  <si>
    <t>红</t>
    <phoneticPr fontId="1" type="noConversion"/>
  </si>
  <si>
    <t>1星红</t>
    <phoneticPr fontId="1" type="noConversion"/>
  </si>
  <si>
    <t>2星红</t>
    <phoneticPr fontId="1" type="noConversion"/>
  </si>
  <si>
    <t>3星红</t>
    <phoneticPr fontId="1" type="noConversion"/>
  </si>
  <si>
    <t>4星红</t>
    <phoneticPr fontId="1" type="noConversion"/>
  </si>
  <si>
    <t>5星红</t>
    <phoneticPr fontId="1" type="noConversion"/>
  </si>
  <si>
    <t>3绿</t>
    <phoneticPr fontId="1" type="noConversion"/>
  </si>
  <si>
    <t>3蓝</t>
    <phoneticPr fontId="1" type="noConversion"/>
  </si>
  <si>
    <t>1蓝</t>
    <phoneticPr fontId="1" type="noConversion"/>
  </si>
  <si>
    <t>首套</t>
    <phoneticPr fontId="1" type="noConversion"/>
  </si>
  <si>
    <t>绿</t>
    <phoneticPr fontId="1" type="noConversion"/>
  </si>
  <si>
    <t>蓝</t>
    <phoneticPr fontId="1" type="noConversion"/>
  </si>
  <si>
    <t>5星红</t>
    <phoneticPr fontId="1" type="noConversion"/>
  </si>
  <si>
    <t>绿</t>
    <phoneticPr fontId="1" type="noConversion"/>
  </si>
  <si>
    <t>品质</t>
    <phoneticPr fontId="1" type="noConversion"/>
  </si>
  <si>
    <t>基础值</t>
    <phoneticPr fontId="1" type="noConversion"/>
  </si>
  <si>
    <t>成长值</t>
    <phoneticPr fontId="1" type="noConversion"/>
  </si>
  <si>
    <t>蓝</t>
    <phoneticPr fontId="1" type="noConversion"/>
  </si>
  <si>
    <t>紫</t>
    <phoneticPr fontId="1" type="noConversion"/>
  </si>
  <si>
    <t>橙</t>
    <phoneticPr fontId="1" type="noConversion"/>
  </si>
  <si>
    <t>红</t>
    <phoneticPr fontId="1" type="noConversion"/>
  </si>
  <si>
    <t>升星附加值</t>
    <phoneticPr fontId="1" type="noConversion"/>
  </si>
  <si>
    <t>升星次数</t>
    <phoneticPr fontId="1" type="noConversion"/>
  </si>
  <si>
    <t>等级上限</t>
    <phoneticPr fontId="1" type="noConversion"/>
  </si>
  <si>
    <t>初始等级</t>
    <phoneticPr fontId="1" type="noConversion"/>
  </si>
  <si>
    <t>装备属性=基础值+成长值*等级+固定值</t>
    <phoneticPr fontId="1" type="noConversion"/>
  </si>
  <si>
    <t>状态</t>
    <phoneticPr fontId="1" type="noConversion"/>
  </si>
  <si>
    <t>阶段属性值</t>
    <phoneticPr fontId="1" type="noConversion"/>
  </si>
  <si>
    <t>装备等级</t>
    <phoneticPr fontId="1" type="noConversion"/>
  </si>
  <si>
    <t>玩家等级</t>
    <phoneticPr fontId="1" type="noConversion"/>
  </si>
  <si>
    <t>1件紫</t>
    <phoneticPr fontId="1" type="noConversion"/>
  </si>
  <si>
    <t>1个人紫</t>
    <phoneticPr fontId="1" type="noConversion"/>
  </si>
  <si>
    <t>3个人紫</t>
    <phoneticPr fontId="1" type="noConversion"/>
  </si>
  <si>
    <t>1件橙</t>
    <phoneticPr fontId="1" type="noConversion"/>
  </si>
  <si>
    <t>1个人橙</t>
    <phoneticPr fontId="1" type="noConversion"/>
  </si>
  <si>
    <t>3个人橙</t>
    <phoneticPr fontId="1" type="noConversion"/>
  </si>
  <si>
    <t>3个人红</t>
    <phoneticPr fontId="1" type="noConversion"/>
  </si>
  <si>
    <t>1件红</t>
    <phoneticPr fontId="1" type="noConversion"/>
  </si>
  <si>
    <t>1个人红</t>
    <phoneticPr fontId="1" type="noConversion"/>
  </si>
  <si>
    <t>6个人红</t>
    <phoneticPr fontId="1" type="noConversion"/>
  </si>
  <si>
    <t>6个人红1</t>
    <phoneticPr fontId="1" type="noConversion"/>
  </si>
  <si>
    <t>6个人红3</t>
    <phoneticPr fontId="1" type="noConversion"/>
  </si>
  <si>
    <t>6个人红5</t>
    <phoneticPr fontId="1" type="noConversion"/>
  </si>
  <si>
    <t>1紫17蓝</t>
    <phoneticPr fontId="1" type="noConversion"/>
  </si>
  <si>
    <t>3紫15蓝</t>
    <phoneticPr fontId="1" type="noConversion"/>
  </si>
  <si>
    <t>9紫9蓝1</t>
    <phoneticPr fontId="1" type="noConversion"/>
  </si>
  <si>
    <t>1橙17紫</t>
    <phoneticPr fontId="1" type="noConversion"/>
  </si>
  <si>
    <t>3橙15紫1</t>
    <phoneticPr fontId="1" type="noConversion"/>
  </si>
  <si>
    <t>9橙9紫2</t>
    <phoneticPr fontId="1" type="noConversion"/>
  </si>
  <si>
    <t>3红15橙3</t>
    <phoneticPr fontId="1" type="noConversion"/>
  </si>
  <si>
    <t>1红17橙2</t>
    <phoneticPr fontId="1" type="noConversion"/>
  </si>
  <si>
    <t>9红9橙3</t>
    <phoneticPr fontId="1" type="noConversion"/>
  </si>
  <si>
    <t>18红</t>
    <phoneticPr fontId="1" type="noConversion"/>
  </si>
  <si>
    <t>18红1</t>
    <phoneticPr fontId="1" type="noConversion"/>
  </si>
  <si>
    <t>18红3</t>
    <phoneticPr fontId="1" type="noConversion"/>
  </si>
  <si>
    <t>18红5</t>
    <phoneticPr fontId="1" type="noConversion"/>
  </si>
  <si>
    <t>1星蓝</t>
    <phoneticPr fontId="1" type="noConversion"/>
  </si>
  <si>
    <t>1星紫</t>
    <phoneticPr fontId="1" type="noConversion"/>
  </si>
  <si>
    <t>2星紫</t>
    <phoneticPr fontId="1" type="noConversion"/>
  </si>
  <si>
    <t>2星橙</t>
    <phoneticPr fontId="1" type="noConversion"/>
  </si>
  <si>
    <t>3星橙</t>
    <phoneticPr fontId="1" type="noConversion"/>
  </si>
  <si>
    <t>1星红</t>
    <phoneticPr fontId="1" type="noConversion"/>
  </si>
  <si>
    <t>3星红</t>
    <phoneticPr fontId="1" type="noConversion"/>
  </si>
  <si>
    <t>5星红</t>
    <phoneticPr fontId="1" type="noConversion"/>
  </si>
  <si>
    <t>3蓝15绿</t>
    <phoneticPr fontId="1" type="noConversion"/>
  </si>
  <si>
    <t>1蓝17绿</t>
    <phoneticPr fontId="1" type="noConversion"/>
  </si>
  <si>
    <t>等级</t>
    <phoneticPr fontId="1" type="noConversion"/>
  </si>
  <si>
    <t>1绿</t>
    <phoneticPr fontId="1" type="noConversion"/>
  </si>
  <si>
    <t>3绿</t>
    <phoneticPr fontId="1" type="noConversion"/>
  </si>
  <si>
    <t>非r具体状态</t>
    <phoneticPr fontId="1" type="noConversion"/>
  </si>
  <si>
    <t>非r属性</t>
    <phoneticPr fontId="1" type="noConversion"/>
  </si>
  <si>
    <t>非r状态</t>
    <phoneticPr fontId="1" type="noConversion"/>
  </si>
  <si>
    <t>超r状态</t>
    <phoneticPr fontId="1" type="noConversion"/>
  </si>
  <si>
    <t>1星蓝</t>
    <phoneticPr fontId="1" type="noConversion"/>
  </si>
  <si>
    <t>紫</t>
    <phoneticPr fontId="1" type="noConversion"/>
  </si>
  <si>
    <t>1星紫</t>
    <phoneticPr fontId="1" type="noConversion"/>
  </si>
  <si>
    <t>2星紫</t>
    <phoneticPr fontId="1" type="noConversion"/>
  </si>
  <si>
    <t>橙</t>
    <phoneticPr fontId="1" type="noConversion"/>
  </si>
  <si>
    <t>1星橙</t>
    <phoneticPr fontId="1" type="noConversion"/>
  </si>
  <si>
    <t>2星橙</t>
    <phoneticPr fontId="1" type="noConversion"/>
  </si>
  <si>
    <t>3星橙</t>
    <phoneticPr fontId="1" type="noConversion"/>
  </si>
  <si>
    <t>3星橙</t>
    <phoneticPr fontId="1" type="noConversion"/>
  </si>
  <si>
    <t>1星红</t>
    <phoneticPr fontId="1" type="noConversion"/>
  </si>
  <si>
    <t>红</t>
    <phoneticPr fontId="1" type="noConversion"/>
  </si>
  <si>
    <t>4星红</t>
    <phoneticPr fontId="1" type="noConversion"/>
  </si>
  <si>
    <t>超r属性</t>
    <phoneticPr fontId="1" type="noConversion"/>
  </si>
  <si>
    <t>非r属性值</t>
    <phoneticPr fontId="1" type="noConversion"/>
  </si>
  <si>
    <t>超r属性值</t>
    <phoneticPr fontId="1" type="noConversion"/>
  </si>
  <si>
    <t>绿</t>
    <phoneticPr fontId="1" type="noConversion"/>
  </si>
  <si>
    <t>蓝</t>
    <phoneticPr fontId="1" type="noConversion"/>
  </si>
  <si>
    <t>紫</t>
    <phoneticPr fontId="1" type="noConversion"/>
  </si>
  <si>
    <t>橙</t>
    <phoneticPr fontId="1" type="noConversion"/>
  </si>
  <si>
    <t>红</t>
    <phoneticPr fontId="1" type="noConversion"/>
  </si>
  <si>
    <t>套装三维属性</t>
    <phoneticPr fontId="1" type="noConversion"/>
  </si>
  <si>
    <t>均值</t>
    <phoneticPr fontId="1" type="noConversion"/>
  </si>
  <si>
    <t>装备等级</t>
    <phoneticPr fontId="1" type="noConversion"/>
  </si>
  <si>
    <t>橙</t>
    <phoneticPr fontId="1" type="noConversion"/>
  </si>
  <si>
    <t>银币每级消耗</t>
    <phoneticPr fontId="1" type="noConversion"/>
  </si>
  <si>
    <t>装备等级</t>
    <phoneticPr fontId="1" type="noConversion"/>
  </si>
  <si>
    <t>非R</t>
    <phoneticPr fontId="1" type="noConversion"/>
  </si>
  <si>
    <t>装备数量</t>
    <phoneticPr fontId="1" type="noConversion"/>
  </si>
  <si>
    <t>超R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</si>
  <si>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</si>
  <si>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</si>
  <si>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</si>
  <si>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银币消耗</t>
  </si>
  <si>
    <t>绿</t>
  </si>
  <si>
    <t>蓝</t>
  </si>
  <si>
    <t>紫</t>
  </si>
  <si>
    <t>橙</t>
  </si>
  <si>
    <t>红</t>
  </si>
  <si>
    <t>最大突破次数</t>
    <phoneticPr fontId="1" type="noConversion"/>
  </si>
  <si>
    <t>不同阶段突破对应银币阶段消耗</t>
    <phoneticPr fontId="1" type="noConversion"/>
  </si>
  <si>
    <t>突破次数</t>
    <phoneticPr fontId="1" type="noConversion"/>
  </si>
  <si>
    <t>绿</t>
    <phoneticPr fontId="1" type="noConversion"/>
  </si>
  <si>
    <t>经验消耗</t>
  </si>
  <si>
    <t>三维属性</t>
  </si>
  <si>
    <t>装备实际突破次数</t>
  </si>
  <si>
    <t>总计</t>
    <phoneticPr fontId="1" type="noConversion"/>
  </si>
  <si>
    <t>非r消耗占比</t>
  </si>
  <si>
    <t>银币累计消耗</t>
    <phoneticPr fontId="1" type="noConversion"/>
  </si>
  <si>
    <t>蓝</t>
    <phoneticPr fontId="1" type="noConversion"/>
  </si>
  <si>
    <t>紫</t>
    <phoneticPr fontId="1" type="noConversion"/>
  </si>
  <si>
    <t>橙</t>
    <phoneticPr fontId="1" type="noConversion"/>
  </si>
  <si>
    <t>总计</t>
    <phoneticPr fontId="1" type="noConversion"/>
  </si>
  <si>
    <t>红</t>
    <phoneticPr fontId="1" type="noConversion"/>
  </si>
  <si>
    <t>基础</t>
    <phoneticPr fontId="1" type="noConversion"/>
  </si>
  <si>
    <t>成长</t>
    <phoneticPr fontId="1" type="noConversion"/>
  </si>
  <si>
    <t>红</t>
    <phoneticPr fontId="1" type="noConversion"/>
  </si>
  <si>
    <t>均值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</si>
  <si>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</si>
  <si>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</si>
  <si>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</si>
  <si>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</si>
  <si>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</si>
  <si>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装备升级</t>
    <phoneticPr fontId="1" type="noConversion"/>
  </si>
  <si>
    <t>经验累计消耗</t>
    <phoneticPr fontId="1" type="noConversion"/>
  </si>
  <si>
    <t>累计银币消耗</t>
    <phoneticPr fontId="1" type="noConversion"/>
  </si>
  <si>
    <t>红</t>
    <phoneticPr fontId="1" type="noConversion"/>
  </si>
  <si>
    <t>装备强化</t>
    <phoneticPr fontId="1" type="noConversion"/>
  </si>
  <si>
    <t>装备突破</t>
    <phoneticPr fontId="1" type="noConversion"/>
  </si>
  <si>
    <t>不同阶段突破对应同名装备阶段消耗</t>
    <phoneticPr fontId="1" type="noConversion"/>
  </si>
  <si>
    <t>不同累计突破对应同名装备累计消耗</t>
  </si>
  <si>
    <t>不同累计突破对应银币累计消耗</t>
  </si>
  <si>
    <t>非R</t>
    <phoneticPr fontId="1" type="noConversion"/>
  </si>
  <si>
    <t>绿</t>
    <phoneticPr fontId="1" type="noConversion"/>
  </si>
  <si>
    <t>蓝</t>
    <phoneticPr fontId="1" type="noConversion"/>
  </si>
  <si>
    <t>紫</t>
    <phoneticPr fontId="1" type="noConversion"/>
  </si>
  <si>
    <t>橙</t>
    <phoneticPr fontId="1" type="noConversion"/>
  </si>
  <si>
    <t>总计</t>
    <phoneticPr fontId="1" type="noConversion"/>
  </si>
  <si>
    <t>银币累计消耗</t>
  </si>
  <si>
    <t>不同阶段突破对应装备等级上限</t>
    <phoneticPr fontId="1" type="noConversion"/>
  </si>
  <si>
    <t>小R</t>
    <phoneticPr fontId="1" type="noConversion"/>
  </si>
  <si>
    <t>红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</si>
  <si>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</si>
  <si>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</si>
  <si>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</si>
  <si>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三件套装备</t>
  </si>
  <si>
    <t>套装进度达成率</t>
    <phoneticPr fontId="1" type="noConversion"/>
  </si>
  <si>
    <t>套装三维属性/单个武将</t>
    <phoneticPr fontId="1" type="noConversion"/>
  </si>
  <si>
    <t>红</t>
    <phoneticPr fontId="1" type="noConversion"/>
  </si>
  <si>
    <t>突破对应同名装备累计消耗/单个装备</t>
    <phoneticPr fontId="1" type="noConversion"/>
  </si>
  <si>
    <t>等级对应三维属性/单个武将</t>
    <phoneticPr fontId="1" type="noConversion"/>
  </si>
  <si>
    <t>大殿等级</t>
  </si>
  <si>
    <t>大殿等级累积停留时间(天）</t>
  </si>
  <si>
    <t>大殿等级阶段停留时间（天）</t>
  </si>
  <si>
    <t>非r累积时长大殿等级标准</t>
  </si>
  <si>
    <t>累积停留天数(标准）</t>
    <phoneticPr fontId="1" type="noConversion"/>
  </si>
  <si>
    <t>调整系数</t>
    <phoneticPr fontId="1" type="noConversion"/>
  </si>
  <si>
    <t>天数对应大殿等级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</si>
  <si>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</si>
  <si>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</si>
  <si>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</si>
  <si>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</si>
  <si>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</si>
  <si>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天数</t>
    <phoneticPr fontId="1" type="noConversion"/>
  </si>
  <si>
    <t>累积天数</t>
    <phoneticPr fontId="1" type="noConversion"/>
  </si>
  <si>
    <t>调整值</t>
    <phoneticPr fontId="1" type="noConversion"/>
  </si>
  <si>
    <t>完成天数</t>
    <phoneticPr fontId="1" type="noConversion"/>
  </si>
  <si>
    <t>银币总计消耗/主力队伍</t>
    <phoneticPr fontId="1" type="noConversion"/>
  </si>
  <si>
    <t>经验总计消耗/主力队伍</t>
    <phoneticPr fontId="1" type="noConversion"/>
  </si>
  <si>
    <t>装备经验</t>
    <phoneticPr fontId="1" type="noConversion"/>
  </si>
  <si>
    <t>绿</t>
    <phoneticPr fontId="1" type="noConversion"/>
  </si>
  <si>
    <t>三件套装备基础（攻）</t>
    <phoneticPr fontId="1" type="noConversion"/>
  </si>
  <si>
    <t>三件套装备基础（血）</t>
    <phoneticPr fontId="1" type="noConversion"/>
  </si>
  <si>
    <t>三件套装备成长（攻）</t>
    <phoneticPr fontId="1" type="noConversion"/>
  </si>
  <si>
    <t>三件套装备成长（血）</t>
    <phoneticPr fontId="1" type="noConversion"/>
  </si>
  <si>
    <t>攻参考值/单个武将</t>
    <phoneticPr fontId="1" type="noConversion"/>
  </si>
  <si>
    <t>血参考值/单个武将</t>
    <phoneticPr fontId="1" type="noConversion"/>
  </si>
  <si>
    <t>攻</t>
    <phoneticPr fontId="1" type="noConversion"/>
  </si>
  <si>
    <t>血</t>
    <phoneticPr fontId="1" type="noConversion"/>
  </si>
  <si>
    <t>等级对应血/单个武将</t>
    <phoneticPr fontId="1" type="noConversion"/>
  </si>
  <si>
    <t>等级对应攻/单个武将</t>
    <phoneticPr fontId="1" type="noConversion"/>
  </si>
  <si>
    <t>攻参考值/单个武将</t>
    <phoneticPr fontId="1" type="noConversion"/>
  </si>
  <si>
    <t>血参考值/单个武将</t>
    <phoneticPr fontId="1" type="noConversion"/>
  </si>
  <si>
    <t>装备升级经验和银币关联参数</t>
    <phoneticPr fontId="1" type="noConversion"/>
  </si>
  <si>
    <t>非r</t>
    <phoneticPr fontId="1" type="noConversion"/>
  </si>
  <si>
    <t>属性</t>
    <phoneticPr fontId="1" type="noConversion"/>
  </si>
  <si>
    <t>战力值计算</t>
    <phoneticPr fontId="1" type="noConversion"/>
  </si>
  <si>
    <t>三维属性</t>
    <phoneticPr fontId="1" type="noConversion"/>
  </si>
  <si>
    <t>攻</t>
    <phoneticPr fontId="1" type="noConversion"/>
  </si>
  <si>
    <t>血</t>
    <phoneticPr fontId="1" type="noConversion"/>
  </si>
  <si>
    <t>总战力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</si>
  <si>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</si>
  <si>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</si>
  <si>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</si>
  <si>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</si>
  <si>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均值</t>
    <phoneticPr fontId="1" type="noConversion"/>
  </si>
  <si>
    <t>已用</t>
    <phoneticPr fontId="1" type="noConversion"/>
  </si>
  <si>
    <t>提高三维</t>
    <phoneticPr fontId="1" type="noConversion"/>
  </si>
  <si>
    <t>提高武力</t>
    <phoneticPr fontId="1" type="noConversion"/>
  </si>
  <si>
    <t>提高统帅</t>
    <phoneticPr fontId="1" type="noConversion"/>
  </si>
  <si>
    <t>提高智力</t>
    <phoneticPr fontId="1" type="noConversion"/>
  </si>
  <si>
    <t>提高带兵攻城攻击</t>
    <phoneticPr fontId="1" type="noConversion"/>
  </si>
  <si>
    <t>提高带兵负重</t>
  </si>
  <si>
    <t>提高野外采集速度</t>
    <phoneticPr fontId="1" type="noConversion"/>
  </si>
  <si>
    <t>提高带兵血量</t>
    <phoneticPr fontId="1" type="noConversion"/>
  </si>
  <si>
    <t>提高带兵攻击</t>
    <phoneticPr fontId="1" type="noConversion"/>
  </si>
  <si>
    <t>备选</t>
    <phoneticPr fontId="1" type="noConversion"/>
  </si>
  <si>
    <t>提高闪避</t>
    <phoneticPr fontId="1" type="noConversion"/>
  </si>
  <si>
    <t>提高命中</t>
    <phoneticPr fontId="1" type="noConversion"/>
  </si>
  <si>
    <t>提高韧性</t>
    <phoneticPr fontId="1" type="noConversion"/>
  </si>
  <si>
    <t>提高暴击</t>
    <phoneticPr fontId="1" type="noConversion"/>
  </si>
  <si>
    <t>提高攻击时怒气恢复速度</t>
    <phoneticPr fontId="1" type="noConversion"/>
  </si>
  <si>
    <t>提高受击时怒气恢复速度</t>
    <phoneticPr fontId="1" type="noConversion"/>
  </si>
  <si>
    <t>降低武将以及带兵受控制时间</t>
    <phoneticPr fontId="1" type="noConversion"/>
  </si>
  <si>
    <t>提高武将以及带兵攻击速度</t>
    <phoneticPr fontId="1" type="noConversion"/>
  </si>
  <si>
    <t>提高武将以及带兵攻击范围</t>
    <phoneticPr fontId="1" type="noConversion"/>
  </si>
  <si>
    <t>绿</t>
    <phoneticPr fontId="1" type="noConversion"/>
  </si>
  <si>
    <t>套装目的</t>
    <phoneticPr fontId="1" type="noConversion"/>
  </si>
  <si>
    <t>套装倾向</t>
    <phoneticPr fontId="1" type="noConversion"/>
  </si>
  <si>
    <t>效果</t>
    <phoneticPr fontId="1" type="noConversion"/>
  </si>
  <si>
    <t>数值</t>
    <phoneticPr fontId="1" type="noConversion"/>
  </si>
  <si>
    <t>战斗</t>
    <phoneticPr fontId="1" type="noConversion"/>
  </si>
  <si>
    <t>基础战斗属性</t>
    <phoneticPr fontId="1" type="noConversion"/>
  </si>
  <si>
    <t>15+20</t>
    <phoneticPr fontId="1" type="noConversion"/>
  </si>
  <si>
    <t>提高武力，提高统帅</t>
    <phoneticPr fontId="1" type="noConversion"/>
  </si>
  <si>
    <t>10+12+13</t>
    <phoneticPr fontId="1" type="noConversion"/>
  </si>
  <si>
    <t>15+20+25+30</t>
    <phoneticPr fontId="1" type="noConversion"/>
  </si>
  <si>
    <t>25+30+35+40+45+50</t>
    <phoneticPr fontId="1" type="noConversion"/>
  </si>
  <si>
    <t>提高武力,提高智力</t>
    <phoneticPr fontId="1" type="noConversion"/>
  </si>
  <si>
    <t>提高智力，提高统帅</t>
    <phoneticPr fontId="1" type="noConversion"/>
  </si>
  <si>
    <t>20+25+30</t>
    <phoneticPr fontId="1" type="noConversion"/>
  </si>
  <si>
    <t>30+40+50+60</t>
    <phoneticPr fontId="1" type="noConversion"/>
  </si>
  <si>
    <t>15+18+21+24+27+30</t>
    <phoneticPr fontId="1" type="noConversion"/>
  </si>
  <si>
    <t>专属判定</t>
    <phoneticPr fontId="1" type="noConversion"/>
  </si>
  <si>
    <t>提高三维,秦国武将，增加带兵攻击血量</t>
    <phoneticPr fontId="1" type="noConversion"/>
  </si>
  <si>
    <t>5+8+11+14+17+20,15+18+21+24+27+30%</t>
    <phoneticPr fontId="1" type="noConversion"/>
  </si>
  <si>
    <t>提高三维,楚国武将，增加带兵攻击血量</t>
    <phoneticPr fontId="1" type="noConversion"/>
  </si>
  <si>
    <t>提高三维,燕国武将，增加带兵攻击血量</t>
    <phoneticPr fontId="1" type="noConversion"/>
  </si>
  <si>
    <t>提高三维,韩国武将，增加带兵攻击血量</t>
    <phoneticPr fontId="1" type="noConversion"/>
  </si>
  <si>
    <t>提高三维,赵国武将，增加带兵攻击血量</t>
    <phoneticPr fontId="1" type="noConversion"/>
  </si>
  <si>
    <t>提高三维,魏国武将，增加带兵攻击血量</t>
    <phoneticPr fontId="1" type="noConversion"/>
  </si>
  <si>
    <t>提高三维,齐国武将，增加带兵攻击血量</t>
    <phoneticPr fontId="1" type="noConversion"/>
  </si>
  <si>
    <t>提高三维,群雄武将，增加带兵攻击血量</t>
    <phoneticPr fontId="1" type="noConversion"/>
  </si>
  <si>
    <t>日常</t>
    <phoneticPr fontId="1" type="noConversion"/>
  </si>
  <si>
    <t>资源获取</t>
    <phoneticPr fontId="1" type="noConversion"/>
  </si>
  <si>
    <t>5+10+20%</t>
    <phoneticPr fontId="1" type="noConversion"/>
  </si>
  <si>
    <t>15+20+30+50%</t>
    <phoneticPr fontId="1" type="noConversion"/>
  </si>
  <si>
    <t>2+5+10+20%</t>
    <phoneticPr fontId="1" type="noConversion"/>
  </si>
  <si>
    <t>受击方</t>
    <phoneticPr fontId="1" type="noConversion"/>
  </si>
  <si>
    <t>攻击方</t>
    <phoneticPr fontId="1" type="noConversion"/>
  </si>
  <si>
    <t>国家判定</t>
    <phoneticPr fontId="1" type="noConversion"/>
  </si>
  <si>
    <t>提高三维,群雄武将，增加带兵攻击血量</t>
    <phoneticPr fontId="1" type="noConversion"/>
  </si>
  <si>
    <t>提高三维,齐国武将，增加带兵攻击血量</t>
    <phoneticPr fontId="1" type="noConversion"/>
  </si>
  <si>
    <t>提高三维,魏国武将，增加带兵攻击血量</t>
    <phoneticPr fontId="1" type="noConversion"/>
  </si>
  <si>
    <t>提高三维,赵国武将，增加带兵攻击血量</t>
    <phoneticPr fontId="1" type="noConversion"/>
  </si>
  <si>
    <t>提高三维,韩国武将，增加带兵攻击血量</t>
    <phoneticPr fontId="1" type="noConversion"/>
  </si>
  <si>
    <t>提高三维,燕国武将，增加带兵攻击血量</t>
    <phoneticPr fontId="1" type="noConversion"/>
  </si>
  <si>
    <t>提高三维,楚国武将，增加带兵攻击血量</t>
    <phoneticPr fontId="1" type="noConversion"/>
  </si>
  <si>
    <t>提高三维,秦国武将，增加带兵攻击血量</t>
    <phoneticPr fontId="1" type="noConversion"/>
  </si>
  <si>
    <t>提高三维</t>
    <phoneticPr fontId="1" type="noConversion"/>
  </si>
  <si>
    <t>提高智略，提高统御</t>
  </si>
  <si>
    <t>提高勇武,提高智略</t>
  </si>
  <si>
    <t>提高勇武，提高统御</t>
  </si>
  <si>
    <t>提高野外采集速度</t>
    <phoneticPr fontId="1" type="noConversion"/>
  </si>
  <si>
    <t>提高带兵攻城值</t>
  </si>
  <si>
    <t>提高智略</t>
  </si>
  <si>
    <t>提高统御</t>
  </si>
  <si>
    <t>提高勇武</t>
  </si>
  <si>
    <t>兵属性对应三维比例</t>
    <phoneticPr fontId="1" type="noConversion"/>
  </si>
  <si>
    <t>红</t>
    <phoneticPr fontId="1" type="noConversion"/>
  </si>
  <si>
    <t>橙</t>
    <phoneticPr fontId="1" type="noConversion"/>
  </si>
  <si>
    <t>紫</t>
    <phoneticPr fontId="1" type="noConversion"/>
  </si>
  <si>
    <t>蓝</t>
    <phoneticPr fontId="1" type="noConversion"/>
  </si>
  <si>
    <t>绿</t>
    <phoneticPr fontId="1" type="noConversion"/>
  </si>
  <si>
    <t>血量</t>
    <phoneticPr fontId="1" type="noConversion"/>
  </si>
  <si>
    <t>攻击</t>
    <phoneticPr fontId="1" type="noConversion"/>
  </si>
  <si>
    <t>采集速度</t>
    <phoneticPr fontId="1" type="noConversion"/>
  </si>
  <si>
    <t>攻城值</t>
    <phoneticPr fontId="1" type="noConversion"/>
  </si>
  <si>
    <t>负重</t>
    <phoneticPr fontId="1" type="noConversion"/>
  </si>
  <si>
    <t>智略</t>
    <phoneticPr fontId="1" type="noConversion"/>
  </si>
  <si>
    <t>勇武</t>
    <phoneticPr fontId="1" type="noConversion"/>
  </si>
  <si>
    <t>统御</t>
    <phoneticPr fontId="1" type="noConversion"/>
  </si>
  <si>
    <t>血量</t>
    <phoneticPr fontId="1" type="noConversion"/>
  </si>
  <si>
    <t>攻击</t>
    <phoneticPr fontId="1" type="noConversion"/>
  </si>
  <si>
    <t>采集速度</t>
    <phoneticPr fontId="1" type="noConversion"/>
  </si>
  <si>
    <t>攻城值</t>
    <phoneticPr fontId="1" type="noConversion"/>
  </si>
  <si>
    <t>负重</t>
    <phoneticPr fontId="1" type="noConversion"/>
  </si>
  <si>
    <t>智略</t>
    <phoneticPr fontId="1" type="noConversion"/>
  </si>
  <si>
    <t>勇武</t>
    <phoneticPr fontId="1" type="noConversion"/>
  </si>
  <si>
    <t>统御</t>
    <phoneticPr fontId="1" type="noConversion"/>
  </si>
  <si>
    <t>套装倾向</t>
    <phoneticPr fontId="1" type="noConversion"/>
  </si>
  <si>
    <t>血参数</t>
    <phoneticPr fontId="1" type="noConversion"/>
  </si>
  <si>
    <t>攻参数</t>
    <phoneticPr fontId="1" type="noConversion"/>
  </si>
  <si>
    <t>三维参数</t>
    <phoneticPr fontId="1" type="noConversion"/>
  </si>
  <si>
    <t>品质数值</t>
    <phoneticPr fontId="1" type="noConversion"/>
  </si>
  <si>
    <t>套装id</t>
    <phoneticPr fontId="1" type="noConversion"/>
  </si>
  <si>
    <t>血参数</t>
    <phoneticPr fontId="1" type="noConversion"/>
  </si>
  <si>
    <t>三维参数</t>
    <phoneticPr fontId="1" type="noConversion"/>
  </si>
  <si>
    <t>预估套装达成等级</t>
    <phoneticPr fontId="1" type="noConversion"/>
  </si>
  <si>
    <t>套装属性</t>
    <phoneticPr fontId="1" type="noConversion"/>
  </si>
  <si>
    <t>套装属性加成情况</t>
    <phoneticPr fontId="1" type="noConversion"/>
  </si>
  <si>
    <t>套装属性</t>
    <phoneticPr fontId="1" type="noConversion"/>
  </si>
  <si>
    <t>非r</t>
    <phoneticPr fontId="1" type="noConversion"/>
  </si>
  <si>
    <t>累计消耗价值</t>
  </si>
  <si>
    <t>非r</t>
    <phoneticPr fontId="1" type="noConversion"/>
  </si>
  <si>
    <t>累计消耗价值</t>
    <phoneticPr fontId="1" type="noConversion"/>
  </si>
  <si>
    <t>银币价值</t>
    <phoneticPr fontId="1" type="noConversion"/>
  </si>
  <si>
    <t>银币</t>
    <phoneticPr fontId="1" type="noConversion"/>
  </si>
  <si>
    <t>小r</t>
    <phoneticPr fontId="1" type="noConversion"/>
  </si>
  <si>
    <t>小r</t>
    <phoneticPr fontId="1" type="noConversion"/>
  </si>
  <si>
    <t>中r</t>
    <phoneticPr fontId="1" type="noConversion"/>
  </si>
  <si>
    <t>累计消耗价值</t>
    <phoneticPr fontId="1" type="noConversion"/>
  </si>
  <si>
    <t>大r</t>
    <phoneticPr fontId="1" type="noConversion"/>
  </si>
  <si>
    <t>大r</t>
    <phoneticPr fontId="1" type="noConversion"/>
  </si>
  <si>
    <t>超r</t>
    <phoneticPr fontId="1" type="noConversion"/>
  </si>
  <si>
    <t>超r</t>
    <phoneticPr fontId="1" type="noConversion"/>
  </si>
  <si>
    <t>装备经验</t>
    <phoneticPr fontId="1" type="noConversion"/>
  </si>
  <si>
    <t>银币</t>
    <phoneticPr fontId="1" type="noConversion"/>
  </si>
  <si>
    <t>装备经验价值</t>
    <phoneticPr fontId="1" type="noConversion"/>
  </si>
  <si>
    <t>装备经验</t>
    <phoneticPr fontId="1" type="noConversion"/>
  </si>
  <si>
    <t>套装三维属性均值/单个武将</t>
  </si>
  <si>
    <t>不同累计突破对应套装属性累计进度</t>
    <phoneticPr fontId="1" type="noConversion"/>
  </si>
  <si>
    <t>套装属性基础占比</t>
    <phoneticPr fontId="1" type="noConversion"/>
  </si>
  <si>
    <t>套装属性成长占比</t>
    <phoneticPr fontId="1" type="noConversion"/>
  </si>
  <si>
    <t>累计消耗</t>
  </si>
  <si>
    <t>装备价值</t>
    <phoneticPr fontId="1" type="noConversion"/>
  </si>
  <si>
    <t>装备价值</t>
    <phoneticPr fontId="1" type="noConversion"/>
  </si>
  <si>
    <t>突破对应同名装备累计消耗/单个装备</t>
    <phoneticPr fontId="1" type="noConversion"/>
  </si>
  <si>
    <t>装备价值</t>
    <phoneticPr fontId="1" type="noConversion"/>
  </si>
  <si>
    <t>累计消耗价值/主力队伍</t>
    <phoneticPr fontId="1" type="noConversion"/>
  </si>
  <si>
    <t>累计消耗价值/主力队伍</t>
    <phoneticPr fontId="1" type="noConversion"/>
  </si>
  <si>
    <t>累计消耗价值/主力队伍</t>
    <phoneticPr fontId="1" type="noConversion"/>
  </si>
  <si>
    <t>累计消耗价值/主力队伍</t>
    <phoneticPr fontId="1" type="noConversion"/>
  </si>
  <si>
    <t>非r</t>
    <phoneticPr fontId="1" type="noConversion"/>
  </si>
  <si>
    <t>大r</t>
    <phoneticPr fontId="1" type="noConversion"/>
  </si>
  <si>
    <t>超r</t>
    <phoneticPr fontId="1" type="noConversion"/>
  </si>
  <si>
    <t>紫</t>
    <phoneticPr fontId="1" type="noConversion"/>
  </si>
  <si>
    <t>橙</t>
    <phoneticPr fontId="1" type="noConversion"/>
  </si>
  <si>
    <t>红</t>
    <phoneticPr fontId="1" type="noConversion"/>
  </si>
  <si>
    <t>需求价值</t>
    <phoneticPr fontId="1" type="noConversion"/>
  </si>
  <si>
    <t>等级</t>
    <phoneticPr fontId="1" type="noConversion"/>
  </si>
  <si>
    <t>绿</t>
    <phoneticPr fontId="1" type="noConversion"/>
  </si>
  <si>
    <t>紫</t>
    <phoneticPr fontId="1" type="noConversion"/>
  </si>
  <si>
    <t>橙</t>
    <phoneticPr fontId="1" type="noConversion"/>
  </si>
  <si>
    <t>装备阶段价值</t>
    <phoneticPr fontId="1" type="noConversion"/>
  </si>
  <si>
    <t>预估阶段生成装备个数/行军令</t>
    <phoneticPr fontId="1" type="noConversion"/>
  </si>
  <si>
    <t>主力队伍装备突破累计消耗装备数量</t>
  </si>
  <si>
    <t>参考值</t>
    <phoneticPr fontId="1" type="noConversion"/>
  </si>
  <si>
    <t>装备升当前级强化经验累计消耗</t>
    <phoneticPr fontId="1" type="noConversion"/>
  </si>
  <si>
    <t>装备升当前级强化经验消耗</t>
    <phoneticPr fontId="1" type="noConversion"/>
  </si>
  <si>
    <t>,</t>
    <phoneticPr fontId="1" type="noConversion"/>
  </si>
  <si>
    <t/>
  </si>
  <si>
    <t>定义等级</t>
  </si>
  <si>
    <t>定义等级累积停留天数（天）</t>
  </si>
  <si>
    <t>定义等级阶段停留天数（天）</t>
  </si>
  <si>
    <t>天数对应定义等级</t>
  </si>
  <si>
    <t>非r累积时长定义等级标准</t>
  </si>
  <si>
    <t>装备突破对应的玩家等级限制</t>
    <phoneticPr fontId="1" type="noConversion"/>
  </si>
  <si>
    <t>套装等级</t>
    <phoneticPr fontId="1" type="noConversion"/>
  </si>
  <si>
    <t>红+</t>
    <phoneticPr fontId="1" type="noConversion"/>
  </si>
  <si>
    <t>汇总</t>
  </si>
  <si>
    <t>1、红装和红+装备才可以熔炼</t>
    <phoneticPr fontId="1" type="noConversion"/>
  </si>
  <si>
    <t>级</t>
    <phoneticPr fontId="1" type="noConversion"/>
  </si>
  <si>
    <t>2、熔炼需要装备等级达到=</t>
    <phoneticPr fontId="1" type="noConversion"/>
  </si>
  <si>
    <t>熔炼等级</t>
    <phoneticPr fontId="1" type="noConversion"/>
  </si>
  <si>
    <t>3、熔炼分为5个大阶段，每个阶段50级</t>
    <phoneticPr fontId="1" type="noConversion"/>
  </si>
  <si>
    <t>装备熔炼</t>
    <phoneticPr fontId="1" type="noConversion"/>
  </si>
  <si>
    <t>熔炼升级消耗A道具</t>
    <phoneticPr fontId="1" type="noConversion"/>
  </si>
  <si>
    <t>升阶消耗A、同资质装备</t>
    <phoneticPr fontId="1" type="noConversion"/>
  </si>
  <si>
    <t>定义等级</t>
    <phoneticPr fontId="1" type="noConversion"/>
  </si>
  <si>
    <t>装备等级</t>
    <phoneticPr fontId="1" type="noConversion"/>
  </si>
  <si>
    <t>熔炼等级</t>
    <phoneticPr fontId="1" type="noConversion"/>
  </si>
  <si>
    <t>等级对照关系</t>
    <phoneticPr fontId="1" type="noConversion"/>
  </si>
  <si>
    <t>阶位</t>
    <phoneticPr fontId="1" type="noConversion"/>
  </si>
  <si>
    <t>红色装备累积产出</t>
  </si>
  <si>
    <t>非r</t>
  </si>
  <si>
    <t>小r</t>
  </si>
  <si>
    <t>中r</t>
  </si>
  <si>
    <t>大r</t>
  </si>
  <si>
    <t>超r</t>
  </si>
  <si>
    <t>红色同名装备预期累计数量</t>
    <phoneticPr fontId="1" type="noConversion"/>
  </si>
  <si>
    <t>装备熔炼阶位</t>
  </si>
  <si>
    <t>熔炼石</t>
    <phoneticPr fontId="1" type="noConversion"/>
  </si>
  <si>
    <t>同名卡</t>
    <phoneticPr fontId="1" type="noConversion"/>
  </si>
  <si>
    <t>超r</t>
    <phoneticPr fontId="1" type="noConversion"/>
  </si>
  <si>
    <t>非r</t>
    <phoneticPr fontId="1" type="noConversion"/>
  </si>
  <si>
    <t>大r</t>
    <phoneticPr fontId="1" type="noConversion"/>
  </si>
  <si>
    <t>中r</t>
    <phoneticPr fontId="1" type="noConversion"/>
  </si>
  <si>
    <t>小r</t>
    <phoneticPr fontId="1" type="noConversion"/>
  </si>
  <si>
    <t>阶段消耗/单件装备</t>
    <phoneticPr fontId="1" type="noConversion"/>
  </si>
  <si>
    <t>累计消耗/单件装备</t>
    <phoneticPr fontId="1" type="noConversion"/>
  </si>
  <si>
    <t>阶段增加攻/血</t>
    <phoneticPr fontId="1" type="noConversion"/>
  </si>
  <si>
    <t>累计增加攻/血</t>
    <phoneticPr fontId="1" type="noConversion"/>
  </si>
  <si>
    <t>累计消耗同名卡数量/单个武将</t>
    <phoneticPr fontId="1" type="noConversion"/>
  </si>
  <si>
    <t>累计消耗熔炼石数量/单个武将</t>
    <phoneticPr fontId="1" type="noConversion"/>
  </si>
  <si>
    <r>
      <t>累计消耗同名卡数量/</t>
    </r>
    <r>
      <rPr>
        <sz val="9"/>
        <color rgb="FFFF0000"/>
        <rFont val="宋体"/>
        <family val="3"/>
        <charset val="134"/>
        <scheme val="minor"/>
      </rPr>
      <t>单件装备</t>
    </r>
    <phoneticPr fontId="1" type="noConversion"/>
  </si>
  <si>
    <t>熔炼石</t>
  </si>
  <si>
    <t>熔炼石价值</t>
  </si>
  <si>
    <t>累计消耗银币数量/单个武将</t>
    <phoneticPr fontId="1" type="noConversion"/>
  </si>
  <si>
    <t>装备</t>
    <phoneticPr fontId="1" type="noConversion"/>
  </si>
  <si>
    <t>非r占比</t>
    <phoneticPr fontId="1" type="noConversion"/>
  </si>
  <si>
    <t>装备强化</t>
    <phoneticPr fontId="1" type="noConversion"/>
  </si>
  <si>
    <t>装备熔炼</t>
    <phoneticPr fontId="1" type="noConversion"/>
  </si>
  <si>
    <t>阶段增加三维</t>
    <phoneticPr fontId="1" type="noConversion"/>
  </si>
  <si>
    <t>累计增加三维</t>
    <phoneticPr fontId="1" type="noConversion"/>
  </si>
  <si>
    <t>三维参考值/单个武将</t>
  </si>
  <si>
    <t>熔炼石预估消耗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</si>
  <si>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</si>
  <si>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</si>
  <si>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</si>
  <si>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</si>
  <si>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</si>
  <si>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注：三件装备总值/单种属性</t>
    <phoneticPr fontId="1" type="noConversion"/>
  </si>
  <si>
    <t>单个武将表示1个武将所携带的3件装备</t>
    <phoneticPr fontId="1" type="noConversion"/>
  </si>
  <si>
    <t>掉落数量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</si>
</sst>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sz val="10"/>
      <color theme="1"/>
      <name val="宋体"/>
      <family val="3"/>
      <charset val="134"/>
      <scheme val="minor"/>
    </font>
    <font>
      <sz val="9"/>
      <color theme="1"/>
      <name val="宋体"/>
      <family val="3"/>
      <charset val="134"/>
      <scheme val="minor"/>
    </font>
    <font>
      <sz val="9"/>
      <color theme="1"/>
      <name val="宋体"/>
      <family val="2"/>
      <scheme val="minor"/>
    </font>
    <font>
      <b/>
      <sz val="9"/>
      <color indexed="81"/>
      <name val="宋体"/>
      <family val="3"/>
      <charset val="134"/>
    </font>
    <font>
      <sz val="9"/>
      <color theme="1"/>
      <name val="宋体"/>
      <family val="3"/>
      <charset val="134"/>
      <scheme val="major"/>
    </font>
    <font>
      <sz val="9"/>
      <color theme="1"/>
      <name val="宋体"/>
      <family val="2"/>
      <scheme val="major"/>
    </font>
    <font>
      <sz val="9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color rgb="FFFF0000"/>
      <name val="宋体"/>
      <family val="2"/>
      <scheme val="minor"/>
    </font>
    <font>
      <sz val="9"/>
      <color rgb="FFFF0000"/>
      <name val="宋体"/>
      <family val="3"/>
      <charset val="134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4.9989318521683403E-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10" fillId="0" borderId="0" applyFont="0" applyFill="0" applyBorder="0" applyAlignment="0" applyProtection="0">
      <alignment vertical="center"/>
    </xf>
  </cellStyleXfs>
  <cellXfs count="209">
    <xf numFmtId="0" fontId="0" fillId="0" borderId="0" xfId="0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9" fontId="5" fillId="0" borderId="1" xfId="0" applyNumberFormat="1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10" fontId="5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5" fillId="2" borderId="0" xfId="0" applyFont="1" applyFill="1" applyAlignment="1">
      <alignment horizontal="center"/>
    </xf>
    <xf numFmtId="0" fontId="5" fillId="0" borderId="0" xfId="0" applyFont="1"/>
    <xf numFmtId="0" fontId="5" fillId="0" borderId="1" xfId="0" applyFont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4" fillId="0" borderId="1" xfId="0" applyFont="1" applyBorder="1"/>
    <xf numFmtId="0" fontId="7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5" fillId="0" borderId="0" xfId="0" applyFont="1" applyAlignment="1">
      <alignment horizontal="center" vertical="center" wrapText="1" shrinkToFit="1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 shrinkToFit="1"/>
    </xf>
    <xf numFmtId="0" fontId="4" fillId="0" borderId="1" xfId="0" applyFont="1" applyBorder="1" applyAlignment="1">
      <alignment horizontal="center" vertical="center" wrapText="1" shrinkToFit="1"/>
    </xf>
    <xf numFmtId="0" fontId="4" fillId="0" borderId="1" xfId="0" applyFont="1" applyBorder="1" applyAlignment="1">
      <alignment horizontal="center" vertical="center" wrapText="1"/>
    </xf>
    <xf numFmtId="0" fontId="4" fillId="9" borderId="1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>
      <alignment horizontal="center" vertical="center" wrapText="1" shrinkToFit="1"/>
    </xf>
    <xf numFmtId="0" fontId="4" fillId="6" borderId="1" xfId="0" applyFont="1" applyFill="1" applyBorder="1" applyAlignment="1">
      <alignment horizontal="center" vertical="center" wrapText="1" shrinkToFit="1"/>
    </xf>
    <xf numFmtId="0" fontId="4" fillId="0" borderId="0" xfId="0" applyFont="1" applyBorder="1" applyAlignment="1">
      <alignment horizontal="center" vertical="center" wrapText="1" shrinkToFit="1"/>
    </xf>
    <xf numFmtId="9" fontId="4" fillId="0" borderId="1" xfId="0" applyNumberFormat="1" applyFont="1" applyBorder="1" applyAlignment="1">
      <alignment horizontal="center" vertical="center" wrapText="1" shrinkToFit="1"/>
    </xf>
    <xf numFmtId="0" fontId="4" fillId="5" borderId="0" xfId="0" applyFont="1" applyFill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5" fillId="2" borderId="0" xfId="0" applyFont="1" applyFill="1"/>
    <xf numFmtId="0" fontId="5" fillId="0" borderId="1" xfId="0" applyFont="1" applyBorder="1" applyAlignment="1">
      <alignment horizontal="center"/>
    </xf>
    <xf numFmtId="0" fontId="4" fillId="0" borderId="0" xfId="0" applyFont="1" applyAlignment="1"/>
    <xf numFmtId="0" fontId="5" fillId="0" borderId="1" xfId="0" applyFont="1" applyBorder="1"/>
    <xf numFmtId="0" fontId="5" fillId="9" borderId="1" xfId="0" applyFont="1" applyFill="1" applyBorder="1"/>
    <xf numFmtId="0" fontId="7" fillId="9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7" xfId="0" applyNumberFormat="1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5" fillId="9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0" xfId="0" applyFont="1" applyAlignment="1"/>
    <xf numFmtId="0" fontId="5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0" fontId="5" fillId="0" borderId="0" xfId="0" applyNumberFormat="1" applyFont="1" applyAlignment="1">
      <alignment horizontal="center" vertical="center"/>
    </xf>
    <xf numFmtId="0" fontId="5" fillId="0" borderId="0" xfId="0" applyNumberFormat="1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4" fillId="12" borderId="1" xfId="0" applyFont="1" applyFill="1" applyBorder="1" applyAlignment="1">
      <alignment horizontal="center" vertical="center"/>
    </xf>
    <xf numFmtId="0" fontId="4" fillId="12" borderId="1" xfId="0" applyNumberFormat="1" applyFont="1" applyFill="1" applyBorder="1" applyAlignment="1">
      <alignment horizontal="center" vertical="center"/>
    </xf>
    <xf numFmtId="9" fontId="4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9" borderId="2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5" fillId="0" borderId="4" xfId="0" applyFont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vertical="center" wrapText="1"/>
    </xf>
    <xf numFmtId="0" fontId="7" fillId="0" borderId="0" xfId="0" applyFont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5" fillId="12" borderId="1" xfId="0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5" fillId="0" borderId="1" xfId="0" applyFont="1" applyFill="1" applyBorder="1"/>
    <xf numFmtId="9" fontId="5" fillId="0" borderId="0" xfId="1" applyFont="1" applyBorder="1" applyAlignment="1">
      <alignment horizontal="center" vertical="center"/>
    </xf>
    <xf numFmtId="9" fontId="5" fillId="0" borderId="0" xfId="1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 shrinkToFit="1"/>
    </xf>
    <xf numFmtId="0" fontId="4" fillId="6" borderId="2" xfId="0" applyFont="1" applyFill="1" applyBorder="1" applyAlignment="1">
      <alignment horizontal="center" vertical="center" wrapText="1" shrinkToFit="1"/>
    </xf>
    <xf numFmtId="0" fontId="4" fillId="6" borderId="4" xfId="0" applyFont="1" applyFill="1" applyBorder="1" applyAlignment="1">
      <alignment horizontal="center" vertical="center" wrapText="1" shrinkToFit="1"/>
    </xf>
    <xf numFmtId="0" fontId="4" fillId="7" borderId="2" xfId="0" applyFont="1" applyFill="1" applyBorder="1" applyAlignment="1">
      <alignment horizontal="center" vertical="center" wrapText="1" shrinkToFit="1"/>
    </xf>
    <xf numFmtId="0" fontId="4" fillId="7" borderId="4" xfId="0" applyFont="1" applyFill="1" applyBorder="1" applyAlignment="1">
      <alignment horizontal="center" vertical="center" wrapText="1" shrinkToFit="1"/>
    </xf>
    <xf numFmtId="0" fontId="4" fillId="8" borderId="2" xfId="0" applyFont="1" applyFill="1" applyBorder="1" applyAlignment="1">
      <alignment horizontal="center" vertical="center" wrapText="1" shrinkToFit="1"/>
    </xf>
    <xf numFmtId="0" fontId="4" fillId="8" borderId="4" xfId="0" applyFont="1" applyFill="1" applyBorder="1" applyAlignment="1">
      <alignment horizontal="center" vertical="center" wrapText="1" shrinkToFit="1"/>
    </xf>
    <xf numFmtId="0" fontId="4" fillId="9" borderId="2" xfId="0" applyFont="1" applyFill="1" applyBorder="1" applyAlignment="1">
      <alignment horizontal="center" vertical="center" wrapText="1" shrinkToFit="1"/>
    </xf>
    <xf numFmtId="0" fontId="4" fillId="9" borderId="4" xfId="0" applyFont="1" applyFill="1" applyBorder="1" applyAlignment="1">
      <alignment horizontal="center" vertical="center" wrapText="1" shrinkToFit="1"/>
    </xf>
    <xf numFmtId="0" fontId="4" fillId="10" borderId="1" xfId="0" applyFont="1" applyFill="1" applyBorder="1" applyAlignment="1">
      <alignment horizontal="center" vertical="center" wrapText="1" shrinkToFit="1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5" fillId="0" borderId="10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7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2463;&#27982;&#3492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0859;&#25104;&#3492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进度"/>
      <sheetName val="节奏总纲"/>
      <sheetName val="纲要"/>
      <sheetName val="问题"/>
      <sheetName val="资源-玩家经验"/>
      <sheetName val="资源-武将经验"/>
      <sheetName val="资源-装备经验"/>
      <sheetName val="资源-熔炼石"/>
      <sheetName val="功能-行军令"/>
      <sheetName val="功能-付费相关"/>
      <sheetName val="功能-采集"/>
      <sheetName val="功能-城建"/>
      <sheetName val="功能-实力"/>
      <sheetName val="资源-银币"/>
      <sheetName val="资源-铁"/>
      <sheetName val="资源-木石铜粮"/>
      <sheetName val="资源-战法经验"/>
      <sheetName val="资源-将魂"/>
      <sheetName val="功能-活动"/>
      <sheetName val="功能-士兵训练"/>
      <sheetName val="资源-士兵训练时间"/>
      <sheetName val="资源-玩家城池建筑时间"/>
      <sheetName val="资源-士兵招募时间"/>
      <sheetName val="资源-圣人研究时间"/>
      <sheetName val="养成buff汇总"/>
      <sheetName val="非养成buff汇总"/>
      <sheetName val="资源-钻石"/>
      <sheetName val="功能-分享问卷社区"/>
      <sheetName val="功能-战损相关"/>
      <sheetName val="服务器生态"/>
      <sheetName val="功能-仓库"/>
      <sheetName val="功能-士兵负重"/>
      <sheetName val="功能-竞技场"/>
      <sheetName val="功能-推荐任务"/>
      <sheetName val="功能-登录奖励"/>
      <sheetName val="功能-子任务"/>
      <sheetName val="功能-日常任务"/>
      <sheetName val="功能-九鼎之争"/>
      <sheetName val="调研"/>
      <sheetName val="资源-贡品"/>
      <sheetName val="资源-圣人好感度（废弃）"/>
      <sheetName val="资源-装备"/>
      <sheetName val="把控"/>
      <sheetName val="资源-时间分配"/>
      <sheetName val="功能-VIP"/>
      <sheetName val="草稿"/>
      <sheetName val="Sheet1"/>
      <sheetName val="Sheet4"/>
      <sheetName val="Sheet5"/>
    </sheetNames>
    <sheetDataSet>
      <sheetData sheetId="0" refreshError="1"/>
      <sheetData sheetId="1">
        <row r="3">
          <cell r="F3">
            <v>1</v>
          </cell>
          <cell r="G3">
            <v>7.1773462536293131E-2</v>
          </cell>
          <cell r="I3">
            <v>1</v>
          </cell>
          <cell r="J3">
            <v>7.4349177498517554E-3</v>
          </cell>
          <cell r="K3">
            <v>0.1</v>
          </cell>
          <cell r="N3" t="str">
            <v>对应玩家等级</v>
          </cell>
        </row>
        <row r="4">
          <cell r="F4">
            <v>2</v>
          </cell>
          <cell r="G4">
            <v>0.1486983549970351</v>
          </cell>
          <cell r="I4">
            <v>2</v>
          </cell>
          <cell r="J4">
            <v>2.3963093307967063E-2</v>
          </cell>
          <cell r="K4">
            <v>0.15</v>
          </cell>
          <cell r="N4">
            <v>2</v>
          </cell>
          <cell r="P4">
            <v>7.1773462536293131E-2</v>
          </cell>
          <cell r="Q4">
            <v>5.9787294292732177E-2</v>
          </cell>
          <cell r="R4">
            <v>4.677476553490223E-2</v>
          </cell>
          <cell r="S4">
            <v>3.2585151991477081E-2</v>
          </cell>
          <cell r="T4">
            <v>1.7039020006115988E-2</v>
          </cell>
          <cell r="W4">
            <v>7.1773462536293131E-2</v>
          </cell>
          <cell r="X4">
            <v>5.9787294292732177E-2</v>
          </cell>
          <cell r="Y4">
            <v>4.677476553490223E-2</v>
          </cell>
          <cell r="Z4">
            <v>3.2585151991477081E-2</v>
          </cell>
          <cell r="AA4">
            <v>1.7039020006115988E-2</v>
          </cell>
          <cell r="AD4">
            <v>10</v>
          </cell>
          <cell r="AE4">
            <v>11.148446722089302</v>
          </cell>
          <cell r="AF4">
            <v>12.761737853656415</v>
          </cell>
          <cell r="AG4">
            <v>15.452231935206081</v>
          </cell>
          <cell r="AH4">
            <v>21.291911942729964</v>
          </cell>
          <cell r="AM4">
            <v>7.4349177498517554E-3</v>
          </cell>
          <cell r="AN4">
            <v>5.947934199881405E-3</v>
          </cell>
          <cell r="AO4">
            <v>4.4609506499110529E-3</v>
          </cell>
          <cell r="AP4">
            <v>2.9739670999407025E-3</v>
          </cell>
          <cell r="AQ4">
            <v>1.4869835499703513E-3</v>
          </cell>
          <cell r="AT4">
            <v>7.4349177498517554E-3</v>
          </cell>
          <cell r="AU4">
            <v>5.947934199881405E-3</v>
          </cell>
          <cell r="AV4">
            <v>4.4609506499110529E-3</v>
          </cell>
          <cell r="AW4">
            <v>2.9739670999407025E-3</v>
          </cell>
          <cell r="AX4">
            <v>1.4869835499703513E-3</v>
          </cell>
          <cell r="BA4">
            <v>11.296493250964016</v>
          </cell>
          <cell r="BB4">
            <v>12.361596792946616</v>
          </cell>
          <cell r="BC4">
            <v>13.798091195443488</v>
          </cell>
          <cell r="BD4">
            <v>15.911635365458322</v>
          </cell>
          <cell r="BE4">
            <v>19.707330185578734</v>
          </cell>
        </row>
        <row r="5">
          <cell r="F5">
            <v>3</v>
          </cell>
          <cell r="G5">
            <v>0.23114441334491631</v>
          </cell>
          <cell r="I5">
            <v>3</v>
          </cell>
          <cell r="J5">
            <v>5.1571656651039799E-2</v>
          </cell>
          <cell r="K5">
            <v>0.2</v>
          </cell>
          <cell r="N5">
            <v>4</v>
          </cell>
          <cell r="P5">
            <v>0.1486983549970351</v>
          </cell>
          <cell r="Q5">
            <v>0.12505531655250651</v>
          </cell>
          <cell r="R5">
            <v>9.883979656652922E-2</v>
          </cell>
          <cell r="S5">
            <v>6.9828747506607683E-2</v>
          </cell>
          <cell r="T5">
            <v>3.7085369736260552E-2</v>
          </cell>
          <cell r="W5">
            <v>7.6924892460741967E-2</v>
          </cell>
          <cell r="X5">
            <v>6.5268022259774336E-2</v>
          </cell>
          <cell r="Y5">
            <v>5.206503103162699E-2</v>
          </cell>
          <cell r="Z5">
            <v>3.7243595515130602E-2</v>
          </cell>
          <cell r="AA5">
            <v>2.0046349730144564E-2</v>
          </cell>
          <cell r="AD5">
            <v>15.845161563010114</v>
          </cell>
          <cell r="AE5">
            <v>17.271997130667014</v>
          </cell>
          <cell r="AF5">
            <v>19.263096801323076</v>
          </cell>
          <cell r="AG5">
            <v>22.536681597650272</v>
          </cell>
          <cell r="AH5">
            <v>29.386000042029625</v>
          </cell>
          <cell r="AM5">
            <v>2.3963093307967063E-2</v>
          </cell>
          <cell r="AN5">
            <v>1.9170474646373652E-2</v>
          </cell>
          <cell r="AO5">
            <v>1.4377855984780237E-2</v>
          </cell>
          <cell r="AP5">
            <v>9.5852373231868262E-3</v>
          </cell>
          <cell r="AQ5">
            <v>4.7926186615934131E-3</v>
          </cell>
          <cell r="AT5">
            <v>1.6528175558115307E-2</v>
          </cell>
          <cell r="AU5">
            <v>1.3222540446492247E-2</v>
          </cell>
          <cell r="AV5">
            <v>9.9169053348691846E-3</v>
          </cell>
          <cell r="AW5">
            <v>6.6112702232461237E-3</v>
          </cell>
          <cell r="AX5">
            <v>3.3056351116230618E-3</v>
          </cell>
          <cell r="BA5">
            <v>14.729965238833779</v>
          </cell>
          <cell r="BB5">
            <v>15.911635365458322</v>
          </cell>
          <cell r="BC5">
            <v>17.448850811924295</v>
          </cell>
          <cell r="BD5">
            <v>19.707330185578734</v>
          </cell>
          <cell r="BE5">
            <v>23.710496742673982</v>
          </cell>
        </row>
        <row r="6">
          <cell r="F6">
            <v>4</v>
          </cell>
          <cell r="G6">
            <v>0.3195079107728942</v>
          </cell>
          <cell r="I6">
            <v>4</v>
          </cell>
          <cell r="J6">
            <v>9.2637640824031031E-2</v>
          </cell>
          <cell r="K6">
            <v>0.25</v>
          </cell>
          <cell r="N6">
            <v>6</v>
          </cell>
          <cell r="P6">
            <v>0.23114441334491631</v>
          </cell>
          <cell r="Q6">
            <v>0.19582554698581309</v>
          </cell>
          <cell r="R6">
            <v>0.15616116565582547</v>
          </cell>
          <cell r="S6">
            <v>0.11120357726023924</v>
          </cell>
          <cell r="T6">
            <v>5.9380999788309005E-2</v>
          </cell>
          <cell r="W6">
            <v>8.2446058347881213E-2</v>
          </cell>
          <cell r="X6">
            <v>7.0770230433306575E-2</v>
          </cell>
          <cell r="Y6">
            <v>5.7321369089296248E-2</v>
          </cell>
          <cell r="Z6">
            <v>4.1374829753631562E-2</v>
          </cell>
          <cell r="AA6">
            <v>2.2295630052048453E-2</v>
          </cell>
          <cell r="AD6">
            <v>20</v>
          </cell>
          <cell r="AE6">
            <v>21.543844702365945</v>
          </cell>
          <cell r="AF6">
            <v>23.734615677065324</v>
          </cell>
          <cell r="AG6">
            <v>27.324610510337703</v>
          </cell>
          <cell r="AH6">
            <v>34.517938607173015</v>
          </cell>
          <cell r="AM6">
            <v>5.1571656651039799E-2</v>
          </cell>
          <cell r="AN6">
            <v>4.1257325320831845E-2</v>
          </cell>
          <cell r="AO6">
            <v>3.0942993990623877E-2</v>
          </cell>
          <cell r="AP6">
            <v>2.0628662660415922E-2</v>
          </cell>
          <cell r="AQ6">
            <v>1.0314331330207961E-2</v>
          </cell>
          <cell r="AT6">
            <v>2.7608563343072736E-2</v>
          </cell>
          <cell r="AU6">
            <v>2.2086850674458192E-2</v>
          </cell>
          <cell r="AV6">
            <v>1.6565138005843638E-2</v>
          </cell>
          <cell r="AW6">
            <v>1.1043425337229096E-2</v>
          </cell>
          <cell r="AX6">
            <v>5.5217126686145481E-3</v>
          </cell>
          <cell r="BA6">
            <v>16.888397947066121</v>
          </cell>
          <cell r="BB6">
            <v>18.108391417375849</v>
          </cell>
          <cell r="BC6">
            <v>19.707330185578734</v>
          </cell>
          <cell r="BD6">
            <v>22.041972908628715</v>
          </cell>
          <cell r="BE6">
            <v>26.127796402772656</v>
          </cell>
        </row>
        <row r="7">
          <cell r="F7">
            <v>5</v>
          </cell>
          <cell r="G7">
            <v>0.41421356237309515</v>
          </cell>
          <cell r="I7">
            <v>5</v>
          </cell>
          <cell r="J7">
            <v>0.15</v>
          </cell>
          <cell r="K7">
            <v>0.3</v>
          </cell>
          <cell r="N7">
            <v>8</v>
          </cell>
          <cell r="P7">
            <v>0.3195079107728942</v>
          </cell>
          <cell r="Q7">
            <v>0.2719651336498875</v>
          </cell>
          <cell r="R7">
            <v>0.21816000147573214</v>
          </cell>
          <cell r="S7">
            <v>0.15607961441255883</v>
          </cell>
          <cell r="T7">
            <v>8.4062531324348461E-2</v>
          </cell>
          <cell r="W7">
            <v>8.8363497427977888E-2</v>
          </cell>
          <cell r="X7">
            <v>7.6139586664074416E-2</v>
          </cell>
          <cell r="Y7">
            <v>6.1998835819906672E-2</v>
          </cell>
          <cell r="Z7">
            <v>4.4876037152319581E-2</v>
          </cell>
          <cell r="AA7">
            <v>2.4681531536039455E-2</v>
          </cell>
          <cell r="AD7">
            <v>23.213386604241784</v>
          </cell>
          <cell r="AE7">
            <v>24.836966034810484</v>
          </cell>
          <cell r="AF7">
            <v>27.155717181399513</v>
          </cell>
          <cell r="AG7">
            <v>30.831257561377125</v>
          </cell>
          <cell r="AH7">
            <v>38.431365705145346</v>
          </cell>
          <cell r="AM7">
            <v>9.2637640824031031E-2</v>
          </cell>
          <cell r="AN7">
            <v>7.4110112659224833E-2</v>
          </cell>
          <cell r="AO7">
            <v>5.5582584494418615E-2</v>
          </cell>
          <cell r="AP7">
            <v>3.7055056329612417E-2</v>
          </cell>
          <cell r="AQ7">
            <v>1.8527528164806208E-2</v>
          </cell>
          <cell r="AT7">
            <v>4.1065984172991232E-2</v>
          </cell>
          <cell r="AU7">
            <v>3.2852787338392989E-2</v>
          </cell>
          <cell r="AV7">
            <v>2.4639590503794738E-2</v>
          </cell>
          <cell r="AW7">
            <v>1.6426393669196494E-2</v>
          </cell>
          <cell r="AX7">
            <v>8.2131968345982471E-3</v>
          </cell>
          <cell r="BA7">
            <v>18.453550676044042</v>
          </cell>
          <cell r="BB7">
            <v>19.707330185578734</v>
          </cell>
          <cell r="BC7">
            <v>21.34613466141565</v>
          </cell>
          <cell r="BD7">
            <v>23.710496742673982</v>
          </cell>
          <cell r="BE7">
            <v>27.863030247590562</v>
          </cell>
        </row>
        <row r="8">
          <cell r="B8">
            <v>10</v>
          </cell>
          <cell r="C8">
            <v>1</v>
          </cell>
          <cell r="D8">
            <v>1</v>
          </cell>
          <cell r="F8">
            <v>6</v>
          </cell>
          <cell r="G8">
            <v>0.51571656651039799</v>
          </cell>
          <cell r="I8">
            <v>6</v>
          </cell>
          <cell r="J8">
            <v>0.22055744069899194</v>
          </cell>
          <cell r="K8">
            <v>0.34</v>
          </cell>
          <cell r="N8">
            <v>10</v>
          </cell>
          <cell r="P8">
            <v>0.41421356237309515</v>
          </cell>
          <cell r="Q8">
            <v>0.35241289886702937</v>
          </cell>
          <cell r="R8">
            <v>0.28315639123824782</v>
          </cell>
          <cell r="S8">
            <v>0.20296464556281663</v>
          </cell>
          <cell r="T8">
            <v>0.10951806589144637</v>
          </cell>
          <cell r="W8">
            <v>9.4705651600200946E-2</v>
          </cell>
          <cell r="X8">
            <v>8.0447765217141864E-2</v>
          </cell>
          <cell r="Y8">
            <v>6.4996389762515677E-2</v>
          </cell>
          <cell r="Z8">
            <v>4.68850311502578E-2</v>
          </cell>
          <cell r="AA8">
            <v>2.5455534567097912E-2</v>
          </cell>
          <cell r="AD8">
            <v>25.845161563010112</v>
          </cell>
          <cell r="AE8">
            <v>27.525245270311611</v>
          </cell>
          <cell r="AF8">
            <v>29.892344464157688</v>
          </cell>
          <cell r="AG8">
            <v>33.672145166817529</v>
          </cell>
          <cell r="AH8">
            <v>41.359260538726978</v>
          </cell>
          <cell r="AM8">
            <v>0.15</v>
          </cell>
          <cell r="AN8">
            <v>0.12</v>
          </cell>
          <cell r="AO8">
            <v>0.09</v>
          </cell>
          <cell r="AP8">
            <v>0.06</v>
          </cell>
          <cell r="AQ8">
            <v>0.03</v>
          </cell>
          <cell r="AT8">
            <v>5.7362359175968963E-2</v>
          </cell>
          <cell r="AU8">
            <v>4.5889887340775162E-2</v>
          </cell>
          <cell r="AV8">
            <v>3.4417415505581382E-2</v>
          </cell>
          <cell r="AW8">
            <v>2.2944943670387581E-2</v>
          </cell>
          <cell r="AX8">
            <v>1.1472471835193791E-2</v>
          </cell>
          <cell r="BA8">
            <v>19.707330185578734</v>
          </cell>
          <cell r="BB8">
            <v>20.993539484876777</v>
          </cell>
          <cell r="BC8">
            <v>22.639743033177162</v>
          </cell>
          <cell r="BD8">
            <v>25.044229735272328</v>
          </cell>
          <cell r="BE8">
            <v>29.216428548527322</v>
          </cell>
        </row>
        <row r="9">
          <cell r="B9">
            <v>20</v>
          </cell>
          <cell r="C9">
            <v>3</v>
          </cell>
          <cell r="D9">
            <v>2</v>
          </cell>
          <cell r="F9">
            <v>7</v>
          </cell>
          <cell r="G9">
            <v>0.62450479271247095</v>
          </cell>
          <cell r="I9">
            <v>7</v>
          </cell>
          <cell r="J9">
            <v>0.31141300609369982</v>
          </cell>
          <cell r="K9">
            <v>0.38</v>
          </cell>
          <cell r="N9">
            <v>12</v>
          </cell>
          <cell r="P9">
            <v>0.51571656651039799</v>
          </cell>
          <cell r="Q9">
            <v>0.43939051466685908</v>
          </cell>
          <cell r="R9">
            <v>0.35336899137292471</v>
          </cell>
          <cell r="S9">
            <v>0.25440298225957936</v>
          </cell>
          <cell r="T9">
            <v>0.13836675479473978</v>
          </cell>
          <cell r="W9">
            <v>0.10150300413730284</v>
          </cell>
          <cell r="X9">
            <v>8.6977615799829711E-2</v>
          </cell>
          <cell r="Y9">
            <v>7.0212600134676895E-2</v>
          </cell>
          <cell r="Z9">
            <v>5.1438336696762732E-2</v>
          </cell>
          <cell r="AA9">
            <v>2.884868890329341E-2</v>
          </cell>
          <cell r="AD9">
            <v>28.071211008105138</v>
          </cell>
          <cell r="AE9">
            <v>29.78183527117605</v>
          </cell>
          <cell r="AF9">
            <v>32.202183458664891</v>
          </cell>
          <cell r="AG9">
            <v>36.067019846099676</v>
          </cell>
          <cell r="AH9">
            <v>43.870275262019007</v>
          </cell>
          <cell r="AM9">
            <v>0.22055744069899194</v>
          </cell>
          <cell r="AN9">
            <v>0.17644595255919357</v>
          </cell>
          <cell r="AO9">
            <v>0.13233446441939517</v>
          </cell>
          <cell r="AP9">
            <v>8.8222976279596785E-2</v>
          </cell>
          <cell r="AQ9">
            <v>4.4111488139798392E-2</v>
          </cell>
          <cell r="AT9">
            <v>7.0557440698991947E-2</v>
          </cell>
          <cell r="AU9">
            <v>5.6445952559193574E-2</v>
          </cell>
          <cell r="AV9">
            <v>4.2334464419395174E-2</v>
          </cell>
          <cell r="AW9">
            <v>2.8222976279596787E-2</v>
          </cell>
          <cell r="AX9">
            <v>1.4111488139798394E-2</v>
          </cell>
          <cell r="BA9">
            <v>20.745154613657583</v>
          </cell>
          <cell r="BB9">
            <v>22.041972908628715</v>
          </cell>
          <cell r="BC9">
            <v>23.710496742673982</v>
          </cell>
          <cell r="BD9">
            <v>26.127796402772656</v>
          </cell>
          <cell r="BE9">
            <v>30.329493925593439</v>
          </cell>
        </row>
        <row r="10">
          <cell r="B10">
            <v>30</v>
          </cell>
          <cell r="C10">
            <v>7</v>
          </cell>
          <cell r="D10">
            <v>4</v>
          </cell>
          <cell r="F10">
            <v>8</v>
          </cell>
          <cell r="G10">
            <v>0.74110112659224825</v>
          </cell>
          <cell r="I10">
            <v>8</v>
          </cell>
          <cell r="J10">
            <v>0.42660095793436714</v>
          </cell>
          <cell r="K10">
            <v>0.42</v>
          </cell>
          <cell r="N10">
            <v>14</v>
          </cell>
          <cell r="P10">
            <v>0.62450479271247095</v>
          </cell>
          <cell r="Q10">
            <v>0.53413894920697635</v>
          </cell>
          <cell r="R10">
            <v>0.43072095553379119</v>
          </cell>
          <cell r="S10">
            <v>0.30950457526830061</v>
          </cell>
          <cell r="T10">
            <v>0.16699258157131475</v>
          </cell>
          <cell r="W10">
            <v>0.10878822620207296</v>
          </cell>
          <cell r="X10">
            <v>9.4748434540117277E-2</v>
          </cell>
          <cell r="Y10">
            <v>7.7351964160866482E-2</v>
          </cell>
          <cell r="Z10">
            <v>5.510159300872125E-2</v>
          </cell>
          <cell r="AA10">
            <v>2.8625826776574964E-2</v>
          </cell>
          <cell r="AD10">
            <v>30</v>
          </cell>
          <cell r="AE10">
            <v>31.718819483847451</v>
          </cell>
          <cell r="AF10">
            <v>34.192155176139416</v>
          </cell>
          <cell r="AG10">
            <v>38.19822972207853</v>
          </cell>
          <cell r="AH10">
            <v>46.093186357957826</v>
          </cell>
          <cell r="AM10">
            <v>0.31141300609369982</v>
          </cell>
          <cell r="AN10">
            <v>0.24913040487495985</v>
          </cell>
          <cell r="AO10">
            <v>0.18684780365621989</v>
          </cell>
          <cell r="AP10">
            <v>0.12456520243747993</v>
          </cell>
          <cell r="AQ10">
            <v>6.2282601218739964E-2</v>
          </cell>
          <cell r="AT10">
            <v>9.0855565394707877E-2</v>
          </cell>
          <cell r="AU10">
            <v>7.2684452315766285E-2</v>
          </cell>
          <cell r="AV10">
            <v>5.451333923682472E-2</v>
          </cell>
          <cell r="AW10">
            <v>3.6342226157883142E-2</v>
          </cell>
          <cell r="AX10">
            <v>1.8171113078941571E-2</v>
          </cell>
          <cell r="BA10">
            <v>21.627432338833255</v>
          </cell>
          <cell r="BB10">
            <v>22.938628095451385</v>
          </cell>
          <cell r="BC10">
            <v>24.619152272059132</v>
          </cell>
          <cell r="BD10">
            <v>27.059707353051884</v>
          </cell>
          <cell r="BE10">
            <v>31.280110398778046</v>
          </cell>
        </row>
        <row r="11">
          <cell r="B11">
            <v>40</v>
          </cell>
          <cell r="C11">
            <v>15</v>
          </cell>
          <cell r="D11">
            <v>8</v>
          </cell>
          <cell r="F11">
            <v>9</v>
          </cell>
          <cell r="G11">
            <v>0.86606598307361482</v>
          </cell>
          <cell r="I11">
            <v>9</v>
          </cell>
          <cell r="J11">
            <v>0.57090651823243421</v>
          </cell>
          <cell r="K11">
            <v>0.46</v>
          </cell>
          <cell r="N11">
            <v>16</v>
          </cell>
          <cell r="P11">
            <v>0.74110112659224825</v>
          </cell>
          <cell r="Q11">
            <v>0.63089938906798093</v>
          </cell>
          <cell r="R11">
            <v>0.50550507844857251</v>
          </cell>
          <cell r="S11">
            <v>0.36195379022765406</v>
          </cell>
          <cell r="T11">
            <v>0.19579891764567198</v>
          </cell>
          <cell r="W11">
            <v>0.1165963338797773</v>
          </cell>
          <cell r="X11">
            <v>9.6760439861004577E-2</v>
          </cell>
          <cell r="Y11">
            <v>7.4784122914781315E-2</v>
          </cell>
          <cell r="Z11">
            <v>5.2449214959353452E-2</v>
          </cell>
          <cell r="AA11">
            <v>2.8806336074357231E-2</v>
          </cell>
          <cell r="AD11">
            <v>31.691928656135214</v>
          </cell>
          <cell r="AE11">
            <v>33.465251056098396</v>
          </cell>
          <cell r="AF11">
            <v>35.930751746472978</v>
          </cell>
          <cell r="AG11">
            <v>39.998279638578282</v>
          </cell>
          <cell r="AH11">
            <v>48.067140183443534</v>
          </cell>
          <cell r="AM11">
            <v>0.42660095793436714</v>
          </cell>
          <cell r="AN11">
            <v>0.34128076634749371</v>
          </cell>
          <cell r="AO11">
            <v>0.25596057476062029</v>
          </cell>
          <cell r="AP11">
            <v>0.17064038317374686</v>
          </cell>
          <cell r="AQ11">
            <v>8.5320191586873428E-2</v>
          </cell>
          <cell r="AT11">
            <v>0.11518795184066732</v>
          </cell>
          <cell r="AU11">
            <v>9.2150361472533859E-2</v>
          </cell>
          <cell r="AV11">
            <v>6.9112771104400395E-2</v>
          </cell>
          <cell r="AW11">
            <v>4.607518073626693E-2</v>
          </cell>
          <cell r="AX11">
            <v>2.3037590368133465E-2</v>
          </cell>
          <cell r="BA11">
            <v>22.400634983357783</v>
          </cell>
          <cell r="BB11">
            <v>23.710496742673982</v>
          </cell>
          <cell r="BC11">
            <v>25.412810862541733</v>
          </cell>
          <cell r="BD11">
            <v>27.863030247590562</v>
          </cell>
          <cell r="BE11">
            <v>32.113552950216736</v>
          </cell>
        </row>
        <row r="12">
          <cell r="B12">
            <v>50</v>
          </cell>
          <cell r="C12">
            <v>31</v>
          </cell>
          <cell r="D12">
            <v>16</v>
          </cell>
          <cell r="F12">
            <v>10</v>
          </cell>
          <cell r="G12">
            <v>1</v>
          </cell>
          <cell r="I12">
            <v>10</v>
          </cell>
          <cell r="J12">
            <v>0.75</v>
          </cell>
          <cell r="K12">
            <v>0.5</v>
          </cell>
          <cell r="N12">
            <v>18</v>
          </cell>
          <cell r="P12">
            <v>0.86606598307361482</v>
          </cell>
          <cell r="Q12">
            <v>0.73702215159564621</v>
          </cell>
          <cell r="R12">
            <v>0.59282216541388932</v>
          </cell>
          <cell r="S12">
            <v>0.42766338244175101</v>
          </cell>
          <cell r="T12">
            <v>0.23193247026711403</v>
          </cell>
          <cell r="W12">
            <v>0.12496485648136657</v>
          </cell>
          <cell r="X12">
            <v>0.10612276252766528</v>
          </cell>
          <cell r="Y12">
            <v>8.7317086965316815E-2</v>
          </cell>
          <cell r="Z12">
            <v>6.5709592214096946E-2</v>
          </cell>
          <cell r="AA12">
            <v>3.613355262144205E-2</v>
          </cell>
          <cell r="AD12">
            <v>33.213386604241784</v>
          </cell>
          <cell r="AE12">
            <v>34.992730785174565</v>
          </cell>
          <cell r="AF12">
            <v>37.510565846691456</v>
          </cell>
          <cell r="AG12">
            <v>41.534743419557365</v>
          </cell>
          <cell r="AH12">
            <v>49.706056771838036</v>
          </cell>
          <cell r="AM12">
            <v>0.57090651823243421</v>
          </cell>
          <cell r="AN12">
            <v>0.45672521458594739</v>
          </cell>
          <cell r="AO12">
            <v>0.34254391093946052</v>
          </cell>
          <cell r="AP12">
            <v>0.2283626072929737</v>
          </cell>
          <cell r="AQ12">
            <v>0.11418130364648685</v>
          </cell>
          <cell r="AT12">
            <v>0.14430556029806707</v>
          </cell>
          <cell r="AU12">
            <v>0.11544444823845368</v>
          </cell>
          <cell r="AV12">
            <v>8.6583336178840231E-2</v>
          </cell>
          <cell r="AW12">
            <v>5.7722224119226839E-2</v>
          </cell>
          <cell r="AX12">
            <v>2.886111205961342E-2</v>
          </cell>
          <cell r="BA12">
            <v>23.100336713798686</v>
          </cell>
          <cell r="BB12">
            <v>24.402761517547276</v>
          </cell>
          <cell r="BC12">
            <v>26.127796402772656</v>
          </cell>
          <cell r="BD12">
            <v>28.568390277483555</v>
          </cell>
          <cell r="BE12">
            <v>32.842201900114915</v>
          </cell>
        </row>
        <row r="13">
          <cell r="B13">
            <v>60</v>
          </cell>
          <cell r="C13">
            <v>63</v>
          </cell>
          <cell r="D13">
            <v>32</v>
          </cell>
          <cell r="F13">
            <v>11</v>
          </cell>
          <cell r="G13">
            <v>1.1435469250725863</v>
          </cell>
          <cell r="I13">
            <v>11</v>
          </cell>
          <cell r="J13">
            <v>0.93464628919691628</v>
          </cell>
          <cell r="K13">
            <v>0.52</v>
          </cell>
          <cell r="N13">
            <v>20</v>
          </cell>
          <cell r="P13">
            <v>1</v>
          </cell>
          <cell r="Q13">
            <v>0.8548</v>
          </cell>
          <cell r="R13">
            <v>0.6895</v>
          </cell>
          <cell r="S13">
            <v>0.49980000000000002</v>
          </cell>
          <cell r="T13">
            <v>0.2732</v>
          </cell>
          <cell r="W13">
            <v>0.13393401692638518</v>
          </cell>
          <cell r="X13">
            <v>0.11777784840435379</v>
          </cell>
          <cell r="Y13">
            <v>9.6677834586110678E-2</v>
          </cell>
          <cell r="Z13">
            <v>7.2136617558249017E-2</v>
          </cell>
          <cell r="AA13">
            <v>4.1267529732885971E-2</v>
          </cell>
          <cell r="AD13">
            <v>34.585942742481357</v>
          </cell>
          <cell r="AE13">
            <v>36.36169634498642</v>
          </cell>
          <cell r="AF13">
            <v>38.977035507933373</v>
          </cell>
          <cell r="AG13">
            <v>42.970748198558951</v>
          </cell>
          <cell r="AH13">
            <v>51.212821897464167</v>
          </cell>
          <cell r="AM13">
            <v>0.75</v>
          </cell>
          <cell r="AN13">
            <v>0.60000000000000009</v>
          </cell>
          <cell r="AO13">
            <v>0.44999999999999996</v>
          </cell>
          <cell r="AP13">
            <v>0.30000000000000004</v>
          </cell>
          <cell r="AQ13">
            <v>0.15000000000000002</v>
          </cell>
          <cell r="AT13">
            <v>0.17909348176756579</v>
          </cell>
          <cell r="AU13">
            <v>0.1432747854140527</v>
          </cell>
          <cell r="AV13">
            <v>0.10745608906053944</v>
          </cell>
          <cell r="AW13">
            <v>7.1637392707026348E-2</v>
          </cell>
          <cell r="AX13">
            <v>3.5818696353513174E-2</v>
          </cell>
          <cell r="BA13">
            <v>23.710496742673982</v>
          </cell>
          <cell r="BB13">
            <v>25.044229735272328</v>
          </cell>
          <cell r="BC13">
            <v>26.755953543357073</v>
          </cell>
          <cell r="BD13">
            <v>29.216428548527322</v>
          </cell>
          <cell r="BE13">
            <v>33.487933395889513</v>
          </cell>
        </row>
        <row r="14">
          <cell r="B14">
            <v>70</v>
          </cell>
          <cell r="C14">
            <v>127</v>
          </cell>
          <cell r="D14">
            <v>64</v>
          </cell>
          <cell r="F14">
            <v>12</v>
          </cell>
          <cell r="G14">
            <v>1.2973967099940702</v>
          </cell>
          <cell r="I14">
            <v>12</v>
          </cell>
          <cell r="J14">
            <v>1.1550685436347259</v>
          </cell>
          <cell r="K14">
            <v>0.54</v>
          </cell>
          <cell r="N14">
            <v>21</v>
          </cell>
          <cell r="P14">
            <v>1.1435469250725863</v>
          </cell>
          <cell r="Q14">
            <v>0.98036277886472811</v>
          </cell>
          <cell r="R14">
            <v>0.79453640354043287</v>
          </cell>
          <cell r="S14">
            <v>0.57577587677404707</v>
          </cell>
          <cell r="T14">
            <v>0.31767733578516444</v>
          </cell>
          <cell r="W14">
            <v>0.14354692507258626</v>
          </cell>
          <cell r="X14">
            <v>0.12556277886472811</v>
          </cell>
          <cell r="Y14">
            <v>0.10503640354043287</v>
          </cell>
          <cell r="Z14">
            <v>7.5975876774047046E-2</v>
          </cell>
          <cell r="AA14">
            <v>4.447733578516444E-2</v>
          </cell>
          <cell r="AD14">
            <v>35.845161563010116</v>
          </cell>
          <cell r="AE14">
            <v>37.6388925299823</v>
          </cell>
          <cell r="AF14">
            <v>40.259528204263837</v>
          </cell>
          <cell r="AG14">
            <v>44.288230531994081</v>
          </cell>
          <cell r="AH14">
            <v>52.559419343629337</v>
          </cell>
          <cell r="AM14">
            <v>0.93464628919691628</v>
          </cell>
          <cell r="AN14">
            <v>0.74771703135753309</v>
          </cell>
          <cell r="AO14">
            <v>0.56078777351814979</v>
          </cell>
          <cell r="AP14">
            <v>0.37385851567876655</v>
          </cell>
          <cell r="AQ14">
            <v>0.18692925783938327</v>
          </cell>
          <cell r="AT14">
            <v>0.18464628919691628</v>
          </cell>
          <cell r="AU14">
            <v>0.147717031357533</v>
          </cell>
          <cell r="AV14">
            <v>0.11078777351814983</v>
          </cell>
          <cell r="AW14">
            <v>7.3858515678766501E-2</v>
          </cell>
          <cell r="AX14">
            <v>3.692925783938325E-2</v>
          </cell>
          <cell r="BA14">
            <v>24.272927064840161</v>
          </cell>
          <cell r="BB14">
            <v>25.597101426176433</v>
          </cell>
          <cell r="BC14">
            <v>27.327481651231444</v>
          </cell>
          <cell r="BD14">
            <v>29.80118336305917</v>
          </cell>
          <cell r="BE14">
            <v>34.09469189131628</v>
          </cell>
        </row>
        <row r="15">
          <cell r="B15">
            <v>80</v>
          </cell>
          <cell r="C15">
            <v>255</v>
          </cell>
          <cell r="D15">
            <v>128</v>
          </cell>
          <cell r="F15">
            <v>13</v>
          </cell>
          <cell r="G15">
            <v>1.4622888266898326</v>
          </cell>
          <cell r="I15">
            <v>13</v>
          </cell>
          <cell r="J15">
            <v>1.417602554491646</v>
          </cell>
          <cell r="K15">
            <v>0.56000000000000005</v>
          </cell>
          <cell r="N15">
            <v>22</v>
          </cell>
          <cell r="P15">
            <v>1.2973967099940702</v>
          </cell>
          <cell r="Q15">
            <v>1.1126474184909145</v>
          </cell>
          <cell r="R15">
            <v>0.9058423829178599</v>
          </cell>
          <cell r="S15">
            <v>0.66219128078097333</v>
          </cell>
          <cell r="T15">
            <v>0.36560639287632896</v>
          </cell>
          <cell r="W15">
            <v>0.15384978492148393</v>
          </cell>
          <cell r="X15">
            <v>0.13228463962618642</v>
          </cell>
          <cell r="Y15">
            <v>0.11130597937742703</v>
          </cell>
          <cell r="Z15">
            <v>8.6415404006926266E-2</v>
          </cell>
          <cell r="AA15">
            <v>4.7929057091164518E-2</v>
          </cell>
          <cell r="AD15">
            <v>37.004247194324648</v>
          </cell>
          <cell r="AE15">
            <v>38.827998824669805</v>
          </cell>
          <cell r="AF15">
            <v>41.408320762540754</v>
          </cell>
          <cell r="AG15">
            <v>45.500930067545958</v>
          </cell>
          <cell r="AH15">
            <v>53.855547243088772</v>
          </cell>
          <cell r="AM15">
            <v>1.1550685436347259</v>
          </cell>
          <cell r="AN15">
            <v>0.92405483490778073</v>
          </cell>
          <cell r="AO15">
            <v>0.69304112618083547</v>
          </cell>
          <cell r="AP15">
            <v>0.46202741745389037</v>
          </cell>
          <cell r="AQ15">
            <v>0.23101370872694518</v>
          </cell>
          <cell r="AT15">
            <v>0.22042225443780961</v>
          </cell>
          <cell r="AU15">
            <v>0.17633780355024764</v>
          </cell>
          <cell r="AV15">
            <v>0.13225335266268567</v>
          </cell>
          <cell r="AW15">
            <v>8.816890177512382E-2</v>
          </cell>
          <cell r="AX15">
            <v>4.408445088756191E-2</v>
          </cell>
          <cell r="BA15">
            <v>24.792264875668618</v>
          </cell>
          <cell r="BB15">
            <v>26.127796402772656</v>
          </cell>
          <cell r="BC15">
            <v>27.863030247590562</v>
          </cell>
          <cell r="BD15">
            <v>30.329493925593439</v>
          </cell>
          <cell r="BE15">
            <v>34.627226072894942</v>
          </cell>
        </row>
        <row r="16">
          <cell r="B16">
            <v>90</v>
          </cell>
          <cell r="C16">
            <v>511</v>
          </cell>
          <cell r="D16">
            <v>256</v>
          </cell>
          <cell r="F16">
            <v>14</v>
          </cell>
          <cell r="G16">
            <v>1.6390158215457884</v>
          </cell>
          <cell r="I16">
            <v>14</v>
          </cell>
          <cell r="J16">
            <v>1.7296773068470075</v>
          </cell>
          <cell r="K16">
            <v>0.57999999999999996</v>
          </cell>
          <cell r="N16">
            <v>23</v>
          </cell>
          <cell r="P16">
            <v>1.4622888266898326</v>
          </cell>
          <cell r="Q16">
            <v>1.2628326307293396</v>
          </cell>
          <cell r="R16">
            <v>1.0294513339896421</v>
          </cell>
          <cell r="S16">
            <v>0.75556463675063656</v>
          </cell>
          <cell r="T16">
            <v>0.41865329108129906</v>
          </cell>
          <cell r="W16">
            <v>0.16489211669576243</v>
          </cell>
          <cell r="X16">
            <v>0.15018521223842507</v>
          </cell>
          <cell r="Y16">
            <v>0.12360895107178216</v>
          </cell>
          <cell r="Z16">
            <v>9.337335596966323E-2</v>
          </cell>
          <cell r="AA16">
            <v>5.3046898204970105E-2</v>
          </cell>
          <cell r="AD16">
            <v>38.071211008105138</v>
          </cell>
          <cell r="AE16">
            <v>39.935302111946527</v>
          </cell>
          <cell r="AF16">
            <v>42.470214785133983</v>
          </cell>
          <cell r="AG16">
            <v>46.631096344914496</v>
          </cell>
          <cell r="AH16">
            <v>55.062101953238496</v>
          </cell>
          <cell r="AM16">
            <v>1.417602554491646</v>
          </cell>
          <cell r="AN16">
            <v>1.1340820435933168</v>
          </cell>
          <cell r="AO16">
            <v>0.85056153269498758</v>
          </cell>
          <cell r="AP16">
            <v>0.56704102179665838</v>
          </cell>
          <cell r="AQ16">
            <v>0.28352051089832919</v>
          </cell>
          <cell r="AT16">
            <v>0.26253401085692007</v>
          </cell>
          <cell r="AU16">
            <v>0.21002720868553604</v>
          </cell>
          <cell r="AV16">
            <v>0.15752040651415211</v>
          </cell>
          <cell r="AW16">
            <v>0.10501360434276802</v>
          </cell>
          <cell r="AX16">
            <v>5.2506802171384009E-2</v>
          </cell>
          <cell r="BA16">
            <v>25.265378411633971</v>
          </cell>
          <cell r="BB16">
            <v>26.598914258210968</v>
          </cell>
          <cell r="BC16">
            <v>28.339982398803929</v>
          </cell>
          <cell r="BD16">
            <v>30.828727146189561</v>
          </cell>
          <cell r="BE16">
            <v>35.146386283795508</v>
          </cell>
        </row>
        <row r="17">
          <cell r="B17">
            <v>100</v>
          </cell>
          <cell r="C17">
            <v>1023</v>
          </cell>
          <cell r="D17">
            <v>512</v>
          </cell>
          <cell r="F17">
            <v>15</v>
          </cell>
          <cell r="G17">
            <v>1.8284271247461898</v>
          </cell>
          <cell r="I17">
            <v>15</v>
          </cell>
          <cell r="J17">
            <v>2.1</v>
          </cell>
          <cell r="K17">
            <v>0.6</v>
          </cell>
          <cell r="N17">
            <v>24</v>
          </cell>
          <cell r="P17">
            <v>1.6390158215457884</v>
          </cell>
          <cell r="Q17">
            <v>1.4136511460832426</v>
          </cell>
          <cell r="R17">
            <v>1.1545227446968533</v>
          </cell>
          <cell r="S17">
            <v>0.84605996708193598</v>
          </cell>
          <cell r="T17">
            <v>0.46810291863347719</v>
          </cell>
          <cell r="W17">
            <v>0.17672699485595578</v>
          </cell>
          <cell r="X17">
            <v>0.150818515353903</v>
          </cell>
          <cell r="Y17">
            <v>0.12507141070721128</v>
          </cell>
          <cell r="Z17">
            <v>9.0495330331299417E-2</v>
          </cell>
          <cell r="AA17">
            <v>4.9449627552178133E-2</v>
          </cell>
          <cell r="AD17">
            <v>39.066704614192943</v>
          </cell>
          <cell r="AE17">
            <v>40.935169244165145</v>
          </cell>
          <cell r="AF17">
            <v>43.484929789964411</v>
          </cell>
          <cell r="AG17">
            <v>47.711408234944486</v>
          </cell>
          <cell r="AH17">
            <v>56.165983112651688</v>
          </cell>
          <cell r="AM17">
            <v>1.7296773068470075</v>
          </cell>
          <cell r="AN17">
            <v>1.383741845477606</v>
          </cell>
          <cell r="AO17">
            <v>1.0378063841082044</v>
          </cell>
          <cell r="AP17">
            <v>0.69187092273880302</v>
          </cell>
          <cell r="AQ17">
            <v>0.34593546136940151</v>
          </cell>
          <cell r="AT17">
            <v>0.31207475235536153</v>
          </cell>
          <cell r="AU17">
            <v>0.24965980188428927</v>
          </cell>
          <cell r="AV17">
            <v>0.18724485141321678</v>
          </cell>
          <cell r="AW17">
            <v>0.12482990094214463</v>
          </cell>
          <cell r="AX17">
            <v>6.2414950471072317E-2</v>
          </cell>
          <cell r="BA17">
            <v>25.707675764357255</v>
          </cell>
          <cell r="BB17">
            <v>27.059707353051884</v>
          </cell>
          <cell r="BC17">
            <v>28.796798156163181</v>
          </cell>
          <cell r="BD17">
            <v>31.280110398778046</v>
          </cell>
          <cell r="BE17">
            <v>35.634340563113874</v>
          </cell>
        </row>
        <row r="18">
          <cell r="F18">
            <v>16</v>
          </cell>
          <cell r="G18">
            <v>2.031433133020796</v>
          </cell>
          <cell r="I18">
            <v>16</v>
          </cell>
          <cell r="J18">
            <v>2.5387719203926467</v>
          </cell>
          <cell r="K18">
            <v>0.62</v>
          </cell>
          <cell r="N18">
            <v>25</v>
          </cell>
          <cell r="P18">
            <v>1.8284271247461898</v>
          </cell>
          <cell r="Q18">
            <v>1.5793953503557587</v>
          </cell>
          <cell r="R18">
            <v>1.2928808199080308</v>
          </cell>
          <cell r="S18">
            <v>0.94895367774327255</v>
          </cell>
          <cell r="T18">
            <v>0.5271355400643265</v>
          </cell>
          <cell r="W18">
            <v>0.18941130320040145</v>
          </cell>
          <cell r="X18">
            <v>0.16574420427251613</v>
          </cell>
          <cell r="Y18">
            <v>0.13835807521117749</v>
          </cell>
          <cell r="Z18">
            <v>0.10289371066133657</v>
          </cell>
          <cell r="AA18">
            <v>5.9032621430849308E-2</v>
          </cell>
          <cell r="AD18">
            <v>40</v>
          </cell>
          <cell r="AE18">
            <v>41.83669503626701</v>
          </cell>
          <cell r="AF18">
            <v>44.442238853326032</v>
          </cell>
          <cell r="AG18">
            <v>48.731413734867289</v>
          </cell>
          <cell r="AH18">
            <v>57.176846218996921</v>
          </cell>
          <cell r="AM18">
            <v>2.1</v>
          </cell>
          <cell r="AN18">
            <v>1.6800000000000002</v>
          </cell>
          <cell r="AO18">
            <v>1.26</v>
          </cell>
          <cell r="AP18">
            <v>0.84000000000000008</v>
          </cell>
          <cell r="AQ18">
            <v>0.42000000000000004</v>
          </cell>
          <cell r="AT18">
            <v>0.3703226931529926</v>
          </cell>
          <cell r="AU18">
            <v>0.29625815452239412</v>
          </cell>
          <cell r="AV18">
            <v>0.22219361589179565</v>
          </cell>
          <cell r="AW18">
            <v>0.14812907726119706</v>
          </cell>
          <cell r="AX18">
            <v>7.4064538630598531E-2</v>
          </cell>
          <cell r="BA18">
            <v>26.127796402772656</v>
          </cell>
          <cell r="BB18">
            <v>27.461368800321225</v>
          </cell>
          <cell r="BC18">
            <v>29.216428548527322</v>
          </cell>
          <cell r="BD18">
            <v>31.706504654507764</v>
          </cell>
          <cell r="BE18">
            <v>36.105477566569242</v>
          </cell>
        </row>
        <row r="19">
          <cell r="F19">
            <v>17</v>
          </cell>
          <cell r="G19">
            <v>2.2490095854249419</v>
          </cell>
          <cell r="I19">
            <v>17</v>
          </cell>
          <cell r="J19">
            <v>3.0579402515786085</v>
          </cell>
          <cell r="K19">
            <v>0.64</v>
          </cell>
          <cell r="N19">
            <v>26</v>
          </cell>
          <cell r="P19">
            <v>2.031433133020796</v>
          </cell>
          <cell r="Q19">
            <v>1.7586116632561031</v>
          </cell>
          <cell r="R19">
            <v>1.4398798046851402</v>
          </cell>
          <cell r="S19">
            <v>1.0618300986299702</v>
          </cell>
          <cell r="T19">
            <v>0.59460047803518701</v>
          </cell>
          <cell r="W19">
            <v>0.20300600827460613</v>
          </cell>
          <cell r="X19">
            <v>0.17921631290034434</v>
          </cell>
          <cell r="Y19">
            <v>0.14699898477710938</v>
          </cell>
          <cell r="Z19">
            <v>0.11287642088669769</v>
          </cell>
          <cell r="AA19">
            <v>6.7464937970860506E-2</v>
          </cell>
          <cell r="AD19">
            <v>40.870795385807064</v>
          </cell>
          <cell r="AE19">
            <v>42.707142308553742</v>
          </cell>
          <cell r="AF19">
            <v>45.343250058486468</v>
          </cell>
          <cell r="AG19">
            <v>49.654306534727205</v>
          </cell>
          <cell r="AH19">
            <v>58.12511610143563</v>
          </cell>
          <cell r="AM19">
            <v>2.5387719203926467</v>
          </cell>
          <cell r="AN19">
            <v>2.0310175363141174</v>
          </cell>
          <cell r="AO19">
            <v>1.5232631522355879</v>
          </cell>
          <cell r="AP19">
            <v>1.0155087681570587</v>
          </cell>
          <cell r="AQ19">
            <v>0.50775438407852935</v>
          </cell>
          <cell r="AT19">
            <v>0.43877192039264656</v>
          </cell>
          <cell r="AU19">
            <v>0.35101753631411725</v>
          </cell>
          <cell r="AV19">
            <v>0.26326315223558794</v>
          </cell>
          <cell r="AW19">
            <v>0.17550876815705863</v>
          </cell>
          <cell r="AX19">
            <v>8.7754384078529313E-2</v>
          </cell>
          <cell r="BA19">
            <v>26.504690687123308</v>
          </cell>
          <cell r="BB19">
            <v>27.863030247590562</v>
          </cell>
          <cell r="BC19">
            <v>29.606265091548554</v>
          </cell>
          <cell r="BD19">
            <v>32.113552950216736</v>
          </cell>
          <cell r="BE19">
            <v>36.526331209747774</v>
          </cell>
        </row>
        <row r="20">
          <cell r="F20">
            <v>18</v>
          </cell>
          <cell r="G20">
            <v>2.4822022531844965</v>
          </cell>
          <cell r="I20">
            <v>18</v>
          </cell>
          <cell r="J20">
            <v>3.671491735587451</v>
          </cell>
          <cell r="K20">
            <v>0.66</v>
          </cell>
          <cell r="N20">
            <v>27</v>
          </cell>
          <cell r="P20">
            <v>2.2490095854249419</v>
          </cell>
          <cell r="Q20">
            <v>1.9433691827656923</v>
          </cell>
          <cell r="R20">
            <v>1.5904995788125189</v>
          </cell>
          <cell r="S20">
            <v>1.1742079045503622</v>
          </cell>
          <cell r="T20">
            <v>0.65311238360740309</v>
          </cell>
          <cell r="W20">
            <v>0.21757645240414591</v>
          </cell>
          <cell r="X20">
            <v>0.18475751950958919</v>
          </cell>
          <cell r="Y20">
            <v>0.1506197741273787</v>
          </cell>
          <cell r="Z20">
            <v>0.11237780592039193</v>
          </cell>
          <cell r="AA20">
            <v>5.8511905572216083E-2</v>
          </cell>
          <cell r="AD20">
            <v>41.691928656135218</v>
          </cell>
          <cell r="AE20">
            <v>43.535389560453282</v>
          </cell>
          <cell r="AF20">
            <v>46.195785611164197</v>
          </cell>
          <cell r="AG20">
            <v>50.510850036206186</v>
          </cell>
          <cell r="AH20">
            <v>58.996855914896834</v>
          </cell>
          <cell r="AM20">
            <v>3.0579402515786085</v>
          </cell>
          <cell r="AN20">
            <v>2.4463522012628869</v>
          </cell>
          <cell r="AO20">
            <v>1.8347641509471651</v>
          </cell>
          <cell r="AP20">
            <v>1.2231761006314434</v>
          </cell>
          <cell r="AQ20">
            <v>0.61158805031572172</v>
          </cell>
          <cell r="AT20">
            <v>0.51916833118596184</v>
          </cell>
          <cell r="AU20">
            <v>0.41533466494876947</v>
          </cell>
          <cell r="AV20">
            <v>0.3115009987115771</v>
          </cell>
          <cell r="AW20">
            <v>0.20766733247438474</v>
          </cell>
          <cell r="AX20">
            <v>0.10383366623719237</v>
          </cell>
          <cell r="BA20">
            <v>26.881584971473956</v>
          </cell>
          <cell r="BB20">
            <v>28.225778459464117</v>
          </cell>
          <cell r="BC20">
            <v>29.996101634569786</v>
          </cell>
          <cell r="BD20">
            <v>32.477877425165822</v>
          </cell>
          <cell r="BE20">
            <v>36.947184852926306</v>
          </cell>
        </row>
        <row r="21">
          <cell r="F21">
            <v>19</v>
          </cell>
          <cell r="G21">
            <v>2.7321319661472296</v>
          </cell>
          <cell r="I21">
            <v>19</v>
          </cell>
          <cell r="J21">
            <v>4.3957950643309154</v>
          </cell>
          <cell r="K21">
            <v>0.68</v>
          </cell>
          <cell r="N21">
            <v>28</v>
          </cell>
          <cell r="P21">
            <v>2.4822022531844965</v>
          </cell>
          <cell r="Q21">
            <v>2.1515729130603214</v>
          </cell>
          <cell r="R21">
            <v>1.7690655458445907</v>
          </cell>
          <cell r="S21">
            <v>1.3066312660763189</v>
          </cell>
          <cell r="T21">
            <v>0.72554771860582834</v>
          </cell>
          <cell r="W21">
            <v>0.23319266775955461</v>
          </cell>
          <cell r="X21">
            <v>0.20820373029462913</v>
          </cell>
          <cell r="Y21">
            <v>0.17856596703207184</v>
          </cell>
          <cell r="Z21">
            <v>0.13242336152595668</v>
          </cell>
          <cell r="AA21">
            <v>7.2435334998425249E-2</v>
          </cell>
          <cell r="AD21">
            <v>42.470630686057078</v>
          </cell>
          <cell r="AE21">
            <v>44.32123076997032</v>
          </cell>
          <cell r="AF21">
            <v>47.002405448181747</v>
          </cell>
          <cell r="AG21">
            <v>51.307235833425089</v>
          </cell>
          <cell r="AH21">
            <v>59.782901351568675</v>
          </cell>
          <cell r="AM21">
            <v>3.671491735587451</v>
          </cell>
          <cell r="AN21">
            <v>2.9371933884699608</v>
          </cell>
          <cell r="AO21">
            <v>2.2028950413524706</v>
          </cell>
          <cell r="AP21">
            <v>1.4685966942349804</v>
          </cell>
          <cell r="AQ21">
            <v>0.7342983471174902</v>
          </cell>
          <cell r="AT21">
            <v>0.61355148400884252</v>
          </cell>
          <cell r="AU21">
            <v>0.49084118720707393</v>
          </cell>
          <cell r="AV21">
            <v>0.36813089040530556</v>
          </cell>
          <cell r="AW21">
            <v>0.24542059360353696</v>
          </cell>
          <cell r="AX21">
            <v>0.12271029680176848</v>
          </cell>
          <cell r="BA21">
            <v>27.220371931959619</v>
          </cell>
          <cell r="BB21">
            <v>28.568390277483555</v>
          </cell>
          <cell r="BC21">
            <v>30.329493925593439</v>
          </cell>
          <cell r="BD21">
            <v>32.842201900114915</v>
          </cell>
          <cell r="BE21">
            <v>37.317457773889828</v>
          </cell>
        </row>
        <row r="22">
          <cell r="F22">
            <v>20</v>
          </cell>
          <cell r="G22">
            <v>3</v>
          </cell>
          <cell r="I22">
            <v>20</v>
          </cell>
          <cell r="J22">
            <v>5.25</v>
          </cell>
          <cell r="K22">
            <v>0.7</v>
          </cell>
          <cell r="N22">
            <v>29</v>
          </cell>
          <cell r="P22">
            <v>2.7321319661472296</v>
          </cell>
          <cell r="Q22">
            <v>2.3734030389920986</v>
          </cell>
          <cell r="R22">
            <v>1.9510154370257367</v>
          </cell>
          <cell r="S22">
            <v>1.4395603329629754</v>
          </cell>
          <cell r="T22">
            <v>0.80270037165405606</v>
          </cell>
          <cell r="W22">
            <v>0.24992971296273314</v>
          </cell>
          <cell r="X22">
            <v>0.2218301259317772</v>
          </cell>
          <cell r="Y22">
            <v>0.18194989118114591</v>
          </cell>
          <cell r="Z22">
            <v>0.13292906688665651</v>
          </cell>
          <cell r="AA22">
            <v>7.7152653048227715E-2</v>
          </cell>
          <cell r="AD22">
            <v>43.213386604241784</v>
          </cell>
          <cell r="AE22">
            <v>45.070782602372333</v>
          </cell>
          <cell r="AF22">
            <v>47.752799438858894</v>
          </cell>
          <cell r="AG22">
            <v>52.050057424983954</v>
          </cell>
          <cell r="AH22">
            <v>60.54585273688761</v>
          </cell>
          <cell r="AM22">
            <v>4.3957950643309154</v>
          </cell>
          <cell r="AN22">
            <v>3.5166360514647326</v>
          </cell>
          <cell r="AO22">
            <v>2.6374770385985493</v>
          </cell>
          <cell r="AP22">
            <v>1.7583180257323663</v>
          </cell>
          <cell r="AQ22">
            <v>0.87915901286618314</v>
          </cell>
          <cell r="AT22">
            <v>0.72430332874346437</v>
          </cell>
          <cell r="AU22">
            <v>0.57944266299477176</v>
          </cell>
          <cell r="AV22">
            <v>0.43458199724607871</v>
          </cell>
          <cell r="AW22">
            <v>0.28972133149738588</v>
          </cell>
          <cell r="AX22">
            <v>0.14486066574869294</v>
          </cell>
          <cell r="BA22">
            <v>27.541701089775092</v>
          </cell>
          <cell r="BB22">
            <v>28.911002095502997</v>
          </cell>
          <cell r="BC22">
            <v>30.662316072657521</v>
          </cell>
          <cell r="BD22">
            <v>33.176527924103851</v>
          </cell>
          <cell r="BE22">
            <v>37.680472138177471</v>
          </cell>
        </row>
        <row r="23">
          <cell r="F23">
            <v>21</v>
          </cell>
          <cell r="G23">
            <v>3.2870938501451725</v>
          </cell>
          <cell r="I23">
            <v>21</v>
          </cell>
          <cell r="J23">
            <v>6.2565025247829205</v>
          </cell>
          <cell r="K23">
            <v>0.72</v>
          </cell>
          <cell r="N23">
            <v>30</v>
          </cell>
          <cell r="P23">
            <v>3</v>
          </cell>
          <cell r="Q23">
            <v>2.6036999999999999</v>
          </cell>
          <cell r="R23">
            <v>2.1372</v>
          </cell>
          <cell r="S23">
            <v>1.5800999999999998</v>
          </cell>
          <cell r="T23">
            <v>0.87990000000000002</v>
          </cell>
          <cell r="W23">
            <v>0.26786803385277036</v>
          </cell>
          <cell r="X23">
            <v>0.23029696100790131</v>
          </cell>
          <cell r="Y23">
            <v>0.18618456297426333</v>
          </cell>
          <cell r="Z23">
            <v>0.14053966703702447</v>
          </cell>
          <cell r="AA23">
            <v>7.719962834594396E-2</v>
          </cell>
          <cell r="AD23">
            <v>43.920692243099523</v>
          </cell>
          <cell r="AE23">
            <v>45.780025086357675</v>
          </cell>
          <cell r="AF23">
            <v>48.482447528152484</v>
          </cell>
          <cell r="AG23">
            <v>52.769987980532711</v>
          </cell>
          <cell r="AH23">
            <v>61.261422558944936</v>
          </cell>
          <cell r="AM23">
            <v>5.25</v>
          </cell>
          <cell r="AN23">
            <v>4.2</v>
          </cell>
          <cell r="AO23">
            <v>3.15</v>
          </cell>
          <cell r="AP23">
            <v>2.1</v>
          </cell>
          <cell r="AQ23">
            <v>1.05</v>
          </cell>
          <cell r="AT23">
            <v>0.85420493566908462</v>
          </cell>
          <cell r="AU23">
            <v>0.68336394853526761</v>
          </cell>
          <cell r="AV23">
            <v>0.51252296140145059</v>
          </cell>
          <cell r="AW23">
            <v>0.3416819742676338</v>
          </cell>
          <cell r="AX23">
            <v>0.1708409871338169</v>
          </cell>
          <cell r="BA23">
            <v>27.863030247590562</v>
          </cell>
          <cell r="BB23">
            <v>29.216428548527322</v>
          </cell>
          <cell r="BC23">
            <v>30.995138219721603</v>
          </cell>
          <cell r="BD23">
            <v>33.487933395889513</v>
          </cell>
          <cell r="BE23">
            <v>38.037513426486328</v>
          </cell>
        </row>
        <row r="24">
          <cell r="B24">
            <v>5</v>
          </cell>
          <cell r="C24">
            <v>0.5</v>
          </cell>
          <cell r="D24">
            <v>0.5</v>
          </cell>
          <cell r="F24">
            <v>22</v>
          </cell>
          <cell r="G24">
            <v>3.5947934199881395</v>
          </cell>
          <cell r="I24">
            <v>22</v>
          </cell>
          <cell r="J24">
            <v>7.4414868317755332</v>
          </cell>
          <cell r="K24">
            <v>0.74</v>
          </cell>
          <cell r="N24">
            <v>31</v>
          </cell>
          <cell r="P24">
            <v>3.2870938501451725</v>
          </cell>
          <cell r="Q24">
            <v>2.8518826243859516</v>
          </cell>
          <cell r="R24">
            <v>2.3466562996186386</v>
          </cell>
          <cell r="S24">
            <v>1.7365716810316947</v>
          </cell>
          <cell r="T24">
            <v>0.97166494210291288</v>
          </cell>
          <cell r="W24">
            <v>0.28709385014517252</v>
          </cell>
          <cell r="X24">
            <v>0.24818262438595173</v>
          </cell>
          <cell r="Y24">
            <v>0.20945629961863865</v>
          </cell>
          <cell r="Z24">
            <v>0.15647168103169484</v>
          </cell>
          <cell r="AA24">
            <v>9.1764942102912861E-2</v>
          </cell>
          <cell r="AD24">
            <v>44.585942742481357</v>
          </cell>
          <cell r="AE24">
            <v>46.455967430551723</v>
          </cell>
          <cell r="AF24">
            <v>49.18886033229559</v>
          </cell>
          <cell r="AG24">
            <v>53.471660769826336</v>
          </cell>
          <cell r="AH24">
            <v>61.918453772109508</v>
          </cell>
          <cell r="AM24">
            <v>6.2565025247829205</v>
          </cell>
          <cell r="AN24">
            <v>5.0052020198263367</v>
          </cell>
          <cell r="AO24">
            <v>3.7539015148697521</v>
          </cell>
          <cell r="AP24">
            <v>2.5026010099131684</v>
          </cell>
          <cell r="AQ24">
            <v>1.2513005049565842</v>
          </cell>
          <cell r="AT24">
            <v>1.0065025247829205</v>
          </cell>
          <cell r="AU24">
            <v>0.80520201982633655</v>
          </cell>
          <cell r="AV24">
            <v>0.60390151486975219</v>
          </cell>
          <cell r="AW24">
            <v>0.40260100991316827</v>
          </cell>
          <cell r="AX24">
            <v>0.20130050495658414</v>
          </cell>
          <cell r="BA24">
            <v>28.157256095860227</v>
          </cell>
          <cell r="BB24">
            <v>29.508805955793246</v>
          </cell>
          <cell r="BC24">
            <v>31.280110398778046</v>
          </cell>
          <cell r="BD24">
            <v>33.799338867675175</v>
          </cell>
          <cell r="BE24">
            <v>38.35066605767593</v>
          </cell>
        </row>
        <row r="25">
          <cell r="B25">
            <v>10</v>
          </cell>
          <cell r="C25">
            <v>1.5</v>
          </cell>
          <cell r="D25">
            <v>1</v>
          </cell>
          <cell r="F25">
            <v>23</v>
          </cell>
          <cell r="G25">
            <v>3.9245776533796644</v>
          </cell>
          <cell r="I25">
            <v>23</v>
          </cell>
          <cell r="J25">
            <v>8.8355567243832152</v>
          </cell>
          <cell r="K25">
            <v>0.76</v>
          </cell>
          <cell r="N25">
            <v>32</v>
          </cell>
          <cell r="P25">
            <v>3.5947934199881395</v>
          </cell>
          <cell r="Q25">
            <v>3.124234961311692</v>
          </cell>
          <cell r="R25">
            <v>2.5749505267375046</v>
          </cell>
          <cell r="S25">
            <v>1.9077568679877055</v>
          </cell>
          <cell r="T25">
            <v>1.0687320837624739</v>
          </cell>
          <cell r="W25">
            <v>0.30769956984296698</v>
          </cell>
          <cell r="X25">
            <v>0.27235233692574035</v>
          </cell>
          <cell r="Y25">
            <v>0.22829422711886593</v>
          </cell>
          <cell r="Z25">
            <v>0.17118518695601082</v>
          </cell>
          <cell r="AA25">
            <v>9.7067141659560985E-2</v>
          </cell>
          <cell r="AD25">
            <v>45.229416240679988</v>
          </cell>
          <cell r="AE25">
            <v>47.110426931480873</v>
          </cell>
          <cell r="AF25">
            <v>49.861837738505173</v>
          </cell>
          <cell r="AG25">
            <v>54.15637358335789</v>
          </cell>
          <cell r="AH25">
            <v>62.555781631668886</v>
          </cell>
          <cell r="AM25">
            <v>7.4414868317755332</v>
          </cell>
          <cell r="AN25">
            <v>5.9531894654204267</v>
          </cell>
          <cell r="AO25">
            <v>4.4648920990653194</v>
          </cell>
          <cell r="AP25">
            <v>2.9765947327102134</v>
          </cell>
          <cell r="AQ25">
            <v>1.4882973663551067</v>
          </cell>
          <cell r="AT25">
            <v>1.1849843069926127</v>
          </cell>
          <cell r="AU25">
            <v>0.94798744559408998</v>
          </cell>
          <cell r="AV25">
            <v>0.71099058419556727</v>
          </cell>
          <cell r="AW25">
            <v>0.47399372279704499</v>
          </cell>
          <cell r="AX25">
            <v>0.2369968613985225</v>
          </cell>
          <cell r="BA25">
            <v>28.431345550275779</v>
          </cell>
          <cell r="BB25">
            <v>29.80118336305917</v>
          </cell>
          <cell r="BC25">
            <v>31.564373235931193</v>
          </cell>
          <cell r="BD25">
            <v>34.09469189131628</v>
          </cell>
          <cell r="BE25">
            <v>38.663818688865533</v>
          </cell>
        </row>
        <row r="26">
          <cell r="B26">
            <v>15</v>
          </cell>
          <cell r="C26">
            <v>3.5</v>
          </cell>
          <cell r="D26">
            <v>2</v>
          </cell>
          <cell r="F26">
            <v>24</v>
          </cell>
          <cell r="G26">
            <v>4.2780316430915768</v>
          </cell>
          <cell r="I26">
            <v>24</v>
          </cell>
          <cell r="J26">
            <v>10.47447102993563</v>
          </cell>
          <cell r="K26">
            <v>0.78</v>
          </cell>
          <cell r="N26">
            <v>33</v>
          </cell>
          <cell r="P26">
            <v>3.9245776533796644</v>
          </cell>
          <cell r="Q26">
            <v>3.4081032341949005</v>
          </cell>
          <cell r="R26">
            <v>2.8064654799317976</v>
          </cell>
          <cell r="S26">
            <v>2.0796336985258841</v>
          </cell>
          <cell r="T26">
            <v>1.1608900698697047</v>
          </cell>
          <cell r="W26">
            <v>0.32978423339152485</v>
          </cell>
          <cell r="X26">
            <v>0.28386827288320848</v>
          </cell>
          <cell r="Y26">
            <v>0.23151495319429305</v>
          </cell>
          <cell r="Z26">
            <v>0.17187683053817859</v>
          </cell>
          <cell r="AA26">
            <v>9.2157986107230805E-2</v>
          </cell>
          <cell r="AD26">
            <v>45.845161563010116</v>
          </cell>
          <cell r="AE26">
            <v>47.734594805743399</v>
          </cell>
          <cell r="AF26">
            <v>50.503430607741265</v>
          </cell>
          <cell r="AG26">
            <v>54.814188287451351</v>
          </cell>
          <cell r="AH26">
            <v>63.182677965405439</v>
          </cell>
          <cell r="AM26">
            <v>8.8355567243832152</v>
          </cell>
          <cell r="AN26">
            <v>7.0684453795065725</v>
          </cell>
          <cell r="AO26">
            <v>5.3013340346299289</v>
          </cell>
          <cell r="AP26">
            <v>3.5342226897532862</v>
          </cell>
          <cell r="AQ26">
            <v>1.7671113448766431</v>
          </cell>
          <cell r="AT26">
            <v>1.394069892607682</v>
          </cell>
          <cell r="AU26">
            <v>1.1152559140861458</v>
          </cell>
          <cell r="AV26">
            <v>0.83644193556460955</v>
          </cell>
          <cell r="AW26">
            <v>0.55762795704307289</v>
          </cell>
          <cell r="AX26">
            <v>0.27881397852153644</v>
          </cell>
          <cell r="BA26">
            <v>28.705435004691331</v>
          </cell>
          <cell r="BB26">
            <v>30.079877315295377</v>
          </cell>
          <cell r="BC26">
            <v>31.848636073084339</v>
          </cell>
          <cell r="BD26">
            <v>34.360958982105608</v>
          </cell>
          <cell r="BE26">
            <v>38.976971320055128</v>
          </cell>
        </row>
        <row r="27">
          <cell r="B27">
            <v>20</v>
          </cell>
          <cell r="C27">
            <v>7.5</v>
          </cell>
          <cell r="D27">
            <v>4</v>
          </cell>
          <cell r="F27">
            <v>25</v>
          </cell>
          <cell r="G27">
            <v>4.6568542494923806</v>
          </cell>
          <cell r="I27">
            <v>25</v>
          </cell>
          <cell r="J27">
            <v>12.4</v>
          </cell>
          <cell r="K27">
            <v>0.8</v>
          </cell>
          <cell r="N27">
            <v>34</v>
          </cell>
          <cell r="P27">
            <v>4.2780316430915768</v>
          </cell>
          <cell r="Q27">
            <v>3.7214597263253628</v>
          </cell>
          <cell r="R27">
            <v>3.0699155070825155</v>
          </cell>
          <cell r="S27">
            <v>2.2742016214674821</v>
          </cell>
          <cell r="T27">
            <v>1.2692919885052709</v>
          </cell>
          <cell r="W27">
            <v>0.35345398971191244</v>
          </cell>
          <cell r="X27">
            <v>0.31335649213046235</v>
          </cell>
          <cell r="Y27">
            <v>0.26345002715071786</v>
          </cell>
          <cell r="Z27">
            <v>0.19456792294159797</v>
          </cell>
          <cell r="AA27">
            <v>0.10840191863556625</v>
          </cell>
          <cell r="AD27">
            <v>46.430041330048923</v>
          </cell>
          <cell r="AE27">
            <v>48.330142263709867</v>
          </cell>
          <cell r="AF27">
            <v>51.118578408701396</v>
          </cell>
          <cell r="AG27">
            <v>55.44072585486321</v>
          </cell>
          <cell r="AH27">
            <v>63.791742872142052</v>
          </cell>
          <cell r="AM27">
            <v>10.47447102993563</v>
          </cell>
          <cell r="AN27">
            <v>8.3795768239485042</v>
          </cell>
          <cell r="AO27">
            <v>6.2846826179613782</v>
          </cell>
          <cell r="AP27">
            <v>4.1897884119742521</v>
          </cell>
          <cell r="AQ27">
            <v>2.0948942059871261</v>
          </cell>
          <cell r="AT27">
            <v>1.6389143055524151</v>
          </cell>
          <cell r="AU27">
            <v>1.3111314444419317</v>
          </cell>
          <cell r="AV27">
            <v>0.98334858333144926</v>
          </cell>
          <cell r="AW27">
            <v>0.65556572222096587</v>
          </cell>
          <cell r="AX27">
            <v>0.32778286111048294</v>
          </cell>
          <cell r="BA27">
            <v>28.979524459106884</v>
          </cell>
          <cell r="BB27">
            <v>30.329493925593439</v>
          </cell>
          <cell r="BC27">
            <v>32.113552950216736</v>
          </cell>
          <cell r="BD27">
            <v>34.627226072894942</v>
          </cell>
          <cell r="BE27">
            <v>39.250296194358178</v>
          </cell>
        </row>
        <row r="28">
          <cell r="B28">
            <v>25</v>
          </cell>
          <cell r="C28">
            <v>15.5</v>
          </cell>
          <cell r="D28">
            <v>8</v>
          </cell>
          <cell r="F28">
            <v>26</v>
          </cell>
          <cell r="G28">
            <v>5.062866266041592</v>
          </cell>
          <cell r="I28">
            <v>26</v>
          </cell>
          <cell r="J28">
            <v>14.6609224175611</v>
          </cell>
          <cell r="K28">
            <v>0.82</v>
          </cell>
          <cell r="N28">
            <v>35</v>
          </cell>
          <cell r="P28">
            <v>4.6568542494923806</v>
          </cell>
          <cell r="Q28">
            <v>4.054257309608067</v>
          </cell>
          <cell r="R28">
            <v>3.3445527219854276</v>
          </cell>
          <cell r="S28">
            <v>2.478377831579845</v>
          </cell>
          <cell r="T28">
            <v>1.3802915995495415</v>
          </cell>
          <cell r="W28">
            <v>0.37882260640080379</v>
          </cell>
          <cell r="X28">
            <v>0.33279758328270415</v>
          </cell>
          <cell r="Y28">
            <v>0.27463721490291215</v>
          </cell>
          <cell r="Z28">
            <v>0.20417621011236298</v>
          </cell>
          <cell r="AA28">
            <v>0.11099961104427059</v>
          </cell>
          <cell r="AD28">
            <v>47.004247194324648</v>
          </cell>
          <cell r="AE28">
            <v>48.904516930942819</v>
          </cell>
          <cell r="AF28">
            <v>51.667220029142385</v>
          </cell>
          <cell r="AG28">
            <v>56.05100027504308</v>
          </cell>
          <cell r="AH28">
            <v>64.398425477456215</v>
          </cell>
          <cell r="AM28">
            <v>12.4</v>
          </cell>
          <cell r="AN28">
            <v>9.9200000000000017</v>
          </cell>
          <cell r="AO28">
            <v>7.4399999999999995</v>
          </cell>
          <cell r="AP28">
            <v>4.9600000000000009</v>
          </cell>
          <cell r="AQ28">
            <v>2.4800000000000004</v>
          </cell>
          <cell r="AT28">
            <v>1.9255289700643701</v>
          </cell>
          <cell r="AU28">
            <v>1.5404231760514975</v>
          </cell>
          <cell r="AV28">
            <v>1.1553173820386213</v>
          </cell>
          <cell r="AW28">
            <v>0.77021158802574874</v>
          </cell>
          <cell r="AX28">
            <v>0.38510579401287437</v>
          </cell>
          <cell r="BA28">
            <v>29.216428548527322</v>
          </cell>
          <cell r="BB28">
            <v>30.579110535891502</v>
          </cell>
          <cell r="BC28">
            <v>32.356435933516131</v>
          </cell>
          <cell r="BD28">
            <v>34.893493163684269</v>
          </cell>
          <cell r="BE28">
            <v>39.520459727922798</v>
          </cell>
        </row>
        <row r="29">
          <cell r="B29">
            <v>30</v>
          </cell>
          <cell r="C29">
            <v>31.5</v>
          </cell>
          <cell r="D29">
            <v>16</v>
          </cell>
          <cell r="F29">
            <v>27</v>
          </cell>
          <cell r="G29">
            <v>5.4980191708498847</v>
          </cell>
          <cell r="I29">
            <v>27</v>
          </cell>
          <cell r="J29">
            <v>17.314186320787698</v>
          </cell>
          <cell r="K29">
            <v>0.84</v>
          </cell>
          <cell r="N29">
            <v>36</v>
          </cell>
          <cell r="P29">
            <v>5.062866266041592</v>
          </cell>
          <cell r="Q29">
            <v>4.408743944469018</v>
          </cell>
          <cell r="R29">
            <v>3.63716312552428</v>
          </cell>
          <cell r="S29">
            <v>2.6914197070277099</v>
          </cell>
          <cell r="T29">
            <v>1.4996209880015197</v>
          </cell>
          <cell r="W29">
            <v>0.40601201654921137</v>
          </cell>
          <cell r="X29">
            <v>0.354486634860951</v>
          </cell>
          <cell r="Y29">
            <v>0.29261040353885237</v>
          </cell>
          <cell r="Z29">
            <v>0.2130418754478649</v>
          </cell>
          <cell r="AA29">
            <v>0.11932938845197816</v>
          </cell>
          <cell r="AD29">
            <v>47.540284631526092</v>
          </cell>
          <cell r="AE29">
            <v>49.446133440059114</v>
          </cell>
          <cell r="AF29">
            <v>52.199341027338768</v>
          </cell>
          <cell r="AG29">
            <v>56.621068614050692</v>
          </cell>
          <cell r="AH29">
            <v>65.00344105132713</v>
          </cell>
          <cell r="AM29">
            <v>14.6609224175611</v>
          </cell>
          <cell r="AN29">
            <v>11.72873793404888</v>
          </cell>
          <cell r="AO29">
            <v>8.7965534505366598</v>
          </cell>
          <cell r="AP29">
            <v>5.8643689670244399</v>
          </cell>
          <cell r="AQ29">
            <v>2.9321844835122199</v>
          </cell>
          <cell r="AT29">
            <v>2.2609224175610994</v>
          </cell>
          <cell r="AU29">
            <v>1.8087379340488781</v>
          </cell>
          <cell r="AV29">
            <v>1.3565534505366603</v>
          </cell>
          <cell r="AW29">
            <v>0.90436896702443903</v>
          </cell>
          <cell r="AX29">
            <v>0.45218448351221951</v>
          </cell>
          <cell r="BA29">
            <v>29.45033047434006</v>
          </cell>
          <cell r="BB29">
            <v>30.828727146189561</v>
          </cell>
          <cell r="BC29">
            <v>32.59931891681552</v>
          </cell>
          <cell r="BD29">
            <v>35.146386283795508</v>
          </cell>
          <cell r="BE29">
            <v>39.790623261487418</v>
          </cell>
        </row>
        <row r="30">
          <cell r="B30">
            <v>35</v>
          </cell>
          <cell r="C30">
            <v>63.5</v>
          </cell>
          <cell r="D30">
            <v>32</v>
          </cell>
          <cell r="F30">
            <v>28</v>
          </cell>
          <cell r="G30">
            <v>5.9644045063689921</v>
          </cell>
          <cell r="I30">
            <v>28</v>
          </cell>
          <cell r="J30">
            <v>20.42625995518307</v>
          </cell>
          <cell r="K30">
            <v>0.86</v>
          </cell>
          <cell r="N30">
            <v>37</v>
          </cell>
          <cell r="P30">
            <v>5.4980191708498847</v>
          </cell>
          <cell r="Q30">
            <v>4.7882248958931646</v>
          </cell>
          <cell r="R30">
            <v>3.9492271704214725</v>
          </cell>
          <cell r="S30">
            <v>2.9205477835554587</v>
          </cell>
          <cell r="T30">
            <v>1.6290630803228208</v>
          </cell>
          <cell r="W30">
            <v>0.43515290480829272</v>
          </cell>
          <cell r="X30">
            <v>0.37948095142414662</v>
          </cell>
          <cell r="Y30">
            <v>0.31206404489719253</v>
          </cell>
          <cell r="Z30">
            <v>0.2291280765277488</v>
          </cell>
          <cell r="AA30">
            <v>0.12944209232130111</v>
          </cell>
          <cell r="AD30">
            <v>48.071211008105138</v>
          </cell>
          <cell r="AE30">
            <v>49.981218513907905</v>
          </cell>
          <cell r="AF30">
            <v>52.705993248660157</v>
          </cell>
          <cell r="AG30">
            <v>57.175765669822162</v>
          </cell>
          <cell r="AH30">
            <v>65.541743280100334</v>
          </cell>
          <cell r="AM30">
            <v>17.314186320787698</v>
          </cell>
          <cell r="AN30">
            <v>13.851349056630159</v>
          </cell>
          <cell r="AO30">
            <v>10.388511792472618</v>
          </cell>
          <cell r="AP30">
            <v>6.9256745283150796</v>
          </cell>
          <cell r="AQ30">
            <v>3.4628372641575398</v>
          </cell>
          <cell r="AT30">
            <v>2.6532639032265983</v>
          </cell>
          <cell r="AU30">
            <v>2.1226111225812794</v>
          </cell>
          <cell r="AV30">
            <v>1.5919583419359586</v>
          </cell>
          <cell r="AW30">
            <v>1.0613055612906397</v>
          </cell>
          <cell r="AX30">
            <v>0.53065278064531984</v>
          </cell>
          <cell r="BA30">
            <v>29.684232400152801</v>
          </cell>
          <cell r="BB30">
            <v>31.066913270913183</v>
          </cell>
          <cell r="BC30">
            <v>32.842201900114915</v>
          </cell>
          <cell r="BD30">
            <v>35.390363423454687</v>
          </cell>
          <cell r="BE30">
            <v>40.052446592012309</v>
          </cell>
        </row>
        <row r="31">
          <cell r="B31">
            <v>40</v>
          </cell>
          <cell r="C31">
            <v>127.5</v>
          </cell>
          <cell r="D31">
            <v>64</v>
          </cell>
          <cell r="F31">
            <v>29</v>
          </cell>
          <cell r="G31">
            <v>6.4642639322944575</v>
          </cell>
          <cell r="I31">
            <v>29</v>
          </cell>
          <cell r="J31">
            <v>24.074703862418847</v>
          </cell>
          <cell r="K31">
            <v>0.88</v>
          </cell>
          <cell r="N31">
            <v>38</v>
          </cell>
          <cell r="P31">
            <v>5.9644045063689921</v>
          </cell>
          <cell r="Q31">
            <v>5.1914176823435705</v>
          </cell>
          <cell r="R31">
            <v>4.2752851501652938</v>
          </cell>
          <cell r="S31">
            <v>3.1653094715300236</v>
          </cell>
          <cell r="T31">
            <v>1.7738139001941382</v>
          </cell>
          <cell r="W31">
            <v>0.46638533551910744</v>
          </cell>
          <cell r="X31">
            <v>0.4031927864504059</v>
          </cell>
          <cell r="Y31">
            <v>0.32605797974382122</v>
          </cell>
          <cell r="Z31">
            <v>0.24476168797456488</v>
          </cell>
          <cell r="AA31">
            <v>0.14475081987131744</v>
          </cell>
          <cell r="AD31">
            <v>48.571351621712928</v>
          </cell>
          <cell r="AE31">
            <v>50.509688493127967</v>
          </cell>
          <cell r="AF31">
            <v>53.212684955585161</v>
          </cell>
          <cell r="AG31">
            <v>57.699988965458331</v>
          </cell>
          <cell r="AH31">
            <v>66.076345334947405</v>
          </cell>
          <cell r="AM31">
            <v>20.42625995518307</v>
          </cell>
          <cell r="AN31">
            <v>16.341007964146456</v>
          </cell>
          <cell r="AO31">
            <v>12.255755973109842</v>
          </cell>
          <cell r="AP31">
            <v>8.1705039820732281</v>
          </cell>
          <cell r="AQ31">
            <v>4.0852519910366141</v>
          </cell>
          <cell r="AT31">
            <v>3.1120736343953723</v>
          </cell>
          <cell r="AU31">
            <v>2.4896589075162971</v>
          </cell>
          <cell r="AV31">
            <v>1.8672441806372237</v>
          </cell>
          <cell r="AW31">
            <v>1.2448294537581486</v>
          </cell>
          <cell r="AX31">
            <v>0.62241472687907429</v>
          </cell>
          <cell r="BA31">
            <v>29.918134325965539</v>
          </cell>
          <cell r="BB31">
            <v>31.280110398778046</v>
          </cell>
          <cell r="BC31">
            <v>33.072726100175295</v>
          </cell>
          <cell r="BD31">
            <v>35.634340563113874</v>
          </cell>
          <cell r="BE31">
            <v>40.28554255651148</v>
          </cell>
        </row>
        <row r="32">
          <cell r="B32">
            <v>45</v>
          </cell>
          <cell r="C32">
            <v>255.5</v>
          </cell>
          <cell r="D32">
            <v>128</v>
          </cell>
          <cell r="F32">
            <v>30</v>
          </cell>
          <cell r="G32">
            <v>7</v>
          </cell>
          <cell r="I32">
            <v>30</v>
          </cell>
          <cell r="J32">
            <v>28.35</v>
          </cell>
          <cell r="K32">
            <v>0.9</v>
          </cell>
          <cell r="N32">
            <v>39</v>
          </cell>
          <cell r="P32">
            <v>6.4642639322944575</v>
          </cell>
          <cell r="Q32">
            <v>5.6323131642081607</v>
          </cell>
          <cell r="R32">
            <v>4.6510378992858623</v>
          </cell>
          <cell r="S32">
            <v>3.4532097926316991</v>
          </cell>
          <cell r="T32">
            <v>1.9366934741154194</v>
          </cell>
          <cell r="W32">
            <v>0.49985942592546539</v>
          </cell>
          <cell r="X32">
            <v>0.44089548186459027</v>
          </cell>
          <cell r="Y32">
            <v>0.37575274912056855</v>
          </cell>
          <cell r="Z32">
            <v>0.28790032110167552</v>
          </cell>
          <cell r="AA32">
            <v>0.16287957392128116</v>
          </cell>
          <cell r="AD32">
            <v>49.066704614192936</v>
          </cell>
          <cell r="AE32">
            <v>51.033341828534468</v>
          </cell>
          <cell r="AF32">
            <v>53.719431255885922</v>
          </cell>
          <cell r="AG32">
            <v>58.210135614815364</v>
          </cell>
          <cell r="AH32">
            <v>66.589764070576265</v>
          </cell>
          <cell r="AM32">
            <v>24.074703862418847</v>
          </cell>
          <cell r="AN32">
            <v>19.259763089935078</v>
          </cell>
          <cell r="AO32">
            <v>14.444822317451308</v>
          </cell>
          <cell r="AP32">
            <v>9.6298815449675388</v>
          </cell>
          <cell r="AQ32">
            <v>4.8149407724837694</v>
          </cell>
          <cell r="AT32">
            <v>3.6484439072357766</v>
          </cell>
          <cell r="AU32">
            <v>2.9187551257886213</v>
          </cell>
          <cell r="AV32">
            <v>2.189066344341466</v>
          </cell>
          <cell r="AW32">
            <v>1.4593775628943106</v>
          </cell>
          <cell r="AX32">
            <v>0.72968878144715532</v>
          </cell>
          <cell r="BA32">
            <v>30.12980063735499</v>
          </cell>
          <cell r="BB32">
            <v>31.493307526642905</v>
          </cell>
          <cell r="BC32">
            <v>33.280329748032408</v>
          </cell>
          <cell r="BD32">
            <v>35.878317702773053</v>
          </cell>
          <cell r="BE32">
            <v>40.518638521010644</v>
          </cell>
        </row>
        <row r="33">
          <cell r="B33">
            <v>50</v>
          </cell>
          <cell r="C33">
            <v>511.5</v>
          </cell>
          <cell r="D33">
            <v>256</v>
          </cell>
          <cell r="F33">
            <v>31</v>
          </cell>
          <cell r="G33">
            <v>7.5741877002903433</v>
          </cell>
          <cell r="I33">
            <v>31</v>
          </cell>
          <cell r="J33">
            <v>33.357679571112705</v>
          </cell>
          <cell r="K33">
            <v>0.92</v>
          </cell>
          <cell r="N33">
            <v>40</v>
          </cell>
          <cell r="P33">
            <v>7</v>
          </cell>
          <cell r="Q33">
            <v>6.1025999999999998</v>
          </cell>
          <cell r="R33">
            <v>5.0421000000000005</v>
          </cell>
          <cell r="S33">
            <v>3.7428999999999997</v>
          </cell>
          <cell r="T33">
            <v>2.1006999999999998</v>
          </cell>
          <cell r="W33">
            <v>0.5357360677055425</v>
          </cell>
          <cell r="X33">
            <v>0.47028683579183905</v>
          </cell>
          <cell r="Y33">
            <v>0.39106210071413816</v>
          </cell>
          <cell r="Z33">
            <v>0.28969020736830053</v>
          </cell>
          <cell r="AA33">
            <v>0.16400652588458042</v>
          </cell>
          <cell r="AD33">
            <v>49.533352307096472</v>
          </cell>
          <cell r="AE33">
            <v>51.497823295559343</v>
          </cell>
          <cell r="AF33">
            <v>54.213705787583436</v>
          </cell>
          <cell r="AG33">
            <v>58.701446767877648</v>
          </cell>
          <cell r="AH33">
            <v>67.097551508592701</v>
          </cell>
          <cell r="AM33">
            <v>28.35</v>
          </cell>
          <cell r="AN33">
            <v>22.680000000000003</v>
          </cell>
          <cell r="AO33">
            <v>17.010000000000002</v>
          </cell>
          <cell r="AP33">
            <v>11.340000000000002</v>
          </cell>
          <cell r="AQ33">
            <v>5.6700000000000008</v>
          </cell>
          <cell r="AT33">
            <v>4.2752961375811545</v>
          </cell>
          <cell r="AU33">
            <v>3.4202369100649257</v>
          </cell>
          <cell r="AV33">
            <v>2.5651776825486934</v>
          </cell>
          <cell r="AW33">
            <v>1.7101184550324628</v>
          </cell>
          <cell r="AX33">
            <v>0.85505922751623142</v>
          </cell>
          <cell r="BA33">
            <v>30.329493925593439</v>
          </cell>
          <cell r="BB33">
            <v>31.706504654507764</v>
          </cell>
          <cell r="BC33">
            <v>33.487933395889513</v>
          </cell>
          <cell r="BD33">
            <v>36.105477566569242</v>
          </cell>
          <cell r="BE33">
            <v>40.751734485509814</v>
          </cell>
        </row>
        <row r="34">
          <cell r="B34">
            <v>55</v>
          </cell>
          <cell r="C34">
            <v>1023.5</v>
          </cell>
          <cell r="D34">
            <v>512</v>
          </cell>
          <cell r="F34">
            <v>32</v>
          </cell>
          <cell r="G34">
            <v>8.189586839976279</v>
          </cell>
          <cell r="I34">
            <v>32</v>
          </cell>
          <cell r="J34">
            <v>39.220797956048642</v>
          </cell>
          <cell r="K34">
            <v>0.94</v>
          </cell>
          <cell r="N34">
            <v>41</v>
          </cell>
          <cell r="P34">
            <v>7.5741877002903433</v>
          </cell>
          <cell r="Q34">
            <v>6.6115084435834408</v>
          </cell>
          <cell r="R34">
            <v>5.4632615882194253</v>
          </cell>
          <cell r="S34">
            <v>4.052190419655334</v>
          </cell>
          <cell r="T34">
            <v>2.2783156602473356</v>
          </cell>
          <cell r="W34">
            <v>0.57418770029034327</v>
          </cell>
          <cell r="X34">
            <v>0.50890844358344101</v>
          </cell>
          <cell r="Y34">
            <v>0.42116158821942484</v>
          </cell>
          <cell r="Z34">
            <v>0.30929041965533433</v>
          </cell>
          <cell r="AA34">
            <v>0.17761566024733577</v>
          </cell>
          <cell r="AD34">
            <v>50</v>
          </cell>
          <cell r="AE34">
            <v>51.96230476258421</v>
          </cell>
          <cell r="AF34">
            <v>54.692509339255828</v>
          </cell>
          <cell r="AG34">
            <v>59.178112178215827</v>
          </cell>
          <cell r="AH34">
            <v>67.582949939226467</v>
          </cell>
          <cell r="AM34">
            <v>33.357679571112705</v>
          </cell>
          <cell r="AN34">
            <v>26.686143656890167</v>
          </cell>
          <cell r="AO34">
            <v>20.014607742667621</v>
          </cell>
          <cell r="AP34">
            <v>13.343071828445083</v>
          </cell>
          <cell r="AQ34">
            <v>6.6715359142225417</v>
          </cell>
          <cell r="AT34">
            <v>5.0076795711127033</v>
          </cell>
          <cell r="AU34">
            <v>4.0061436568901634</v>
          </cell>
          <cell r="AV34">
            <v>3.0046077426676199</v>
          </cell>
          <cell r="AW34">
            <v>2.0030718284450817</v>
          </cell>
          <cell r="AX34">
            <v>1.0015359142225408</v>
          </cell>
          <cell r="BA34">
            <v>30.529187213831889</v>
          </cell>
          <cell r="BB34">
            <v>31.919701782372627</v>
          </cell>
          <cell r="BC34">
            <v>33.695537043746626</v>
          </cell>
          <cell r="BD34">
            <v>36.315904388158508</v>
          </cell>
          <cell r="BE34">
            <v>40.984830450008978</v>
          </cell>
        </row>
        <row r="35">
          <cell r="B35">
            <v>60</v>
          </cell>
          <cell r="C35">
            <v>2047.5</v>
          </cell>
          <cell r="D35">
            <v>1024</v>
          </cell>
          <cell r="F35">
            <v>33</v>
          </cell>
          <cell r="G35">
            <v>8.8491553067593287</v>
          </cell>
          <cell r="I35">
            <v>33</v>
          </cell>
          <cell r="J35">
            <v>46.082812923199413</v>
          </cell>
          <cell r="K35">
            <v>0.96</v>
          </cell>
          <cell r="N35">
            <v>42</v>
          </cell>
          <cell r="P35">
            <v>8.189586839976279</v>
          </cell>
          <cell r="Q35">
            <v>7.1519661873512845</v>
          </cell>
          <cell r="R35">
            <v>5.906330028990892</v>
          </cell>
          <cell r="S35">
            <v>4.3855237528072974</v>
          </cell>
          <cell r="T35">
            <v>2.46506563883286</v>
          </cell>
          <cell r="W35">
            <v>0.61539913968593574</v>
          </cell>
          <cell r="X35">
            <v>0.54045774376784372</v>
          </cell>
          <cell r="Y35">
            <v>0.44306844077146668</v>
          </cell>
          <cell r="Z35">
            <v>0.33333333315196345</v>
          </cell>
          <cell r="AA35">
            <v>0.18674997858552445</v>
          </cell>
          <cell r="AD35">
            <v>50.435397692903535</v>
          </cell>
          <cell r="AE35">
            <v>52.391506955233744</v>
          </cell>
          <cell r="AF35">
            <v>55.159275389027101</v>
          </cell>
          <cell r="AG35">
            <v>59.632093520341421</v>
          </cell>
          <cell r="AH35">
            <v>68.063981730538742</v>
          </cell>
          <cell r="AM35">
            <v>39.220797956048642</v>
          </cell>
          <cell r="AN35">
            <v>31.376638364838914</v>
          </cell>
          <cell r="AO35">
            <v>23.532478773629183</v>
          </cell>
          <cell r="AP35">
            <v>15.688319182419457</v>
          </cell>
          <cell r="AQ35">
            <v>7.8441595912097286</v>
          </cell>
          <cell r="AT35">
            <v>5.8631183849359374</v>
          </cell>
          <cell r="AU35">
            <v>4.6904947079487478</v>
          </cell>
          <cell r="AV35">
            <v>3.5178710309615617</v>
          </cell>
          <cell r="AW35">
            <v>2.3452473539743739</v>
          </cell>
          <cell r="AX35">
            <v>1.1726236769871869</v>
          </cell>
          <cell r="BA35">
            <v>30.728880502070336</v>
          </cell>
          <cell r="BB35">
            <v>32.113552950216736</v>
          </cell>
          <cell r="BC35">
            <v>33.903140691603731</v>
          </cell>
          <cell r="BD35">
            <v>36.526331209747774</v>
          </cell>
          <cell r="BE35">
            <v>41.188041754455355</v>
          </cell>
        </row>
        <row r="36">
          <cell r="F36">
            <v>34</v>
          </cell>
          <cell r="G36">
            <v>9.5560632861831518</v>
          </cell>
          <cell r="I36">
            <v>34</v>
          </cell>
          <cell r="J36">
            <v>54.110931329932889</v>
          </cell>
          <cell r="K36">
            <v>0.98</v>
          </cell>
          <cell r="N36">
            <v>43</v>
          </cell>
          <cell r="P36">
            <v>8.8491553067593287</v>
          </cell>
          <cell r="Q36">
            <v>7.7120388498407557</v>
          </cell>
          <cell r="R36">
            <v>6.3696219898053652</v>
          </cell>
          <cell r="S36">
            <v>4.736067920177593</v>
          </cell>
          <cell r="T36">
            <v>2.6627108318038819</v>
          </cell>
          <cell r="W36">
            <v>0.6595684667830497</v>
          </cell>
          <cell r="X36">
            <v>0.56007266248947118</v>
          </cell>
          <cell r="Y36">
            <v>0.46329196081447321</v>
          </cell>
          <cell r="Z36">
            <v>0.35054416737029559</v>
          </cell>
          <cell r="AA36">
            <v>0.1976451929710219</v>
          </cell>
          <cell r="AD36">
            <v>50.870795385807064</v>
          </cell>
          <cell r="AE36">
            <v>52.81759316022675</v>
          </cell>
          <cell r="AF36">
            <v>55.604435245632025</v>
          </cell>
          <cell r="AG36">
            <v>60.078368706270226</v>
          </cell>
          <cell r="AH36">
            <v>68.518369035696878</v>
          </cell>
          <cell r="AM36">
            <v>46.082812923199413</v>
          </cell>
          <cell r="AN36">
            <v>36.866250338559531</v>
          </cell>
          <cell r="AO36">
            <v>27.649687753919647</v>
          </cell>
          <cell r="AP36">
            <v>18.433125169279766</v>
          </cell>
          <cell r="AQ36">
            <v>9.2165625846398829</v>
          </cell>
          <cell r="AT36">
            <v>6.8620149671507704</v>
          </cell>
          <cell r="AU36">
            <v>5.489611973720617</v>
          </cell>
          <cell r="AV36">
            <v>4.1172089802904637</v>
          </cell>
          <cell r="AW36">
            <v>2.7448059868603085</v>
          </cell>
          <cell r="AX36">
            <v>1.3724029934301543</v>
          </cell>
          <cell r="BA36">
            <v>30.928573790308786</v>
          </cell>
          <cell r="BB36">
            <v>32.295715187691279</v>
          </cell>
          <cell r="BC36">
            <v>34.09469189131628</v>
          </cell>
          <cell r="BD36">
            <v>36.73675803133704</v>
          </cell>
          <cell r="BE36">
            <v>41.389172829914081</v>
          </cell>
        </row>
        <row r="37">
          <cell r="F37">
            <v>35</v>
          </cell>
          <cell r="G37">
            <v>10.313708498984759</v>
          </cell>
          <cell r="I37">
            <v>35</v>
          </cell>
          <cell r="J37">
            <v>63.5</v>
          </cell>
          <cell r="K37">
            <v>1</v>
          </cell>
          <cell r="N37">
            <v>44</v>
          </cell>
          <cell r="P37">
            <v>9.5560632861831518</v>
          </cell>
          <cell r="Q37">
            <v>8.3309759728944712</v>
          </cell>
          <cell r="R37">
            <v>6.8918328419952886</v>
          </cell>
          <cell r="S37">
            <v>5.1287391656944967</v>
          </cell>
          <cell r="T37">
            <v>2.8811530807842201</v>
          </cell>
          <cell r="W37">
            <v>0.70690797942382311</v>
          </cell>
          <cell r="X37">
            <v>0.61893712305371551</v>
          </cell>
          <cell r="Y37">
            <v>0.52221085218992336</v>
          </cell>
          <cell r="Z37">
            <v>0.39267124551690369</v>
          </cell>
          <cell r="AA37">
            <v>0.21844224898033815</v>
          </cell>
          <cell r="AD37">
            <v>51.285688244217212</v>
          </cell>
          <cell r="AE37">
            <v>53.226994578658328</v>
          </cell>
          <cell r="AF37">
            <v>56.045896281048073</v>
          </cell>
          <cell r="AG37">
            <v>60.491705764657482</v>
          </cell>
          <cell r="AH37">
            <v>68.972756340855</v>
          </cell>
          <cell r="AM37">
            <v>54.110931329932889</v>
          </cell>
          <cell r="AN37">
            <v>43.288745063946315</v>
          </cell>
          <cell r="AO37">
            <v>32.466558797959735</v>
          </cell>
          <cell r="AP37">
            <v>21.644372531973158</v>
          </cell>
          <cell r="AQ37">
            <v>10.822186265986579</v>
          </cell>
          <cell r="AT37">
            <v>8.0281184067334763</v>
          </cell>
          <cell r="AU37">
            <v>6.4224947253867839</v>
          </cell>
          <cell r="AV37">
            <v>4.8168710440400879</v>
          </cell>
          <cell r="AW37">
            <v>3.2112473626933919</v>
          </cell>
          <cell r="AX37">
            <v>1.605623681346696</v>
          </cell>
          <cell r="BA37">
            <v>31.109552696486158</v>
          </cell>
          <cell r="BB37">
            <v>32.477877425165822</v>
          </cell>
          <cell r="BC37">
            <v>34.272203285175834</v>
          </cell>
          <cell r="BD37">
            <v>36.947184852926306</v>
          </cell>
          <cell r="BE37">
            <v>41.590303905372799</v>
          </cell>
        </row>
        <row r="38">
          <cell r="F38">
            <v>36</v>
          </cell>
          <cell r="G38">
            <v>11.125732532083184</v>
          </cell>
          <cell r="I38">
            <v>36</v>
          </cell>
          <cell r="J38">
            <v>73.746861667008318</v>
          </cell>
          <cell r="K38">
            <v>1.01</v>
          </cell>
          <cell r="N38">
            <v>45</v>
          </cell>
          <cell r="P38">
            <v>10.313708498984759</v>
          </cell>
          <cell r="Q38">
            <v>9.0048988904635934</v>
          </cell>
          <cell r="R38">
            <v>7.4547485030661838</v>
          </cell>
          <cell r="S38">
            <v>5.5405242056546129</v>
          </cell>
          <cell r="T38">
            <v>3.1106144832938032</v>
          </cell>
          <cell r="W38">
            <v>0.75764521280160757</v>
          </cell>
          <cell r="X38">
            <v>0.67392291756912215</v>
          </cell>
          <cell r="Y38">
            <v>0.56291566107089519</v>
          </cell>
          <cell r="Z38">
            <v>0.41178503996011617</v>
          </cell>
          <cell r="AA38">
            <v>0.22946140250958313</v>
          </cell>
          <cell r="AD38">
            <v>51.691928656135211</v>
          </cell>
          <cell r="AE38">
            <v>53.623906555539456</v>
          </cell>
          <cell r="AF38">
            <v>56.457855949816349</v>
          </cell>
          <cell r="AG38">
            <v>60.905042823044738</v>
          </cell>
          <cell r="AH38">
            <v>69.385288338144662</v>
          </cell>
          <cell r="AM38">
            <v>63.5</v>
          </cell>
          <cell r="AN38">
            <v>50.800000000000004</v>
          </cell>
          <cell r="AO38">
            <v>38.1</v>
          </cell>
          <cell r="AP38">
            <v>25.400000000000002</v>
          </cell>
          <cell r="AQ38">
            <v>12.700000000000001</v>
          </cell>
          <cell r="AT38">
            <v>9.3890686700671111</v>
          </cell>
          <cell r="AU38">
            <v>7.5112549360536889</v>
          </cell>
          <cell r="AV38">
            <v>5.6334412020402667</v>
          </cell>
          <cell r="AW38">
            <v>3.7556274680268444</v>
          </cell>
          <cell r="AX38">
            <v>1.8778137340134222</v>
          </cell>
          <cell r="BA38">
            <v>31.280110398778046</v>
          </cell>
          <cell r="BB38">
            <v>32.660039662640372</v>
          </cell>
          <cell r="BC38">
            <v>34.449714679035388</v>
          </cell>
          <cell r="BD38">
            <v>37.135950591746003</v>
          </cell>
          <cell r="BE38">
            <v>41.791434980831518</v>
          </cell>
        </row>
        <row r="39">
          <cell r="F39">
            <v>37</v>
          </cell>
          <cell r="G39">
            <v>11.996038341699768</v>
          </cell>
          <cell r="I39">
            <v>37</v>
          </cell>
          <cell r="J39">
            <v>85.62747641525452</v>
          </cell>
          <cell r="K39">
            <v>1.02</v>
          </cell>
          <cell r="N39">
            <v>46</v>
          </cell>
          <cell r="P39">
            <v>11.125732532083184</v>
          </cell>
          <cell r="Q39">
            <v>9.7261153795471191</v>
          </cell>
          <cell r="R39">
            <v>8.0405669009365166</v>
          </cell>
          <cell r="S39">
            <v>5.9700680767158358</v>
          </cell>
          <cell r="T39">
            <v>3.3388323328781633</v>
          </cell>
          <cell r="W39">
            <v>0.81202403309842452</v>
          </cell>
          <cell r="X39">
            <v>0.72121648908352576</v>
          </cell>
          <cell r="Y39">
            <v>0.58581839787033285</v>
          </cell>
          <cell r="Z39">
            <v>0.42954387106122294</v>
          </cell>
          <cell r="AA39">
            <v>0.22821784958436009</v>
          </cell>
          <cell r="AD39">
            <v>52.091594979242075</v>
          </cell>
          <cell r="AE39">
            <v>54.020289560649204</v>
          </cell>
          <cell r="AF39">
            <v>56.869815618584624</v>
          </cell>
          <cell r="AG39">
            <v>61.294362422865476</v>
          </cell>
          <cell r="AH39">
            <v>69.795150761037945</v>
          </cell>
          <cell r="AM39">
            <v>73.746861667008318</v>
          </cell>
          <cell r="AN39">
            <v>58.997489333606659</v>
          </cell>
          <cell r="AO39">
            <v>44.248117000204992</v>
          </cell>
          <cell r="AP39">
            <v>29.498744666803329</v>
          </cell>
          <cell r="AQ39">
            <v>14.749372333401665</v>
          </cell>
          <cell r="AT39">
            <v>10.246861667008318</v>
          </cell>
          <cell r="AU39">
            <v>8.1974893336066543</v>
          </cell>
          <cell r="AV39">
            <v>6.1481170002049907</v>
          </cell>
          <cell r="AW39">
            <v>4.0987446668033272</v>
          </cell>
          <cell r="AX39">
            <v>2.0493723334016636</v>
          </cell>
          <cell r="BA39">
            <v>31.450668101069933</v>
          </cell>
          <cell r="BB39">
            <v>32.842201900114915</v>
          </cell>
          <cell r="BC39">
            <v>34.627226072894942</v>
          </cell>
          <cell r="BD39">
            <v>37.317457773889828</v>
          </cell>
          <cell r="BE39">
            <v>41.992566056290244</v>
          </cell>
        </row>
        <row r="40">
          <cell r="F40">
            <v>38</v>
          </cell>
          <cell r="G40">
            <v>12.928809012737984</v>
          </cell>
          <cell r="I40">
            <v>38</v>
          </cell>
          <cell r="J40">
            <v>99.401036064365428</v>
          </cell>
          <cell r="K40">
            <v>1.03</v>
          </cell>
          <cell r="N40">
            <v>47</v>
          </cell>
          <cell r="P40">
            <v>11.996038341699768</v>
          </cell>
          <cell r="Q40">
            <v>10.483337906811427</v>
          </cell>
          <cell r="R40">
            <v>8.6671377018780831</v>
          </cell>
          <cell r="S40">
            <v>6.4166809089752066</v>
          </cell>
          <cell r="T40">
            <v>3.6000111063441</v>
          </cell>
          <cell r="W40">
            <v>0.87030580961658366</v>
          </cell>
          <cell r="X40">
            <v>0.75722252726430739</v>
          </cell>
          <cell r="Y40">
            <v>0.62657080094156647</v>
          </cell>
          <cell r="Z40">
            <v>0.44661283225937076</v>
          </cell>
          <cell r="AA40">
            <v>0.26117877346593676</v>
          </cell>
          <cell r="AD40">
            <v>52.470630686057078</v>
          </cell>
          <cell r="AE40">
            <v>54.407116521581436</v>
          </cell>
          <cell r="AF40">
            <v>57.263329041432932</v>
          </cell>
          <cell r="AG40">
            <v>61.676518787205197</v>
          </cell>
          <cell r="AH40">
            <v>70.190427169053478</v>
          </cell>
          <cell r="AM40">
            <v>85.62747641525452</v>
          </cell>
          <cell r="AN40">
            <v>68.501981132203625</v>
          </cell>
          <cell r="AO40">
            <v>51.376485849152708</v>
          </cell>
          <cell r="AP40">
            <v>34.250990566101812</v>
          </cell>
          <cell r="AQ40">
            <v>17.125495283050906</v>
          </cell>
          <cell r="AT40">
            <v>11.880614748246202</v>
          </cell>
          <cell r="AU40">
            <v>9.5044917985969661</v>
          </cell>
          <cell r="AV40">
            <v>7.1283688489477157</v>
          </cell>
          <cell r="AW40">
            <v>4.7522458992984831</v>
          </cell>
          <cell r="AX40">
            <v>2.3761229496492415</v>
          </cell>
          <cell r="BA40">
            <v>31.621225803361821</v>
          </cell>
          <cell r="BB40">
            <v>33.02082518821102</v>
          </cell>
          <cell r="BC40">
            <v>34.804737466754489</v>
          </cell>
          <cell r="BD40">
            <v>37.498964956033646</v>
          </cell>
          <cell r="BE40">
            <v>42.167148737437564</v>
          </cell>
        </row>
        <row r="41">
          <cell r="F41">
            <v>39</v>
          </cell>
          <cell r="G41">
            <v>13.928527864588917</v>
          </cell>
          <cell r="I41">
            <v>39</v>
          </cell>
          <cell r="J41">
            <v>115.36769098598003</v>
          </cell>
          <cell r="K41">
            <v>1.04</v>
          </cell>
          <cell r="N41">
            <v>48</v>
          </cell>
          <cell r="P41">
            <v>12.928809012737984</v>
          </cell>
          <cell r="Q41">
            <v>11.292021791725356</v>
          </cell>
          <cell r="R41">
            <v>9.3190855363815395</v>
          </cell>
          <cell r="S41">
            <v>6.8962267273944402</v>
          </cell>
          <cell r="T41">
            <v>3.8708854184137524</v>
          </cell>
          <cell r="W41">
            <v>0.93277067103821665</v>
          </cell>
          <cell r="X41">
            <v>0.80868388491392906</v>
          </cell>
          <cell r="Y41">
            <v>0.65194783450345639</v>
          </cell>
          <cell r="Z41">
            <v>0.4795458184192336</v>
          </cell>
          <cell r="AA41">
            <v>0.2708743120696524</v>
          </cell>
          <cell r="AD41">
            <v>52.849666392872081</v>
          </cell>
          <cell r="AE41">
            <v>54.793943482513676</v>
          </cell>
          <cell r="AF41">
            <v>57.64832002380362</v>
          </cell>
          <cell r="AG41">
            <v>62.054222259937362</v>
          </cell>
          <cell r="AH41">
            <v>70.571129226337533</v>
          </cell>
          <cell r="AM41">
            <v>99.401036064365428</v>
          </cell>
          <cell r="AN41">
            <v>79.520828851492354</v>
          </cell>
          <cell r="AO41">
            <v>59.640621638619251</v>
          </cell>
          <cell r="AP41">
            <v>39.760414425746177</v>
          </cell>
          <cell r="AQ41">
            <v>19.880207212873088</v>
          </cell>
          <cell r="AT41">
            <v>13.773559649110908</v>
          </cell>
          <cell r="AU41">
            <v>11.018847719288729</v>
          </cell>
          <cell r="AV41">
            <v>8.2641357894665433</v>
          </cell>
          <cell r="AW41">
            <v>5.5094238596443645</v>
          </cell>
          <cell r="AX41">
            <v>2.7547119298221823</v>
          </cell>
          <cell r="BA41">
            <v>31.791783505653711</v>
          </cell>
          <cell r="BB41">
            <v>33.176527924103851</v>
          </cell>
          <cell r="BC41">
            <v>34.982248860614042</v>
          </cell>
          <cell r="BD41">
            <v>37.680472138177471</v>
          </cell>
          <cell r="BE41">
            <v>42.340712512072891</v>
          </cell>
        </row>
        <row r="42">
          <cell r="F42">
            <v>40</v>
          </cell>
          <cell r="G42">
            <v>15</v>
          </cell>
          <cell r="I42">
            <v>40</v>
          </cell>
          <cell r="J42">
            <v>133.875</v>
          </cell>
          <cell r="K42">
            <v>1.05</v>
          </cell>
          <cell r="N42">
            <v>49</v>
          </cell>
          <cell r="P42">
            <v>13.928527864588917</v>
          </cell>
          <cell r="Q42">
            <v>12.147069150707994</v>
          </cell>
          <cell r="R42">
            <v>10.016004387425889</v>
          </cell>
          <cell r="S42">
            <v>7.4197267934665154</v>
          </cell>
          <cell r="T42">
            <v>4.1702012426579218</v>
          </cell>
          <cell r="W42">
            <v>0.99971885185093257</v>
          </cell>
          <cell r="X42">
            <v>0.85504735898263817</v>
          </cell>
          <cell r="Y42">
            <v>0.69691885104434981</v>
          </cell>
          <cell r="Z42">
            <v>0.52350006607207522</v>
          </cell>
          <cell r="AA42">
            <v>0.29931582424416936</v>
          </cell>
          <cell r="AD42">
            <v>53.213386604241784</v>
          </cell>
          <cell r="AE42">
            <v>55.170390866416149</v>
          </cell>
          <cell r="AF42">
            <v>58.030740707238266</v>
          </cell>
          <cell r="AG42">
            <v>62.407376554018477</v>
          </cell>
          <cell r="AH42">
            <v>70.951831283621587</v>
          </cell>
          <cell r="AM42">
            <v>115.36769098598003</v>
          </cell>
          <cell r="AN42">
            <v>92.294152788784032</v>
          </cell>
          <cell r="AO42">
            <v>69.220614591588017</v>
          </cell>
          <cell r="AP42">
            <v>46.147076394392016</v>
          </cell>
          <cell r="AQ42">
            <v>23.073538197196008</v>
          </cell>
          <cell r="AT42">
            <v>15.966654921614605</v>
          </cell>
          <cell r="AU42">
            <v>12.773323937291678</v>
          </cell>
          <cell r="AV42">
            <v>9.579992952968766</v>
          </cell>
          <cell r="AW42">
            <v>6.3866619686458392</v>
          </cell>
          <cell r="AX42">
            <v>3.1933309843229196</v>
          </cell>
          <cell r="BA42">
            <v>31.962341207945599</v>
          </cell>
          <cell r="BB42">
            <v>33.332230659996682</v>
          </cell>
          <cell r="BC42">
            <v>35.146386283795508</v>
          </cell>
          <cell r="BD42">
            <v>37.861979320321296</v>
          </cell>
          <cell r="BE42">
            <v>42.51427628670821</v>
          </cell>
        </row>
        <row r="43">
          <cell r="F43">
            <v>41</v>
          </cell>
          <cell r="G43">
            <v>16.148375400580683</v>
          </cell>
          <cell r="I43">
            <v>41</v>
          </cell>
          <cell r="J43">
            <v>155.32539280599755</v>
          </cell>
          <cell r="K43">
            <v>1.06</v>
          </cell>
          <cell r="N43">
            <v>50</v>
          </cell>
          <cell r="P43">
            <v>15</v>
          </cell>
          <cell r="Q43">
            <v>13.059000000000001</v>
          </cell>
          <cell r="R43">
            <v>10.782</v>
          </cell>
          <cell r="S43">
            <v>8.0009999999999994</v>
          </cell>
          <cell r="T43">
            <v>4.5</v>
          </cell>
          <cell r="W43">
            <v>1.0714721354110832</v>
          </cell>
          <cell r="X43">
            <v>0.9119308492920073</v>
          </cell>
          <cell r="Y43">
            <v>0.76599561257411075</v>
          </cell>
          <cell r="Z43">
            <v>0.58127320653348402</v>
          </cell>
          <cell r="AA43">
            <v>0.3297987573420782</v>
          </cell>
          <cell r="AD43">
            <v>53.567039423670657</v>
          </cell>
          <cell r="AE43">
            <v>55.535006783542492</v>
          </cell>
          <cell r="AF43">
            <v>58.38602553461638</v>
          </cell>
          <cell r="AG43">
            <v>62.760530848099599</v>
          </cell>
          <cell r="AH43">
            <v>71.315281959371688</v>
          </cell>
          <cell r="AM43">
            <v>133.875</v>
          </cell>
          <cell r="AN43">
            <v>107.10000000000001</v>
          </cell>
          <cell r="AO43">
            <v>80.325000000000003</v>
          </cell>
          <cell r="AP43">
            <v>53.550000000000004</v>
          </cell>
          <cell r="AQ43">
            <v>26.775000000000002</v>
          </cell>
          <cell r="AT43">
            <v>18.507309014019967</v>
          </cell>
          <cell r="AU43">
            <v>14.805847211215976</v>
          </cell>
          <cell r="AV43">
            <v>11.104385408411986</v>
          </cell>
          <cell r="AW43">
            <v>7.4029236056079881</v>
          </cell>
          <cell r="AX43">
            <v>3.7014618028039941</v>
          </cell>
          <cell r="BA43">
            <v>32.113552950216736</v>
          </cell>
          <cell r="BB43">
            <v>33.487933395889513</v>
          </cell>
          <cell r="BC43">
            <v>35.309037710234961</v>
          </cell>
          <cell r="BD43">
            <v>38.037513426486328</v>
          </cell>
          <cell r="BE43">
            <v>42.687840061343536</v>
          </cell>
        </row>
        <row r="44">
          <cell r="F44">
            <v>42</v>
          </cell>
          <cell r="G44">
            <v>17.379173679952558</v>
          </cell>
          <cell r="I44">
            <v>42</v>
          </cell>
          <cell r="J44">
            <v>180.18480345945557</v>
          </cell>
          <cell r="K44">
            <v>1.07</v>
          </cell>
          <cell r="N44">
            <v>51</v>
          </cell>
          <cell r="P44">
            <v>16.148375400580683</v>
          </cell>
          <cell r="Q44">
            <v>14.065234973905774</v>
          </cell>
          <cell r="R44">
            <v>11.621985775797917</v>
          </cell>
          <cell r="S44">
            <v>8.6296918140703163</v>
          </cell>
          <cell r="T44">
            <v>4.8606609955747855</v>
          </cell>
          <cell r="W44">
            <v>1.148375400580683</v>
          </cell>
          <cell r="X44">
            <v>1.006234973905773</v>
          </cell>
          <cell r="Y44">
            <v>0.839985775797917</v>
          </cell>
          <cell r="Z44">
            <v>0.62869181407031682</v>
          </cell>
          <cell r="AA44">
            <v>0.36066099557478548</v>
          </cell>
          <cell r="AD44">
            <v>53.920692243099523</v>
          </cell>
          <cell r="AE44">
            <v>55.899622700668843</v>
          </cell>
          <cell r="AF44">
            <v>58.741310361994486</v>
          </cell>
          <cell r="AG44">
            <v>63.10587219844583</v>
          </cell>
          <cell r="AH44">
            <v>71.676233707038421</v>
          </cell>
          <cell r="AM44">
            <v>155.32539280599755</v>
          </cell>
          <cell r="AN44">
            <v>124.26031424479805</v>
          </cell>
          <cell r="AO44">
            <v>93.195235683598526</v>
          </cell>
          <cell r="AP44">
            <v>62.130157122399027</v>
          </cell>
          <cell r="AQ44">
            <v>31.065078561199513</v>
          </cell>
          <cell r="AT44">
            <v>21.450392805997552</v>
          </cell>
          <cell r="AU44">
            <v>17.160314244798045</v>
          </cell>
          <cell r="AV44">
            <v>12.870235683598523</v>
          </cell>
          <cell r="AW44">
            <v>8.5801571223990223</v>
          </cell>
          <cell r="AX44">
            <v>4.2900785611995111</v>
          </cell>
          <cell r="BA44">
            <v>32.259282740196369</v>
          </cell>
          <cell r="BB44">
            <v>33.643636131782344</v>
          </cell>
          <cell r="BC44">
            <v>35.471689136674414</v>
          </cell>
          <cell r="BD44">
            <v>38.194089742081125</v>
          </cell>
          <cell r="BE44">
            <v>42.861403835978855</v>
          </cell>
        </row>
        <row r="45">
          <cell r="F45">
            <v>43</v>
          </cell>
          <cell r="G45">
            <v>18.698310613518661</v>
          </cell>
          <cell r="I45">
            <v>43</v>
          </cell>
          <cell r="J45">
            <v>208.99265815439742</v>
          </cell>
          <cell r="K45">
            <v>1.08</v>
          </cell>
          <cell r="N45">
            <v>52</v>
          </cell>
          <cell r="P45">
            <v>17.379173679952558</v>
          </cell>
          <cell r="Q45">
            <v>15.182446126806555</v>
          </cell>
          <cell r="R45">
            <v>12.547763396925747</v>
          </cell>
          <cell r="S45">
            <v>9.3221887619265527</v>
          </cell>
          <cell r="T45">
            <v>5.2485104513456724</v>
          </cell>
          <cell r="W45">
            <v>1.230798279371875</v>
          </cell>
          <cell r="X45">
            <v>1.1172111529007811</v>
          </cell>
          <cell r="Y45">
            <v>0.92577762112783013</v>
          </cell>
          <cell r="Z45">
            <v>0.69249694785623639</v>
          </cell>
          <cell r="AA45">
            <v>0.38784945577088692</v>
          </cell>
          <cell r="AD45">
            <v>54.255972994404218</v>
          </cell>
          <cell r="AE45">
            <v>56.238779717153008</v>
          </cell>
          <cell r="AF45">
            <v>59.09095196730258</v>
          </cell>
          <cell r="AG45">
            <v>63.434756173851497</v>
          </cell>
          <cell r="AH45">
            <v>72.034562459436771</v>
          </cell>
          <cell r="AM45">
            <v>180.18480345945557</v>
          </cell>
          <cell r="AN45">
            <v>144.14784276756447</v>
          </cell>
          <cell r="AO45">
            <v>108.11088207567333</v>
          </cell>
          <cell r="AP45">
            <v>72.073921383782235</v>
          </cell>
          <cell r="AQ45">
            <v>36.036960691891117</v>
          </cell>
          <cell r="AT45">
            <v>24.859410653458013</v>
          </cell>
          <cell r="AU45">
            <v>19.887528522766416</v>
          </cell>
          <cell r="AV45">
            <v>14.915646392074805</v>
          </cell>
          <cell r="AW45">
            <v>9.9437642613832082</v>
          </cell>
          <cell r="AX45">
            <v>4.9718821306916041</v>
          </cell>
          <cell r="BA45">
            <v>32.405012530176009</v>
          </cell>
          <cell r="BB45">
            <v>33.799338867675175</v>
          </cell>
          <cell r="BC45">
            <v>35.634340563113874</v>
          </cell>
          <cell r="BD45">
            <v>38.35066605767593</v>
          </cell>
          <cell r="BE45">
            <v>43.030177309109042</v>
          </cell>
        </row>
        <row r="46">
          <cell r="F46">
            <v>44</v>
          </cell>
          <cell r="G46">
            <v>20.112126572366307</v>
          </cell>
          <cell r="I46">
            <v>44</v>
          </cell>
          <cell r="J46">
            <v>242.37342918215046</v>
          </cell>
          <cell r="K46">
            <v>1.0900000000000001</v>
          </cell>
          <cell r="N46">
            <v>53</v>
          </cell>
          <cell r="P46">
            <v>18.698310613518661</v>
          </cell>
          <cell r="Q46">
            <v>16.338583814092605</v>
          </cell>
          <cell r="R46">
            <v>13.509529418267233</v>
          </cell>
          <cell r="S46">
            <v>10.020424657784652</v>
          </cell>
          <cell r="T46">
            <v>5.6394104810372276</v>
          </cell>
          <cell r="W46">
            <v>1.319136933566103</v>
          </cell>
          <cell r="X46">
            <v>1.1561376872860496</v>
          </cell>
          <cell r="Y46">
            <v>0.96176602134148581</v>
          </cell>
          <cell r="Z46">
            <v>0.6982358958580992</v>
          </cell>
          <cell r="AA46">
            <v>0.39090002969155524</v>
          </cell>
          <cell r="AD46">
            <v>54.585942742481357</v>
          </cell>
          <cell r="AE46">
            <v>56.568265567054013</v>
          </cell>
          <cell r="AF46">
            <v>59.425480572843689</v>
          </cell>
          <cell r="AG46">
            <v>63.763640149257171</v>
          </cell>
          <cell r="AH46">
            <v>72.370053318329937</v>
          </cell>
          <cell r="AM46">
            <v>208.99265815439742</v>
          </cell>
          <cell r="AN46">
            <v>167.19412652351795</v>
          </cell>
          <cell r="AO46">
            <v>125.39559489263844</v>
          </cell>
          <cell r="AP46">
            <v>83.597063261758976</v>
          </cell>
          <cell r="AQ46">
            <v>41.798531630879488</v>
          </cell>
          <cell r="AT46">
            <v>28.807854694941852</v>
          </cell>
          <cell r="AU46">
            <v>23.046283755953482</v>
          </cell>
          <cell r="AV46">
            <v>17.284712816965111</v>
          </cell>
          <cell r="AW46">
            <v>11.523141877976741</v>
          </cell>
          <cell r="AX46">
            <v>5.7615709389883705</v>
          </cell>
          <cell r="BA46">
            <v>32.550742320155642</v>
          </cell>
          <cell r="BB46">
            <v>33.955041603568006</v>
          </cell>
          <cell r="BC46">
            <v>35.796991989553327</v>
          </cell>
          <cell r="BD46">
            <v>38.507242373270728</v>
          </cell>
          <cell r="BE46">
            <v>43.179964142847631</v>
          </cell>
        </row>
        <row r="47">
          <cell r="F47">
            <v>45</v>
          </cell>
          <cell r="G47">
            <v>21.627416997969519</v>
          </cell>
          <cell r="I47">
            <v>45</v>
          </cell>
          <cell r="J47">
            <v>281.05</v>
          </cell>
          <cell r="K47">
            <v>1.1000000000000001</v>
          </cell>
          <cell r="N47">
            <v>54</v>
          </cell>
          <cell r="P47">
            <v>20.112126572366307</v>
          </cell>
          <cell r="Q47">
            <v>17.573976198933678</v>
          </cell>
          <cell r="R47">
            <v>14.520955385248474</v>
          </cell>
          <cell r="S47">
            <v>10.768032566844921</v>
          </cell>
          <cell r="T47">
            <v>6.0537500982822579</v>
          </cell>
          <cell r="W47">
            <v>1.4138159588476462</v>
          </cell>
          <cell r="X47">
            <v>1.2353923848410737</v>
          </cell>
          <cell r="Y47">
            <v>1.0114259669812409</v>
          </cell>
          <cell r="Z47">
            <v>0.74760790906026919</v>
          </cell>
          <cell r="AA47">
            <v>0.41433961724503021</v>
          </cell>
          <cell r="AD47">
            <v>54.915912490558505</v>
          </cell>
          <cell r="AE47">
            <v>56.897751416955018</v>
          </cell>
          <cell r="AF47">
            <v>59.760009178384806</v>
          </cell>
          <cell r="AG47">
            <v>64.08760696397195</v>
          </cell>
          <cell r="AH47">
            <v>72.705544177223089</v>
          </cell>
          <cell r="AM47">
            <v>242.37342918215046</v>
          </cell>
          <cell r="AN47">
            <v>193.89874334572039</v>
          </cell>
          <cell r="AO47">
            <v>145.42405750929026</v>
          </cell>
          <cell r="AP47">
            <v>96.949371672860195</v>
          </cell>
          <cell r="AQ47">
            <v>48.474685836430098</v>
          </cell>
          <cell r="AT47">
            <v>33.380771027753042</v>
          </cell>
          <cell r="AU47">
            <v>26.704616822202439</v>
          </cell>
          <cell r="AV47">
            <v>20.028462616651822</v>
          </cell>
          <cell r="AW47">
            <v>13.35230841110122</v>
          </cell>
          <cell r="AX47">
            <v>6.6761542055506098</v>
          </cell>
          <cell r="BA47">
            <v>32.696472110135275</v>
          </cell>
          <cell r="BB47">
            <v>34.09469189131628</v>
          </cell>
          <cell r="BC47">
            <v>35.95964341599278</v>
          </cell>
          <cell r="BD47">
            <v>38.663818688865533</v>
          </cell>
          <cell r="BE47">
            <v>43.329750976586219</v>
          </cell>
        </row>
        <row r="48">
          <cell r="F48">
            <v>46</v>
          </cell>
          <cell r="G48">
            <v>23.251465064166357</v>
          </cell>
          <cell r="I48">
            <v>46</v>
          </cell>
          <cell r="J48">
            <v>325.85912455595718</v>
          </cell>
          <cell r="K48">
            <v>1.1100000000000001</v>
          </cell>
          <cell r="N48">
            <v>55</v>
          </cell>
          <cell r="P48">
            <v>21.627416997969519</v>
          </cell>
          <cell r="Q48">
            <v>18.900199714525563</v>
          </cell>
          <cell r="R48">
            <v>15.604181364035009</v>
          </cell>
          <cell r="S48">
            <v>11.572830835613489</v>
          </cell>
          <cell r="T48">
            <v>6.49903880788984</v>
          </cell>
          <cell r="W48">
            <v>1.5152904256032116</v>
          </cell>
          <cell r="X48">
            <v>1.3262235155918844</v>
          </cell>
          <cell r="Y48">
            <v>1.083225978786535</v>
          </cell>
          <cell r="Z48">
            <v>0.80479826876856819</v>
          </cell>
          <cell r="AA48">
            <v>0.44528870960758216</v>
          </cell>
          <cell r="AD48">
            <v>55.229416240679981</v>
          </cell>
          <cell r="AE48">
            <v>57.218966664386244</v>
          </cell>
          <cell r="AF48">
            <v>60.086674688654931</v>
          </cell>
          <cell r="AG48">
            <v>64.399012521055653</v>
          </cell>
          <cell r="AH48">
            <v>73.037155126421851</v>
          </cell>
          <cell r="AM48">
            <v>281.05</v>
          </cell>
          <cell r="AN48">
            <v>224.84000000000003</v>
          </cell>
          <cell r="AO48">
            <v>168.63</v>
          </cell>
          <cell r="AP48">
            <v>112.42000000000002</v>
          </cell>
          <cell r="AQ48">
            <v>56.210000000000008</v>
          </cell>
          <cell r="AT48">
            <v>38.676570817849552</v>
          </cell>
          <cell r="AU48">
            <v>30.941256654279641</v>
          </cell>
          <cell r="AV48">
            <v>23.205942490709731</v>
          </cell>
          <cell r="AW48">
            <v>15.470628327139821</v>
          </cell>
          <cell r="AX48">
            <v>7.7353141635699103</v>
          </cell>
          <cell r="BA48">
            <v>32.842201900114915</v>
          </cell>
          <cell r="BB48">
            <v>34.227825436710944</v>
          </cell>
          <cell r="BC48">
            <v>36.105477566569242</v>
          </cell>
          <cell r="BD48">
            <v>38.82039500446033</v>
          </cell>
          <cell r="BE48">
            <v>43.479537810324807</v>
          </cell>
        </row>
        <row r="49">
          <cell r="F49">
            <v>47</v>
          </cell>
          <cell r="G49">
            <v>24.992076683399535</v>
          </cell>
          <cell r="I49">
            <v>47</v>
          </cell>
          <cell r="J49">
            <v>377.76930817680426</v>
          </cell>
          <cell r="K49">
            <v>1.1200000000000001</v>
          </cell>
          <cell r="N49">
            <v>56</v>
          </cell>
          <cell r="P49">
            <v>23.251465064166357</v>
          </cell>
          <cell r="Q49">
            <v>20.310154733549314</v>
          </cell>
          <cell r="R49">
            <v>16.757330871744692</v>
          </cell>
          <cell r="S49">
            <v>12.425582930290501</v>
          </cell>
          <cell r="T49">
            <v>6.9545132006921566</v>
          </cell>
          <cell r="W49">
            <v>1.6240480661968384</v>
          </cell>
          <cell r="X49">
            <v>1.4099550190237515</v>
          </cell>
          <cell r="Y49">
            <v>1.1531495077096832</v>
          </cell>
          <cell r="Z49">
            <v>0.85275209467701174</v>
          </cell>
          <cell r="AA49">
            <v>0.45547439280231661</v>
          </cell>
          <cell r="AD49">
            <v>55.537288901845052</v>
          </cell>
          <cell r="AE49">
            <v>57.53646043868428</v>
          </cell>
          <cell r="AF49">
            <v>60.393379177879737</v>
          </cell>
          <cell r="AG49">
            <v>64.710418078139355</v>
          </cell>
          <cell r="AH49">
            <v>73.340924940105893</v>
          </cell>
          <cell r="AM49">
            <v>325.85912455595718</v>
          </cell>
          <cell r="AN49">
            <v>260.68729964476574</v>
          </cell>
          <cell r="AO49">
            <v>195.51547473357431</v>
          </cell>
          <cell r="AP49">
            <v>130.34364982238287</v>
          </cell>
          <cell r="AQ49">
            <v>65.171824911191436</v>
          </cell>
          <cell r="AT49">
            <v>44.809124555957169</v>
          </cell>
          <cell r="AU49">
            <v>35.847299644765712</v>
          </cell>
          <cell r="AV49">
            <v>26.885474733574313</v>
          </cell>
          <cell r="AW49">
            <v>17.923649822382856</v>
          </cell>
          <cell r="AX49">
            <v>8.9618249111914281</v>
          </cell>
          <cell r="BA49">
            <v>32.987931690094548</v>
          </cell>
          <cell r="BB49">
            <v>34.360958982105608</v>
          </cell>
          <cell r="BC49">
            <v>36.245762114295424</v>
          </cell>
          <cell r="BD49">
            <v>38.976971320055128</v>
          </cell>
          <cell r="BE49">
            <v>43.629324644063402</v>
          </cell>
        </row>
        <row r="50">
          <cell r="F50">
            <v>48</v>
          </cell>
          <cell r="G50">
            <v>26.857618025475972</v>
          </cell>
          <cell r="I50">
            <v>48</v>
          </cell>
          <cell r="J50">
            <v>437.90148836012787</v>
          </cell>
          <cell r="K50">
            <v>1.1299999999999999</v>
          </cell>
          <cell r="N50">
            <v>57</v>
          </cell>
          <cell r="P50">
            <v>24.992076683399535</v>
          </cell>
          <cell r="Q50">
            <v>21.823081359944474</v>
          </cell>
          <cell r="R50">
            <v>17.996794419716004</v>
          </cell>
          <cell r="S50">
            <v>13.335772118261991</v>
          </cell>
          <cell r="T50">
            <v>7.4426404363163821</v>
          </cell>
          <cell r="W50">
            <v>1.740611619233178</v>
          </cell>
          <cell r="X50">
            <v>1.51292662639516</v>
          </cell>
          <cell r="Y50">
            <v>1.2394635479713116</v>
          </cell>
          <cell r="Z50">
            <v>0.91018918797148984</v>
          </cell>
          <cell r="AA50">
            <v>0.48812723562422544</v>
          </cell>
          <cell r="AD50">
            <v>55.845161563010116</v>
          </cell>
          <cell r="AE50">
            <v>57.853954212982316</v>
          </cell>
          <cell r="AF50">
            <v>60.700083667104536</v>
          </cell>
          <cell r="AG50">
            <v>65.021675833900701</v>
          </cell>
          <cell r="AH50">
            <v>73.644694753789935</v>
          </cell>
          <cell r="AM50">
            <v>377.76930817680426</v>
          </cell>
          <cell r="AN50">
            <v>302.21544654144344</v>
          </cell>
          <cell r="AO50">
            <v>226.66158490608254</v>
          </cell>
          <cell r="AP50">
            <v>151.10772327072172</v>
          </cell>
          <cell r="AQ50">
            <v>75.55386163536086</v>
          </cell>
          <cell r="AT50">
            <v>51.910183620847079</v>
          </cell>
          <cell r="AU50">
            <v>41.528146896677697</v>
          </cell>
          <cell r="AV50">
            <v>31.14611017250823</v>
          </cell>
          <cell r="AW50">
            <v>20.764073448338848</v>
          </cell>
          <cell r="AX50">
            <v>10.382036724169424</v>
          </cell>
          <cell r="BA50">
            <v>33.114246829746719</v>
          </cell>
          <cell r="BB50">
            <v>34.494092527500278</v>
          </cell>
          <cell r="BC50">
            <v>36.386046662021599</v>
          </cell>
          <cell r="BD50">
            <v>39.115214427575864</v>
          </cell>
          <cell r="BE50">
            <v>43.77911147780199</v>
          </cell>
        </row>
        <row r="51">
          <cell r="F51">
            <v>49</v>
          </cell>
          <cell r="G51">
            <v>28.857055729177837</v>
          </cell>
          <cell r="I51">
            <v>49</v>
          </cell>
          <cell r="J51">
            <v>507.55295278468168</v>
          </cell>
          <cell r="K51">
            <v>1.1399999999999999</v>
          </cell>
          <cell r="N51">
            <v>58</v>
          </cell>
          <cell r="P51">
            <v>26.857618025475972</v>
          </cell>
          <cell r="Q51">
            <v>23.425214441820142</v>
          </cell>
          <cell r="R51">
            <v>19.329427692935056</v>
          </cell>
          <cell r="S51">
            <v>14.269452456935383</v>
          </cell>
          <cell r="T51">
            <v>7.9605979827510778</v>
          </cell>
          <cell r="W51">
            <v>1.8655413420764368</v>
          </cell>
          <cell r="X51">
            <v>1.6021330818756674</v>
          </cell>
          <cell r="Y51">
            <v>1.3326332732190522</v>
          </cell>
          <cell r="Z51">
            <v>0.93368033867339228</v>
          </cell>
          <cell r="AA51">
            <v>0.51795754643469571</v>
          </cell>
          <cell r="AD51">
            <v>56.142785979989682</v>
          </cell>
          <cell r="AE51">
            <v>58.155157256402767</v>
          </cell>
          <cell r="AF51">
            <v>61.006268532239034</v>
          </cell>
          <cell r="AG51">
            <v>65.330972386106993</v>
          </cell>
          <cell r="AH51">
            <v>73.948464567473962</v>
          </cell>
          <cell r="AM51">
            <v>437.90148836012787</v>
          </cell>
          <cell r="AN51">
            <v>350.32119068810232</v>
          </cell>
          <cell r="AO51">
            <v>262.74089301607671</v>
          </cell>
          <cell r="AP51">
            <v>175.16059534405116</v>
          </cell>
          <cell r="AQ51">
            <v>87.58029767202558</v>
          </cell>
          <cell r="AT51">
            <v>60.132180183323612</v>
          </cell>
          <cell r="AU51">
            <v>48.105744146658878</v>
          </cell>
          <cell r="AV51">
            <v>36.079308109994173</v>
          </cell>
          <cell r="AW51">
            <v>24.052872073329439</v>
          </cell>
          <cell r="AX51">
            <v>12.02643603666472</v>
          </cell>
          <cell r="BA51">
            <v>33.238809018460984</v>
          </cell>
          <cell r="BB51">
            <v>34.627226072894942</v>
          </cell>
          <cell r="BC51">
            <v>36.526331209747774</v>
          </cell>
          <cell r="BD51">
            <v>39.250296194358178</v>
          </cell>
          <cell r="BE51">
            <v>43.928898311540578</v>
          </cell>
        </row>
        <row r="52">
          <cell r="F52">
            <v>50</v>
          </cell>
          <cell r="G52">
            <v>31</v>
          </cell>
          <cell r="I52">
            <v>50</v>
          </cell>
          <cell r="J52">
            <v>588.22499999999991</v>
          </cell>
          <cell r="K52">
            <v>1.1499999999999999</v>
          </cell>
          <cell r="N52">
            <v>59</v>
          </cell>
          <cell r="P52">
            <v>28.857055729177837</v>
          </cell>
          <cell r="Q52">
            <v>25.166238301415991</v>
          </cell>
          <cell r="R52">
            <v>20.719366013549685</v>
          </cell>
          <cell r="S52">
            <v>15.268268186307994</v>
          </cell>
          <cell r="T52">
            <v>8.5474599069824766</v>
          </cell>
          <cell r="W52">
            <v>1.9994377037018651</v>
          </cell>
          <cell r="X52">
            <v>1.7410238595958489</v>
          </cell>
          <cell r="Y52">
            <v>1.389938320614629</v>
          </cell>
          <cell r="Z52">
            <v>0.99881572937261076</v>
          </cell>
          <cell r="AA52">
            <v>0.58686192423139882</v>
          </cell>
          <cell r="AD52">
            <v>56.430041330048923</v>
          </cell>
          <cell r="AE52">
            <v>58.442483247955479</v>
          </cell>
          <cell r="AF52">
            <v>61.289495211956165</v>
          </cell>
          <cell r="AG52">
            <v>65.640268938313284</v>
          </cell>
          <cell r="AH52">
            <v>74.231558509323534</v>
          </cell>
          <cell r="AM52">
            <v>507.55295278468168</v>
          </cell>
          <cell r="AN52">
            <v>406.04236222774534</v>
          </cell>
          <cell r="AO52">
            <v>304.53177167080901</v>
          </cell>
          <cell r="AP52">
            <v>203.02118111387267</v>
          </cell>
          <cell r="AQ52">
            <v>101.51059055693634</v>
          </cell>
          <cell r="AT52">
            <v>69.651464424553808</v>
          </cell>
          <cell r="AU52">
            <v>55.721171539643024</v>
          </cell>
          <cell r="AV52">
            <v>41.790878654732296</v>
          </cell>
          <cell r="AW52">
            <v>27.860585769821512</v>
          </cell>
          <cell r="AX52">
            <v>13.930292884910756</v>
          </cell>
          <cell r="BA52">
            <v>33.363371207175248</v>
          </cell>
          <cell r="BB52">
            <v>34.760359618289606</v>
          </cell>
          <cell r="BC52">
            <v>36.666615757473956</v>
          </cell>
          <cell r="BD52">
            <v>39.385377961140485</v>
          </cell>
          <cell r="BE52">
            <v>44.067911160744309</v>
          </cell>
        </row>
        <row r="53">
          <cell r="F53">
            <v>51</v>
          </cell>
          <cell r="G53">
            <v>33.296750801161366</v>
          </cell>
          <cell r="I53">
            <v>51</v>
          </cell>
          <cell r="J53">
            <v>681.65492699983838</v>
          </cell>
          <cell r="K53">
            <v>1.1599999999999999</v>
          </cell>
          <cell r="N53">
            <v>60</v>
          </cell>
          <cell r="P53">
            <v>31</v>
          </cell>
          <cell r="Q53">
            <v>27.0351</v>
          </cell>
          <cell r="R53">
            <v>22.205300000000001</v>
          </cell>
          <cell r="S53">
            <v>16.386599999999998</v>
          </cell>
          <cell r="T53">
            <v>9.1883999999999997</v>
          </cell>
          <cell r="W53">
            <v>2.1429442708221629</v>
          </cell>
          <cell r="X53">
            <v>1.8688616985840092</v>
          </cell>
          <cell r="Y53">
            <v>1.4859339864503163</v>
          </cell>
          <cell r="Z53">
            <v>1.118331813692004</v>
          </cell>
          <cell r="AA53">
            <v>0.64094009301752308</v>
          </cell>
          <cell r="AD53">
            <v>56.717296680108156</v>
          </cell>
          <cell r="AE53">
            <v>58.729809239508185</v>
          </cell>
          <cell r="AF53">
            <v>61.572721891673297</v>
          </cell>
          <cell r="AG53">
            <v>65.949565490519575</v>
          </cell>
          <cell r="AH53">
            <v>74.51042804689898</v>
          </cell>
          <cell r="AM53">
            <v>588.22499999999991</v>
          </cell>
          <cell r="AN53">
            <v>470.57999999999993</v>
          </cell>
          <cell r="AO53">
            <v>352.93499999999995</v>
          </cell>
          <cell r="AP53">
            <v>235.28999999999996</v>
          </cell>
          <cell r="AQ53">
            <v>117.64499999999998</v>
          </cell>
          <cell r="AT53">
            <v>80.67204721531823</v>
          </cell>
          <cell r="AU53">
            <v>64.537637772254584</v>
          </cell>
          <cell r="AV53">
            <v>48.403228329190938</v>
          </cell>
          <cell r="AW53">
            <v>32.268818886127292</v>
          </cell>
          <cell r="AX53">
            <v>16.134409443063646</v>
          </cell>
          <cell r="BA53">
            <v>33.487933395889513</v>
          </cell>
          <cell r="BB53">
            <v>34.893493163684269</v>
          </cell>
          <cell r="BC53">
            <v>36.806900305200131</v>
          </cell>
          <cell r="BD53">
            <v>39.520459727922798</v>
          </cell>
          <cell r="BE53">
            <v>44.197188392263818</v>
          </cell>
        </row>
        <row r="54">
          <cell r="F54">
            <v>52</v>
          </cell>
          <cell r="G54">
            <v>35.758347359905123</v>
          </cell>
          <cell r="I54">
            <v>52</v>
          </cell>
          <cell r="J54">
            <v>789.85301886939453</v>
          </cell>
          <cell r="K54">
            <v>1.17</v>
          </cell>
          <cell r="N54">
            <v>61</v>
          </cell>
          <cell r="P54">
            <v>33.296750801161366</v>
          </cell>
          <cell r="Q54">
            <v>28.928217096048996</v>
          </cell>
          <cell r="R54">
            <v>23.783869097269566</v>
          </cell>
          <cell r="S54">
            <v>17.587343773173433</v>
          </cell>
          <cell r="T54">
            <v>9.8458492119034169</v>
          </cell>
          <cell r="W54">
            <v>2.296750801161366</v>
          </cell>
          <cell r="X54">
            <v>1.8931170960489965</v>
          </cell>
          <cell r="Y54">
            <v>1.5785690972695647</v>
          </cell>
          <cell r="Z54">
            <v>1.2007437731734356</v>
          </cell>
          <cell r="AA54">
            <v>0.65744921190341721</v>
          </cell>
          <cell r="AD54">
            <v>57.004247194324648</v>
          </cell>
          <cell r="AE54">
            <v>59.016342740868758</v>
          </cell>
          <cell r="AF54">
            <v>61.855948571390428</v>
          </cell>
          <cell r="AG54">
            <v>66.241691764589476</v>
          </cell>
          <cell r="AH54">
            <v>74.789297584474426</v>
          </cell>
          <cell r="AM54">
            <v>681.65492699983838</v>
          </cell>
          <cell r="AN54">
            <v>545.32394159987075</v>
          </cell>
          <cell r="AO54">
            <v>408.99295619990301</v>
          </cell>
          <cell r="AP54">
            <v>272.66197079993537</v>
          </cell>
          <cell r="AQ54">
            <v>136.33098539996769</v>
          </cell>
          <cell r="AT54">
            <v>93.429926999838472</v>
          </cell>
          <cell r="AU54">
            <v>74.743941599870823</v>
          </cell>
          <cell r="AV54">
            <v>56.05795619990306</v>
          </cell>
          <cell r="AW54">
            <v>37.371970799935411</v>
          </cell>
          <cell r="AX54">
            <v>18.685985399967706</v>
          </cell>
        </row>
        <row r="55">
          <cell r="F55">
            <v>53</v>
          </cell>
          <cell r="G55">
            <v>38.396621227037308</v>
          </cell>
          <cell r="I55">
            <v>53</v>
          </cell>
          <cell r="J55">
            <v>915.14532082292135</v>
          </cell>
          <cell r="K55">
            <v>1.18</v>
          </cell>
          <cell r="N55">
            <v>62</v>
          </cell>
          <cell r="P55">
            <v>35.758347359905123</v>
          </cell>
          <cell r="Q55">
            <v>31.081155525229534</v>
          </cell>
          <cell r="R55">
            <v>25.606552544428059</v>
          </cell>
          <cell r="S55">
            <v>18.930469092333773</v>
          </cell>
          <cell r="T55">
            <v>10.570167479587953</v>
          </cell>
          <cell r="W55">
            <v>2.4615965587437572</v>
          </cell>
          <cell r="X55">
            <v>2.1529384291805371</v>
          </cell>
          <cell r="Y55">
            <v>1.822683447158493</v>
          </cell>
          <cell r="Z55">
            <v>1.3431253191603396</v>
          </cell>
          <cell r="AA55">
            <v>0.72431826768453611</v>
          </cell>
          <cell r="AD55">
            <v>57.27226591292537</v>
          </cell>
          <cell r="AE55">
            <v>59.290380144164828</v>
          </cell>
          <cell r="AF55">
            <v>62.130298748930763</v>
          </cell>
          <cell r="AG55">
            <v>66.530472725664353</v>
          </cell>
          <cell r="AH55">
            <v>75.062532510920803</v>
          </cell>
          <cell r="AM55">
            <v>789.85301886939453</v>
          </cell>
          <cell r="AN55">
            <v>631.88241509551563</v>
          </cell>
          <cell r="AO55">
            <v>473.91181132163672</v>
          </cell>
          <cell r="AP55">
            <v>315.94120754775781</v>
          </cell>
          <cell r="AQ55">
            <v>157.97060377387891</v>
          </cell>
          <cell r="AT55">
            <v>108.19809186955615</v>
          </cell>
          <cell r="AU55">
            <v>86.558473495644876</v>
          </cell>
          <cell r="AV55">
            <v>64.918855121733714</v>
          </cell>
          <cell r="AW55">
            <v>43.279236747822438</v>
          </cell>
          <cell r="AX55">
            <v>21.639618373911219</v>
          </cell>
        </row>
        <row r="56">
          <cell r="F56">
            <v>54</v>
          </cell>
          <cell r="G56">
            <v>41.224253144732614</v>
          </cell>
          <cell r="I56">
            <v>54</v>
          </cell>
          <cell r="J56">
            <v>1060.2230944101252</v>
          </cell>
          <cell r="K56">
            <v>1.19</v>
          </cell>
          <cell r="N56">
            <v>63</v>
          </cell>
          <cell r="P56">
            <v>38.396621227037308</v>
          </cell>
          <cell r="Q56">
            <v>33.42809844025868</v>
          </cell>
          <cell r="R56">
            <v>27.5802930273809</v>
          </cell>
          <cell r="S56">
            <v>20.319491953348145</v>
          </cell>
          <cell r="T56">
            <v>11.338522248344118</v>
          </cell>
          <cell r="W56">
            <v>2.6382738671321846</v>
          </cell>
          <cell r="X56">
            <v>2.3469429150291461</v>
          </cell>
          <cell r="Y56">
            <v>1.9737404829528415</v>
          </cell>
          <cell r="Z56">
            <v>1.3890228610143716</v>
          </cell>
          <cell r="AA56">
            <v>0.76835476875616493</v>
          </cell>
          <cell r="AD56">
            <v>57.540284631526099</v>
          </cell>
          <cell r="AE56">
            <v>59.564417547460899</v>
          </cell>
          <cell r="AF56">
            <v>62.395461425033538</v>
          </cell>
          <cell r="AG56">
            <v>66.819253686739231</v>
          </cell>
          <cell r="AH56">
            <v>75.318351032805268</v>
          </cell>
          <cell r="AM56">
            <v>915.14532082292135</v>
          </cell>
          <cell r="AN56">
            <v>732.11625665833708</v>
          </cell>
          <cell r="AO56">
            <v>549.08719249375281</v>
          </cell>
          <cell r="AP56">
            <v>366.05812832916854</v>
          </cell>
          <cell r="AQ56">
            <v>183.02906416458427</v>
          </cell>
          <cell r="AT56">
            <v>125.29230195352682</v>
          </cell>
          <cell r="AU56">
            <v>100.23384156282145</v>
          </cell>
          <cell r="AV56">
            <v>75.17538117211609</v>
          </cell>
          <cell r="AW56">
            <v>50.116920781410727</v>
          </cell>
          <cell r="AX56">
            <v>25.058460390705363</v>
          </cell>
        </row>
        <row r="57">
          <cell r="F57">
            <v>55</v>
          </cell>
          <cell r="G57">
            <v>44.254833995939045</v>
          </cell>
          <cell r="I57">
            <v>55</v>
          </cell>
          <cell r="J57">
            <v>1228.2</v>
          </cell>
          <cell r="K57">
            <v>1.2</v>
          </cell>
          <cell r="N57">
            <v>64</v>
          </cell>
          <cell r="P57">
            <v>41.224253144732614</v>
          </cell>
          <cell r="Q57">
            <v>35.947548742206841</v>
          </cell>
          <cell r="R57">
            <v>29.553667079458812</v>
          </cell>
          <cell r="S57">
            <v>21.762283235104348</v>
          </cell>
          <cell r="T57">
            <v>12.111685573922442</v>
          </cell>
          <cell r="W57">
            <v>2.8276319176953066</v>
          </cell>
          <cell r="X57">
            <v>2.5194503019481616</v>
          </cell>
          <cell r="Y57">
            <v>1.9733740520779115</v>
          </cell>
          <cell r="Z57">
            <v>1.4427912817562039</v>
          </cell>
          <cell r="AA57">
            <v>0.77316332557832368</v>
          </cell>
          <cell r="AD57">
            <v>57.80830335012682</v>
          </cell>
          <cell r="AE57">
            <v>59.838454950756969</v>
          </cell>
          <cell r="AF57">
            <v>62.660624101136307</v>
          </cell>
          <cell r="AG57">
            <v>67.098789255934349</v>
          </cell>
          <cell r="AH57">
            <v>75.574169554689718</v>
          </cell>
          <cell r="AM57">
            <v>1060.2230944101252</v>
          </cell>
          <cell r="AN57">
            <v>848.17847552810019</v>
          </cell>
          <cell r="AO57">
            <v>636.13385664607506</v>
          </cell>
          <cell r="AP57">
            <v>424.0892377640501</v>
          </cell>
          <cell r="AQ57">
            <v>212.04461888202505</v>
          </cell>
          <cell r="AT57">
            <v>145.07777358720386</v>
          </cell>
          <cell r="AU57">
            <v>116.06221886976311</v>
          </cell>
          <cell r="AV57">
            <v>87.046664152322251</v>
          </cell>
          <cell r="AW57">
            <v>58.031109434881557</v>
          </cell>
          <cell r="AX57">
            <v>29.015554717440779</v>
          </cell>
        </row>
        <row r="58">
          <cell r="F58">
            <v>56</v>
          </cell>
          <cell r="G58">
            <v>47.502930128332721</v>
          </cell>
          <cell r="I58">
            <v>56</v>
          </cell>
          <cell r="J58">
            <v>1422.6782097755249</v>
          </cell>
          <cell r="K58">
            <v>1.21</v>
          </cell>
          <cell r="N58">
            <v>65</v>
          </cell>
          <cell r="P58">
            <v>44.254833995939045</v>
          </cell>
          <cell r="Q58">
            <v>38.53268396026413</v>
          </cell>
          <cell r="R58">
            <v>31.642206307096416</v>
          </cell>
          <cell r="S58">
            <v>23.282468165263531</v>
          </cell>
          <cell r="T58">
            <v>12.944538943812169</v>
          </cell>
          <cell r="W58">
            <v>3.0305808512064303</v>
          </cell>
          <cell r="X58">
            <v>2.5851352180572889</v>
          </cell>
          <cell r="Y58">
            <v>2.0885392276376038</v>
          </cell>
          <cell r="Z58">
            <v>1.5201849301591821</v>
          </cell>
          <cell r="AA58">
            <v>0.8328533698897278</v>
          </cell>
          <cell r="AD58">
            <v>58.071211008105138</v>
          </cell>
          <cell r="AE58">
            <v>60.102437883401088</v>
          </cell>
          <cell r="AF58">
            <v>62.925786777239075</v>
          </cell>
          <cell r="AG58">
            <v>67.36285691246691</v>
          </cell>
          <cell r="AH58">
            <v>75.829988076574182</v>
          </cell>
          <cell r="AM58">
            <v>1228.2</v>
          </cell>
          <cell r="AN58">
            <v>982.56000000000006</v>
          </cell>
          <cell r="AO58">
            <v>736.92</v>
          </cell>
          <cell r="AP58">
            <v>491.28000000000003</v>
          </cell>
          <cell r="AQ58">
            <v>245.64000000000001</v>
          </cell>
          <cell r="AT58">
            <v>167.97690558987483</v>
          </cell>
          <cell r="AU58">
            <v>134.38152447189987</v>
          </cell>
          <cell r="AV58">
            <v>100.7861433539249</v>
          </cell>
          <cell r="AW58">
            <v>67.190762235949933</v>
          </cell>
          <cell r="AX58">
            <v>33.595381117974966</v>
          </cell>
        </row>
        <row r="59">
          <cell r="F59">
            <v>57</v>
          </cell>
          <cell r="G59">
            <v>50.984153366799077</v>
          </cell>
          <cell r="I59">
            <v>57</v>
          </cell>
          <cell r="J59">
            <v>1647.8248427703616</v>
          </cell>
          <cell r="K59">
            <v>1.22</v>
          </cell>
          <cell r="N59">
            <v>66</v>
          </cell>
          <cell r="P59">
            <v>47.502930128332721</v>
          </cell>
          <cell r="Q59">
            <v>41.275295988508304</v>
          </cell>
          <cell r="R59">
            <v>33.888590353552566</v>
          </cell>
          <cell r="S59">
            <v>24.910536559297679</v>
          </cell>
          <cell r="T59">
            <v>13.837603546383322</v>
          </cell>
          <cell r="W59">
            <v>3.2480961323936768</v>
          </cell>
          <cell r="X59">
            <v>2.7426120282441744</v>
          </cell>
          <cell r="Y59">
            <v>2.24638404645615</v>
          </cell>
          <cell r="Z59">
            <v>1.6280683940341483</v>
          </cell>
          <cell r="AA59">
            <v>0.89306460257115283</v>
          </cell>
          <cell r="AD59">
            <v>58.321281314909029</v>
          </cell>
          <cell r="AE59">
            <v>60.351982057337977</v>
          </cell>
          <cell r="AF59">
            <v>63.17626763611517</v>
          </cell>
          <cell r="AG59">
            <v>67.626924568999456</v>
          </cell>
          <cell r="AH59">
            <v>76.086647524934079</v>
          </cell>
          <cell r="AM59">
            <v>1422.6782097755249</v>
          </cell>
          <cell r="AN59">
            <v>1138.14256782042</v>
          </cell>
          <cell r="AO59">
            <v>853.60692586531491</v>
          </cell>
          <cell r="AP59">
            <v>569.07128391021001</v>
          </cell>
          <cell r="AQ59">
            <v>284.53564195510501</v>
          </cell>
          <cell r="AT59">
            <v>194.47820977552487</v>
          </cell>
          <cell r="AU59">
            <v>155.58256782041997</v>
          </cell>
          <cell r="AV59">
            <v>116.68692586531495</v>
          </cell>
          <cell r="AW59">
            <v>77.791283910209984</v>
          </cell>
          <cell r="AX59">
            <v>38.895641955104992</v>
          </cell>
        </row>
        <row r="60">
          <cell r="F60">
            <v>58</v>
          </cell>
          <cell r="G60">
            <v>54.715236050951923</v>
          </cell>
          <cell r="I60">
            <v>58</v>
          </cell>
          <cell r="J60">
            <v>1908.4603298511749</v>
          </cell>
          <cell r="K60">
            <v>1.23</v>
          </cell>
          <cell r="N60">
            <v>67</v>
          </cell>
          <cell r="P60">
            <v>50.984153366799077</v>
          </cell>
          <cell r="Q60">
            <v>44.310327691085078</v>
          </cell>
          <cell r="R60">
            <v>36.316012443170983</v>
          </cell>
          <cell r="S60">
            <v>26.664712210835919</v>
          </cell>
          <cell r="T60">
            <v>14.815994968391813</v>
          </cell>
          <cell r="W60">
            <v>3.481223238466356</v>
          </cell>
          <cell r="X60">
            <v>3.0350317025767737</v>
          </cell>
          <cell r="Y60">
            <v>2.4274220896184175</v>
          </cell>
          <cell r="Z60">
            <v>1.7541756515382403</v>
          </cell>
          <cell r="AA60">
            <v>0.97839142200849061</v>
          </cell>
          <cell r="AD60">
            <v>58.571351621712921</v>
          </cell>
          <cell r="AE60">
            <v>60.60152623127486</v>
          </cell>
          <cell r="AF60">
            <v>63.421042351541736</v>
          </cell>
          <cell r="AG60">
            <v>67.890992225532017</v>
          </cell>
          <cell r="AH60">
            <v>76.344973133357612</v>
          </cell>
          <cell r="AM60">
            <v>1647.8248427703616</v>
          </cell>
          <cell r="AN60">
            <v>1318.2598742162893</v>
          </cell>
          <cell r="AO60">
            <v>988.69490566221691</v>
          </cell>
          <cell r="AP60">
            <v>659.12993710814465</v>
          </cell>
          <cell r="AQ60">
            <v>329.56496855407232</v>
          </cell>
          <cell r="AT60">
            <v>225.14663299483664</v>
          </cell>
          <cell r="AU60">
            <v>180.11730639586926</v>
          </cell>
          <cell r="AV60">
            <v>135.087979796902</v>
          </cell>
          <cell r="AW60">
            <v>90.058653197934632</v>
          </cell>
          <cell r="AX60">
            <v>45.029326598967316</v>
          </cell>
        </row>
        <row r="61">
          <cell r="F61">
            <v>59</v>
          </cell>
          <cell r="G61">
            <v>58.714111458355703</v>
          </cell>
          <cell r="I61">
            <v>59</v>
          </cell>
          <cell r="J61">
            <v>2210.1605665017755</v>
          </cell>
          <cell r="K61">
            <v>1.24</v>
          </cell>
          <cell r="N61">
            <v>68</v>
          </cell>
          <cell r="P61">
            <v>54.715236050951923</v>
          </cell>
          <cell r="Q61">
            <v>47.459995750595695</v>
          </cell>
          <cell r="R61">
            <v>38.913475879437009</v>
          </cell>
          <cell r="S61">
            <v>28.572296265807093</v>
          </cell>
          <cell r="T61">
            <v>15.856475407565867</v>
          </cell>
          <cell r="W61">
            <v>3.7310826841528453</v>
          </cell>
          <cell r="X61">
            <v>3.149668059510617</v>
          </cell>
          <cell r="Y61">
            <v>2.5974634362660254</v>
          </cell>
          <cell r="Z61">
            <v>1.9075840549711742</v>
          </cell>
          <cell r="AA61">
            <v>1.0404804391740541</v>
          </cell>
          <cell r="AD61">
            <v>58.821421928516813</v>
          </cell>
          <cell r="AE61">
            <v>60.851070405211743</v>
          </cell>
          <cell r="AF61">
            <v>63.665817066968295</v>
          </cell>
          <cell r="AG61">
            <v>68.142437172458173</v>
          </cell>
          <cell r="AH61">
            <v>76.60329874178116</v>
          </cell>
          <cell r="AM61">
            <v>1908.4603298511749</v>
          </cell>
          <cell r="AN61">
            <v>1526.7682638809401</v>
          </cell>
          <cell r="AO61">
            <v>1145.0761979107049</v>
          </cell>
          <cell r="AP61">
            <v>763.38413194047007</v>
          </cell>
          <cell r="AQ61">
            <v>381.69206597023503</v>
          </cell>
          <cell r="AT61">
            <v>260.63548708081339</v>
          </cell>
          <cell r="AU61">
            <v>208.50838966465085</v>
          </cell>
          <cell r="AV61">
            <v>156.38129224848797</v>
          </cell>
          <cell r="AW61">
            <v>104.25419483232542</v>
          </cell>
          <cell r="AX61">
            <v>52.127097416162712</v>
          </cell>
        </row>
        <row r="62">
          <cell r="F62">
            <v>60</v>
          </cell>
          <cell r="G62">
            <v>63</v>
          </cell>
          <cell r="I62">
            <v>60</v>
          </cell>
          <cell r="J62">
            <v>2559.375</v>
          </cell>
          <cell r="K62">
            <v>1.25</v>
          </cell>
          <cell r="N62">
            <v>69</v>
          </cell>
          <cell r="P62">
            <v>58.714111458355703</v>
          </cell>
          <cell r="Q62">
            <v>50.940363101269412</v>
          </cell>
          <cell r="R62">
            <v>41.728119013453394</v>
          </cell>
          <cell r="S62">
            <v>30.607666303240826</v>
          </cell>
          <cell r="T62">
            <v>17.003606678339814</v>
          </cell>
          <cell r="W62">
            <v>3.99887540740378</v>
          </cell>
          <cell r="X62">
            <v>3.4803673506737169</v>
          </cell>
          <cell r="Y62">
            <v>2.8146431340163858</v>
          </cell>
          <cell r="Z62">
            <v>2.0353700374337329</v>
          </cell>
          <cell r="AA62">
            <v>1.1471312707739472</v>
          </cell>
          <cell r="AD62">
            <v>59.066704614192936</v>
          </cell>
          <cell r="AE62">
            <v>61.094954819415335</v>
          </cell>
          <cell r="AF62">
            <v>63.91059178239486</v>
          </cell>
          <cell r="AG62">
            <v>68.385008299388929</v>
          </cell>
          <cell r="AH62">
            <v>76.861624350204693</v>
          </cell>
          <cell r="AM62">
            <v>2210.1605665017755</v>
          </cell>
          <cell r="AN62">
            <v>1768.1284532014206</v>
          </cell>
          <cell r="AO62">
            <v>1326.0963399010652</v>
          </cell>
          <cell r="AP62">
            <v>884.0642266007103</v>
          </cell>
          <cell r="AQ62">
            <v>442.03211330035515</v>
          </cell>
          <cell r="AT62">
            <v>301.70023665060057</v>
          </cell>
          <cell r="AU62">
            <v>241.36018932048046</v>
          </cell>
          <cell r="AV62">
            <v>181.02014199036034</v>
          </cell>
          <cell r="AW62">
            <v>120.68009466024023</v>
          </cell>
          <cell r="AX62">
            <v>60.340047330120115</v>
          </cell>
        </row>
        <row r="63">
          <cell r="F63">
            <v>61</v>
          </cell>
          <cell r="G63">
            <v>67.593501602322732</v>
          </cell>
          <cell r="I63">
            <v>61</v>
          </cell>
          <cell r="J63">
            <v>2963.5631311027469</v>
          </cell>
          <cell r="K63">
            <v>1.26</v>
          </cell>
          <cell r="N63">
            <v>70</v>
          </cell>
          <cell r="P63">
            <v>63</v>
          </cell>
          <cell r="Q63">
            <v>54.589500000000001</v>
          </cell>
          <cell r="R63">
            <v>44.717399999999998</v>
          </cell>
          <cell r="S63">
            <v>32.810400000000001</v>
          </cell>
          <cell r="T63">
            <v>18.276300000000003</v>
          </cell>
          <cell r="W63">
            <v>4.2858885416442973</v>
          </cell>
          <cell r="X63">
            <v>3.649136898730589</v>
          </cell>
          <cell r="Y63">
            <v>2.9892809865466035</v>
          </cell>
          <cell r="Z63">
            <v>2.2027336967591751</v>
          </cell>
          <cell r="AA63">
            <v>1.2726933216601886</v>
          </cell>
          <cell r="AD63">
            <v>59.300028460644697</v>
          </cell>
          <cell r="AE63">
            <v>61.330461663183208</v>
          </cell>
          <cell r="AF63">
            <v>64.14304723627319</v>
          </cell>
          <cell r="AG63">
            <v>68.627579426319684</v>
          </cell>
          <cell r="AH63">
            <v>77.112805903056142</v>
          </cell>
          <cell r="AM63">
            <v>2559.375</v>
          </cell>
          <cell r="AN63">
            <v>2047.5</v>
          </cell>
          <cell r="AO63">
            <v>1535.625</v>
          </cell>
          <cell r="AP63">
            <v>1023.75</v>
          </cell>
          <cell r="AQ63">
            <v>511.875</v>
          </cell>
          <cell r="AT63">
            <v>349.21443349822448</v>
          </cell>
          <cell r="AU63">
            <v>279.3715467985794</v>
          </cell>
          <cell r="AV63">
            <v>209.52866009893478</v>
          </cell>
          <cell r="AW63">
            <v>139.6857733992897</v>
          </cell>
          <cell r="AX63">
            <v>69.842886699644851</v>
          </cell>
        </row>
        <row r="64">
          <cell r="F64">
            <v>62</v>
          </cell>
          <cell r="G64">
            <v>72.516694719810218</v>
          </cell>
          <cell r="I64">
            <v>62</v>
          </cell>
          <cell r="J64">
            <v>3431.3522956038646</v>
          </cell>
          <cell r="K64">
            <v>1.27</v>
          </cell>
          <cell r="N64">
            <v>71</v>
          </cell>
          <cell r="P64">
            <v>67.593501602322732</v>
          </cell>
          <cell r="Q64">
            <v>58.596806539053574</v>
          </cell>
          <cell r="R64">
            <v>47.977867437328676</v>
          </cell>
          <cell r="S64">
            <v>35.229733035130607</v>
          </cell>
          <cell r="T64">
            <v>19.602115464673592</v>
          </cell>
          <cell r="W64">
            <v>4.593501602322732</v>
          </cell>
          <cell r="X64">
            <v>4.0073065390535731</v>
          </cell>
          <cell r="Y64">
            <v>3.2604674373286784</v>
          </cell>
          <cell r="Z64">
            <v>2.4193330351306059</v>
          </cell>
          <cell r="AA64">
            <v>1.3258154646735889</v>
          </cell>
          <cell r="AD64">
            <v>59.533352307096465</v>
          </cell>
          <cell r="AE64">
            <v>61.56596850695108</v>
          </cell>
          <cell r="AF64">
            <v>64.368413367596901</v>
          </cell>
          <cell r="AG64">
            <v>68.870150553250454</v>
          </cell>
          <cell r="AH64">
            <v>77.355745991356301</v>
          </cell>
          <cell r="AM64">
            <v>2963.5631311027469</v>
          </cell>
          <cell r="AN64">
            <v>2370.8505048821976</v>
          </cell>
          <cell r="AO64">
            <v>1778.1378786616481</v>
          </cell>
          <cell r="AP64">
            <v>1185.4252524410988</v>
          </cell>
          <cell r="AQ64">
            <v>592.7126262205494</v>
          </cell>
          <cell r="AT64">
            <v>404.18813110274687</v>
          </cell>
          <cell r="AU64">
            <v>323.35050488219758</v>
          </cell>
          <cell r="AV64">
            <v>242.51287866164807</v>
          </cell>
          <cell r="AW64">
            <v>161.67525244109879</v>
          </cell>
          <cell r="AX64">
            <v>80.837626220549396</v>
          </cell>
        </row>
        <row r="65">
          <cell r="F65">
            <v>63</v>
          </cell>
          <cell r="G65">
            <v>77.793242454074615</v>
          </cell>
          <cell r="I65">
            <v>63</v>
          </cell>
          <cell r="J65">
            <v>3972.7200361130153</v>
          </cell>
          <cell r="K65">
            <v>1.28</v>
          </cell>
          <cell r="N65">
            <v>72</v>
          </cell>
          <cell r="P65">
            <v>72.516694719810218</v>
          </cell>
          <cell r="Q65">
            <v>62.842967644187539</v>
          </cell>
          <cell r="R65">
            <v>51.5086082594812</v>
          </cell>
          <cell r="S65">
            <v>37.846462974268952</v>
          </cell>
          <cell r="T65">
            <v>21.124113171880715</v>
          </cell>
          <cell r="W65">
            <v>4.9231931174874859</v>
          </cell>
          <cell r="X65">
            <v>4.2461611051339645</v>
          </cell>
          <cell r="Y65">
            <v>3.5307408221525236</v>
          </cell>
          <cell r="Z65">
            <v>2.6167299391383452</v>
          </cell>
          <cell r="AA65">
            <v>1.5219977072071238</v>
          </cell>
          <cell r="AD65">
            <v>59.766676153548232</v>
          </cell>
          <cell r="AE65">
            <v>61.801475350718952</v>
          </cell>
          <cell r="AF65">
            <v>64.593779498920611</v>
          </cell>
          <cell r="AG65">
            <v>69.105843627521551</v>
          </cell>
          <cell r="AH65">
            <v>77.59868607965646</v>
          </cell>
          <cell r="AM65">
            <v>3431.3522956038646</v>
          </cell>
          <cell r="AN65">
            <v>2745.081836483092</v>
          </cell>
          <cell r="AO65">
            <v>2058.8113773623186</v>
          </cell>
          <cell r="AP65">
            <v>1372.540918241546</v>
          </cell>
          <cell r="AQ65">
            <v>686.27045912077301</v>
          </cell>
          <cell r="AT65">
            <v>467.78916450111774</v>
          </cell>
          <cell r="AU65">
            <v>374.23133160089446</v>
          </cell>
          <cell r="AV65">
            <v>280.67349870067051</v>
          </cell>
          <cell r="AW65">
            <v>187.11566580044723</v>
          </cell>
          <cell r="AX65">
            <v>93.557832900223616</v>
          </cell>
        </row>
        <row r="66">
          <cell r="F66">
            <v>64</v>
          </cell>
          <cell r="G66">
            <v>83.4485062894652</v>
          </cell>
          <cell r="I66">
            <v>64</v>
          </cell>
          <cell r="J66">
            <v>4599.2048883665893</v>
          </cell>
          <cell r="K66">
            <v>1.29</v>
          </cell>
          <cell r="N66">
            <v>73</v>
          </cell>
          <cell r="P66">
            <v>77.793242454074615</v>
          </cell>
          <cell r="Q66">
            <v>67.470079180418907</v>
          </cell>
          <cell r="R66">
            <v>55.27987808786542</v>
          </cell>
          <cell r="S66">
            <v>40.678086479235617</v>
          </cell>
          <cell r="T66">
            <v>22.700068148098975</v>
          </cell>
          <cell r="W66">
            <v>5.2765477342643976</v>
          </cell>
          <cell r="X66">
            <v>4.6271115362313679</v>
          </cell>
          <cell r="Y66">
            <v>3.7712698283842201</v>
          </cell>
          <cell r="Z66">
            <v>2.8316235049666645</v>
          </cell>
          <cell r="AA66">
            <v>1.5759549762182594</v>
          </cell>
          <cell r="AD66">
            <v>60</v>
          </cell>
          <cell r="AE66">
            <v>62.033937447710706</v>
          </cell>
          <cell r="AF66">
            <v>64.819145630244321</v>
          </cell>
          <cell r="AG66">
            <v>69.333613546893503</v>
          </cell>
          <cell r="AH66">
            <v>77.841626167956619</v>
          </cell>
          <cell r="AM66">
            <v>3972.7200361130153</v>
          </cell>
          <cell r="AN66">
            <v>3178.1760288904125</v>
          </cell>
          <cell r="AO66">
            <v>2383.6320216678091</v>
          </cell>
          <cell r="AP66">
            <v>1589.0880144452062</v>
          </cell>
          <cell r="AQ66">
            <v>794.54400722260311</v>
          </cell>
          <cell r="AT66">
            <v>541.36774050915074</v>
          </cell>
          <cell r="AU66">
            <v>433.09419240732041</v>
          </cell>
          <cell r="AV66">
            <v>324.82064430549053</v>
          </cell>
          <cell r="AW66">
            <v>216.5470962036602</v>
          </cell>
          <cell r="AX66">
            <v>108.2735481018301</v>
          </cell>
        </row>
        <row r="67">
          <cell r="F67">
            <v>65</v>
          </cell>
          <cell r="G67">
            <v>89.509667991878061</v>
          </cell>
          <cell r="I67">
            <v>65</v>
          </cell>
          <cell r="J67">
            <v>5324.1500000000005</v>
          </cell>
          <cell r="K67">
            <v>1.3</v>
          </cell>
          <cell r="N67">
            <v>74</v>
          </cell>
          <cell r="P67">
            <v>83.4485062894652</v>
          </cell>
          <cell r="Q67">
            <v>72.399924056740005</v>
          </cell>
          <cell r="R67">
            <v>59.365267374325548</v>
          </cell>
          <cell r="S67">
            <v>43.718672445050821</v>
          </cell>
          <cell r="T67">
            <v>24.341929284637001</v>
          </cell>
          <cell r="W67">
            <v>5.6552638353905849</v>
          </cell>
          <cell r="X67">
            <v>4.9298448763210985</v>
          </cell>
          <cell r="Y67">
            <v>4.0853892864601278</v>
          </cell>
          <cell r="Z67">
            <v>3.0405859658152039</v>
          </cell>
          <cell r="AA67">
            <v>1.6418611365380258</v>
          </cell>
          <cell r="AD67">
            <v>60.217698846451768</v>
          </cell>
          <cell r="AE67">
            <v>62.250054995811666</v>
          </cell>
          <cell r="AF67">
            <v>65.042129882798193</v>
          </cell>
          <cell r="AG67">
            <v>69.56138346626544</v>
          </cell>
          <cell r="AH67">
            <v>78.077870469399883</v>
          </cell>
          <cell r="AM67">
            <v>4599.2048883665893</v>
          </cell>
          <cell r="AN67">
            <v>3679.3639106932715</v>
          </cell>
          <cell r="AO67">
            <v>2759.5229330199536</v>
          </cell>
          <cell r="AP67">
            <v>1839.6819553466357</v>
          </cell>
          <cell r="AQ67">
            <v>919.84097767331787</v>
          </cell>
          <cell r="AT67">
            <v>626.48485225357399</v>
          </cell>
          <cell r="AU67">
            <v>501.18788180285901</v>
          </cell>
          <cell r="AV67">
            <v>375.89091135214449</v>
          </cell>
          <cell r="AW67">
            <v>250.59394090142951</v>
          </cell>
          <cell r="AX67">
            <v>125.29697045071475</v>
          </cell>
        </row>
        <row r="68">
          <cell r="F68">
            <v>66</v>
          </cell>
          <cell r="G68">
            <v>96.005860256665443</v>
          </cell>
          <cell r="I68">
            <v>66</v>
          </cell>
          <cell r="J68">
            <v>6162.9846853088866</v>
          </cell>
          <cell r="K68">
            <v>1.31</v>
          </cell>
          <cell r="N68">
            <v>75</v>
          </cell>
          <cell r="P68">
            <v>89.509667991878061</v>
          </cell>
          <cell r="Q68">
            <v>77.64963698295422</v>
          </cell>
          <cell r="R68">
            <v>63.802491344610679</v>
          </cell>
          <cell r="S68">
            <v>46.929918928141667</v>
          </cell>
          <cell r="T68">
            <v>25.993607584841389</v>
          </cell>
          <cell r="W68">
            <v>6.0611617024128606</v>
          </cell>
          <cell r="X68">
            <v>5.2497129262142153</v>
          </cell>
          <cell r="Y68">
            <v>4.4372239702851317</v>
          </cell>
          <cell r="Z68">
            <v>3.2112464830908465</v>
          </cell>
          <cell r="AA68">
            <v>1.651678300204388</v>
          </cell>
          <cell r="AD68">
            <v>60.435397692903535</v>
          </cell>
          <cell r="AE68">
            <v>62.466172543912634</v>
          </cell>
          <cell r="AF68">
            <v>65.255436396961542</v>
          </cell>
          <cell r="AG68">
            <v>69.789153385637391</v>
          </cell>
          <cell r="AH68">
            <v>78.301575047908599</v>
          </cell>
          <cell r="AM68">
            <v>5324.1500000000005</v>
          </cell>
          <cell r="AN68">
            <v>4259.3200000000006</v>
          </cell>
          <cell r="AO68">
            <v>3194.4900000000002</v>
          </cell>
          <cell r="AP68">
            <v>2129.6600000000003</v>
          </cell>
          <cell r="AQ68">
            <v>1064.8300000000002</v>
          </cell>
          <cell r="AT68">
            <v>724.94511163341122</v>
          </cell>
          <cell r="AU68">
            <v>579.95608930672915</v>
          </cell>
          <cell r="AV68">
            <v>434.96706698004664</v>
          </cell>
          <cell r="AW68">
            <v>289.97804465336458</v>
          </cell>
          <cell r="AX68">
            <v>144.98902232668229</v>
          </cell>
        </row>
        <row r="69">
          <cell r="F69">
            <v>67</v>
          </cell>
          <cell r="G69">
            <v>102.96830673359811</v>
          </cell>
          <cell r="I69">
            <v>67</v>
          </cell>
          <cell r="J69">
            <v>7133.5498113340191</v>
          </cell>
          <cell r="K69">
            <v>1.32</v>
          </cell>
          <cell r="N69">
            <v>76</v>
          </cell>
          <cell r="P69">
            <v>96.005860256665443</v>
          </cell>
          <cell r="Q69">
            <v>83.352287874836932</v>
          </cell>
          <cell r="R69">
            <v>68.490580707105124</v>
          </cell>
          <cell r="S69">
            <v>50.163061984107692</v>
          </cell>
          <cell r="T69">
            <v>27.851300060458648</v>
          </cell>
          <cell r="W69">
            <v>6.496192264787382</v>
          </cell>
          <cell r="X69">
            <v>5.7026508918827119</v>
          </cell>
          <cell r="Y69">
            <v>4.6880893624944449</v>
          </cell>
          <cell r="Z69">
            <v>3.2331430559660248</v>
          </cell>
          <cell r="AA69">
            <v>1.8576924756172595</v>
          </cell>
          <cell r="AD69">
            <v>60.653096539355303</v>
          </cell>
          <cell r="AE69">
            <v>62.682290092013595</v>
          </cell>
          <cell r="AF69">
            <v>65.468742911124906</v>
          </cell>
          <cell r="AG69">
            <v>70.015851474333999</v>
          </cell>
          <cell r="AH69">
            <v>78.525279626417301</v>
          </cell>
          <cell r="AM69">
            <v>6162.9846853088866</v>
          </cell>
          <cell r="AN69">
            <v>4930.3877482471098</v>
          </cell>
          <cell r="AO69">
            <v>3697.7908111853317</v>
          </cell>
          <cell r="AP69">
            <v>2465.1938741235549</v>
          </cell>
          <cell r="AQ69">
            <v>1232.5969370617775</v>
          </cell>
          <cell r="AT69">
            <v>838.83468530888604</v>
          </cell>
          <cell r="AU69">
            <v>671.06774824710919</v>
          </cell>
          <cell r="AV69">
            <v>503.30081118533144</v>
          </cell>
          <cell r="AW69">
            <v>335.5338741235546</v>
          </cell>
          <cell r="AX69">
            <v>167.7669370617773</v>
          </cell>
        </row>
        <row r="70">
          <cell r="F70">
            <v>68</v>
          </cell>
          <cell r="G70">
            <v>110.43047210190386</v>
          </cell>
          <cell r="I70">
            <v>68</v>
          </cell>
          <cell r="J70">
            <v>8256.4738250473602</v>
          </cell>
          <cell r="K70">
            <v>1.33</v>
          </cell>
          <cell r="N70">
            <v>77</v>
          </cell>
          <cell r="P70">
            <v>102.96830673359811</v>
          </cell>
          <cell r="Q70">
            <v>89.469161720823394</v>
          </cell>
          <cell r="R70">
            <v>73.292840732975137</v>
          </cell>
          <cell r="S70">
            <v>53.625894146857902</v>
          </cell>
          <cell r="T70">
            <v>29.799027968703292</v>
          </cell>
          <cell r="W70">
            <v>6.9624464769326693</v>
          </cell>
          <cell r="X70">
            <v>6.1168738459864613</v>
          </cell>
          <cell r="Y70">
            <v>4.8022600258700123</v>
          </cell>
          <cell r="Z70">
            <v>3.4628321627502103</v>
          </cell>
          <cell r="AA70">
            <v>1.9477279082446444</v>
          </cell>
          <cell r="AD70">
            <v>60.870795385807064</v>
          </cell>
          <cell r="AE70">
            <v>62.898407640114556</v>
          </cell>
          <cell r="AF70">
            <v>65.682049425288255</v>
          </cell>
          <cell r="AG70">
            <v>70.229195678021767</v>
          </cell>
          <cell r="AH70">
            <v>78.748984204926018</v>
          </cell>
          <cell r="AM70">
            <v>7133.5498113340191</v>
          </cell>
          <cell r="AN70">
            <v>5706.8398490672153</v>
          </cell>
          <cell r="AO70">
            <v>4280.1298868004114</v>
          </cell>
          <cell r="AP70">
            <v>2853.4199245336076</v>
          </cell>
          <cell r="AQ70">
            <v>1426.7099622668038</v>
          </cell>
          <cell r="AT70">
            <v>970.56512602513249</v>
          </cell>
          <cell r="AU70">
            <v>776.45210082010544</v>
          </cell>
          <cell r="AV70">
            <v>582.33907561507976</v>
          </cell>
          <cell r="AW70">
            <v>388.22605041005272</v>
          </cell>
          <cell r="AX70">
            <v>194.11302520502636</v>
          </cell>
        </row>
        <row r="71">
          <cell r="F71">
            <v>69</v>
          </cell>
          <cell r="G71">
            <v>118.42822291671132</v>
          </cell>
          <cell r="I71">
            <v>69</v>
          </cell>
          <cell r="J71">
            <v>9555.6072874592737</v>
          </cell>
          <cell r="K71">
            <v>1.34</v>
          </cell>
          <cell r="N71">
            <v>78</v>
          </cell>
          <cell r="P71">
            <v>110.43047210190386</v>
          </cell>
          <cell r="Q71">
            <v>95.831563690032169</v>
          </cell>
          <cell r="R71">
            <v>78.251032531409081</v>
          </cell>
          <cell r="S71">
            <v>57.412802445779818</v>
          </cell>
          <cell r="T71">
            <v>31.859191201399263</v>
          </cell>
          <cell r="W71">
            <v>7.4621653683057474</v>
          </cell>
          <cell r="X71">
            <v>6.3624019692087757</v>
          </cell>
          <cell r="Y71">
            <v>4.9581917984339441</v>
          </cell>
          <cell r="Z71">
            <v>3.7869082989219152</v>
          </cell>
          <cell r="AA71">
            <v>2.0601632326959702</v>
          </cell>
          <cell r="AD71">
            <v>61.082568038258209</v>
          </cell>
          <cell r="AE71">
            <v>63.107492392331935</v>
          </cell>
          <cell r="AF71">
            <v>65.895355939451605</v>
          </cell>
          <cell r="AG71">
            <v>70.442539881709536</v>
          </cell>
          <cell r="AH71">
            <v>78.972688783434734</v>
          </cell>
          <cell r="AM71">
            <v>8256.4738250473602</v>
          </cell>
          <cell r="AN71">
            <v>6605.1790600378881</v>
          </cell>
          <cell r="AO71">
            <v>4953.8842950284161</v>
          </cell>
          <cell r="AP71">
            <v>3302.5895300189441</v>
          </cell>
          <cell r="AQ71">
            <v>1651.294765009472</v>
          </cell>
          <cell r="AT71">
            <v>1122.9240137133411</v>
          </cell>
          <cell r="AU71">
            <v>898.33921097067287</v>
          </cell>
          <cell r="AV71">
            <v>673.75440822800465</v>
          </cell>
          <cell r="AW71">
            <v>449.16960548533643</v>
          </cell>
          <cell r="AX71">
            <v>224.58480274266822</v>
          </cell>
        </row>
        <row r="72">
          <cell r="F72">
            <v>70</v>
          </cell>
          <cell r="G72">
            <v>127</v>
          </cell>
          <cell r="I72">
            <v>70</v>
          </cell>
          <cell r="J72">
            <v>11058.525000000001</v>
          </cell>
          <cell r="K72">
            <v>1.35</v>
          </cell>
          <cell r="N72">
            <v>79</v>
          </cell>
          <cell r="P72">
            <v>118.42822291671132</v>
          </cell>
          <cell r="Q72">
            <v>102.51146975670532</v>
          </cell>
          <cell r="R72">
            <v>83.894553114198303</v>
          </cell>
          <cell r="S72">
            <v>61.535304627523196</v>
          </cell>
          <cell r="T72">
            <v>34.059956910846175</v>
          </cell>
          <cell r="W72">
            <v>7.9977508148074605</v>
          </cell>
          <cell r="X72">
            <v>6.6799060666731549</v>
          </cell>
          <cell r="Y72">
            <v>5.6435205827892219</v>
          </cell>
          <cell r="Z72">
            <v>4.1225021817433785</v>
          </cell>
          <cell r="AA72">
            <v>2.2007657094469124</v>
          </cell>
          <cell r="AD72">
            <v>61.285688244217212</v>
          </cell>
          <cell r="AE72">
            <v>63.310338531528565</v>
          </cell>
          <cell r="AF72">
            <v>66.106079073217742</v>
          </cell>
          <cell r="AG72">
            <v>70.655884085397304</v>
          </cell>
          <cell r="AH72">
            <v>79.188599387584361</v>
          </cell>
          <cell r="AM72">
            <v>9555.6072874592737</v>
          </cell>
          <cell r="AN72">
            <v>7644.4858299674197</v>
          </cell>
          <cell r="AO72">
            <v>5733.3643724755639</v>
          </cell>
          <cell r="AP72">
            <v>3822.2429149837099</v>
          </cell>
          <cell r="AQ72">
            <v>1911.1214574918549</v>
          </cell>
          <cell r="AT72">
            <v>1299.1334624119136</v>
          </cell>
          <cell r="AU72">
            <v>1039.3067699295316</v>
          </cell>
          <cell r="AV72">
            <v>779.48007744714778</v>
          </cell>
          <cell r="AW72">
            <v>519.65338496476579</v>
          </cell>
          <cell r="AX72">
            <v>259.8266924823829</v>
          </cell>
        </row>
        <row r="73">
          <cell r="F73">
            <v>71</v>
          </cell>
          <cell r="G73">
            <v>136.18700320464549</v>
          </cell>
          <cell r="I73">
            <v>71</v>
          </cell>
          <cell r="J73">
            <v>12797.106216824561</v>
          </cell>
          <cell r="K73">
            <v>1.36</v>
          </cell>
          <cell r="N73">
            <v>80</v>
          </cell>
          <cell r="P73">
            <v>127</v>
          </cell>
          <cell r="Q73">
            <v>109.9693</v>
          </cell>
          <cell r="R73">
            <v>90.106499999999997</v>
          </cell>
          <cell r="S73">
            <v>65.925700000000006</v>
          </cell>
          <cell r="T73">
            <v>36.4998</v>
          </cell>
          <cell r="W73">
            <v>8.5717770832886799</v>
          </cell>
          <cell r="X73">
            <v>7.4578302432946799</v>
          </cell>
          <cell r="Y73">
            <v>6.2119468858016944</v>
          </cell>
          <cell r="Z73">
            <v>4.3903953724768101</v>
          </cell>
          <cell r="AA73">
            <v>2.4398430891538254</v>
          </cell>
          <cell r="AD73">
            <v>61.488808450176215</v>
          </cell>
          <cell r="AE73">
            <v>63.513184670725188</v>
          </cell>
          <cell r="AF73">
            <v>66.314314361313961</v>
          </cell>
          <cell r="AG73">
            <v>70.869228289085072</v>
          </cell>
          <cell r="AH73">
            <v>79.403426131671111</v>
          </cell>
          <cell r="AM73">
            <v>11058.525000000001</v>
          </cell>
          <cell r="AN73">
            <v>8846.8200000000015</v>
          </cell>
          <cell r="AO73">
            <v>6635.1150000000007</v>
          </cell>
          <cell r="AP73">
            <v>4423.4100000000008</v>
          </cell>
          <cell r="AQ73">
            <v>2211.7050000000004</v>
          </cell>
          <cell r="AT73">
            <v>1502.9177125407277</v>
          </cell>
          <cell r="AU73">
            <v>1202.3341700325818</v>
          </cell>
          <cell r="AV73">
            <v>901.75062752443682</v>
          </cell>
          <cell r="AW73">
            <v>601.16708501629091</v>
          </cell>
          <cell r="AX73">
            <v>300.58354250814546</v>
          </cell>
        </row>
        <row r="74">
          <cell r="F74">
            <v>72</v>
          </cell>
          <cell r="G74">
            <v>146.03338943962044</v>
          </cell>
          <cell r="I74">
            <v>72</v>
          </cell>
          <cell r="J74">
            <v>14808.205062920617</v>
          </cell>
          <cell r="K74">
            <v>1.37</v>
          </cell>
          <cell r="N74">
            <v>81</v>
          </cell>
          <cell r="P74">
            <v>136.18700320464549</v>
          </cell>
          <cell r="Q74">
            <v>118.03327567746625</v>
          </cell>
          <cell r="R74">
            <v>96.583822672734584</v>
          </cell>
          <cell r="S74">
            <v>70.612961161608681</v>
          </cell>
          <cell r="T74">
            <v>39.126526020694648</v>
          </cell>
          <cell r="W74">
            <v>9.1870032046454924</v>
          </cell>
          <cell r="X74">
            <v>8.0639756774662459</v>
          </cell>
          <cell r="Y74">
            <v>6.4773226727345872</v>
          </cell>
          <cell r="Z74">
            <v>4.6872611616086743</v>
          </cell>
          <cell r="AA74">
            <v>2.6267260206946474</v>
          </cell>
          <cell r="AD74">
            <v>61.691928656135218</v>
          </cell>
          <cell r="AE74">
            <v>63.716030809921811</v>
          </cell>
          <cell r="AF74">
            <v>66.52254964941018</v>
          </cell>
          <cell r="AG74">
            <v>71.07781362467729</v>
          </cell>
          <cell r="AH74">
            <v>79.618252875757847</v>
          </cell>
          <cell r="AM74">
            <v>12797.106216824561</v>
          </cell>
          <cell r="AN74">
            <v>10237.684973459649</v>
          </cell>
          <cell r="AO74">
            <v>7678.2637300947363</v>
          </cell>
          <cell r="AP74">
            <v>5118.8424867298245</v>
          </cell>
          <cell r="AQ74">
            <v>2559.4212433649122</v>
          </cell>
          <cell r="AT74">
            <v>1738.5812168245593</v>
          </cell>
          <cell r="AU74">
            <v>1390.8649734596474</v>
          </cell>
          <cell r="AV74">
            <v>1043.1487300947356</v>
          </cell>
          <cell r="AW74">
            <v>695.43248672982372</v>
          </cell>
          <cell r="AX74">
            <v>347.71624336491186</v>
          </cell>
        </row>
        <row r="75">
          <cell r="F75">
            <v>73</v>
          </cell>
          <cell r="G75">
            <v>156.58648490814926</v>
          </cell>
          <cell r="I75">
            <v>73</v>
          </cell>
          <cell r="J75">
            <v>17134.425155737379</v>
          </cell>
          <cell r="K75">
            <v>1.38</v>
          </cell>
          <cell r="N75">
            <v>82</v>
          </cell>
          <cell r="P75">
            <v>146.03338943962044</v>
          </cell>
          <cell r="Q75">
            <v>126.581741966263</v>
          </cell>
          <cell r="R75">
            <v>103.31862302853146</v>
          </cell>
          <cell r="S75">
            <v>75.586882373947532</v>
          </cell>
          <cell r="T75">
            <v>41.896979430227098</v>
          </cell>
          <cell r="W75">
            <v>9.8463862349749434</v>
          </cell>
          <cell r="X75">
            <v>8.548466288796746</v>
          </cell>
          <cell r="Y75">
            <v>6.7348003557968781</v>
          </cell>
          <cell r="Z75">
            <v>4.9739212123388512</v>
          </cell>
          <cell r="AA75">
            <v>2.7704534095324505</v>
          </cell>
          <cell r="AD75">
            <v>61.895048862094221</v>
          </cell>
          <cell r="AE75">
            <v>63.918876949118435</v>
          </cell>
          <cell r="AF75">
            <v>66.7307849375064</v>
          </cell>
          <cell r="AG75">
            <v>71.278862245535876</v>
          </cell>
          <cell r="AH75">
            <v>79.833079619844597</v>
          </cell>
          <cell r="AM75">
            <v>14808.205062920617</v>
          </cell>
          <cell r="AN75">
            <v>11846.564050336494</v>
          </cell>
          <cell r="AO75">
            <v>8884.9230377523691</v>
          </cell>
          <cell r="AP75">
            <v>5923.2820251682469</v>
          </cell>
          <cell r="AQ75">
            <v>2961.6410125841235</v>
          </cell>
          <cell r="AT75">
            <v>2011.0988460960561</v>
          </cell>
          <cell r="AU75">
            <v>1608.8790768768449</v>
          </cell>
          <cell r="AV75">
            <v>1206.6593076576328</v>
          </cell>
          <cell r="AW75">
            <v>804.43953843842246</v>
          </cell>
          <cell r="AX75">
            <v>402.21976921921123</v>
          </cell>
        </row>
        <row r="76">
          <cell r="F76">
            <v>74</v>
          </cell>
          <cell r="G76">
            <v>167.89701257893043</v>
          </cell>
          <cell r="I76">
            <v>74</v>
          </cell>
          <cell r="J76">
            <v>19825.014596370729</v>
          </cell>
          <cell r="K76">
            <v>1.39</v>
          </cell>
          <cell r="N76">
            <v>83</v>
          </cell>
          <cell r="P76">
            <v>156.58648490814926</v>
          </cell>
          <cell r="Q76">
            <v>135.41599214856748</v>
          </cell>
          <cell r="R76">
            <v>110.58137564213501</v>
          </cell>
          <cell r="S76">
            <v>80.955212697513176</v>
          </cell>
          <cell r="T76">
            <v>44.877686574675579</v>
          </cell>
          <cell r="W76">
            <v>10.553095468528824</v>
          </cell>
          <cell r="X76">
            <v>8.834250182304487</v>
          </cell>
          <cell r="Y76">
            <v>7.2627526136035527</v>
          </cell>
          <cell r="Z76">
            <v>5.3683303235656439</v>
          </cell>
          <cell r="AA76">
            <v>2.9807071444484805</v>
          </cell>
          <cell r="AD76">
            <v>62.091594979242075</v>
          </cell>
          <cell r="AE76">
            <v>64.114306430026588</v>
          </cell>
          <cell r="AF76">
            <v>66.939020225602619</v>
          </cell>
          <cell r="AG76">
            <v>71.479910866394462</v>
          </cell>
          <cell r="AH76">
            <v>80.043898354812981</v>
          </cell>
          <cell r="AM76">
            <v>17134.425155737379</v>
          </cell>
          <cell r="AN76">
            <v>13707.540124589905</v>
          </cell>
          <cell r="AO76">
            <v>10280.655093442427</v>
          </cell>
          <cell r="AP76">
            <v>6853.7700622949524</v>
          </cell>
          <cell r="AQ76">
            <v>3426.8850311474762</v>
          </cell>
          <cell r="AT76">
            <v>2326.2200928167622</v>
          </cell>
          <cell r="AU76">
            <v>1860.9760742534108</v>
          </cell>
          <cell r="AV76">
            <v>1395.7320556900577</v>
          </cell>
          <cell r="AW76">
            <v>930.48803712670542</v>
          </cell>
          <cell r="AX76">
            <v>465.24401856335271</v>
          </cell>
        </row>
        <row r="77">
          <cell r="F77">
            <v>75</v>
          </cell>
          <cell r="G77">
            <v>180.01933598375612</v>
          </cell>
          <cell r="I77">
            <v>75</v>
          </cell>
          <cell r="J77">
            <v>22936.899999999998</v>
          </cell>
          <cell r="K77">
            <v>1.4</v>
          </cell>
          <cell r="N77">
            <v>84</v>
          </cell>
          <cell r="P77">
            <v>167.89701257893043</v>
          </cell>
          <cell r="Q77">
            <v>145.16375707574326</v>
          </cell>
          <cell r="R77">
            <v>118.70318789330381</v>
          </cell>
          <cell r="S77">
            <v>86.869914308338593</v>
          </cell>
          <cell r="T77">
            <v>48.169652908895138</v>
          </cell>
          <cell r="W77">
            <v>11.31052767078117</v>
          </cell>
          <cell r="X77">
            <v>9.7477649271757798</v>
          </cell>
          <cell r="Y77">
            <v>8.1218122511687909</v>
          </cell>
          <cell r="Z77">
            <v>5.9147016108254178</v>
          </cell>
          <cell r="AA77">
            <v>3.2919663342195591</v>
          </cell>
          <cell r="AD77">
            <v>62.281112832649576</v>
          </cell>
          <cell r="AE77">
            <v>64.304793036447776</v>
          </cell>
          <cell r="AF77">
            <v>67.14262442756818</v>
          </cell>
          <cell r="AG77">
            <v>71.680959487253048</v>
          </cell>
          <cell r="AH77">
            <v>80.24075196383977</v>
          </cell>
          <cell r="AM77">
            <v>19825.014596370729</v>
          </cell>
          <cell r="AN77">
            <v>15860.011677096583</v>
          </cell>
          <cell r="AO77">
            <v>11895.008757822437</v>
          </cell>
          <cell r="AP77">
            <v>7930.0058385482916</v>
          </cell>
          <cell r="AQ77">
            <v>3965.0029192741458</v>
          </cell>
          <cell r="AT77">
            <v>2690.58944063335</v>
          </cell>
          <cell r="AU77">
            <v>2152.4715525066786</v>
          </cell>
          <cell r="AV77">
            <v>1614.3536643800107</v>
          </cell>
          <cell r="AW77">
            <v>1076.2357762533393</v>
          </cell>
          <cell r="AX77">
            <v>538.11788812666964</v>
          </cell>
        </row>
        <row r="78">
          <cell r="F78">
            <v>76</v>
          </cell>
          <cell r="G78">
            <v>193.01172051333091</v>
          </cell>
          <cell r="I78">
            <v>76</v>
          </cell>
          <cell r="J78">
            <v>26535.88112606269</v>
          </cell>
          <cell r="K78">
            <v>1.41</v>
          </cell>
          <cell r="N78">
            <v>85</v>
          </cell>
          <cell r="P78">
            <v>180.01933598375612</v>
          </cell>
          <cell r="Q78">
            <v>155.75272949314578</v>
          </cell>
          <cell r="R78">
            <v>127.38168214210583</v>
          </cell>
          <cell r="S78">
            <v>93.214012172388934</v>
          </cell>
          <cell r="T78">
            <v>51.755559095329879</v>
          </cell>
          <cell r="W78">
            <v>12.122323404825693</v>
          </cell>
          <cell r="X78">
            <v>10.588972417402516</v>
          </cell>
          <cell r="Y78">
            <v>8.6784942488020249</v>
          </cell>
          <cell r="Z78">
            <v>6.3440978640503403</v>
          </cell>
          <cell r="AA78">
            <v>3.585906186434741</v>
          </cell>
          <cell r="AD78">
            <v>62.470630686057078</v>
          </cell>
          <cell r="AE78">
            <v>64.495279642868965</v>
          </cell>
          <cell r="AF78">
            <v>67.344310856946692</v>
          </cell>
          <cell r="AG78">
            <v>71.882008108111634</v>
          </cell>
          <cell r="AH78">
            <v>80.437605572866573</v>
          </cell>
          <cell r="AM78">
            <v>22936.899999999998</v>
          </cell>
          <cell r="AN78">
            <v>18349.52</v>
          </cell>
          <cell r="AO78">
            <v>13762.139999999998</v>
          </cell>
          <cell r="AP78">
            <v>9174.76</v>
          </cell>
          <cell r="AQ78">
            <v>4587.38</v>
          </cell>
          <cell r="AT78">
            <v>3111.8854036292687</v>
          </cell>
          <cell r="AU78">
            <v>2489.5083229034171</v>
          </cell>
          <cell r="AV78">
            <v>1867.1312421775601</v>
          </cell>
          <cell r="AW78">
            <v>1244.7541614517086</v>
          </cell>
          <cell r="AX78">
            <v>622.37708072585428</v>
          </cell>
        </row>
        <row r="79">
          <cell r="F79">
            <v>77</v>
          </cell>
          <cell r="G79">
            <v>206.93661346719625</v>
          </cell>
          <cell r="I79">
            <v>77</v>
          </cell>
          <cell r="J79">
            <v>30698.011006346387</v>
          </cell>
          <cell r="K79">
            <v>1.42</v>
          </cell>
          <cell r="N79">
            <v>86</v>
          </cell>
          <cell r="P79">
            <v>193.01172051333091</v>
          </cell>
          <cell r="Q79">
            <v>166.97443941608256</v>
          </cell>
          <cell r="R79">
            <v>136.51718991907896</v>
          </cell>
          <cell r="S79">
            <v>100.0379747420594</v>
          </cell>
          <cell r="T79">
            <v>55.664580196044632</v>
          </cell>
          <cell r="W79">
            <v>12.992384529574792</v>
          </cell>
          <cell r="X79">
            <v>11.221709922936782</v>
          </cell>
          <cell r="Y79">
            <v>9.1355077769731281</v>
          </cell>
          <cell r="Z79">
            <v>6.8239625696704707</v>
          </cell>
          <cell r="AA79">
            <v>3.9090211007147531</v>
          </cell>
          <cell r="AD79">
            <v>62.660148539464579</v>
          </cell>
          <cell r="AE79">
            <v>64.685766249290154</v>
          </cell>
          <cell r="AF79">
            <v>67.545997286325218</v>
          </cell>
          <cell r="AG79">
            <v>72.076954583856178</v>
          </cell>
          <cell r="AH79">
            <v>80.634459181893376</v>
          </cell>
          <cell r="AM79">
            <v>26535.88112606269</v>
          </cell>
          <cell r="AN79">
            <v>21228.704900850153</v>
          </cell>
          <cell r="AO79">
            <v>15921.528675637614</v>
          </cell>
          <cell r="AP79">
            <v>10614.352450425076</v>
          </cell>
          <cell r="AQ79">
            <v>5307.1762252125382</v>
          </cell>
          <cell r="AT79">
            <v>3598.9811260626921</v>
          </cell>
          <cell r="AU79">
            <v>2879.1849008501522</v>
          </cell>
          <cell r="AV79">
            <v>2159.388675637616</v>
          </cell>
          <cell r="AW79">
            <v>1439.5924504250761</v>
          </cell>
          <cell r="AX79">
            <v>719.79622521253805</v>
          </cell>
        </row>
        <row r="80">
          <cell r="F80">
            <v>78</v>
          </cell>
          <cell r="G80">
            <v>221.86094420380775</v>
          </cell>
          <cell r="I80">
            <v>78</v>
          </cell>
          <cell r="J80">
            <v>35511.190322760085</v>
          </cell>
          <cell r="K80">
            <v>1.43</v>
          </cell>
          <cell r="N80">
            <v>87</v>
          </cell>
          <cell r="P80">
            <v>206.93661346719625</v>
          </cell>
          <cell r="Q80">
            <v>179.12433261720508</v>
          </cell>
          <cell r="R80">
            <v>146.53181599612165</v>
          </cell>
          <cell r="S80">
            <v>107.42079605082158</v>
          </cell>
          <cell r="T80">
            <v>59.535663694512365</v>
          </cell>
          <cell r="W80">
            <v>13.924892953865339</v>
          </cell>
          <cell r="X80">
            <v>12.149893201122524</v>
          </cell>
          <cell r="Y80">
            <v>10.014626077042692</v>
          </cell>
          <cell r="Z80">
            <v>7.3828213087621748</v>
          </cell>
          <cell r="AA80">
            <v>3.8710834984677334</v>
          </cell>
          <cell r="AD80">
            <v>62.849666392872081</v>
          </cell>
          <cell r="AE80">
            <v>64.876252855711357</v>
          </cell>
          <cell r="AF80">
            <v>67.747683715703729</v>
          </cell>
          <cell r="AG80">
            <v>72.263232241847945</v>
          </cell>
          <cell r="AH80">
            <v>80.83131279092018</v>
          </cell>
          <cell r="AM80">
            <v>30698.011006346387</v>
          </cell>
          <cell r="AN80">
            <v>24558.40880507711</v>
          </cell>
          <cell r="AO80">
            <v>18418.806603807832</v>
          </cell>
          <cell r="AP80">
            <v>12279.204402538555</v>
          </cell>
          <cell r="AQ80">
            <v>6139.6022012692774</v>
          </cell>
          <cell r="AT80">
            <v>4162.1298802836973</v>
          </cell>
          <cell r="AU80">
            <v>3329.7039042269571</v>
          </cell>
          <cell r="AV80">
            <v>2497.2779281702187</v>
          </cell>
          <cell r="AW80">
            <v>1664.8519521134785</v>
          </cell>
          <cell r="AX80">
            <v>832.42597605673927</v>
          </cell>
        </row>
        <row r="81">
          <cell r="F81">
            <v>79</v>
          </cell>
          <cell r="G81">
            <v>237.85644583342264</v>
          </cell>
          <cell r="I81">
            <v>79</v>
          </cell>
          <cell r="J81">
            <v>41077.009235645834</v>
          </cell>
          <cell r="K81">
            <v>1.44</v>
          </cell>
          <cell r="N81">
            <v>88</v>
          </cell>
          <cell r="P81">
            <v>221.86094420380775</v>
          </cell>
          <cell r="Q81">
            <v>192.04283330281601</v>
          </cell>
          <cell r="R81">
            <v>157.23285115723854</v>
          </cell>
          <cell r="S81">
            <v>115.1680161361966</v>
          </cell>
          <cell r="T81">
            <v>63.651904892072437</v>
          </cell>
          <cell r="W81">
            <v>14.924330736611495</v>
          </cell>
          <cell r="X81">
            <v>12.918500685610923</v>
          </cell>
          <cell r="Y81">
            <v>10.701035161116891</v>
          </cell>
          <cell r="Z81">
            <v>7.7472200853750195</v>
          </cell>
          <cell r="AA81">
            <v>4.1162411975600719</v>
          </cell>
          <cell r="AD81">
            <v>63.036560194527354</v>
          </cell>
          <cell r="AE81">
            <v>65.061438622789353</v>
          </cell>
          <cell r="AF81">
            <v>67.949370145082256</v>
          </cell>
          <cell r="AG81">
            <v>72.449509899839711</v>
          </cell>
          <cell r="AH81">
            <v>81.026624803116562</v>
          </cell>
          <cell r="AM81">
            <v>35511.190322760085</v>
          </cell>
          <cell r="AN81">
            <v>28408.952258208068</v>
          </cell>
          <cell r="AO81">
            <v>21306.714193656051</v>
          </cell>
          <cell r="AP81">
            <v>14204.476129104034</v>
          </cell>
          <cell r="AQ81">
            <v>7102.238064552017</v>
          </cell>
          <cell r="AT81">
            <v>4813.179316413698</v>
          </cell>
          <cell r="AU81">
            <v>3850.5434531309584</v>
          </cell>
          <cell r="AV81">
            <v>2887.9075898482188</v>
          </cell>
          <cell r="AW81">
            <v>1925.2717265654792</v>
          </cell>
          <cell r="AX81">
            <v>962.63586328273959</v>
          </cell>
        </row>
        <row r="82">
          <cell r="F82">
            <v>80</v>
          </cell>
          <cell r="G82">
            <v>255</v>
          </cell>
          <cell r="I82">
            <v>80</v>
          </cell>
          <cell r="J82">
            <v>47512.875</v>
          </cell>
          <cell r="K82">
            <v>1.45</v>
          </cell>
          <cell r="N82">
            <v>89</v>
          </cell>
          <cell r="P82">
            <v>237.85644583342264</v>
          </cell>
          <cell r="Q82">
            <v>206.07882467007735</v>
          </cell>
          <cell r="R82">
            <v>168.73536267423003</v>
          </cell>
          <cell r="S82">
            <v>123.11449636337954</v>
          </cell>
          <cell r="T82">
            <v>68.122086086692235</v>
          </cell>
          <cell r="W82">
            <v>15.995501629614893</v>
          </cell>
          <cell r="X82">
            <v>14.035991367261346</v>
          </cell>
          <cell r="Y82">
            <v>11.50251151699149</v>
          </cell>
          <cell r="Z82">
            <v>7.9464802271829456</v>
          </cell>
          <cell r="AA82">
            <v>4.4701811946197978</v>
          </cell>
          <cell r="AD82">
            <v>63.213386604241791</v>
          </cell>
          <cell r="AE82">
            <v>65.23679566619937</v>
          </cell>
          <cell r="AF82">
            <v>68.132712808893615</v>
          </cell>
          <cell r="AG82">
            <v>72.635787557831478</v>
          </cell>
          <cell r="AH82">
            <v>81.212704266341873</v>
          </cell>
          <cell r="AM82">
            <v>41077.009235645834</v>
          </cell>
          <cell r="AN82">
            <v>32861.60738851667</v>
          </cell>
          <cell r="AO82">
            <v>24646.205541387499</v>
          </cell>
          <cell r="AP82">
            <v>16430.803694258335</v>
          </cell>
          <cell r="AQ82">
            <v>8215.4018471291674</v>
          </cell>
          <cell r="AT82">
            <v>5565.8189128857484</v>
          </cell>
          <cell r="AU82">
            <v>4452.6551303086017</v>
          </cell>
          <cell r="AV82">
            <v>3339.4913477314476</v>
          </cell>
          <cell r="AW82">
            <v>2226.3275651543008</v>
          </cell>
          <cell r="AX82">
            <v>1113.1637825771504</v>
          </cell>
        </row>
        <row r="83">
          <cell r="F83">
            <v>81</v>
          </cell>
          <cell r="G83">
            <v>273.37400640929098</v>
          </cell>
          <cell r="N83">
            <v>90</v>
          </cell>
          <cell r="P83">
            <v>255</v>
          </cell>
          <cell r="Q83">
            <v>221.08500000000001</v>
          </cell>
          <cell r="R83">
            <v>180.33600000000001</v>
          </cell>
          <cell r="S83">
            <v>131.58000000000001</v>
          </cell>
          <cell r="T83">
            <v>72.777000000000001</v>
          </cell>
          <cell r="W83">
            <v>17.14355416657736</v>
          </cell>
          <cell r="X83">
            <v>15.006175329922655</v>
          </cell>
          <cell r="Y83">
            <v>11.600637325769981</v>
          </cell>
          <cell r="Z83">
            <v>8.4655036366204683</v>
          </cell>
          <cell r="AA83">
            <v>4.6549139133077659</v>
          </cell>
          <cell r="AD83">
            <v>63.39021301395622</v>
          </cell>
          <cell r="AE83">
            <v>65.412152709609373</v>
          </cell>
          <cell r="AF83">
            <v>68.309907165737044</v>
          </cell>
          <cell r="AG83">
            <v>72.822065215823244</v>
          </cell>
          <cell r="AH83">
            <v>81.398783729567185</v>
          </cell>
          <cell r="AM83">
            <v>47512.875</v>
          </cell>
          <cell r="AN83">
            <v>38010.300000000003</v>
          </cell>
          <cell r="AO83">
            <v>28507.724999999999</v>
          </cell>
          <cell r="AP83">
            <v>19005.150000000001</v>
          </cell>
          <cell r="AQ83">
            <v>9502.5750000000007</v>
          </cell>
          <cell r="AT83">
            <v>6435.8657643541665</v>
          </cell>
          <cell r="AU83">
            <v>5148.6926114833332</v>
          </cell>
          <cell r="AV83">
            <v>3861.5194586124999</v>
          </cell>
          <cell r="AW83">
            <v>2574.3463057416666</v>
          </cell>
          <cell r="AX83">
            <v>1287.1731528708333</v>
          </cell>
        </row>
        <row r="84">
          <cell r="F84">
            <v>82</v>
          </cell>
          <cell r="G84">
            <v>293.06677887924064</v>
          </cell>
          <cell r="N84">
            <v>91</v>
          </cell>
          <cell r="P84">
            <v>273.37400640929098</v>
          </cell>
          <cell r="Q84">
            <v>236.35916594147301</v>
          </cell>
          <cell r="R84">
            <v>192.67399971726829</v>
          </cell>
          <cell r="S84">
            <v>140.76027590014394</v>
          </cell>
          <cell r="T84">
            <v>77.856917025366073</v>
          </cell>
          <cell r="W84">
            <v>18.374006409290985</v>
          </cell>
          <cell r="X84">
            <v>15.274165941473001</v>
          </cell>
          <cell r="Y84">
            <v>12.337999717268275</v>
          </cell>
          <cell r="Z84">
            <v>9.1802759001439256</v>
          </cell>
          <cell r="AA84">
            <v>5.0799170253660719</v>
          </cell>
          <cell r="AD84">
            <v>63.567039423670657</v>
          </cell>
          <cell r="AE84">
            <v>65.58750975301939</v>
          </cell>
          <cell r="AF84">
            <v>68.487101522580488</v>
          </cell>
          <cell r="AG84">
            <v>73.007572199822363</v>
          </cell>
          <cell r="AH84">
            <v>81.584863192792497</v>
          </cell>
        </row>
        <row r="85">
          <cell r="F85">
            <v>83</v>
          </cell>
          <cell r="G85">
            <v>314.1729698162988</v>
          </cell>
          <cell r="N85">
            <v>92</v>
          </cell>
          <cell r="P85">
            <v>293.06677887924064</v>
          </cell>
          <cell r="Q85">
            <v>253.15108359588808</v>
          </cell>
          <cell r="R85">
            <v>206.37762568676126</v>
          </cell>
          <cell r="S85">
            <v>150.81216441125721</v>
          </cell>
          <cell r="T85">
            <v>83.230965201704336</v>
          </cell>
          <cell r="W85">
            <v>19.692772469949659</v>
          </cell>
          <cell r="X85">
            <v>16.791917654415073</v>
          </cell>
          <cell r="Y85">
            <v>13.703625969492975</v>
          </cell>
          <cell r="Z85">
            <v>10.051888511113276</v>
          </cell>
          <cell r="AA85">
            <v>5.3740481763382633</v>
          </cell>
          <cell r="AD85">
            <v>63.743865833385094</v>
          </cell>
          <cell r="AE85">
            <v>65.762866796429392</v>
          </cell>
          <cell r="AF85">
            <v>68.664295879423918</v>
          </cell>
          <cell r="AG85">
            <v>73.176642436293761</v>
          </cell>
          <cell r="AH85">
            <v>81.770942656017823</v>
          </cell>
        </row>
        <row r="86">
          <cell r="F86">
            <v>84</v>
          </cell>
          <cell r="G86">
            <v>336.79402515786086</v>
          </cell>
          <cell r="N86">
            <v>93</v>
          </cell>
          <cell r="P86">
            <v>314.1729698162988</v>
          </cell>
          <cell r="Q86">
            <v>271.53969781222702</v>
          </cell>
          <cell r="R86">
            <v>221.55477831445393</v>
          </cell>
          <cell r="S86">
            <v>161.57915837652246</v>
          </cell>
          <cell r="T86">
            <v>89.193706130847232</v>
          </cell>
          <cell r="W86">
            <v>21.106190937058159</v>
          </cell>
          <cell r="X86">
            <v>18.388614216338937</v>
          </cell>
          <cell r="Y86">
            <v>15.177152627692664</v>
          </cell>
          <cell r="Z86">
            <v>10.766993965265243</v>
          </cell>
          <cell r="AA86">
            <v>5.9627409291428961</v>
          </cell>
          <cell r="AD86">
            <v>63.920692243099523</v>
          </cell>
          <cell r="AE86">
            <v>65.938223839839395</v>
          </cell>
          <cell r="AF86">
            <v>68.841490236267347</v>
          </cell>
          <cell r="AG86">
            <v>73.34571267276516</v>
          </cell>
          <cell r="AH86">
            <v>81.957022119243135</v>
          </cell>
        </row>
        <row r="87">
          <cell r="F87">
            <v>85</v>
          </cell>
          <cell r="G87">
            <v>361.0386719675123</v>
          </cell>
          <cell r="N87">
            <v>94</v>
          </cell>
          <cell r="P87">
            <v>336.79402515786086</v>
          </cell>
          <cell r="Q87">
            <v>291.2594729565181</v>
          </cell>
          <cell r="R87">
            <v>237.27139072371298</v>
          </cell>
          <cell r="S87">
            <v>172.97741132107731</v>
          </cell>
          <cell r="T87">
            <v>95.64950314483248</v>
          </cell>
          <cell r="W87">
            <v>22.621055341562055</v>
          </cell>
          <cell r="X87">
            <v>19.719775144291077</v>
          </cell>
          <cell r="Y87">
            <v>15.716612409259056</v>
          </cell>
          <cell r="Z87">
            <v>11.398252944554855</v>
          </cell>
          <cell r="AA87">
            <v>6.4557970139852472</v>
          </cell>
          <cell r="AD87">
            <v>64.090988120365651</v>
          </cell>
          <cell r="AE87">
            <v>66.105889403880397</v>
          </cell>
          <cell r="AF87">
            <v>69.01697485309198</v>
          </cell>
          <cell r="AG87">
            <v>73.514782909236544</v>
          </cell>
          <cell r="AH87">
            <v>82.128973371044353</v>
          </cell>
        </row>
        <row r="88">
          <cell r="F88">
            <v>86</v>
          </cell>
          <cell r="G88">
            <v>387.02344102666189</v>
          </cell>
          <cell r="N88">
            <v>95</v>
          </cell>
          <cell r="P88">
            <v>361.0386719675123</v>
          </cell>
          <cell r="Q88">
            <v>311.72078937675008</v>
          </cell>
          <cell r="R88">
            <v>253.91849799475142</v>
          </cell>
          <cell r="S88">
            <v>185.57387739130132</v>
          </cell>
          <cell r="T88">
            <v>102.53498283877349</v>
          </cell>
          <cell r="W88">
            <v>24.244646809651442</v>
          </cell>
          <cell r="X88">
            <v>20.461316420231981</v>
          </cell>
          <cell r="Y88">
            <v>16.647107271038436</v>
          </cell>
          <cell r="Z88">
            <v>12.596466070224011</v>
          </cell>
          <cell r="AA88">
            <v>6.8854796939410079</v>
          </cell>
          <cell r="AD88">
            <v>64.255972994404218</v>
          </cell>
          <cell r="AE88">
            <v>66.269371604948859</v>
          </cell>
          <cell r="AF88">
            <v>69.17795498031839</v>
          </cell>
          <cell r="AG88">
            <v>73.683853145707943</v>
          </cell>
          <cell r="AH88">
            <v>82.296681479091191</v>
          </cell>
        </row>
        <row r="89">
          <cell r="F89">
            <v>87</v>
          </cell>
          <cell r="G89">
            <v>414.87322693439216</v>
          </cell>
          <cell r="N89">
            <v>96</v>
          </cell>
          <cell r="P89">
            <v>387.02344102666189</v>
          </cell>
          <cell r="Q89">
            <v>334.00122960600919</v>
          </cell>
          <cell r="R89">
            <v>272.23228841815398</v>
          </cell>
          <cell r="S89">
            <v>199.39447681693619</v>
          </cell>
          <cell r="T89">
            <v>108.94709864900531</v>
          </cell>
          <cell r="W89">
            <v>25.984769059149585</v>
          </cell>
          <cell r="X89">
            <v>22.280440229259113</v>
          </cell>
          <cell r="Y89">
            <v>18.313790423402565</v>
          </cell>
          <cell r="Z89">
            <v>13.820599425634867</v>
          </cell>
          <cell r="AA89">
            <v>6.4121158102318248</v>
          </cell>
          <cell r="AD89">
            <v>64.420957868442798</v>
          </cell>
          <cell r="AE89">
            <v>66.43285380601732</v>
          </cell>
          <cell r="AF89">
            <v>69.338935107544785</v>
          </cell>
          <cell r="AG89">
            <v>73.852923382179341</v>
          </cell>
          <cell r="AH89">
            <v>82.464389587138029</v>
          </cell>
        </row>
        <row r="90">
          <cell r="F90">
            <v>88</v>
          </cell>
          <cell r="G90">
            <v>444.72188840761549</v>
          </cell>
          <cell r="N90">
            <v>97</v>
          </cell>
          <cell r="P90">
            <v>414.87322693439216</v>
          </cell>
          <cell r="Q90">
            <v>358.28451878054108</v>
          </cell>
          <cell r="R90">
            <v>292.4026503433596</v>
          </cell>
          <cell r="S90">
            <v>212.58104148118252</v>
          </cell>
          <cell r="T90">
            <v>115.74963031469542</v>
          </cell>
          <cell r="W90">
            <v>27.849785907730279</v>
          </cell>
          <cell r="X90">
            <v>24.283289174531888</v>
          </cell>
          <cell r="Y90">
            <v>20.170361925205611</v>
          </cell>
          <cell r="Z90">
            <v>13.186564664246333</v>
          </cell>
          <cell r="AA90">
            <v>6.8025316656901111</v>
          </cell>
          <cell r="AD90">
            <v>64.585942742481365</v>
          </cell>
          <cell r="AE90">
            <v>66.596336007085796</v>
          </cell>
          <cell r="AF90">
            <v>69.49991523477118</v>
          </cell>
          <cell r="AG90">
            <v>74.02050499447661</v>
          </cell>
          <cell r="AH90">
            <v>82.632097695184868</v>
          </cell>
        </row>
        <row r="91">
          <cell r="F91">
            <v>89</v>
          </cell>
          <cell r="G91">
            <v>476.71289166684534</v>
          </cell>
          <cell r="N91">
            <v>98</v>
          </cell>
          <cell r="P91">
            <v>444.72188840761549</v>
          </cell>
          <cell r="Q91">
            <v>384.7733778502689</v>
          </cell>
          <cell r="R91">
            <v>312.90632068359827</v>
          </cell>
          <cell r="S91">
            <v>226.0076636887502</v>
          </cell>
          <cell r="T91">
            <v>123.1879630889095</v>
          </cell>
          <cell r="W91">
            <v>29.848661473223331</v>
          </cell>
          <cell r="X91">
            <v>26.488859069727823</v>
          </cell>
          <cell r="Y91">
            <v>20.503670340238671</v>
          </cell>
          <cell r="Z91">
            <v>13.426622207567675</v>
          </cell>
          <cell r="AA91">
            <v>7.438332774214075</v>
          </cell>
          <cell r="AD91">
            <v>64.750927616519931</v>
          </cell>
          <cell r="AE91">
            <v>66.759818208154257</v>
          </cell>
          <cell r="AF91">
            <v>69.660895361997589</v>
          </cell>
          <cell r="AG91">
            <v>74.178131818877702</v>
          </cell>
          <cell r="AH91">
            <v>82.799805803231706</v>
          </cell>
        </row>
        <row r="92">
          <cell r="F92">
            <v>90</v>
          </cell>
          <cell r="G92">
            <v>511</v>
          </cell>
          <cell r="N92">
            <v>99</v>
          </cell>
          <cell r="P92">
            <v>476.71289166684534</v>
          </cell>
          <cell r="Q92">
            <v>411.78459582182103</v>
          </cell>
          <cell r="R92">
            <v>332.60258451595797</v>
          </cell>
          <cell r="S92">
            <v>240.31096868925673</v>
          </cell>
          <cell r="T92">
            <v>130.61933231671563</v>
          </cell>
          <cell r="W92">
            <v>31.991003259229842</v>
          </cell>
          <cell r="X92">
            <v>27.011217971552128</v>
          </cell>
          <cell r="Y92">
            <v>19.696263832359705</v>
          </cell>
          <cell r="Z92">
            <v>14.303305000506526</v>
          </cell>
          <cell r="AA92">
            <v>7.4313692278061296</v>
          </cell>
          <cell r="AD92">
            <v>64.915912490558512</v>
          </cell>
          <cell r="AE92">
            <v>66.923300409222719</v>
          </cell>
          <cell r="AF92">
            <v>69.821875489223984</v>
          </cell>
          <cell r="AG92">
            <v>74.335758643278794</v>
          </cell>
          <cell r="AH92">
            <v>82.967513911278544</v>
          </cell>
        </row>
        <row r="93">
          <cell r="F93">
            <v>91</v>
          </cell>
          <cell r="G93">
            <v>547.74801281858208</v>
          </cell>
          <cell r="N93">
            <v>100</v>
          </cell>
          <cell r="P93">
            <v>511</v>
          </cell>
          <cell r="Q93">
            <v>438.13140000000004</v>
          </cell>
          <cell r="R93">
            <v>354.12299999999999</v>
          </cell>
          <cell r="S93">
            <v>254.88680000000002</v>
          </cell>
          <cell r="T93">
            <v>138.48100000000002</v>
          </cell>
          <cell r="W93">
            <v>34.287108333154663</v>
          </cell>
          <cell r="X93">
            <v>26.346804178179013</v>
          </cell>
          <cell r="Y93">
            <v>21.520415484042019</v>
          </cell>
          <cell r="Z93">
            <v>14.575831310743297</v>
          </cell>
          <cell r="AA93">
            <v>7.861667683284395</v>
          </cell>
          <cell r="AD93">
            <v>65.075479910097457</v>
          </cell>
          <cell r="AE93">
            <v>67.083433628014333</v>
          </cell>
          <cell r="AF93">
            <v>69.982855616450394</v>
          </cell>
          <cell r="AG93">
            <v>74.493385467679886</v>
          </cell>
          <cell r="AH93">
            <v>83.124894550960335</v>
          </cell>
        </row>
        <row r="94">
          <cell r="F94">
            <v>92</v>
          </cell>
          <cell r="G94">
            <v>587.1335577584814</v>
          </cell>
          <cell r="N94">
            <v>101</v>
          </cell>
          <cell r="P94">
            <v>547.74801281858208</v>
          </cell>
          <cell r="Q94">
            <v>469.6391461906523</v>
          </cell>
          <cell r="R94">
            <v>378.43910205635837</v>
          </cell>
          <cell r="S94">
            <v>272.61418597980827</v>
          </cell>
          <cell r="T94">
            <v>147.89196346101718</v>
          </cell>
          <cell r="W94">
            <v>36.748012818582083</v>
          </cell>
          <cell r="X94">
            <v>31.507746190652256</v>
          </cell>
          <cell r="Y94">
            <v>24.316102056358375</v>
          </cell>
          <cell r="Z94">
            <v>17.727385979808247</v>
          </cell>
          <cell r="AA94">
            <v>9.4109634610171611</v>
          </cell>
          <cell r="AD94">
            <v>65.229416240679981</v>
          </cell>
          <cell r="AE94">
            <v>67.240606973055961</v>
          </cell>
          <cell r="AF94">
            <v>70.137942795989005</v>
          </cell>
          <cell r="AG94">
            <v>74.651012292080978</v>
          </cell>
          <cell r="AH94">
            <v>83.279794092850153</v>
          </cell>
        </row>
        <row r="95">
          <cell r="F95">
            <v>93</v>
          </cell>
          <cell r="G95">
            <v>629.34593963259704</v>
          </cell>
          <cell r="N95">
            <v>102</v>
          </cell>
          <cell r="P95">
            <v>587.1335577584814</v>
          </cell>
          <cell r="Q95">
            <v>502.29275866238083</v>
          </cell>
          <cell r="R95">
            <v>405.12215485335213</v>
          </cell>
          <cell r="S95">
            <v>291.57052478286187</v>
          </cell>
          <cell r="T95">
            <v>157.64536025815227</v>
          </cell>
          <cell r="W95">
            <v>39.385544939899319</v>
          </cell>
          <cell r="X95">
            <v>32.653612471728536</v>
          </cell>
          <cell r="Y95">
            <v>26.683052796993763</v>
          </cell>
          <cell r="Z95">
            <v>18.956338803053598</v>
          </cell>
          <cell r="AA95">
            <v>9.7533967971350819</v>
          </cell>
          <cell r="AD95">
            <v>65.38335257126252</v>
          </cell>
          <cell r="AE95">
            <v>67.397780318097588</v>
          </cell>
          <cell r="AF95">
            <v>70.292327570459079</v>
          </cell>
          <cell r="AG95">
            <v>74.808639116482055</v>
          </cell>
          <cell r="AH95">
            <v>83.434693634739986</v>
          </cell>
        </row>
        <row r="96">
          <cell r="F96">
            <v>94</v>
          </cell>
          <cell r="G96">
            <v>674.58805031572183</v>
          </cell>
          <cell r="N96">
            <v>103</v>
          </cell>
          <cell r="P96">
            <v>629.34593963259704</v>
          </cell>
          <cell r="Q96">
            <v>538.34251676172357</v>
          </cell>
          <cell r="R96">
            <v>433.68228700082267</v>
          </cell>
          <cell r="S96">
            <v>311.52624011813555</v>
          </cell>
          <cell r="T96">
            <v>168.35003885171972</v>
          </cell>
          <cell r="W96">
            <v>42.212381874115636</v>
          </cell>
          <cell r="X96">
            <v>36.049758099342739</v>
          </cell>
          <cell r="Y96">
            <v>28.56013214747054</v>
          </cell>
          <cell r="Z96">
            <v>19.95571533527368</v>
          </cell>
          <cell r="AA96">
            <v>10.704678593567451</v>
          </cell>
          <cell r="AD96">
            <v>65.537288901845059</v>
          </cell>
          <cell r="AE96">
            <v>67.554953663139216</v>
          </cell>
          <cell r="AF96">
            <v>70.446712344929153</v>
          </cell>
          <cell r="AG96">
            <v>74.966265940883147</v>
          </cell>
          <cell r="AH96">
            <v>83.589593176629805</v>
          </cell>
        </row>
        <row r="97">
          <cell r="F97">
            <v>95</v>
          </cell>
          <cell r="G97">
            <v>723.0773439350246</v>
          </cell>
          <cell r="N97">
            <v>104</v>
          </cell>
          <cell r="P97">
            <v>674.58805031572183</v>
          </cell>
          <cell r="Q97">
            <v>576.30057138472114</v>
          </cell>
          <cell r="R97">
            <v>464.04911981218504</v>
          </cell>
          <cell r="S97">
            <v>332.70682641571403</v>
          </cell>
          <cell r="T97">
            <v>179.6427977990767</v>
          </cell>
          <cell r="W97">
            <v>45.242110683124793</v>
          </cell>
          <cell r="X97">
            <v>37.958054622997565</v>
          </cell>
          <cell r="Y97">
            <v>30.366832811362372</v>
          </cell>
          <cell r="Z97">
            <v>21.180586297578486</v>
          </cell>
          <cell r="AA97">
            <v>11.292758947356987</v>
          </cell>
          <cell r="AD97">
            <v>65.691225232427584</v>
          </cell>
          <cell r="AE97">
            <v>67.712127008180858</v>
          </cell>
          <cell r="AF97">
            <v>70.601097119399213</v>
          </cell>
          <cell r="AG97">
            <v>75.115180559621535</v>
          </cell>
          <cell r="AH97">
            <v>83.744492718519624</v>
          </cell>
        </row>
        <row r="98">
          <cell r="F98">
            <v>96</v>
          </cell>
          <cell r="G98">
            <v>775.04688205332377</v>
          </cell>
          <cell r="N98">
            <v>105</v>
          </cell>
          <cell r="P98">
            <v>723.0773439350246</v>
          </cell>
          <cell r="Q98">
            <v>618.15882133005255</v>
          </cell>
          <cell r="R98">
            <v>495.95875020503337</v>
          </cell>
          <cell r="S98">
            <v>355.39251454406457</v>
          </cell>
          <cell r="T98">
            <v>192.84472762747106</v>
          </cell>
          <cell r="W98">
            <v>48.489293619302771</v>
          </cell>
          <cell r="X98">
            <v>41.858249945331409</v>
          </cell>
          <cell r="Y98">
            <v>31.909630392848328</v>
          </cell>
          <cell r="Z98">
            <v>22.685688128350534</v>
          </cell>
          <cell r="AA98">
            <v>13.201929828394356</v>
          </cell>
          <cell r="AD98">
            <v>65.845161563010123</v>
          </cell>
          <cell r="AE98">
            <v>67.869300353222485</v>
          </cell>
          <cell r="AF98">
            <v>70.755481893869288</v>
          </cell>
          <cell r="AG98">
            <v>75.261722981240993</v>
          </cell>
          <cell r="AH98">
            <v>83.899392260409456</v>
          </cell>
        </row>
        <row r="99">
          <cell r="F99">
            <v>97</v>
          </cell>
          <cell r="G99">
            <v>830.74645386878444</v>
          </cell>
          <cell r="N99">
            <v>106</v>
          </cell>
          <cell r="P99">
            <v>775.04688205332377</v>
          </cell>
          <cell r="Q99">
            <v>661.0374857032798</v>
          </cell>
          <cell r="R99">
            <v>529.97705794806279</v>
          </cell>
          <cell r="S99">
            <v>380.70302846459265</v>
          </cell>
          <cell r="T99">
            <v>206.86001282003213</v>
          </cell>
          <cell r="W99">
            <v>51.96953811829917</v>
          </cell>
          <cell r="X99">
            <v>42.878664373227252</v>
          </cell>
          <cell r="Y99">
            <v>34.018307743029425</v>
          </cell>
          <cell r="Z99">
            <v>25.310513920528081</v>
          </cell>
          <cell r="AA99">
            <v>14.015285192561066</v>
          </cell>
          <cell r="AD99">
            <v>65.999097893592648</v>
          </cell>
          <cell r="AE99">
            <v>68.025215371037646</v>
          </cell>
          <cell r="AF99">
            <v>70.909866668339362</v>
          </cell>
          <cell r="AG99">
            <v>75.408265402860437</v>
          </cell>
          <cell r="AH99">
            <v>84.050903767166133</v>
          </cell>
        </row>
        <row r="100">
          <cell r="F100">
            <v>98</v>
          </cell>
          <cell r="G100">
            <v>890.4437768152311</v>
          </cell>
          <cell r="N100">
            <v>107</v>
          </cell>
          <cell r="P100">
            <v>830.74645386878444</v>
          </cell>
          <cell r="Q100">
            <v>707.71290405081743</v>
          </cell>
          <cell r="R100">
            <v>569.31054483627804</v>
          </cell>
          <cell r="S100">
            <v>409.80722569347137</v>
          </cell>
          <cell r="T100">
            <v>223.30464679992923</v>
          </cell>
          <cell r="W100">
            <v>55.699571815460672</v>
          </cell>
          <cell r="X100">
            <v>46.675418347537629</v>
          </cell>
          <cell r="Y100">
            <v>39.333486888215248</v>
          </cell>
          <cell r="Z100">
            <v>29.104197228878718</v>
          </cell>
          <cell r="AA100">
            <v>16.444633979897105</v>
          </cell>
          <cell r="AD100">
            <v>66.142785979989682</v>
          </cell>
          <cell r="AE100">
            <v>68.174918074940805</v>
          </cell>
          <cell r="AF100">
            <v>71.061795050376986</v>
          </cell>
          <cell r="AG100">
            <v>75.554807824479894</v>
          </cell>
          <cell r="AH100">
            <v>84.196136930932482</v>
          </cell>
        </row>
        <row r="101">
          <cell r="F101">
            <v>99</v>
          </cell>
          <cell r="G101">
            <v>954.42578333369079</v>
          </cell>
          <cell r="N101">
            <v>108</v>
          </cell>
          <cell r="P101">
            <v>890.4437768152311</v>
          </cell>
          <cell r="Q101">
            <v>760.34994102252585</v>
          </cell>
          <cell r="R101">
            <v>612.98149595960513</v>
          </cell>
          <cell r="S101">
            <v>441.9272464333992</v>
          </cell>
          <cell r="T101">
            <v>240.77599725083846</v>
          </cell>
          <cell r="W101">
            <v>59.697322946446661</v>
          </cell>
          <cell r="X101">
            <v>52.637036971708426</v>
          </cell>
          <cell r="Y101">
            <v>43.670951123327086</v>
          </cell>
          <cell r="Z101">
            <v>32.120020739927838</v>
          </cell>
          <cell r="AA101">
            <v>17.471350450909227</v>
          </cell>
          <cell r="AD101">
            <v>66.286413655019302</v>
          </cell>
          <cell r="AE101">
            <v>68.324620778843951</v>
          </cell>
          <cell r="AF101">
            <v>71.210277551293188</v>
          </cell>
          <cell r="AG101">
            <v>75.701350246099338</v>
          </cell>
          <cell r="AH101">
            <v>84.341370094698831</v>
          </cell>
        </row>
        <row r="102">
          <cell r="F102">
            <v>100</v>
          </cell>
          <cell r="G102">
            <v>1023</v>
          </cell>
          <cell r="N102">
            <v>109</v>
          </cell>
          <cell r="P102">
            <v>954.42578333369079</v>
          </cell>
          <cell r="Q102">
            <v>816.51125764197252</v>
          </cell>
          <cell r="R102">
            <v>658.6492330785801</v>
          </cell>
          <cell r="S102">
            <v>475.39948267851139</v>
          </cell>
          <cell r="T102">
            <v>257.59951892176309</v>
          </cell>
          <cell r="W102">
            <v>63.982006518459684</v>
          </cell>
          <cell r="X102">
            <v>56.161316619446666</v>
          </cell>
          <cell r="Y102">
            <v>45.667737118974969</v>
          </cell>
          <cell r="Z102">
            <v>33.472236245112185</v>
          </cell>
          <cell r="AA102">
            <v>16.823521670924634</v>
          </cell>
          <cell r="AD102">
            <v>66.430041330048923</v>
          </cell>
          <cell r="AE102">
            <v>68.474323482747096</v>
          </cell>
          <cell r="AF102">
            <v>71.358760052209377</v>
          </cell>
          <cell r="AG102">
            <v>75.847892667718796</v>
          </cell>
          <cell r="AH102">
            <v>84.48660325846518</v>
          </cell>
        </row>
        <row r="103">
          <cell r="F103">
            <v>101</v>
          </cell>
          <cell r="G103">
            <v>1096.4960256371633</v>
          </cell>
          <cell r="N103">
            <v>110</v>
          </cell>
          <cell r="P103">
            <v>1023</v>
          </cell>
          <cell r="Q103">
            <v>875.38110000000006</v>
          </cell>
          <cell r="R103">
            <v>706.6884</v>
          </cell>
          <cell r="S103">
            <v>508.22640000000001</v>
          </cell>
          <cell r="T103">
            <v>274.77780000000001</v>
          </cell>
          <cell r="W103">
            <v>68.574216666309212</v>
          </cell>
          <cell r="X103">
            <v>58.86984235802754</v>
          </cell>
          <cell r="Y103">
            <v>48.039166921419906</v>
          </cell>
          <cell r="Z103">
            <v>32.826917321488622</v>
          </cell>
          <cell r="AA103">
            <v>17.178281078236921</v>
          </cell>
          <cell r="AD103">
            <v>66.573669005078543</v>
          </cell>
          <cell r="AE103">
            <v>68.624026186650241</v>
          </cell>
          <cell r="AF103">
            <v>71.507242553125565</v>
          </cell>
          <cell r="AG103">
            <v>75.994435089338239</v>
          </cell>
          <cell r="AH103">
            <v>84.63183642223153</v>
          </cell>
        </row>
        <row r="104">
          <cell r="F104">
            <v>102</v>
          </cell>
          <cell r="G104">
            <v>1175.2671155169628</v>
          </cell>
          <cell r="N104">
            <v>111</v>
          </cell>
          <cell r="P104">
            <v>1096.4960256371633</v>
          </cell>
          <cell r="Q104">
            <v>939.14884595823037</v>
          </cell>
          <cell r="R104">
            <v>756.25330888195151</v>
          </cell>
          <cell r="S104">
            <v>541.99798547244984</v>
          </cell>
          <cell r="T104">
            <v>293.42233646050488</v>
          </cell>
          <cell r="W104">
            <v>73.496025637163257</v>
          </cell>
          <cell r="X104">
            <v>63.767745958230307</v>
          </cell>
          <cell r="Y104">
            <v>49.56490888195151</v>
          </cell>
          <cell r="Z104">
            <v>33.771585472449829</v>
          </cell>
          <cell r="AA104">
            <v>18.644536460504867</v>
          </cell>
          <cell r="AD104">
            <v>66.717296680108163</v>
          </cell>
          <cell r="AE104">
            <v>68.773728890553386</v>
          </cell>
          <cell r="AF104">
            <v>71.655725054041767</v>
          </cell>
          <cell r="AG104">
            <v>76.130305911210229</v>
          </cell>
          <cell r="AH104">
            <v>84.777069585997879</v>
          </cell>
        </row>
        <row r="105">
          <cell r="F105">
            <v>103</v>
          </cell>
          <cell r="G105">
            <v>1259.6918792651943</v>
          </cell>
          <cell r="N105">
            <v>112</v>
          </cell>
          <cell r="P105">
            <v>1175.2671155169628</v>
          </cell>
          <cell r="Q105">
            <v>1004.2657502092447</v>
          </cell>
          <cell r="R105">
            <v>806.23324124463659</v>
          </cell>
          <cell r="S105">
            <v>577.99636741124232</v>
          </cell>
          <cell r="T105">
            <v>313.56126641992563</v>
          </cell>
          <cell r="W105">
            <v>78.771089879799547</v>
          </cell>
          <cell r="X105">
            <v>65.116904251014375</v>
          </cell>
          <cell r="Y105">
            <v>49.979932362685076</v>
          </cell>
          <cell r="Z105">
            <v>35.998381938792477</v>
          </cell>
          <cell r="AA105">
            <v>20.13892995942075</v>
          </cell>
          <cell r="AD105">
            <v>66.860924355137783</v>
          </cell>
          <cell r="AE105">
            <v>68.923431594456531</v>
          </cell>
          <cell r="AF105">
            <v>71.804207554957955</v>
          </cell>
          <cell r="AG105">
            <v>76.265755485049056</v>
          </cell>
          <cell r="AH105">
            <v>84.922302749764228</v>
          </cell>
        </row>
        <row r="106">
          <cell r="F106">
            <v>104</v>
          </cell>
          <cell r="G106">
            <v>1350.1761006314437</v>
          </cell>
          <cell r="N106">
            <v>113</v>
          </cell>
          <cell r="P106">
            <v>1259.6918792651943</v>
          </cell>
          <cell r="Q106">
            <v>1073.383450321872</v>
          </cell>
          <cell r="R106">
            <v>861.50327622946634</v>
          </cell>
          <cell r="S106">
            <v>619.01258947091651</v>
          </cell>
          <cell r="T106">
            <v>335.8338550121008</v>
          </cell>
          <cell r="W106">
            <v>84.424763748231499</v>
          </cell>
          <cell r="X106">
            <v>69.11770011262729</v>
          </cell>
          <cell r="Y106">
            <v>55.270034984829749</v>
          </cell>
          <cell r="Z106">
            <v>41.016222059674192</v>
          </cell>
          <cell r="AA106">
            <v>22.272588592175168</v>
          </cell>
          <cell r="AD106">
            <v>67.004247194324648</v>
          </cell>
          <cell r="AE106">
            <v>69.0655056802525</v>
          </cell>
          <cell r="AF106">
            <v>71.952690055874157</v>
          </cell>
          <cell r="AG106">
            <v>76.401205058887882</v>
          </cell>
          <cell r="AH106">
            <v>85.072521641060263</v>
          </cell>
        </row>
        <row r="107">
          <cell r="F107">
            <v>105</v>
          </cell>
          <cell r="G107">
            <v>1447.1546878700494</v>
          </cell>
          <cell r="N107">
            <v>114</v>
          </cell>
          <cell r="P107">
            <v>1350.1761006314437</v>
          </cell>
          <cell r="Q107">
            <v>1150.7550905681794</v>
          </cell>
          <cell r="R107">
            <v>925.41069937279144</v>
          </cell>
          <cell r="S107">
            <v>665.09674717104917</v>
          </cell>
          <cell r="T107">
            <v>360.49701886859549</v>
          </cell>
          <cell r="W107">
            <v>90.484221366249358</v>
          </cell>
          <cell r="X107">
            <v>77.371640246307379</v>
          </cell>
          <cell r="Y107">
            <v>63.907423143325104</v>
          </cell>
          <cell r="Z107">
            <v>46.084157700132664</v>
          </cell>
          <cell r="AA107">
            <v>24.663163856494691</v>
          </cell>
          <cell r="AD107">
            <v>67.138256553625013</v>
          </cell>
          <cell r="AE107">
            <v>69.199592937186125</v>
          </cell>
          <cell r="AF107">
            <v>72.093818006439079</v>
          </cell>
          <cell r="AG107">
            <v>76.536654632726695</v>
          </cell>
          <cell r="AH107">
            <v>85.228476403824274</v>
          </cell>
        </row>
        <row r="108">
          <cell r="F108">
            <v>106</v>
          </cell>
          <cell r="G108">
            <v>1551.0937641066464</v>
          </cell>
          <cell r="N108">
            <v>115</v>
          </cell>
          <cell r="P108">
            <v>1447.1546878700494</v>
          </cell>
          <cell r="Q108">
            <v>1234.8570951595132</v>
          </cell>
          <cell r="R108">
            <v>993.18226228521496</v>
          </cell>
          <cell r="S108">
            <v>713.59197658872131</v>
          </cell>
          <cell r="T108">
            <v>386.39030166130323</v>
          </cell>
          <cell r="W108">
            <v>96.978587238605769</v>
          </cell>
          <cell r="X108">
            <v>84.102004591333753</v>
          </cell>
          <cell r="Y108">
            <v>67.771562912423519</v>
          </cell>
          <cell r="Z108">
            <v>48.495229417672135</v>
          </cell>
          <cell r="AA108">
            <v>25.893282792707737</v>
          </cell>
          <cell r="AD108">
            <v>67.272265912925377</v>
          </cell>
          <cell r="AE108">
            <v>69.333680194119751</v>
          </cell>
          <cell r="AF108">
            <v>72.23150684883845</v>
          </cell>
          <cell r="AG108">
            <v>76.672104206565521</v>
          </cell>
          <cell r="AH108">
            <v>85.384431166588271</v>
          </cell>
        </row>
        <row r="109">
          <cell r="F109">
            <v>107</v>
          </cell>
          <cell r="G109">
            <v>1662.4929077375689</v>
          </cell>
          <cell r="N109">
            <v>116</v>
          </cell>
          <cell r="P109">
            <v>1551.0937641066464</v>
          </cell>
          <cell r="Q109">
            <v>1324.4789651706653</v>
          </cell>
          <cell r="R109">
            <v>1064.6707596828021</v>
          </cell>
          <cell r="S109">
            <v>764.3790069517554</v>
          </cell>
          <cell r="T109">
            <v>412.59094125236794</v>
          </cell>
          <cell r="W109">
            <v>103.93907623659697</v>
          </cell>
          <cell r="X109">
            <v>89.621870011152168</v>
          </cell>
          <cell r="Y109">
            <v>71.488497397587139</v>
          </cell>
          <cell r="Z109">
            <v>50.787030363034091</v>
          </cell>
          <cell r="AA109">
            <v>26.200639591064714</v>
          </cell>
          <cell r="AD109">
            <v>67.406275272225741</v>
          </cell>
          <cell r="AE109">
            <v>69.467767451053362</v>
          </cell>
          <cell r="AF109">
            <v>72.369195691237806</v>
          </cell>
          <cell r="AG109">
            <v>76.807553780404334</v>
          </cell>
          <cell r="AH109">
            <v>85.540385929352269</v>
          </cell>
        </row>
        <row r="110">
          <cell r="F110">
            <v>108</v>
          </cell>
          <cell r="G110">
            <v>1781.8875536304624</v>
          </cell>
          <cell r="N110">
            <v>117</v>
          </cell>
          <cell r="P110">
            <v>1662.4929077375689</v>
          </cell>
          <cell r="Q110">
            <v>1418.9376967540152</v>
          </cell>
          <cell r="R110">
            <v>1141.6338797433884</v>
          </cell>
          <cell r="S110">
            <v>816.11776840837263</v>
          </cell>
          <cell r="T110">
            <v>440.22812196890823</v>
          </cell>
          <cell r="W110">
            <v>111.39914363092248</v>
          </cell>
          <cell r="X110">
            <v>94.458731583349845</v>
          </cell>
          <cell r="Y110">
            <v>76.963120060586334</v>
          </cell>
          <cell r="Z110">
            <v>51.738761456617226</v>
          </cell>
          <cell r="AA110">
            <v>27.637180716540286</v>
          </cell>
          <cell r="AD110">
            <v>67.540284631526106</v>
          </cell>
          <cell r="AE110">
            <v>69.601854707986988</v>
          </cell>
          <cell r="AF110">
            <v>72.506884533637162</v>
          </cell>
          <cell r="AG110">
            <v>76.94300335424316</v>
          </cell>
          <cell r="AH110">
            <v>85.696340692116266</v>
          </cell>
        </row>
        <row r="111">
          <cell r="F111">
            <v>109</v>
          </cell>
          <cell r="G111">
            <v>1909.8515666673818</v>
          </cell>
          <cell r="N111">
            <v>118</v>
          </cell>
          <cell r="P111">
            <v>1781.8875536304624</v>
          </cell>
          <cell r="Q111">
            <v>1520.8410270235997</v>
          </cell>
          <cell r="R111">
            <v>1218.0983316617842</v>
          </cell>
          <cell r="S111">
            <v>871.69939123602228</v>
          </cell>
          <cell r="T111">
            <v>471.13106917989433</v>
          </cell>
          <cell r="W111">
            <v>119.39464589289355</v>
          </cell>
          <cell r="X111">
            <v>101.90333026958456</v>
          </cell>
          <cell r="Y111">
            <v>76.464451918395753</v>
          </cell>
          <cell r="Z111">
            <v>55.581622827649653</v>
          </cell>
          <cell r="AA111">
            <v>30.902947210986099</v>
          </cell>
          <cell r="AD111">
            <v>67.674293990826456</v>
          </cell>
          <cell r="AE111">
            <v>69.735941964920613</v>
          </cell>
          <cell r="AF111">
            <v>72.644573376036519</v>
          </cell>
          <cell r="AG111">
            <v>77.074762810762508</v>
          </cell>
          <cell r="AH111">
            <v>85.852295454880277</v>
          </cell>
        </row>
        <row r="112">
          <cell r="F112">
            <v>110</v>
          </cell>
          <cell r="G112">
            <v>2047</v>
          </cell>
          <cell r="N112">
            <v>119</v>
          </cell>
          <cell r="P112">
            <v>1909.8515666673818</v>
          </cell>
          <cell r="Q112">
            <v>1624.7107277639418</v>
          </cell>
          <cell r="R112">
            <v>1301.5638426838207</v>
          </cell>
          <cell r="S112">
            <v>931.81657937701561</v>
          </cell>
          <cell r="T112">
            <v>504.58278391352223</v>
          </cell>
          <cell r="W112">
            <v>127.96401303691937</v>
          </cell>
          <cell r="X112">
            <v>103.86970074034207</v>
          </cell>
          <cell r="Y112">
            <v>83.46551102203648</v>
          </cell>
          <cell r="Z112">
            <v>60.117188140993335</v>
          </cell>
          <cell r="AA112">
            <v>33.451714733627909</v>
          </cell>
          <cell r="AD112">
            <v>67.80830335012682</v>
          </cell>
          <cell r="AE112">
            <v>69.870029221854239</v>
          </cell>
          <cell r="AF112">
            <v>72.782262218435889</v>
          </cell>
          <cell r="AG112">
            <v>77.203841369133116</v>
          </cell>
          <cell r="AH112">
            <v>86.007776715139968</v>
          </cell>
        </row>
        <row r="113">
          <cell r="F113">
            <v>111</v>
          </cell>
          <cell r="G113">
            <v>2193.9920512743265</v>
          </cell>
          <cell r="N113">
            <v>120</v>
          </cell>
          <cell r="P113">
            <v>2047</v>
          </cell>
          <cell r="Q113">
            <v>1741.3829000000001</v>
          </cell>
          <cell r="R113">
            <v>1397.2821999999999</v>
          </cell>
          <cell r="S113">
            <v>1001.3924000000001</v>
          </cell>
          <cell r="T113">
            <v>542.04559999999992</v>
          </cell>
          <cell r="W113">
            <v>137.1484333326182</v>
          </cell>
          <cell r="X113">
            <v>116.67217223605826</v>
          </cell>
          <cell r="Y113">
            <v>95.718357316179208</v>
          </cell>
          <cell r="Z113">
            <v>69.575820622984452</v>
          </cell>
          <cell r="AA113">
            <v>37.462816086477687</v>
          </cell>
          <cell r="AD113">
            <v>67.942312709427185</v>
          </cell>
          <cell r="AE113">
            <v>70.003807055133578</v>
          </cell>
          <cell r="AF113">
            <v>72.919951060835245</v>
          </cell>
          <cell r="AG113">
            <v>77.332919927503724</v>
          </cell>
          <cell r="AH113">
            <v>86.154780808490045</v>
          </cell>
        </row>
        <row r="114">
          <cell r="F114">
            <v>112</v>
          </cell>
          <cell r="G114">
            <v>2351.5342310339256</v>
          </cell>
          <cell r="N114">
            <v>121</v>
          </cell>
          <cell r="P114">
            <v>2193.9920512743265</v>
          </cell>
          <cell r="Q114">
            <v>1869.0618284805987</v>
          </cell>
          <cell r="R114">
            <v>1500.4711638665117</v>
          </cell>
          <cell r="S114">
            <v>1076.5918995603122</v>
          </cell>
          <cell r="T114">
            <v>583.16308722871599</v>
          </cell>
          <cell r="W114">
            <v>146.99205127432651</v>
          </cell>
          <cell r="X114">
            <v>127.67892848059864</v>
          </cell>
          <cell r="Y114">
            <v>103.18896386651181</v>
          </cell>
          <cell r="Z114">
            <v>75.19949956031212</v>
          </cell>
          <cell r="AA114">
            <v>41.117487228716072</v>
          </cell>
          <cell r="AD114">
            <v>68.071211008105138</v>
          </cell>
          <cell r="AE114">
            <v>70.127815365673797</v>
          </cell>
          <cell r="AF114">
            <v>73.051543220271398</v>
          </cell>
          <cell r="AG114">
            <v>77.461998485874332</v>
          </cell>
          <cell r="AH114">
            <v>86.301784901840136</v>
          </cell>
        </row>
        <row r="115">
          <cell r="F115">
            <v>113</v>
          </cell>
          <cell r="G115">
            <v>2520.3837585303886</v>
          </cell>
          <cell r="N115">
            <v>122</v>
          </cell>
          <cell r="P115">
            <v>2351.5342310339256</v>
          </cell>
          <cell r="Q115">
            <v>2004.6829319564217</v>
          </cell>
          <cell r="R115">
            <v>1609.3900277196187</v>
          </cell>
          <cell r="S115">
            <v>1155.3087677069677</v>
          </cell>
          <cell r="T115">
            <v>623.15657122399034</v>
          </cell>
          <cell r="W115">
            <v>157.54217975959909</v>
          </cell>
          <cell r="X115">
            <v>135.62110347582302</v>
          </cell>
          <cell r="Y115">
            <v>108.91886385310704</v>
          </cell>
          <cell r="Z115">
            <v>78.716868146655543</v>
          </cell>
          <cell r="AA115">
            <v>39.993483995274346</v>
          </cell>
          <cell r="AD115">
            <v>68.196246161507091</v>
          </cell>
          <cell r="AE115">
            <v>70.251823676214016</v>
          </cell>
          <cell r="AF115">
            <v>73.174668450093861</v>
          </cell>
          <cell r="AG115">
            <v>77.591077044244926</v>
          </cell>
          <cell r="AH115">
            <v>86.448788995190213</v>
          </cell>
        </row>
        <row r="116">
          <cell r="F116">
            <v>114</v>
          </cell>
          <cell r="G116">
            <v>2701.3522012628878</v>
          </cell>
          <cell r="N116">
            <v>123</v>
          </cell>
          <cell r="P116">
            <v>2520.3837585303886</v>
          </cell>
          <cell r="Q116">
            <v>2149.6353076505684</v>
          </cell>
          <cell r="R116">
            <v>1726.7149129691693</v>
          </cell>
          <cell r="S116">
            <v>1235.7441568074496</v>
          </cell>
          <cell r="T116">
            <v>665.63335062787564</v>
          </cell>
          <cell r="W116">
            <v>168.849527496463</v>
          </cell>
          <cell r="X116">
            <v>144.95237569414667</v>
          </cell>
          <cell r="Y116">
            <v>117.32488524955056</v>
          </cell>
          <cell r="Z116">
            <v>80.435389100481871</v>
          </cell>
          <cell r="AA116">
            <v>42.476779403885303</v>
          </cell>
          <cell r="AD116">
            <v>68.321281314909029</v>
          </cell>
          <cell r="AE116">
            <v>70.375831986754235</v>
          </cell>
          <cell r="AF116">
            <v>73.297793679916325</v>
          </cell>
          <cell r="AG116">
            <v>77.720155602615534</v>
          </cell>
          <cell r="AH116">
            <v>86.595793088540304</v>
          </cell>
        </row>
        <row r="117">
          <cell r="F117">
            <v>115</v>
          </cell>
          <cell r="G117">
            <v>2895.3093757400989</v>
          </cell>
          <cell r="N117">
            <v>124</v>
          </cell>
          <cell r="P117">
            <v>2701.3522012628878</v>
          </cell>
          <cell r="Q117">
            <v>2304.5235628973696</v>
          </cell>
          <cell r="R117">
            <v>1846.3742295631837</v>
          </cell>
          <cell r="S117">
            <v>1319.3404150967945</v>
          </cell>
          <cell r="T117">
            <v>710.99589937239205</v>
          </cell>
          <cell r="W117">
            <v>180.96844273249917</v>
          </cell>
          <cell r="X117">
            <v>154.88825524680124</v>
          </cell>
          <cell r="Y117">
            <v>119.6593165940144</v>
          </cell>
          <cell r="Z117">
            <v>83.59625828934486</v>
          </cell>
          <cell r="AA117">
            <v>45.362548744516403</v>
          </cell>
          <cell r="AD117">
            <v>68.446316468310982</v>
          </cell>
          <cell r="AE117">
            <v>70.499840297294455</v>
          </cell>
          <cell r="AF117">
            <v>73.420918909738774</v>
          </cell>
          <cell r="AG117">
            <v>77.849234160986143</v>
          </cell>
          <cell r="AH117">
            <v>86.742797181890381</v>
          </cell>
        </row>
        <row r="118">
          <cell r="F118">
            <v>116</v>
          </cell>
          <cell r="G118">
            <v>3103.1875282132928</v>
          </cell>
          <cell r="N118">
            <v>125</v>
          </cell>
          <cell r="P118">
            <v>2895.3093757400989</v>
          </cell>
          <cell r="Q118">
            <v>2463.0396859421021</v>
          </cell>
          <cell r="R118">
            <v>1969.9684992535633</v>
          </cell>
          <cell r="S118">
            <v>1407.1203566096881</v>
          </cell>
          <cell r="T118">
            <v>758.86058738147995</v>
          </cell>
          <cell r="W118">
            <v>193.95717447721108</v>
          </cell>
          <cell r="X118">
            <v>158.51612304473247</v>
          </cell>
          <cell r="Y118">
            <v>123.59426969037963</v>
          </cell>
          <cell r="Z118">
            <v>87.779941512893629</v>
          </cell>
          <cell r="AA118">
            <v>47.864688009087899</v>
          </cell>
          <cell r="AD118">
            <v>68.571351621712935</v>
          </cell>
          <cell r="AE118">
            <v>70.623848607834674</v>
          </cell>
          <cell r="AF118">
            <v>73.544044139561237</v>
          </cell>
          <cell r="AG118">
            <v>77.978312719356751</v>
          </cell>
          <cell r="AH118">
            <v>86.889801275240458</v>
          </cell>
        </row>
        <row r="119">
          <cell r="F119">
            <v>117</v>
          </cell>
          <cell r="G119">
            <v>3325.985815475135</v>
          </cell>
          <cell r="N119">
            <v>126</v>
          </cell>
          <cell r="P119">
            <v>3103.1875282132928</v>
          </cell>
          <cell r="Q119">
            <v>2636.7784427228348</v>
          </cell>
          <cell r="R119">
            <v>2108.9262441737537</v>
          </cell>
          <cell r="S119">
            <v>1509.0800949701243</v>
          </cell>
          <cell r="T119">
            <v>813.34545114470404</v>
          </cell>
          <cell r="W119">
            <v>207.87815247319395</v>
          </cell>
          <cell r="X119">
            <v>173.73875678073273</v>
          </cell>
          <cell r="Y119">
            <v>138.95774492019041</v>
          </cell>
          <cell r="Z119">
            <v>101.95973836043618</v>
          </cell>
          <cell r="AA119">
            <v>54.484863763224098</v>
          </cell>
          <cell r="AD119">
            <v>68.696386775114874</v>
          </cell>
          <cell r="AE119">
            <v>70.747856918374893</v>
          </cell>
          <cell r="AF119">
            <v>73.667169369383686</v>
          </cell>
          <cell r="AG119">
            <v>78.10469841238104</v>
          </cell>
          <cell r="AH119">
            <v>87.033659382136349</v>
          </cell>
        </row>
        <row r="120">
          <cell r="F120">
            <v>118</v>
          </cell>
          <cell r="G120">
            <v>3564.7751072609281</v>
          </cell>
          <cell r="N120">
            <v>127</v>
          </cell>
          <cell r="P120">
            <v>3325.985815475135</v>
          </cell>
          <cell r="Q120">
            <v>2826.7553445723174</v>
          </cell>
          <cell r="R120">
            <v>2262.6681502677343</v>
          </cell>
          <cell r="S120">
            <v>1618.0920992286531</v>
          </cell>
          <cell r="T120">
            <v>873.07127656222303</v>
          </cell>
          <cell r="W120">
            <v>222.79828726184223</v>
          </cell>
          <cell r="X120">
            <v>189.9769018494826</v>
          </cell>
          <cell r="Y120">
            <v>153.74190609398056</v>
          </cell>
          <cell r="Z120">
            <v>109.0120042585288</v>
          </cell>
          <cell r="AA120">
            <v>59.72582541751899</v>
          </cell>
          <cell r="AD120">
            <v>68.821421928516827</v>
          </cell>
          <cell r="AE120">
            <v>70.871865228915112</v>
          </cell>
          <cell r="AF120">
            <v>73.790294599206149</v>
          </cell>
          <cell r="AG120">
            <v>78.230540290975199</v>
          </cell>
          <cell r="AH120">
            <v>87.168098110592624</v>
          </cell>
        </row>
        <row r="121">
          <cell r="F121">
            <v>119</v>
          </cell>
          <cell r="G121">
            <v>3820.7031333347636</v>
          </cell>
          <cell r="N121">
            <v>128</v>
          </cell>
          <cell r="P121">
            <v>3564.7751072609281</v>
          </cell>
          <cell r="Q121">
            <v>3030.4153186825147</v>
          </cell>
          <cell r="R121">
            <v>2426.1859380017877</v>
          </cell>
          <cell r="S121">
            <v>1737.4713872789764</v>
          </cell>
          <cell r="T121">
            <v>936.10994316671975</v>
          </cell>
          <cell r="W121">
            <v>238.78929178579301</v>
          </cell>
          <cell r="X121">
            <v>203.65997411019725</v>
          </cell>
          <cell r="Y121">
            <v>163.5177877340534</v>
          </cell>
          <cell r="Z121">
            <v>119.37928805032334</v>
          </cell>
          <cell r="AA121">
            <v>63.038666604496711</v>
          </cell>
          <cell r="AD121">
            <v>68.946457081918766</v>
          </cell>
          <cell r="AE121">
            <v>70.995873539455332</v>
          </cell>
          <cell r="AF121">
            <v>73.913419829028598</v>
          </cell>
          <cell r="AG121">
            <v>78.356382169569343</v>
          </cell>
          <cell r="AH121">
            <v>87.302536839048898</v>
          </cell>
        </row>
        <row r="122">
          <cell r="F122">
            <v>120</v>
          </cell>
          <cell r="G122">
            <v>4095</v>
          </cell>
          <cell r="N122">
            <v>129</v>
          </cell>
          <cell r="P122">
            <v>3820.7031333347636</v>
          </cell>
          <cell r="Q122">
            <v>3250.2721555278836</v>
          </cell>
          <cell r="R122">
            <v>2604.5733259943081</v>
          </cell>
          <cell r="S122">
            <v>1863.3569181273642</v>
          </cell>
          <cell r="T122">
            <v>1000.260080307041</v>
          </cell>
          <cell r="W122">
            <v>255.92802607383555</v>
          </cell>
          <cell r="X122">
            <v>219.85683684536889</v>
          </cell>
          <cell r="Y122">
            <v>178.38738799252042</v>
          </cell>
          <cell r="Z122">
            <v>125.88553084838782</v>
          </cell>
          <cell r="AA122">
            <v>64.150137140321249</v>
          </cell>
          <cell r="AD122">
            <v>69.066704614192943</v>
          </cell>
          <cell r="AE122">
            <v>71.113087458015798</v>
          </cell>
          <cell r="AF122">
            <v>74.034200876118248</v>
          </cell>
          <cell r="AG122">
            <v>78.482224048163502</v>
          </cell>
          <cell r="AH122">
            <v>87.436975567505186</v>
          </cell>
        </row>
        <row r="123">
          <cell r="F123">
            <v>121</v>
          </cell>
          <cell r="G123">
            <v>4388.9841025486576</v>
          </cell>
          <cell r="N123">
            <v>130</v>
          </cell>
          <cell r="P123">
            <v>4095</v>
          </cell>
          <cell r="Q123">
            <v>3486.0735</v>
          </cell>
          <cell r="R123">
            <v>2791.971</v>
          </cell>
          <cell r="S123">
            <v>1988.5319999999999</v>
          </cell>
          <cell r="T123">
            <v>1067.9759999999999</v>
          </cell>
          <cell r="W123">
            <v>274.29686666523639</v>
          </cell>
          <cell r="X123">
            <v>235.8013444721164</v>
          </cell>
          <cell r="Y123">
            <v>187.3976740056919</v>
          </cell>
          <cell r="Z123">
            <v>125.1750818726357</v>
          </cell>
          <cell r="AA123">
            <v>67.715919692958892</v>
          </cell>
          <cell r="AD123">
            <v>69.18336653741882</v>
          </cell>
          <cell r="AE123">
            <v>71.230067506391322</v>
          </cell>
          <cell r="AF123">
            <v>74.149428238300118</v>
          </cell>
          <cell r="AG123">
            <v>78.608065926757661</v>
          </cell>
          <cell r="AH123">
            <v>87.571414295961461</v>
          </cell>
        </row>
        <row r="124">
          <cell r="F124">
            <v>122</v>
          </cell>
          <cell r="G124">
            <v>4704.0684620678521</v>
          </cell>
          <cell r="N124">
            <v>131</v>
          </cell>
          <cell r="P124">
            <v>4388.9841025486576</v>
          </cell>
          <cell r="Q124">
            <v>3731.5142839868686</v>
          </cell>
          <cell r="R124">
            <v>2978.8035103997736</v>
          </cell>
          <cell r="S124">
            <v>2122.0738135822758</v>
          </cell>
          <cell r="T124">
            <v>1143.3303587139253</v>
          </cell>
          <cell r="W124">
            <v>293.98410254865757</v>
          </cell>
          <cell r="X124">
            <v>245.44078398686861</v>
          </cell>
          <cell r="Y124">
            <v>186.83251039977358</v>
          </cell>
          <cell r="Z124">
            <v>133.54181358227584</v>
          </cell>
          <cell r="AA124">
            <v>75.354358713925421</v>
          </cell>
          <cell r="AD124">
            <v>69.300028460644711</v>
          </cell>
          <cell r="AE124">
            <v>71.347047554766846</v>
          </cell>
          <cell r="AF124">
            <v>74.264655600481987</v>
          </cell>
          <cell r="AG124">
            <v>78.733907805351805</v>
          </cell>
          <cell r="AH124">
            <v>87.705853024417735</v>
          </cell>
        </row>
        <row r="125">
          <cell r="F125">
            <v>123</v>
          </cell>
          <cell r="G125">
            <v>5041.7675170607781</v>
          </cell>
          <cell r="N125">
            <v>132</v>
          </cell>
          <cell r="P125">
            <v>4704.0684620678521</v>
          </cell>
          <cell r="Q125">
            <v>3989.5204626797454</v>
          </cell>
          <cell r="R125">
            <v>3183.7135351275219</v>
          </cell>
          <cell r="S125">
            <v>2271.1242534863591</v>
          </cell>
          <cell r="T125">
            <v>1223.9986138300551</v>
          </cell>
          <cell r="W125">
            <v>315.08435951919455</v>
          </cell>
          <cell r="X125">
            <v>258.0061786928768</v>
          </cell>
          <cell r="Y125">
            <v>204.91002472774835</v>
          </cell>
          <cell r="Z125">
            <v>149.05043990408331</v>
          </cell>
          <cell r="AA125">
            <v>80.668255116129785</v>
          </cell>
          <cell r="AD125">
            <v>69.416690383870588</v>
          </cell>
          <cell r="AE125">
            <v>71.46402760314237</v>
          </cell>
          <cell r="AF125">
            <v>74.379882962663856</v>
          </cell>
          <cell r="AG125">
            <v>78.859749683945964</v>
          </cell>
          <cell r="AH125">
            <v>87.840291752874009</v>
          </cell>
        </row>
        <row r="126">
          <cell r="F126">
            <v>124</v>
          </cell>
          <cell r="G126">
            <v>5403.704402525771</v>
          </cell>
          <cell r="N126">
            <v>133</v>
          </cell>
          <cell r="P126">
            <v>5041.7675170607781</v>
          </cell>
          <cell r="Q126">
            <v>4275.9230312192458</v>
          </cell>
          <cell r="R126">
            <v>3419.8309068223257</v>
          </cell>
          <cell r="S126">
            <v>2442.7363620159467</v>
          </cell>
          <cell r="T126">
            <v>1316.4054987045693</v>
          </cell>
          <cell r="W126">
            <v>337.69905499292599</v>
          </cell>
          <cell r="X126">
            <v>286.40256853950041</v>
          </cell>
          <cell r="Y126">
            <v>236.11737169480375</v>
          </cell>
          <cell r="Z126">
            <v>171.61210852958766</v>
          </cell>
          <cell r="AA126">
            <v>92.406884874514162</v>
          </cell>
          <cell r="AD126">
            <v>69.533352307096465</v>
          </cell>
          <cell r="AE126">
            <v>71.581007651517908</v>
          </cell>
          <cell r="AF126">
            <v>74.495110324845726</v>
          </cell>
          <cell r="AG126">
            <v>78.985591562540122</v>
          </cell>
          <cell r="AH126">
            <v>87.974730481330297</v>
          </cell>
        </row>
        <row r="127">
          <cell r="F127">
            <v>125</v>
          </cell>
          <cell r="G127">
            <v>5791.6187514801986</v>
          </cell>
          <cell r="N127">
            <v>134</v>
          </cell>
          <cell r="P127">
            <v>5403.704402525771</v>
          </cell>
          <cell r="Q127">
            <v>4591.5276308261473</v>
          </cell>
          <cell r="R127">
            <v>3671.276771076009</v>
          </cell>
          <cell r="S127">
            <v>2624.0388578665143</v>
          </cell>
          <cell r="T127">
            <v>1415.7705534617521</v>
          </cell>
          <cell r="W127">
            <v>361.93688546499288</v>
          </cell>
          <cell r="X127">
            <v>315.6045996069015</v>
          </cell>
          <cell r="Y127">
            <v>251.44586425368334</v>
          </cell>
          <cell r="Z127">
            <v>181.30249585056754</v>
          </cell>
          <cell r="AA127">
            <v>99.365054757182861</v>
          </cell>
          <cell r="AD127">
            <v>69.650014230322356</v>
          </cell>
          <cell r="AE127">
            <v>71.697987699893432</v>
          </cell>
          <cell r="AF127">
            <v>74.610337687027609</v>
          </cell>
          <cell r="AG127">
            <v>79.104601412347151</v>
          </cell>
          <cell r="AH127">
            <v>88.109271506528316</v>
          </cell>
        </row>
        <row r="128">
          <cell r="F128">
            <v>126</v>
          </cell>
          <cell r="G128">
            <v>6207.3750564265865</v>
          </cell>
          <cell r="N128">
            <v>135</v>
          </cell>
          <cell r="P128">
            <v>5791.6187514801986</v>
          </cell>
          <cell r="Q128">
            <v>4918.821805632133</v>
          </cell>
          <cell r="R128">
            <v>3940.0382366319791</v>
          </cell>
          <cell r="S128">
            <v>2816.4641988448207</v>
          </cell>
          <cell r="T128">
            <v>1509.8750085108877</v>
          </cell>
          <cell r="W128">
            <v>387.91434895442762</v>
          </cell>
          <cell r="X128">
            <v>327.29417480598568</v>
          </cell>
          <cell r="Y128">
            <v>268.76146555597006</v>
          </cell>
          <cell r="Z128">
            <v>192.42534097830639</v>
          </cell>
          <cell r="AA128">
            <v>94.104455049135595</v>
          </cell>
          <cell r="AD128">
            <v>69.766676153548232</v>
          </cell>
          <cell r="AE128">
            <v>71.814967748268955</v>
          </cell>
          <cell r="AF128">
            <v>74.725565049209479</v>
          </cell>
          <cell r="AG128">
            <v>79.222727875098187</v>
          </cell>
          <cell r="AH128">
            <v>88.243836210467165</v>
          </cell>
        </row>
        <row r="129">
          <cell r="F129">
            <v>127</v>
          </cell>
          <cell r="G129">
            <v>6652.971630950271</v>
          </cell>
          <cell r="N129">
            <v>136</v>
          </cell>
          <cell r="P129">
            <v>6207.3750564265865</v>
          </cell>
          <cell r="Q129">
            <v>5279.3724854908123</v>
          </cell>
          <cell r="R129">
            <v>4225.9809384152195</v>
          </cell>
          <cell r="S129">
            <v>3006.8524773330387</v>
          </cell>
          <cell r="T129">
            <v>1610.1930896370566</v>
          </cell>
          <cell r="W129">
            <v>415.7563049463879</v>
          </cell>
          <cell r="X129">
            <v>360.55067985867936</v>
          </cell>
          <cell r="Y129">
            <v>285.94270178324041</v>
          </cell>
          <cell r="Z129">
            <v>190.38827848821802</v>
          </cell>
          <cell r="AA129">
            <v>100.31808112616886</v>
          </cell>
          <cell r="AD129">
            <v>69.883338076774123</v>
          </cell>
          <cell r="AE129">
            <v>71.931947796644479</v>
          </cell>
          <cell r="AF129">
            <v>74.840792411391348</v>
          </cell>
          <cell r="AG129">
            <v>79.340854337849223</v>
          </cell>
          <cell r="AH129">
            <v>88.378400914406001</v>
          </cell>
        </row>
        <row r="130">
          <cell r="F130">
            <v>128</v>
          </cell>
          <cell r="G130">
            <v>7130.5502145218443</v>
          </cell>
          <cell r="N130">
            <v>137</v>
          </cell>
          <cell r="P130">
            <v>6652.971630950271</v>
          </cell>
          <cell r="Q130">
            <v>5658.3523721232059</v>
          </cell>
          <cell r="R130">
            <v>4508.7188742949984</v>
          </cell>
          <cell r="S130">
            <v>3203.4058403025556</v>
          </cell>
          <cell r="T130">
            <v>1719.793166600645</v>
          </cell>
          <cell r="W130">
            <v>445.59657452368447</v>
          </cell>
          <cell r="X130">
            <v>378.97988663239357</v>
          </cell>
          <cell r="Y130">
            <v>282.73793587977889</v>
          </cell>
          <cell r="Z130">
            <v>196.55336296951691</v>
          </cell>
          <cell r="AA130">
            <v>109.60007696358844</v>
          </cell>
          <cell r="AD130">
            <v>70</v>
          </cell>
          <cell r="AE130">
            <v>72.047345051940553</v>
          </cell>
          <cell r="AF130">
            <v>74.956019773573217</v>
          </cell>
          <cell r="AG130">
            <v>79.458980800600258</v>
          </cell>
          <cell r="AH130">
            <v>88.51296561834485</v>
          </cell>
        </row>
        <row r="131">
          <cell r="F131">
            <v>129</v>
          </cell>
          <cell r="G131">
            <v>7642.4062666695281</v>
          </cell>
          <cell r="N131">
            <v>138</v>
          </cell>
          <cell r="P131">
            <v>7130.5502145218443</v>
          </cell>
          <cell r="Q131">
            <v>6036.010756592741</v>
          </cell>
          <cell r="R131">
            <v>4805.9908445877236</v>
          </cell>
          <cell r="S131">
            <v>3419.0988278632244</v>
          </cell>
          <cell r="T131">
            <v>1838.9689003251838</v>
          </cell>
          <cell r="W131">
            <v>477.57858357157329</v>
          </cell>
          <cell r="X131">
            <v>377.65838446953512</v>
          </cell>
          <cell r="Y131">
            <v>297.2719702927252</v>
          </cell>
          <cell r="Z131">
            <v>215.69298756066883</v>
          </cell>
          <cell r="AA131">
            <v>119.17573372453876</v>
          </cell>
          <cell r="AD131">
            <v>70.108849423225877</v>
          </cell>
          <cell r="AE131">
            <v>72.160540850040434</v>
          </cell>
          <cell r="AF131">
            <v>75.067682921736733</v>
          </cell>
          <cell r="AG131">
            <v>79.577107263351294</v>
          </cell>
          <cell r="AH131">
            <v>88.6475303222837</v>
          </cell>
        </row>
        <row r="132">
          <cell r="F132">
            <v>130</v>
          </cell>
          <cell r="G132">
            <v>8191</v>
          </cell>
          <cell r="N132">
            <v>139</v>
          </cell>
          <cell r="P132">
            <v>7642.4062666695281</v>
          </cell>
          <cell r="Q132">
            <v>6469.2969047357556</v>
          </cell>
          <cell r="R132">
            <v>5159.388470628599</v>
          </cell>
          <cell r="S132">
            <v>3676.7616548947103</v>
          </cell>
          <cell r="T132">
            <v>1975.5620199340731</v>
          </cell>
          <cell r="W132">
            <v>511.85605214768384</v>
          </cell>
          <cell r="X132">
            <v>433.28614814301454</v>
          </cell>
          <cell r="Y132">
            <v>353.39762604087537</v>
          </cell>
          <cell r="Z132">
            <v>257.6628270314859</v>
          </cell>
          <cell r="AA132">
            <v>136.59311960888931</v>
          </cell>
          <cell r="AD132">
            <v>70.217698846451768</v>
          </cell>
          <cell r="AE132">
            <v>72.273736648140314</v>
          </cell>
          <cell r="AF132">
            <v>75.177145912126889</v>
          </cell>
          <cell r="AG132">
            <v>79.69523372610233</v>
          </cell>
          <cell r="AH132">
            <v>88.782095026222549</v>
          </cell>
        </row>
        <row r="133">
          <cell r="F133">
            <v>131</v>
          </cell>
          <cell r="G133">
            <v>8778.9682050973151</v>
          </cell>
          <cell r="N133">
            <v>140</v>
          </cell>
          <cell r="P133">
            <v>8191</v>
          </cell>
          <cell r="Q133">
            <v>6941.8725000000004</v>
          </cell>
          <cell r="R133">
            <v>5542.0306</v>
          </cell>
          <cell r="S133">
            <v>3951.3384000000001</v>
          </cell>
          <cell r="T133">
            <v>2124.7454000000002</v>
          </cell>
          <cell r="W133">
            <v>548.59373333047188</v>
          </cell>
          <cell r="X133">
            <v>472.57559526424484</v>
          </cell>
          <cell r="Y133">
            <v>382.6421293714011</v>
          </cell>
          <cell r="Z133">
            <v>274.57674510528977</v>
          </cell>
          <cell r="AA133">
            <v>149.18338006592717</v>
          </cell>
          <cell r="AD133">
            <v>70.326548269677644</v>
          </cell>
          <cell r="AE133">
            <v>72.386932446240195</v>
          </cell>
          <cell r="AF133">
            <v>75.286608902517045</v>
          </cell>
          <cell r="AG133">
            <v>79.813360188853366</v>
          </cell>
          <cell r="AH133">
            <v>88.916659730161399</v>
          </cell>
        </row>
        <row r="134">
          <cell r="F134">
            <v>132</v>
          </cell>
          <cell r="G134">
            <v>9409.1369241357042</v>
          </cell>
          <cell r="N134">
            <v>141</v>
          </cell>
          <cell r="P134">
            <v>8778.9682050973151</v>
          </cell>
          <cell r="Q134">
            <v>7443.6871411020138</v>
          </cell>
          <cell r="R134">
            <v>5945.117268491902</v>
          </cell>
          <cell r="S134">
            <v>4244.6311271645518</v>
          </cell>
          <cell r="T134">
            <v>2275.5085587612239</v>
          </cell>
          <cell r="W134">
            <v>587.96820509731515</v>
          </cell>
          <cell r="X134">
            <v>501.81464110201341</v>
          </cell>
          <cell r="Y134">
            <v>403.08666849190195</v>
          </cell>
          <cell r="Z134">
            <v>293.29272716455171</v>
          </cell>
          <cell r="AA134">
            <v>150.76315876122362</v>
          </cell>
          <cell r="AD134">
            <v>70.435397692903535</v>
          </cell>
          <cell r="AE134">
            <v>72.50012824434009</v>
          </cell>
          <cell r="AF134">
            <v>75.396071892907202</v>
          </cell>
          <cell r="AG134">
            <v>79.931486651604402</v>
          </cell>
          <cell r="AH134">
            <v>89.048420729369383</v>
          </cell>
        </row>
        <row r="135">
          <cell r="F135">
            <v>133</v>
          </cell>
          <cell r="G135">
            <v>10084.535034121556</v>
          </cell>
          <cell r="N135">
            <v>142</v>
          </cell>
          <cell r="P135">
            <v>9409.1369241357042</v>
          </cell>
          <cell r="Q135">
            <v>7983.6526801291457</v>
          </cell>
          <cell r="R135">
            <v>6385.9812304109018</v>
          </cell>
          <cell r="S135">
            <v>4544.6131343575453</v>
          </cell>
          <cell r="T135">
            <v>2431.3209811966663</v>
          </cell>
          <cell r="W135">
            <v>630.1687190383891</v>
          </cell>
          <cell r="X135">
            <v>539.96553902713185</v>
          </cell>
          <cell r="Y135">
            <v>440.86396191899985</v>
          </cell>
          <cell r="Z135">
            <v>299.98200719299348</v>
          </cell>
          <cell r="AA135">
            <v>155.81242243544239</v>
          </cell>
          <cell r="AD135">
            <v>70.544247116129412</v>
          </cell>
          <cell r="AE135">
            <v>72.61332404243997</v>
          </cell>
          <cell r="AF135">
            <v>75.505534883297358</v>
          </cell>
          <cell r="AG135">
            <v>80.045750258986601</v>
          </cell>
          <cell r="AH135">
            <v>89.175620204122851</v>
          </cell>
        </row>
        <row r="136">
          <cell r="F136">
            <v>134</v>
          </cell>
          <cell r="G136">
            <v>10808.408805051544</v>
          </cell>
          <cell r="N136">
            <v>143</v>
          </cell>
          <cell r="P136">
            <v>10084.535034121556</v>
          </cell>
          <cell r="Q136">
            <v>8562.7786974726132</v>
          </cell>
          <cell r="R136">
            <v>6827.2302181002942</v>
          </cell>
          <cell r="S136">
            <v>4847.6359909022322</v>
          </cell>
          <cell r="T136">
            <v>2595.759317782889</v>
          </cell>
          <cell r="W136">
            <v>675.39810998585199</v>
          </cell>
          <cell r="X136">
            <v>579.12601734346754</v>
          </cell>
          <cell r="Y136">
            <v>441.24898768939238</v>
          </cell>
          <cell r="Z136">
            <v>303.02285654468687</v>
          </cell>
          <cell r="AA136">
            <v>164.4383365862227</v>
          </cell>
          <cell r="AD136">
            <v>70.653096539355303</v>
          </cell>
          <cell r="AE136">
            <v>72.726519840539851</v>
          </cell>
          <cell r="AF136">
            <v>75.614997873687514</v>
          </cell>
          <cell r="AG136">
            <v>80.154679447049915</v>
          </cell>
          <cell r="AH136">
            <v>89.302819678876304</v>
          </cell>
        </row>
        <row r="137">
          <cell r="F137">
            <v>135</v>
          </cell>
          <cell r="G137">
            <v>11584.237502960397</v>
          </cell>
          <cell r="N137">
            <v>144</v>
          </cell>
          <cell r="P137">
            <v>10808.408805051544</v>
          </cell>
          <cell r="Q137">
            <v>9151.4797352371424</v>
          </cell>
          <cell r="R137">
            <v>7283.7866937242361</v>
          </cell>
          <cell r="S137">
            <v>5175.0661358586794</v>
          </cell>
          <cell r="T137">
            <v>2775.5993811372364</v>
          </cell>
          <cell r="W137">
            <v>723.87377092998759</v>
          </cell>
          <cell r="X137">
            <v>588.70103776452925</v>
          </cell>
          <cell r="Y137">
            <v>456.55647562394188</v>
          </cell>
          <cell r="Z137">
            <v>327.43014495644729</v>
          </cell>
          <cell r="AA137">
            <v>179.84006335434742</v>
          </cell>
          <cell r="AD137">
            <v>70.76194596258118</v>
          </cell>
          <cell r="AE137">
            <v>72.839715638639731</v>
          </cell>
          <cell r="AF137">
            <v>75.72446086407767</v>
          </cell>
          <cell r="AG137">
            <v>80.263608635113243</v>
          </cell>
          <cell r="AH137">
            <v>89.430019153629758</v>
          </cell>
        </row>
        <row r="138">
          <cell r="F138">
            <v>136</v>
          </cell>
          <cell r="G138">
            <v>12415.750112853173</v>
          </cell>
          <cell r="N138">
            <v>145</v>
          </cell>
          <cell r="P138">
            <v>11584.237502960397</v>
          </cell>
          <cell r="Q138">
            <v>9796.789656253608</v>
          </cell>
          <cell r="R138">
            <v>7796.1918394923478</v>
          </cell>
          <cell r="S138">
            <v>5548.8497639180305</v>
          </cell>
          <cell r="T138">
            <v>2979.465885761414</v>
          </cell>
          <cell r="W138">
            <v>775.82869790885343</v>
          </cell>
          <cell r="X138">
            <v>645.30992101646552</v>
          </cell>
          <cell r="Y138">
            <v>512.40514576811165</v>
          </cell>
          <cell r="Z138">
            <v>373.78362805935103</v>
          </cell>
          <cell r="AA138">
            <v>203.86650462417765</v>
          </cell>
          <cell r="AD138">
            <v>70.870795385807057</v>
          </cell>
          <cell r="AE138">
            <v>72.952911436739612</v>
          </cell>
          <cell r="AF138">
            <v>75.833923854467812</v>
          </cell>
          <cell r="AG138">
            <v>80.372537823176572</v>
          </cell>
          <cell r="AH138">
            <v>89.557218628383211</v>
          </cell>
        </row>
        <row r="139">
          <cell r="F139">
            <v>137</v>
          </cell>
          <cell r="G139">
            <v>13306.943261900544</v>
          </cell>
          <cell r="N139">
            <v>146</v>
          </cell>
          <cell r="P139">
            <v>12415.750112853173</v>
          </cell>
          <cell r="Q139">
            <v>10507.449320507641</v>
          </cell>
          <cell r="R139">
            <v>8384.3560512097483</v>
          </cell>
          <cell r="S139">
            <v>5967.009504237235</v>
          </cell>
          <cell r="T139">
            <v>3204.5051041274041</v>
          </cell>
          <cell r="W139">
            <v>831.5126098927758</v>
          </cell>
          <cell r="X139">
            <v>710.65966425403349</v>
          </cell>
          <cell r="Y139">
            <v>588.16421171740058</v>
          </cell>
          <cell r="Z139">
            <v>418.1597403192045</v>
          </cell>
          <cell r="AA139">
            <v>225.03921836599011</v>
          </cell>
          <cell r="AD139">
            <v>70.979644809032948</v>
          </cell>
          <cell r="AE139">
            <v>73.059911975288244</v>
          </cell>
          <cell r="AF139">
            <v>75.943386844857969</v>
          </cell>
          <cell r="AG139">
            <v>80.4814670112399</v>
          </cell>
          <cell r="AH139">
            <v>89.684418103136665</v>
          </cell>
        </row>
        <row r="140">
          <cell r="F140">
            <v>138</v>
          </cell>
          <cell r="G140">
            <v>14262.10042904369</v>
          </cell>
          <cell r="N140">
            <v>147</v>
          </cell>
          <cell r="P140">
            <v>13306.943261900544</v>
          </cell>
          <cell r="Q140">
            <v>11274.973025808331</v>
          </cell>
          <cell r="R140">
            <v>8995.4936450447676</v>
          </cell>
          <cell r="S140">
            <v>6407.293180605112</v>
          </cell>
          <cell r="T140">
            <v>3438.5141388751008</v>
          </cell>
          <cell r="W140">
            <v>891.19314904737075</v>
          </cell>
          <cell r="X140">
            <v>767.52370530068947</v>
          </cell>
          <cell r="Y140">
            <v>611.13759383501929</v>
          </cell>
          <cell r="Z140">
            <v>440.28367636787698</v>
          </cell>
          <cell r="AA140">
            <v>234.00903474769666</v>
          </cell>
          <cell r="AD140">
            <v>71.082568038258202</v>
          </cell>
          <cell r="AE140">
            <v>73.162499594857536</v>
          </cell>
          <cell r="AF140">
            <v>76.048210495050611</v>
          </cell>
          <cell r="AG140">
            <v>80.590396199303228</v>
          </cell>
          <cell r="AH140">
            <v>89.811617577890132</v>
          </cell>
        </row>
        <row r="141">
          <cell r="F141">
            <v>139</v>
          </cell>
          <cell r="G141">
            <v>15285.812533339058</v>
          </cell>
          <cell r="N141">
            <v>148</v>
          </cell>
          <cell r="P141">
            <v>14262.10042904369</v>
          </cell>
          <cell r="Q141">
            <v>12084.27769352872</v>
          </cell>
          <cell r="R141">
            <v>9648.3109402480568</v>
          </cell>
          <cell r="S141">
            <v>6871.4799867132497</v>
          </cell>
          <cell r="T141">
            <v>3671.064650435846</v>
          </cell>
          <cell r="W141">
            <v>955.15716714314658</v>
          </cell>
          <cell r="X141">
            <v>809.30466772038926</v>
          </cell>
          <cell r="Y141">
            <v>652.81729520328918</v>
          </cell>
          <cell r="Z141">
            <v>464.18680610813772</v>
          </cell>
          <cell r="AA141">
            <v>232.55051156074524</v>
          </cell>
          <cell r="AD141">
            <v>71.184128141237707</v>
          </cell>
          <cell r="AE141">
            <v>73.265087214426828</v>
          </cell>
          <cell r="AF141">
            <v>76.148064447889894</v>
          </cell>
          <cell r="AG141">
            <v>80.699325387366557</v>
          </cell>
          <cell r="AH141">
            <v>89.938817052643586</v>
          </cell>
        </row>
        <row r="142">
          <cell r="F142">
            <v>140</v>
          </cell>
          <cell r="G142">
            <v>16383</v>
          </cell>
          <cell r="N142">
            <v>149</v>
          </cell>
          <cell r="P142">
            <v>15285.812533339058</v>
          </cell>
          <cell r="Q142">
            <v>12957.783284511519</v>
          </cell>
          <cell r="R142">
            <v>10342.380760057207</v>
          </cell>
          <cell r="S142">
            <v>7335.6614347494142</v>
          </cell>
          <cell r="T142">
            <v>3920.8109148014687</v>
          </cell>
          <cell r="W142">
            <v>1023.7121042953677</v>
          </cell>
          <cell r="X142">
            <v>873.50559098279882</v>
          </cell>
          <cell r="Y142">
            <v>694.06981980915043</v>
          </cell>
          <cell r="Z142">
            <v>464.18144803616451</v>
          </cell>
          <cell r="AA142">
            <v>249.74626436562266</v>
          </cell>
          <cell r="AD142">
            <v>71.285688244217212</v>
          </cell>
          <cell r="AE142">
            <v>73.367674833996119</v>
          </cell>
          <cell r="AF142">
            <v>76.247918400729162</v>
          </cell>
          <cell r="AG142">
            <v>80.808254575429885</v>
          </cell>
          <cell r="AH142">
            <v>90.055148444912135</v>
          </cell>
        </row>
        <row r="143">
          <cell r="F143">
            <v>141</v>
          </cell>
          <cell r="G143">
            <v>17558.936410194601</v>
          </cell>
          <cell r="N143">
            <v>150</v>
          </cell>
          <cell r="P143">
            <v>16383</v>
          </cell>
          <cell r="Q143">
            <v>13881.315900000001</v>
          </cell>
          <cell r="R143">
            <v>11037.2271</v>
          </cell>
          <cell r="S143">
            <v>7827.7974000000004</v>
          </cell>
          <cell r="T143">
            <v>4192.4097000000002</v>
          </cell>
          <cell r="W143">
            <v>1097.1874666609419</v>
          </cell>
          <cell r="X143">
            <v>923.53261548848241</v>
          </cell>
          <cell r="Y143">
            <v>694.84633994279284</v>
          </cell>
          <cell r="Z143">
            <v>492.1359652505862</v>
          </cell>
          <cell r="AA143">
            <v>271.59878519853146</v>
          </cell>
          <cell r="AD143">
            <v>71.387248347196717</v>
          </cell>
          <cell r="AE143">
            <v>73.470262453565411</v>
          </cell>
          <cell r="AF143">
            <v>76.347772353568445</v>
          </cell>
          <cell r="AG143">
            <v>80.917183763493213</v>
          </cell>
          <cell r="AH143">
            <v>90.16140749098561</v>
          </cell>
        </row>
        <row r="144">
          <cell r="F144">
            <v>142</v>
          </cell>
          <cell r="G144">
            <v>18819.273848271412</v>
          </cell>
          <cell r="N144">
            <v>151</v>
          </cell>
          <cell r="P144">
            <v>17558.936410194601</v>
          </cell>
          <cell r="Q144">
            <v>14839.057160255457</v>
          </cell>
          <cell r="R144">
            <v>11789.069905804656</v>
          </cell>
          <cell r="S144">
            <v>8380.8803485858825</v>
          </cell>
          <cell r="T144">
            <v>4489.820040086759</v>
          </cell>
          <cell r="W144">
            <v>1175.9364101946012</v>
          </cell>
          <cell r="X144">
            <v>957.74126025545593</v>
          </cell>
          <cell r="Y144">
            <v>751.84280580465565</v>
          </cell>
          <cell r="Z144">
            <v>553.08294858588215</v>
          </cell>
          <cell r="AA144">
            <v>297.41034008675888</v>
          </cell>
          <cell r="AD144">
            <v>71.488808450176208</v>
          </cell>
          <cell r="AE144">
            <v>73.572850073134703</v>
          </cell>
          <cell r="AF144">
            <v>76.447626306407713</v>
          </cell>
          <cell r="AG144">
            <v>81.023848662825003</v>
          </cell>
          <cell r="AH144">
            <v>90.267666537059071</v>
          </cell>
        </row>
        <row r="145">
          <cell r="F145">
            <v>143</v>
          </cell>
          <cell r="G145">
            <v>20170.070068243116</v>
          </cell>
          <cell r="N145">
            <v>152</v>
          </cell>
          <cell r="P145">
            <v>18819.273848271412</v>
          </cell>
          <cell r="Q145">
            <v>15904.16832917417</v>
          </cell>
          <cell r="R145">
            <v>12667.253227271489</v>
          </cell>
          <cell r="S145">
            <v>9003.140609013044</v>
          </cell>
          <cell r="T145">
            <v>4823.3798873119622</v>
          </cell>
          <cell r="W145">
            <v>1260.3374380768109</v>
          </cell>
          <cell r="X145">
            <v>1065.1111689187128</v>
          </cell>
          <cell r="Y145">
            <v>878.18332146683315</v>
          </cell>
          <cell r="Z145">
            <v>622.26026042716148</v>
          </cell>
          <cell r="AA145">
            <v>333.55984722520316</v>
          </cell>
          <cell r="AD145">
            <v>71.590368553155713</v>
          </cell>
          <cell r="AE145">
            <v>73.675437692703994</v>
          </cell>
          <cell r="AF145">
            <v>76.547480259246996</v>
          </cell>
          <cell r="AG145">
            <v>81.123332456233015</v>
          </cell>
          <cell r="AH145">
            <v>90.373925583132547</v>
          </cell>
        </row>
        <row r="146">
          <cell r="F146">
            <v>144</v>
          </cell>
          <cell r="G146">
            <v>21617.817610103088</v>
          </cell>
          <cell r="N146">
            <v>153</v>
          </cell>
          <cell r="P146">
            <v>20170.070068243116</v>
          </cell>
          <cell r="Q146">
            <v>17065.896284740498</v>
          </cell>
          <cell r="R146">
            <v>13594.62722599586</v>
          </cell>
          <cell r="S146">
            <v>9669.5315907157492</v>
          </cell>
          <cell r="T146">
            <v>5185.7250145453054</v>
          </cell>
          <cell r="W146">
            <v>1350.796219971704</v>
          </cell>
          <cell r="X146">
            <v>1161.7279555663281</v>
          </cell>
          <cell r="Y146">
            <v>927.37399872437163</v>
          </cell>
          <cell r="Z146">
            <v>666.39098170270518</v>
          </cell>
          <cell r="AA146">
            <v>362.34512723334319</v>
          </cell>
          <cell r="AD146">
            <v>71.691928656135218</v>
          </cell>
          <cell r="AE146">
            <v>73.778025312273286</v>
          </cell>
          <cell r="AF146">
            <v>76.647334212086264</v>
          </cell>
          <cell r="AG146">
            <v>81.222816249641028</v>
          </cell>
          <cell r="AH146">
            <v>90.480184629206022</v>
          </cell>
        </row>
        <row r="147">
          <cell r="F147">
            <v>145</v>
          </cell>
          <cell r="G147">
            <v>23169.475005920798</v>
          </cell>
          <cell r="N147">
            <v>154</v>
          </cell>
          <cell r="P147">
            <v>21617.817610103088</v>
          </cell>
          <cell r="Q147">
            <v>18290.835479908223</v>
          </cell>
          <cell r="R147">
            <v>14585.541541536553</v>
          </cell>
          <cell r="S147">
            <v>10380.876016371503</v>
          </cell>
          <cell r="T147">
            <v>5547.1319987524521</v>
          </cell>
          <cell r="W147">
            <v>1447.7475418599715</v>
          </cell>
          <cell r="X147">
            <v>1224.9391951677244</v>
          </cell>
          <cell r="Y147">
            <v>990.91431554069277</v>
          </cell>
          <cell r="Z147">
            <v>711.34442565575409</v>
          </cell>
          <cell r="AA147">
            <v>361.40698420714671</v>
          </cell>
          <cell r="AD147">
            <v>71.793488759114723</v>
          </cell>
          <cell r="AE147">
            <v>73.880612931842577</v>
          </cell>
          <cell r="AF147">
            <v>76.747188164925547</v>
          </cell>
          <cell r="AG147">
            <v>81.322300043049054</v>
          </cell>
          <cell r="AH147">
            <v>90.586443675279497</v>
          </cell>
        </row>
        <row r="148">
          <cell r="F148">
            <v>146</v>
          </cell>
          <cell r="G148">
            <v>24832.50022570635</v>
          </cell>
          <cell r="N148">
            <v>155</v>
          </cell>
          <cell r="P148">
            <v>23169.475005920798</v>
          </cell>
          <cell r="Q148">
            <v>19631.496172516694</v>
          </cell>
          <cell r="R148">
            <v>15650.9803664995</v>
          </cell>
          <cell r="S148">
            <v>11105.129370337838</v>
          </cell>
          <cell r="T148">
            <v>5926.7517065145412</v>
          </cell>
          <cell r="W148">
            <v>1551.6573958177105</v>
          </cell>
          <cell r="X148">
            <v>1340.6606926084714</v>
          </cell>
          <cell r="Y148">
            <v>1065.4388249629465</v>
          </cell>
          <cell r="Z148">
            <v>724.25335396633454</v>
          </cell>
          <cell r="AA148">
            <v>379.61970776208909</v>
          </cell>
          <cell r="AD148">
            <v>71.895048862094214</v>
          </cell>
          <cell r="AE148">
            <v>73.983200551411869</v>
          </cell>
          <cell r="AF148">
            <v>76.847042117764815</v>
          </cell>
          <cell r="AG148">
            <v>81.421783836457067</v>
          </cell>
          <cell r="AH148">
            <v>90.692702721352973</v>
          </cell>
        </row>
        <row r="149">
          <cell r="F149">
            <v>147</v>
          </cell>
          <cell r="G149">
            <v>26614.886523801088</v>
          </cell>
          <cell r="N149">
            <v>156</v>
          </cell>
          <cell r="P149">
            <v>24832.50022570635</v>
          </cell>
          <cell r="Q149">
            <v>21035.61094119585</v>
          </cell>
          <cell r="R149">
            <v>16719.722401968087</v>
          </cell>
          <cell r="S149">
            <v>11847.5858576845</v>
          </cell>
          <cell r="T149">
            <v>6324.8378074874072</v>
          </cell>
          <cell r="W149">
            <v>1663.0252197855516</v>
          </cell>
          <cell r="X149">
            <v>1404.1147686791555</v>
          </cell>
          <cell r="Y149">
            <v>1068.7420354685873</v>
          </cell>
          <cell r="Z149">
            <v>742.45648734666247</v>
          </cell>
          <cell r="AA149">
            <v>398.08610097286601</v>
          </cell>
          <cell r="AD149">
            <v>71.996608965073719</v>
          </cell>
          <cell r="AE149">
            <v>74.078973000522922</v>
          </cell>
          <cell r="AF149">
            <v>76.946896070604097</v>
          </cell>
          <cell r="AG149">
            <v>81.521267629865079</v>
          </cell>
          <cell r="AH149">
            <v>90.798961767426448</v>
          </cell>
        </row>
        <row r="150">
          <cell r="F150">
            <v>148</v>
          </cell>
          <cell r="G150">
            <v>28525.200858087381</v>
          </cell>
          <cell r="N150">
            <v>157</v>
          </cell>
          <cell r="P150">
            <v>26614.886523801088</v>
          </cell>
          <cell r="Q150">
            <v>22470.948692045258</v>
          </cell>
          <cell r="R150">
            <v>17837.296948251489</v>
          </cell>
          <cell r="S150">
            <v>12631.425144195997</v>
          </cell>
          <cell r="T150">
            <v>6754.8581997407164</v>
          </cell>
          <cell r="W150">
            <v>1782.3862980947379</v>
          </cell>
          <cell r="X150">
            <v>1435.3377508494086</v>
          </cell>
          <cell r="Y150">
            <v>1117.574546283402</v>
          </cell>
          <cell r="Z150">
            <v>783.83928651149654</v>
          </cell>
          <cell r="AA150">
            <v>430.02039225330918</v>
          </cell>
          <cell r="AD150">
            <v>72.091594979242075</v>
          </cell>
          <cell r="AE150">
            <v>74.173410870467364</v>
          </cell>
          <cell r="AF150">
            <v>77.043751281705866</v>
          </cell>
          <cell r="AG150">
            <v>81.620751423273092</v>
          </cell>
          <cell r="AH150">
            <v>90.905220813499923</v>
          </cell>
        </row>
        <row r="151">
          <cell r="F151">
            <v>149</v>
          </cell>
          <cell r="G151">
            <v>30572.62506667812</v>
          </cell>
          <cell r="N151">
            <v>158</v>
          </cell>
          <cell r="P151">
            <v>28525.200858087381</v>
          </cell>
          <cell r="Q151">
            <v>24083.827084483179</v>
          </cell>
          <cell r="R151">
            <v>19128.999695433398</v>
          </cell>
          <cell r="S151">
            <v>13566.58552810636</v>
          </cell>
          <cell r="T151">
            <v>7242.5484978683862</v>
          </cell>
          <cell r="W151">
            <v>1910.3143342862932</v>
          </cell>
          <cell r="X151">
            <v>1612.8783924379204</v>
          </cell>
          <cell r="Y151">
            <v>1291.7027471819092</v>
          </cell>
          <cell r="Z151">
            <v>935.16038391036273</v>
          </cell>
          <cell r="AA151">
            <v>487.69029812766985</v>
          </cell>
          <cell r="AD151">
            <v>72.186353905945822</v>
          </cell>
          <cell r="AE151">
            <v>74.267848740411821</v>
          </cell>
          <cell r="AF151">
            <v>77.137200185007629</v>
          </cell>
          <cell r="AG151">
            <v>81.720235216681118</v>
          </cell>
          <cell r="AH151">
            <v>91.011076811620597</v>
          </cell>
        </row>
        <row r="152">
          <cell r="F152">
            <v>150</v>
          </cell>
          <cell r="G152">
            <v>32767</v>
          </cell>
          <cell r="N152">
            <v>159</v>
          </cell>
          <cell r="P152">
            <v>30572.62506667812</v>
          </cell>
          <cell r="Q152">
            <v>25818.581868809673</v>
          </cell>
          <cell r="R152">
            <v>20520.345944754354</v>
          </cell>
          <cell r="S152">
            <v>14549.512269232117</v>
          </cell>
          <cell r="T152">
            <v>7768.50402944291</v>
          </cell>
          <cell r="W152">
            <v>2047.424208590739</v>
          </cell>
          <cell r="X152">
            <v>1734.7547843264947</v>
          </cell>
          <cell r="Y152">
            <v>1391.3462493209554</v>
          </cell>
          <cell r="Z152">
            <v>982.92674112575696</v>
          </cell>
          <cell r="AA152">
            <v>525.95553157452377</v>
          </cell>
          <cell r="AD152">
            <v>72.281112832649583</v>
          </cell>
          <cell r="AE152">
            <v>74.362286610356264</v>
          </cell>
          <cell r="AF152">
            <v>77.230649088309391</v>
          </cell>
          <cell r="AG152">
            <v>81.819719010089131</v>
          </cell>
          <cell r="AH152">
            <v>91.113605194377854</v>
          </cell>
        </row>
        <row r="153">
          <cell r="F153">
            <v>151</v>
          </cell>
          <cell r="G153">
            <v>35118.87282038921</v>
          </cell>
          <cell r="N153">
            <v>160</v>
          </cell>
          <cell r="P153">
            <v>32767</v>
          </cell>
          <cell r="Q153">
            <v>27671.731500000002</v>
          </cell>
          <cell r="R153">
            <v>21996.487099999998</v>
          </cell>
          <cell r="S153">
            <v>15603.645400000001</v>
          </cell>
          <cell r="T153">
            <v>8355.5850000000009</v>
          </cell>
          <cell r="W153">
            <v>2194.3749333218802</v>
          </cell>
          <cell r="X153">
            <v>1853.1496311903284</v>
          </cell>
          <cell r="Y153">
            <v>1476.1411552456448</v>
          </cell>
          <cell r="Z153">
            <v>1054.1331307678847</v>
          </cell>
          <cell r="AA153">
            <v>587.08097055709095</v>
          </cell>
          <cell r="AD153">
            <v>72.375871759353331</v>
          </cell>
          <cell r="AE153">
            <v>74.456724480300707</v>
          </cell>
          <cell r="AF153">
            <v>77.324097991611154</v>
          </cell>
          <cell r="AG153">
            <v>81.919202803497143</v>
          </cell>
          <cell r="AH153">
            <v>91.216133577135096</v>
          </cell>
        </row>
        <row r="154">
          <cell r="F154">
            <v>152</v>
          </cell>
          <cell r="G154">
            <v>37639.547696542824</v>
          </cell>
          <cell r="N154">
            <v>161</v>
          </cell>
          <cell r="P154">
            <v>35118.87282038921</v>
          </cell>
          <cell r="Q154">
            <v>29671.935645946844</v>
          </cell>
          <cell r="R154">
            <v>23592.858760737468</v>
          </cell>
          <cell r="S154">
            <v>16804.380644556237</v>
          </cell>
          <cell r="T154">
            <v>9095.7880604808051</v>
          </cell>
          <cell r="W154">
            <v>2351.8728203892097</v>
          </cell>
          <cell r="X154">
            <v>2000.2041459468419</v>
          </cell>
          <cell r="Y154">
            <v>1596.3716607374699</v>
          </cell>
          <cell r="Z154">
            <v>1200.7352445562356</v>
          </cell>
          <cell r="AA154">
            <v>740.2030604808042</v>
          </cell>
          <cell r="AD154">
            <v>72.470630686057078</v>
          </cell>
          <cell r="AE154">
            <v>74.551162350245164</v>
          </cell>
          <cell r="AF154">
            <v>77.417546894912917</v>
          </cell>
          <cell r="AG154">
            <v>82.01744549958407</v>
          </cell>
          <cell r="AH154">
            <v>91.318661959892353</v>
          </cell>
        </row>
        <row r="155">
          <cell r="F155">
            <v>153</v>
          </cell>
          <cell r="G155">
            <v>40341.140136486232</v>
          </cell>
          <cell r="N155">
            <v>162</v>
          </cell>
          <cell r="P155">
            <v>37639.547696542824</v>
          </cell>
          <cell r="Q155">
            <v>31794.125939269725</v>
          </cell>
          <cell r="R155">
            <v>25425.514469014677</v>
          </cell>
          <cell r="S155">
            <v>18255.180632823271</v>
          </cell>
          <cell r="T155">
            <v>14114.830386203559</v>
          </cell>
          <cell r="W155">
            <v>2520.6748761536146</v>
          </cell>
          <cell r="X155">
            <v>2122.1902933228812</v>
          </cell>
          <cell r="Y155">
            <v>1832.6557082772088</v>
          </cell>
          <cell r="Z155">
            <v>1450.7999882670338</v>
          </cell>
          <cell r="AA155">
            <v>5019.042325722754</v>
          </cell>
          <cell r="AD155">
            <v>72.565389612760825</v>
          </cell>
          <cell r="AE155">
            <v>74.645600220189607</v>
          </cell>
          <cell r="AF155">
            <v>77.51099579821468</v>
          </cell>
          <cell r="AG155">
            <v>82.110321933176039</v>
          </cell>
          <cell r="AH155">
            <v>91.421190342649595</v>
          </cell>
        </row>
        <row r="156">
          <cell r="F156">
            <v>154</v>
          </cell>
          <cell r="G156">
            <v>43236.635220206183</v>
          </cell>
          <cell r="N156">
            <v>163</v>
          </cell>
          <cell r="P156">
            <v>40341.140136486232</v>
          </cell>
          <cell r="Q156">
            <v>34330.31025614978</v>
          </cell>
          <cell r="R156">
            <v>27552.998713220099</v>
          </cell>
          <cell r="S156">
            <v>24204.684081891737</v>
          </cell>
          <cell r="T156">
            <v>24204.684081891737</v>
          </cell>
          <cell r="W156">
            <v>2701.592439943408</v>
          </cell>
          <cell r="X156">
            <v>2536.1843168800551</v>
          </cell>
          <cell r="Y156">
            <v>2127.4842442054214</v>
          </cell>
          <cell r="Z156">
            <v>5949.5034490684666</v>
          </cell>
          <cell r="AA156">
            <v>10089.853695688178</v>
          </cell>
          <cell r="AD156">
            <v>72.660148539464572</v>
          </cell>
          <cell r="AE156">
            <v>74.74003809013405</v>
          </cell>
          <cell r="AF156">
            <v>77.604444701516456</v>
          </cell>
          <cell r="AG156">
            <v>82.203198366767992</v>
          </cell>
          <cell r="AH156">
            <v>91.523718725406852</v>
          </cell>
        </row>
        <row r="157">
          <cell r="F157">
            <v>155</v>
          </cell>
          <cell r="G157">
            <v>46339.950011841604</v>
          </cell>
          <cell r="N157">
            <v>164</v>
          </cell>
          <cell r="P157">
            <v>43236.635220206183</v>
          </cell>
          <cell r="Q157">
            <v>36967.323113276288</v>
          </cell>
          <cell r="R157">
            <v>33940.758647861854</v>
          </cell>
          <cell r="S157">
            <v>34156.941823962887</v>
          </cell>
          <cell r="T157">
            <v>34156.941823962887</v>
          </cell>
          <cell r="W157">
            <v>2895.4950837199503</v>
          </cell>
          <cell r="X157">
            <v>2637.0128571265086</v>
          </cell>
          <cell r="Y157">
            <v>6387.7599346417555</v>
          </cell>
          <cell r="Z157">
            <v>9952.2577420711496</v>
          </cell>
          <cell r="AA157">
            <v>9952.2577420711496</v>
          </cell>
          <cell r="AD157">
            <v>72.754907466168333</v>
          </cell>
          <cell r="AE157">
            <v>74.834475960078507</v>
          </cell>
          <cell r="AF157">
            <v>77.697893604818219</v>
          </cell>
          <cell r="AG157">
            <v>82.29607480035996</v>
          </cell>
          <cell r="AH157">
            <v>91.626247108164094</v>
          </cell>
        </row>
        <row r="158">
          <cell r="F158">
            <v>156</v>
          </cell>
          <cell r="G158">
            <v>49666.000451412707</v>
          </cell>
          <cell r="N158">
            <v>165</v>
          </cell>
          <cell r="P158">
            <v>46339.950011841604</v>
          </cell>
          <cell r="Q158">
            <v>44078.560451263736</v>
          </cell>
          <cell r="R158">
            <v>44402.940101346627</v>
          </cell>
          <cell r="S158">
            <v>44402.940101346627</v>
          </cell>
          <cell r="T158">
            <v>44541.959951382152</v>
          </cell>
          <cell r="W158">
            <v>3103.314791635421</v>
          </cell>
          <cell r="X158">
            <v>7111.237337987448</v>
          </cell>
          <cell r="Y158">
            <v>10462.181453484773</v>
          </cell>
          <cell r="Z158">
            <v>10245.99827738374</v>
          </cell>
          <cell r="AA158">
            <v>10385.018127419266</v>
          </cell>
          <cell r="AD158">
            <v>72.849666392872081</v>
          </cell>
          <cell r="AE158">
            <v>74.92891383002295</v>
          </cell>
          <cell r="AF158">
            <v>77.791342508119982</v>
          </cell>
          <cell r="AG158">
            <v>82.388951233951914</v>
          </cell>
          <cell r="AH158">
            <v>91.72877549092135</v>
          </cell>
        </row>
        <row r="159">
          <cell r="F159">
            <v>157</v>
          </cell>
          <cell r="G159">
            <v>53230.773047602182</v>
          </cell>
          <cell r="N159">
            <v>166</v>
          </cell>
          <cell r="P159">
            <v>49666.000451412707</v>
          </cell>
          <cell r="Q159">
            <v>49666.000451412707</v>
          </cell>
          <cell r="R159">
            <v>50162.660455926831</v>
          </cell>
          <cell r="S159">
            <v>50162.660455926831</v>
          </cell>
          <cell r="T159">
            <v>50311.658457281068</v>
          </cell>
          <cell r="W159">
            <v>3326.0504395711032</v>
          </cell>
          <cell r="X159">
            <v>5587.4400001489703</v>
          </cell>
          <cell r="Y159">
            <v>5759.720354580204</v>
          </cell>
          <cell r="Z159">
            <v>5759.720354580204</v>
          </cell>
          <cell r="AA159">
            <v>5769.6985058989158</v>
          </cell>
          <cell r="AD159">
            <v>72.944425319575828</v>
          </cell>
          <cell r="AE159">
            <v>75.022035011469043</v>
          </cell>
          <cell r="AF159">
            <v>77.884791411421745</v>
          </cell>
          <cell r="AG159">
            <v>82.481827667543882</v>
          </cell>
          <cell r="AH159">
            <v>91.831303873678593</v>
          </cell>
        </row>
        <row r="160">
          <cell r="F160">
            <v>158</v>
          </cell>
          <cell r="G160">
            <v>57051.401716174769</v>
          </cell>
          <cell r="N160">
            <v>167</v>
          </cell>
          <cell r="P160">
            <v>53230.773047602182</v>
          </cell>
          <cell r="Q160">
            <v>53230.773047602182</v>
          </cell>
          <cell r="R160">
            <v>53763.080778078205</v>
          </cell>
          <cell r="S160">
            <v>53763.080778078205</v>
          </cell>
          <cell r="T160">
            <v>53763.080778078205</v>
          </cell>
          <cell r="W160">
            <v>3564.7725961894757</v>
          </cell>
          <cell r="X160">
            <v>3564.7725961894757</v>
          </cell>
          <cell r="Y160">
            <v>3600.4203221513744</v>
          </cell>
          <cell r="Z160">
            <v>3600.4203221513744</v>
          </cell>
          <cell r="AA160">
            <v>3451.4223207971372</v>
          </cell>
          <cell r="AD160">
            <v>73.036560194527354</v>
          </cell>
          <cell r="AE160">
            <v>75.111147990406067</v>
          </cell>
          <cell r="AF160">
            <v>77.978240314723507</v>
          </cell>
          <cell r="AG160">
            <v>82.574704101135836</v>
          </cell>
          <cell r="AH160">
            <v>91.933832256435849</v>
          </cell>
        </row>
        <row r="161">
          <cell r="F161">
            <v>159</v>
          </cell>
          <cell r="G161">
            <v>61146.25013335624</v>
          </cell>
          <cell r="N161">
            <v>168</v>
          </cell>
          <cell r="P161">
            <v>57051.401716174769</v>
          </cell>
          <cell r="Q161">
            <v>57051.401716174769</v>
          </cell>
          <cell r="R161">
            <v>57621.915733336515</v>
          </cell>
          <cell r="S161">
            <v>57621.915733336515</v>
          </cell>
          <cell r="T161">
            <v>57621.915733336515</v>
          </cell>
          <cell r="W161">
            <v>3820.6286685725863</v>
          </cell>
          <cell r="X161">
            <v>3820.6286685725863</v>
          </cell>
          <cell r="Y161">
            <v>3858.8349552583095</v>
          </cell>
          <cell r="Z161">
            <v>3858.8349552583095</v>
          </cell>
          <cell r="AA161">
            <v>3858.8349552583095</v>
          </cell>
          <cell r="AD161">
            <v>73.124973399384572</v>
          </cell>
          <cell r="AE161">
            <v>75.200260969343077</v>
          </cell>
          <cell r="AF161">
            <v>78.066694029528094</v>
          </cell>
          <cell r="AG161">
            <v>82.667580534727804</v>
          </cell>
          <cell r="AH161">
            <v>92.033129415212969</v>
          </cell>
        </row>
        <row r="162">
          <cell r="F162">
            <v>160</v>
          </cell>
          <cell r="G162">
            <v>65535</v>
          </cell>
          <cell r="N162">
            <v>169</v>
          </cell>
          <cell r="P162">
            <v>61146.25013335624</v>
          </cell>
          <cell r="Q162">
            <v>61146.25013335624</v>
          </cell>
          <cell r="R162">
            <v>61757.7126346898</v>
          </cell>
          <cell r="S162">
            <v>61757.7126346898</v>
          </cell>
          <cell r="T162">
            <v>61757.7126346898</v>
          </cell>
          <cell r="W162">
            <v>4094.8484171814707</v>
          </cell>
          <cell r="X162">
            <v>4094.8484171814707</v>
          </cell>
          <cell r="Y162">
            <v>4135.7969013532856</v>
          </cell>
          <cell r="Z162">
            <v>4135.7969013532856</v>
          </cell>
          <cell r="AA162">
            <v>4135.7969013532856</v>
          </cell>
          <cell r="AD162">
            <v>73.213386604241791</v>
          </cell>
          <cell r="AE162">
            <v>75.289373948280101</v>
          </cell>
          <cell r="AF162">
            <v>78.153631564737054</v>
          </cell>
          <cell r="AG162">
            <v>82.760456968319758</v>
          </cell>
          <cell r="AH162">
            <v>92.126546512350387</v>
          </cell>
        </row>
        <row r="163">
          <cell r="N163">
            <v>170</v>
          </cell>
          <cell r="P163">
            <v>65535</v>
          </cell>
          <cell r="Q163">
            <v>65535</v>
          </cell>
          <cell r="R163">
            <v>66190.350000000006</v>
          </cell>
          <cell r="S163">
            <v>66190.350000000006</v>
          </cell>
          <cell r="T163">
            <v>66190.350000000006</v>
          </cell>
          <cell r="W163">
            <v>4388.7498666437605</v>
          </cell>
          <cell r="X163">
            <v>4388.7498666437605</v>
          </cell>
          <cell r="Y163">
            <v>4432.6373653102055</v>
          </cell>
          <cell r="Z163">
            <v>4432.6373653102055</v>
          </cell>
          <cell r="AA163">
            <v>4432.6373653102055</v>
          </cell>
          <cell r="AD163">
            <v>73.301799809099009</v>
          </cell>
          <cell r="AE163">
            <v>75.378486927217125</v>
          </cell>
          <cell r="AF163">
            <v>78.240569099946029</v>
          </cell>
          <cell r="AG163">
            <v>82.853333401911726</v>
          </cell>
          <cell r="AH163">
            <v>92.219963609487792</v>
          </cell>
        </row>
        <row r="164">
          <cell r="AD164">
            <v>73.390213013956213</v>
          </cell>
          <cell r="AE164">
            <v>75.467599906154135</v>
          </cell>
          <cell r="AF164">
            <v>78.32750663515499</v>
          </cell>
          <cell r="AG164">
            <v>82.94620983550368</v>
          </cell>
          <cell r="AH164">
            <v>92.313380706625196</v>
          </cell>
        </row>
        <row r="165">
          <cell r="AD165">
            <v>73.478626218813432</v>
          </cell>
          <cell r="AE165">
            <v>75.556712885091159</v>
          </cell>
          <cell r="AF165">
            <v>78.414444170363964</v>
          </cell>
          <cell r="AG165">
            <v>83.036921590135321</v>
          </cell>
          <cell r="AH165">
            <v>92.406797803762601</v>
          </cell>
        </row>
        <row r="166">
          <cell r="AD166">
            <v>73.56703942367065</v>
          </cell>
          <cell r="AE166">
            <v>75.645825864028183</v>
          </cell>
          <cell r="AF166">
            <v>78.501381705572925</v>
          </cell>
          <cell r="AG166">
            <v>83.124654333465756</v>
          </cell>
          <cell r="AH166">
            <v>92.500214900900005</v>
          </cell>
        </row>
        <row r="167">
          <cell r="AD167">
            <v>73.655452628527868</v>
          </cell>
          <cell r="AE167">
            <v>75.734938842965192</v>
          </cell>
          <cell r="AF167">
            <v>78.5883192407819</v>
          </cell>
          <cell r="AG167">
            <v>83.21238707679619</v>
          </cell>
          <cell r="AH167">
            <v>92.593631998037409</v>
          </cell>
        </row>
        <row r="168">
          <cell r="AD168">
            <v>73.743865833385087</v>
          </cell>
          <cell r="AE168">
            <v>75.824051821902216</v>
          </cell>
          <cell r="AF168">
            <v>78.67525677599086</v>
          </cell>
          <cell r="AG168">
            <v>83.300119820126625</v>
          </cell>
          <cell r="AH168">
            <v>92.687049095174814</v>
          </cell>
        </row>
        <row r="169">
          <cell r="AD169">
            <v>73.832279038242305</v>
          </cell>
          <cell r="AE169">
            <v>75.91316480083924</v>
          </cell>
          <cell r="AF169">
            <v>78.762194311199835</v>
          </cell>
          <cell r="AG169">
            <v>83.387852563457059</v>
          </cell>
          <cell r="AH169">
            <v>92.780466192312218</v>
          </cell>
        </row>
        <row r="170">
          <cell r="AD170">
            <v>73.920692243099523</v>
          </cell>
          <cell r="AE170">
            <v>76.002103770254962</v>
          </cell>
          <cell r="AF170">
            <v>78.849131846408795</v>
          </cell>
          <cell r="AG170">
            <v>83.475585306787494</v>
          </cell>
          <cell r="AH170">
            <v>92.873883289449623</v>
          </cell>
        </row>
        <row r="171">
          <cell r="AD171">
            <v>74.008495683346354</v>
          </cell>
          <cell r="AE171">
            <v>76.084409020469636</v>
          </cell>
          <cell r="AF171">
            <v>78.93606938161777</v>
          </cell>
          <cell r="AG171">
            <v>83.563318050117928</v>
          </cell>
          <cell r="AH171">
            <v>92.967300386587027</v>
          </cell>
        </row>
        <row r="172">
          <cell r="AD172">
            <v>74.090988120365651</v>
          </cell>
          <cell r="AE172">
            <v>76.166714270684309</v>
          </cell>
          <cell r="AF172">
            <v>79.022812309215297</v>
          </cell>
          <cell r="AG172">
            <v>83.651050793448363</v>
          </cell>
          <cell r="AH172">
            <v>93.057555567360481</v>
          </cell>
        </row>
        <row r="173">
          <cell r="AD173">
            <v>74.173480557384934</v>
          </cell>
          <cell r="AE173">
            <v>76.249019520898997</v>
          </cell>
          <cell r="AF173">
            <v>79.109014469658547</v>
          </cell>
          <cell r="AG173">
            <v>83.738783536778797</v>
          </cell>
          <cell r="AH173">
            <v>93.146107887007233</v>
          </cell>
        </row>
        <row r="174">
          <cell r="AD174">
            <v>74.255972994404218</v>
          </cell>
          <cell r="AE174">
            <v>76.331324771113671</v>
          </cell>
          <cell r="AF174">
            <v>79.195216630101797</v>
          </cell>
          <cell r="AG174">
            <v>83.826516280109232</v>
          </cell>
          <cell r="AH174">
            <v>93.23466020665397</v>
          </cell>
        </row>
        <row r="175">
          <cell r="AD175">
            <v>74.338465431423501</v>
          </cell>
          <cell r="AE175">
            <v>76.413630021328345</v>
          </cell>
          <cell r="AF175">
            <v>79.281418790545047</v>
          </cell>
          <cell r="AG175">
            <v>83.914249023439666</v>
          </cell>
          <cell r="AH175">
            <v>93.323212526300722</v>
          </cell>
        </row>
        <row r="176">
          <cell r="AD176">
            <v>74.420957868442784</v>
          </cell>
          <cell r="AE176">
            <v>76.495935271543019</v>
          </cell>
          <cell r="AF176">
            <v>79.367620950988297</v>
          </cell>
          <cell r="AG176">
            <v>84.00179325525086</v>
          </cell>
          <cell r="AH176">
            <v>93.411764845947459</v>
          </cell>
        </row>
        <row r="177">
          <cell r="AD177">
            <v>74.503450305462081</v>
          </cell>
          <cell r="AE177">
            <v>76.578240521757706</v>
          </cell>
          <cell r="AF177">
            <v>79.453823111431561</v>
          </cell>
          <cell r="AG177">
            <v>84.08118060043364</v>
          </cell>
          <cell r="AH177">
            <v>93.500317165594211</v>
          </cell>
        </row>
        <row r="178">
          <cell r="AD178">
            <v>74.585942742481365</v>
          </cell>
          <cell r="AE178">
            <v>76.66054577197238</v>
          </cell>
          <cell r="AF178">
            <v>79.540025271874811</v>
          </cell>
          <cell r="AG178">
            <v>84.160567945616407</v>
          </cell>
          <cell r="AH178">
            <v>93.588869485240949</v>
          </cell>
        </row>
        <row r="179">
          <cell r="AD179">
            <v>74.668435179500648</v>
          </cell>
          <cell r="AE179">
            <v>76.742851022187054</v>
          </cell>
          <cell r="AF179">
            <v>79.626227432318061</v>
          </cell>
          <cell r="AG179">
            <v>84.239955290799188</v>
          </cell>
          <cell r="AH179">
            <v>93.6774218048877</v>
          </cell>
        </row>
        <row r="180">
          <cell r="AD180">
            <v>74.750927616519931</v>
          </cell>
          <cell r="AE180">
            <v>76.825156272401728</v>
          </cell>
          <cell r="AF180">
            <v>79.71242959276131</v>
          </cell>
          <cell r="AG180">
            <v>84.319342635981968</v>
          </cell>
          <cell r="AH180">
            <v>93.765974124534438</v>
          </cell>
        </row>
        <row r="181">
          <cell r="AD181">
            <v>74.833420053539214</v>
          </cell>
          <cell r="AE181">
            <v>76.907461522616416</v>
          </cell>
          <cell r="AF181">
            <v>79.79863175320456</v>
          </cell>
          <cell r="AG181">
            <v>84.398729981164735</v>
          </cell>
          <cell r="AH181">
            <v>93.85452644418119</v>
          </cell>
        </row>
        <row r="182">
          <cell r="AD182">
            <v>74.915912490558512</v>
          </cell>
          <cell r="AE182">
            <v>76.989766772831089</v>
          </cell>
          <cell r="AF182">
            <v>79.88483391364781</v>
          </cell>
          <cell r="AG182">
            <v>84.478117326347515</v>
          </cell>
          <cell r="AH182">
            <v>93.943078763827941</v>
          </cell>
        </row>
        <row r="183">
          <cell r="AD183">
            <v>74.998404927577795</v>
          </cell>
          <cell r="AE183">
            <v>77.06778397927944</v>
          </cell>
          <cell r="AF183">
            <v>79.97103607409106</v>
          </cell>
          <cell r="AG183">
            <v>84.557504671530296</v>
          </cell>
          <cell r="AH183">
            <v>94.027056817114342</v>
          </cell>
        </row>
        <row r="184">
          <cell r="AD184">
            <v>75.075479910097457</v>
          </cell>
          <cell r="AE184">
            <v>77.145192343015793</v>
          </cell>
          <cell r="AF184">
            <v>80.053817475702374</v>
          </cell>
          <cell r="AG184">
            <v>84.636892016713063</v>
          </cell>
          <cell r="AH184">
            <v>94.102803318799971</v>
          </cell>
        </row>
        <row r="185">
          <cell r="AD185">
            <v>75.152448075388719</v>
          </cell>
          <cell r="AE185">
            <v>77.222600706752132</v>
          </cell>
          <cell r="AF185">
            <v>80.134867890916794</v>
          </cell>
          <cell r="AG185">
            <v>84.716279361895843</v>
          </cell>
          <cell r="AH185">
            <v>94.1785498204856</v>
          </cell>
        </row>
        <row r="186">
          <cell r="AD186">
            <v>75.229416240679981</v>
          </cell>
          <cell r="AE186">
            <v>77.300009070488485</v>
          </cell>
          <cell r="AF186">
            <v>80.215918306131215</v>
          </cell>
          <cell r="AG186">
            <v>84.795666707078624</v>
          </cell>
          <cell r="AH186">
            <v>94.254296322171228</v>
          </cell>
        </row>
        <row r="187">
          <cell r="AD187">
            <v>75.306384405971258</v>
          </cell>
          <cell r="AE187">
            <v>77.377417434224824</v>
          </cell>
          <cell r="AF187">
            <v>80.296968721345635</v>
          </cell>
          <cell r="AG187">
            <v>84.87505405226139</v>
          </cell>
          <cell r="AH187">
            <v>94.330042823856857</v>
          </cell>
        </row>
        <row r="188">
          <cell r="AD188">
            <v>75.38335257126252</v>
          </cell>
          <cell r="AE188">
            <v>77.454825797961163</v>
          </cell>
          <cell r="AF188">
            <v>80.378019136560056</v>
          </cell>
          <cell r="AG188">
            <v>84.954441397444171</v>
          </cell>
          <cell r="AH188">
            <v>94.405789325542486</v>
          </cell>
        </row>
        <row r="189">
          <cell r="AD189">
            <v>75.460320736553783</v>
          </cell>
          <cell r="AE189">
            <v>77.532234161697517</v>
          </cell>
          <cell r="AF189">
            <v>80.459069551774476</v>
          </cell>
          <cell r="AG189">
            <v>85.030832425973387</v>
          </cell>
          <cell r="AH189">
            <v>94.4815358272281</v>
          </cell>
        </row>
        <row r="190">
          <cell r="AD190">
            <v>75.537288901845045</v>
          </cell>
          <cell r="AE190">
            <v>77.609642525433856</v>
          </cell>
          <cell r="AF190">
            <v>80.540119966988897</v>
          </cell>
          <cell r="AG190">
            <v>85.103188187775231</v>
          </cell>
          <cell r="AH190">
            <v>94.557282328913729</v>
          </cell>
        </row>
        <row r="191">
          <cell r="AD191">
            <v>75.614257067136322</v>
          </cell>
          <cell r="AE191">
            <v>77.687050889170209</v>
          </cell>
          <cell r="AF191">
            <v>80.621170382203317</v>
          </cell>
          <cell r="AG191">
            <v>85.175543949577076</v>
          </cell>
          <cell r="AH191">
            <v>94.633028830599358</v>
          </cell>
        </row>
        <row r="192">
          <cell r="AD192">
            <v>75.691225232427584</v>
          </cell>
          <cell r="AE192">
            <v>77.764459252906548</v>
          </cell>
          <cell r="AF192">
            <v>80.702220797417738</v>
          </cell>
          <cell r="AG192">
            <v>85.247899711378935</v>
          </cell>
          <cell r="AH192">
            <v>94.708775332284986</v>
          </cell>
        </row>
        <row r="193">
          <cell r="AD193">
            <v>75.768193397718846</v>
          </cell>
          <cell r="AE193">
            <v>77.841867616642901</v>
          </cell>
          <cell r="AF193">
            <v>80.783271212632158</v>
          </cell>
          <cell r="AG193">
            <v>85.320255473180779</v>
          </cell>
          <cell r="AH193">
            <v>94.784521833970615</v>
          </cell>
        </row>
        <row r="194">
          <cell r="AD194">
            <v>75.845161563010109</v>
          </cell>
          <cell r="AE194">
            <v>77.91927598037924</v>
          </cell>
          <cell r="AF194">
            <v>80.864321627846579</v>
          </cell>
          <cell r="AG194">
            <v>85.392611234982624</v>
          </cell>
          <cell r="AH194">
            <v>94.860268335656244</v>
          </cell>
        </row>
        <row r="195">
          <cell r="AD195">
            <v>75.922129728301385</v>
          </cell>
          <cell r="AE195">
            <v>77.996684344115593</v>
          </cell>
          <cell r="AF195">
            <v>80.945372043060999</v>
          </cell>
          <cell r="AG195">
            <v>85.464966996784469</v>
          </cell>
          <cell r="AH195">
            <v>94.936014837341872</v>
          </cell>
        </row>
        <row r="196">
          <cell r="AD196">
            <v>75.999097893592648</v>
          </cell>
          <cell r="AE196">
            <v>78.068193736526268</v>
          </cell>
          <cell r="AF196">
            <v>81.02378934476593</v>
          </cell>
          <cell r="AG196">
            <v>85.537322758586328</v>
          </cell>
          <cell r="AH196">
            <v>95.011078787937279</v>
          </cell>
        </row>
        <row r="197">
          <cell r="AD197">
            <v>76.070972142474872</v>
          </cell>
          <cell r="AE197">
            <v>78.139439149396253</v>
          </cell>
          <cell r="AF197">
            <v>81.096762731680187</v>
          </cell>
          <cell r="AG197">
            <v>85.609678520388172</v>
          </cell>
          <cell r="AH197">
            <v>95.082429458741387</v>
          </cell>
        </row>
        <row r="198">
          <cell r="AD198">
            <v>76.142785979989682</v>
          </cell>
          <cell r="AE198">
            <v>78.210684562266223</v>
          </cell>
          <cell r="AF198">
            <v>81.169736118594443</v>
          </cell>
          <cell r="AG198">
            <v>85.682034282190017</v>
          </cell>
          <cell r="AH198">
            <v>95.153780129545481</v>
          </cell>
        </row>
        <row r="199">
          <cell r="AD199">
            <v>76.214599817504492</v>
          </cell>
          <cell r="AE199">
            <v>78.281929975136208</v>
          </cell>
          <cell r="AF199">
            <v>81.242709505508685</v>
          </cell>
          <cell r="AG199">
            <v>85.754390043991862</v>
          </cell>
          <cell r="AH199">
            <v>95.225130800349589</v>
          </cell>
        </row>
        <row r="200">
          <cell r="AD200">
            <v>76.286413655019302</v>
          </cell>
          <cell r="AE200">
            <v>78.353175388006179</v>
          </cell>
          <cell r="AF200">
            <v>81.315682892422942</v>
          </cell>
          <cell r="AG200">
            <v>85.82674580579372</v>
          </cell>
          <cell r="AH200">
            <v>95.296481471153683</v>
          </cell>
        </row>
        <row r="201">
          <cell r="AD201">
            <v>76.358227492534112</v>
          </cell>
          <cell r="AE201">
            <v>78.424420800876163</v>
          </cell>
          <cell r="AF201">
            <v>81.388656279337198</v>
          </cell>
          <cell r="AG201">
            <v>85.899101567595565</v>
          </cell>
          <cell r="AH201">
            <v>95.367832141957777</v>
          </cell>
        </row>
        <row r="202">
          <cell r="AD202">
            <v>76.430041330048923</v>
          </cell>
          <cell r="AE202">
            <v>78.495666213746148</v>
          </cell>
          <cell r="AF202">
            <v>81.461629666251454</v>
          </cell>
          <cell r="AG202">
            <v>85.97145732939741</v>
          </cell>
          <cell r="AH202">
            <v>95.439182812761885</v>
          </cell>
        </row>
        <row r="203">
          <cell r="AD203">
            <v>76.501855167563733</v>
          </cell>
          <cell r="AE203">
            <v>78.566911626616118</v>
          </cell>
          <cell r="AF203">
            <v>81.534603053165696</v>
          </cell>
          <cell r="AG203">
            <v>86.045919706798657</v>
          </cell>
          <cell r="AH203">
            <v>95.510533483565979</v>
          </cell>
        </row>
        <row r="204">
          <cell r="AD204">
            <v>76.573669005078543</v>
          </cell>
          <cell r="AE204">
            <v>78.638157039486103</v>
          </cell>
          <cell r="AF204">
            <v>81.607576440079953</v>
          </cell>
          <cell r="AG204">
            <v>86.121754469336281</v>
          </cell>
          <cell r="AH204">
            <v>95.581884154370087</v>
          </cell>
        </row>
        <row r="205">
          <cell r="AD205">
            <v>76.645482842593353</v>
          </cell>
          <cell r="AE205">
            <v>78.709402452356088</v>
          </cell>
          <cell r="AF205">
            <v>81.680549826994209</v>
          </cell>
          <cell r="AG205">
            <v>86.197589231873891</v>
          </cell>
          <cell r="AH205">
            <v>95.653234825174181</v>
          </cell>
        </row>
        <row r="206">
          <cell r="AD206">
            <v>76.717296680108163</v>
          </cell>
          <cell r="AE206">
            <v>78.780647865226058</v>
          </cell>
          <cell r="AF206">
            <v>81.753523213908451</v>
          </cell>
          <cell r="AG206">
            <v>86.273423994411502</v>
          </cell>
          <cell r="AH206">
            <v>95.724585495978289</v>
          </cell>
        </row>
        <row r="207">
          <cell r="AD207">
            <v>76.789110517622973</v>
          </cell>
          <cell r="AE207">
            <v>78.851893278096043</v>
          </cell>
          <cell r="AF207">
            <v>81.826496600822708</v>
          </cell>
          <cell r="AG207">
            <v>86.349258756949112</v>
          </cell>
          <cell r="AH207">
            <v>95.795936166782383</v>
          </cell>
        </row>
        <row r="208">
          <cell r="AD208">
            <v>76.860924355137783</v>
          </cell>
          <cell r="AE208">
            <v>78.923138690966013</v>
          </cell>
          <cell r="AF208">
            <v>81.899469987736964</v>
          </cell>
          <cell r="AG208">
            <v>86.425093519486722</v>
          </cell>
          <cell r="AH208">
            <v>95.867286837586477</v>
          </cell>
        </row>
        <row r="209">
          <cell r="AD209">
            <v>76.932738192652593</v>
          </cell>
          <cell r="AE209">
            <v>78.994384103835998</v>
          </cell>
          <cell r="AF209">
            <v>81.972443374651206</v>
          </cell>
          <cell r="AG209">
            <v>86.500928282024347</v>
          </cell>
          <cell r="AH209">
            <v>95.938637508390585</v>
          </cell>
        </row>
        <row r="210">
          <cell r="AD210">
            <v>77.004247194324648</v>
          </cell>
          <cell r="AE210">
            <v>79.061386416569832</v>
          </cell>
          <cell r="AF210">
            <v>82.041007317281839</v>
          </cell>
          <cell r="AG210">
            <v>86.576763044561957</v>
          </cell>
          <cell r="AH210">
            <v>96.008512635801992</v>
          </cell>
        </row>
        <row r="211">
          <cell r="AD211">
            <v>77.07125187397483</v>
          </cell>
          <cell r="AE211">
            <v>79.128025648620252</v>
          </cell>
          <cell r="AF211">
            <v>82.106895829081836</v>
          </cell>
          <cell r="AG211">
            <v>86.652597807099568</v>
          </cell>
          <cell r="AH211">
            <v>96.069322745727362</v>
          </cell>
        </row>
        <row r="212">
          <cell r="AD212">
            <v>77.138256553625013</v>
          </cell>
          <cell r="AE212">
            <v>79.194664880670672</v>
          </cell>
          <cell r="AF212">
            <v>82.172784340881819</v>
          </cell>
          <cell r="AG212">
            <v>86.728432569637178</v>
          </cell>
          <cell r="AH212">
            <v>96.130132855652732</v>
          </cell>
        </row>
        <row r="213">
          <cell r="AD213">
            <v>77.205261233275195</v>
          </cell>
          <cell r="AE213">
            <v>79.261304112721092</v>
          </cell>
          <cell r="AF213">
            <v>82.238672852681816</v>
          </cell>
          <cell r="AG213">
            <v>86.804267332174788</v>
          </cell>
          <cell r="AH213">
            <v>96.190942965578103</v>
          </cell>
        </row>
        <row r="214">
          <cell r="AD214">
            <v>77.272265912925377</v>
          </cell>
          <cell r="AE214">
            <v>79.327943344771512</v>
          </cell>
          <cell r="AF214">
            <v>82.304561364481813</v>
          </cell>
          <cell r="AG214">
            <v>86.880102094712413</v>
          </cell>
          <cell r="AH214">
            <v>96.251753075503458</v>
          </cell>
        </row>
        <row r="215">
          <cell r="AD215">
            <v>77.339270592575559</v>
          </cell>
          <cell r="AE215">
            <v>79.394582576821932</v>
          </cell>
          <cell r="AF215">
            <v>82.370449876281796</v>
          </cell>
          <cell r="AG215">
            <v>86.955936857250023</v>
          </cell>
          <cell r="AH215">
            <v>96.312563185428829</v>
          </cell>
        </row>
        <row r="216">
          <cell r="AD216">
            <v>77.406275272225741</v>
          </cell>
          <cell r="AE216">
            <v>79.461221808872352</v>
          </cell>
          <cell r="AF216">
            <v>82.436338388081793</v>
          </cell>
          <cell r="AG216">
            <v>87.031203567981635</v>
          </cell>
          <cell r="AH216">
            <v>96.373373295354199</v>
          </cell>
        </row>
        <row r="217">
          <cell r="AD217">
            <v>77.473279951875909</v>
          </cell>
          <cell r="AE217">
            <v>79.527861040922772</v>
          </cell>
          <cell r="AF217">
            <v>82.502226899881776</v>
          </cell>
          <cell r="AG217">
            <v>87.10568246405397</v>
          </cell>
          <cell r="AH217">
            <v>96.434183405279569</v>
          </cell>
        </row>
        <row r="218">
          <cell r="AD218">
            <v>77.540284631526092</v>
          </cell>
          <cell r="AE218">
            <v>79.594500272973193</v>
          </cell>
          <cell r="AF218">
            <v>82.568115411681774</v>
          </cell>
          <cell r="AG218">
            <v>87.180161360126306</v>
          </cell>
          <cell r="AH218">
            <v>96.494993515204939</v>
          </cell>
        </row>
        <row r="219">
          <cell r="AD219">
            <v>77.607289311176274</v>
          </cell>
          <cell r="AE219">
            <v>79.661139505023613</v>
          </cell>
          <cell r="AF219">
            <v>82.634003923481771</v>
          </cell>
          <cell r="AG219">
            <v>87.254640256198641</v>
          </cell>
          <cell r="AH219">
            <v>96.555803625130309</v>
          </cell>
        </row>
        <row r="220">
          <cell r="AD220">
            <v>77.674293990826456</v>
          </cell>
          <cell r="AE220">
            <v>79.727778737074033</v>
          </cell>
          <cell r="AF220">
            <v>82.699892435281754</v>
          </cell>
          <cell r="AG220">
            <v>87.329119152270991</v>
          </cell>
          <cell r="AH220">
            <v>96.61661373505568</v>
          </cell>
        </row>
        <row r="221">
          <cell r="AD221">
            <v>77.741298670476638</v>
          </cell>
          <cell r="AE221">
            <v>79.794417969124453</v>
          </cell>
          <cell r="AF221">
            <v>82.765780947081751</v>
          </cell>
          <cell r="AG221">
            <v>87.403598048343326</v>
          </cell>
          <cell r="AH221">
            <v>96.67742384498105</v>
          </cell>
        </row>
        <row r="222">
          <cell r="AD222">
            <v>77.80830335012682</v>
          </cell>
          <cell r="AE222">
            <v>79.861057201174873</v>
          </cell>
          <cell r="AF222">
            <v>82.831669458881734</v>
          </cell>
          <cell r="AG222">
            <v>87.478076944415662</v>
          </cell>
          <cell r="AH222">
            <v>96.73823395490642</v>
          </cell>
        </row>
        <row r="223">
          <cell r="AD223">
            <v>77.875308029777003</v>
          </cell>
          <cell r="AE223">
            <v>79.927696433225293</v>
          </cell>
          <cell r="AF223">
            <v>82.897557970681731</v>
          </cell>
          <cell r="AG223">
            <v>87.552555840488012</v>
          </cell>
          <cell r="AH223">
            <v>96.79904406483179</v>
          </cell>
        </row>
        <row r="224">
          <cell r="AD224">
            <v>77.942312709427185</v>
          </cell>
          <cell r="AE224">
            <v>79.994335665275713</v>
          </cell>
          <cell r="AF224">
            <v>82.963446482481729</v>
          </cell>
          <cell r="AG224">
            <v>87.627034736560347</v>
          </cell>
          <cell r="AH224">
            <v>96.85985417475716</v>
          </cell>
        </row>
        <row r="225">
          <cell r="AD225">
            <v>78.008693431404168</v>
          </cell>
          <cell r="AE225">
            <v>80.05990507131493</v>
          </cell>
          <cell r="AF225">
            <v>83.028328094754301</v>
          </cell>
          <cell r="AG225">
            <v>87.701513632632683</v>
          </cell>
          <cell r="AH225">
            <v>96.920664284682516</v>
          </cell>
        </row>
        <row r="226">
          <cell r="AD226">
            <v>78.071211008105138</v>
          </cell>
          <cell r="AE226">
            <v>80.125375094609936</v>
          </cell>
          <cell r="AF226">
            <v>83.091955037632331</v>
          </cell>
          <cell r="AG226">
            <v>87.775992528705018</v>
          </cell>
          <cell r="AH226">
            <v>96.981474394607886</v>
          </cell>
        </row>
        <row r="227">
          <cell r="AD227">
            <v>78.133728584806107</v>
          </cell>
          <cell r="AE227">
            <v>80.190845117904942</v>
          </cell>
          <cell r="AF227">
            <v>83.155581980510348</v>
          </cell>
          <cell r="AG227">
            <v>87.850471424777368</v>
          </cell>
          <cell r="AH227">
            <v>97.03979962522213</v>
          </cell>
        </row>
        <row r="228">
          <cell r="AD228">
            <v>78.196246161507091</v>
          </cell>
          <cell r="AE228">
            <v>80.256315141199948</v>
          </cell>
          <cell r="AF228">
            <v>83.219208923388379</v>
          </cell>
          <cell r="AG228">
            <v>87.924950320849703</v>
          </cell>
          <cell r="AH228">
            <v>97.097036185315744</v>
          </cell>
        </row>
        <row r="229">
          <cell r="AD229">
            <v>78.25876373820806</v>
          </cell>
          <cell r="AE229">
            <v>80.321785164494941</v>
          </cell>
          <cell r="AF229">
            <v>83.282835866266396</v>
          </cell>
          <cell r="AG229">
            <v>87.999429216922039</v>
          </cell>
          <cell r="AH229">
            <v>97.154272745409358</v>
          </cell>
        </row>
        <row r="230">
          <cell r="AD230">
            <v>78.321281314909029</v>
          </cell>
          <cell r="AE230">
            <v>80.387255187789947</v>
          </cell>
          <cell r="AF230">
            <v>83.346462809144427</v>
          </cell>
          <cell r="AG230">
            <v>88.069378113045531</v>
          </cell>
          <cell r="AH230">
            <v>97.211509305502972</v>
          </cell>
        </row>
        <row r="231">
          <cell r="AD231">
            <v>78.383798891610013</v>
          </cell>
          <cell r="AE231">
            <v>80.452725211084953</v>
          </cell>
          <cell r="AF231">
            <v>83.410089752022458</v>
          </cell>
          <cell r="AG231">
            <v>88.139292024548126</v>
          </cell>
          <cell r="AH231">
            <v>97.268745865596571</v>
          </cell>
        </row>
        <row r="232">
          <cell r="AD232">
            <v>78.446316468310982</v>
          </cell>
          <cell r="AE232">
            <v>80.518195234379959</v>
          </cell>
          <cell r="AF232">
            <v>83.473716694900475</v>
          </cell>
          <cell r="AG232">
            <v>88.209205936050708</v>
          </cell>
          <cell r="AH232">
            <v>97.325982425690185</v>
          </cell>
        </row>
        <row r="233">
          <cell r="AD233">
            <v>78.508834045011952</v>
          </cell>
          <cell r="AE233">
            <v>80.583665257674966</v>
          </cell>
          <cell r="AF233">
            <v>83.537343637778505</v>
          </cell>
          <cell r="AG233">
            <v>88.279119847553304</v>
          </cell>
          <cell r="AH233">
            <v>97.383218985783799</v>
          </cell>
        </row>
        <row r="234">
          <cell r="AD234">
            <v>78.571351621712921</v>
          </cell>
          <cell r="AE234">
            <v>80.649135280969972</v>
          </cell>
          <cell r="AF234">
            <v>83.600970580656536</v>
          </cell>
          <cell r="AG234">
            <v>88.349033759055899</v>
          </cell>
          <cell r="AH234">
            <v>97.440455545877413</v>
          </cell>
        </row>
        <row r="235">
          <cell r="AD235">
            <v>78.633869198413905</v>
          </cell>
          <cell r="AE235">
            <v>80.714605304264978</v>
          </cell>
          <cell r="AF235">
            <v>83.664597523534553</v>
          </cell>
          <cell r="AG235">
            <v>88.418947670558495</v>
          </cell>
          <cell r="AH235">
            <v>97.497692105971026</v>
          </cell>
        </row>
        <row r="236">
          <cell r="AD236">
            <v>78.696386775114874</v>
          </cell>
          <cell r="AE236">
            <v>80.78007532755997</v>
          </cell>
          <cell r="AF236">
            <v>83.728224466412584</v>
          </cell>
          <cell r="AG236">
            <v>88.488861582061077</v>
          </cell>
          <cell r="AH236">
            <v>97.554928666064626</v>
          </cell>
        </row>
        <row r="237">
          <cell r="AD237">
            <v>78.758904351815843</v>
          </cell>
          <cell r="AE237">
            <v>80.845545350854977</v>
          </cell>
          <cell r="AF237">
            <v>83.791851409290615</v>
          </cell>
          <cell r="AG237">
            <v>88.558775493563672</v>
          </cell>
          <cell r="AH237">
            <v>97.61216522615824</v>
          </cell>
        </row>
        <row r="238">
          <cell r="AD238">
            <v>78.821421928516827</v>
          </cell>
          <cell r="AE238">
            <v>80.911015374149983</v>
          </cell>
          <cell r="AF238">
            <v>83.855478352168632</v>
          </cell>
          <cell r="AG238">
            <v>88.628689405066268</v>
          </cell>
          <cell r="AH238">
            <v>97.669401786251854</v>
          </cell>
        </row>
        <row r="239">
          <cell r="AD239">
            <v>78.883939505217796</v>
          </cell>
          <cell r="AE239">
            <v>80.976485397444989</v>
          </cell>
          <cell r="AF239">
            <v>83.919105295046663</v>
          </cell>
          <cell r="AG239">
            <v>88.698603316568864</v>
          </cell>
          <cell r="AH239">
            <v>97.726638346345467</v>
          </cell>
        </row>
        <row r="240">
          <cell r="AD240">
            <v>78.946457081918766</v>
          </cell>
          <cell r="AE240">
            <v>81.038163244467697</v>
          </cell>
          <cell r="AF240">
            <v>83.982732237924694</v>
          </cell>
          <cell r="AG240">
            <v>88.768517228071445</v>
          </cell>
          <cell r="AH240">
            <v>97.783874906439081</v>
          </cell>
        </row>
        <row r="241">
          <cell r="AD241">
            <v>79.008373652580005</v>
          </cell>
          <cell r="AE241">
            <v>81.097715704203424</v>
          </cell>
          <cell r="AF241">
            <v>84.043767921022209</v>
          </cell>
          <cell r="AG241">
            <v>88.838431139574041</v>
          </cell>
          <cell r="AH241">
            <v>97.841111466532681</v>
          </cell>
        </row>
        <row r="242">
          <cell r="AD242">
            <v>79.066704614192943</v>
          </cell>
          <cell r="AE242">
            <v>81.157268163939136</v>
          </cell>
          <cell r="AF242">
            <v>84.103838417578672</v>
          </cell>
          <cell r="AG242">
            <v>88.908345051076637</v>
          </cell>
          <cell r="AH242">
            <v>97.898348026626294</v>
          </cell>
        </row>
        <row r="243">
          <cell r="AD243">
            <v>79.125035575805882</v>
          </cell>
          <cell r="AE243">
            <v>81.216820623674849</v>
          </cell>
          <cell r="AF243">
            <v>84.163908914135135</v>
          </cell>
          <cell r="AG243">
            <v>88.978258962579233</v>
          </cell>
          <cell r="AH243">
            <v>97.955584586719908</v>
          </cell>
        </row>
        <row r="244">
          <cell r="AD244">
            <v>79.18336653741882</v>
          </cell>
          <cell r="AE244">
            <v>81.276373083410562</v>
          </cell>
          <cell r="AF244">
            <v>84.223979410691598</v>
          </cell>
          <cell r="AG244">
            <v>89.047272179270863</v>
          </cell>
          <cell r="AH244">
            <v>98.013314854852808</v>
          </cell>
        </row>
        <row r="245">
          <cell r="AD245">
            <v>79.241697499031773</v>
          </cell>
          <cell r="AE245">
            <v>81.335925543146274</v>
          </cell>
          <cell r="AF245">
            <v>84.284049907248061</v>
          </cell>
          <cell r="AG245">
            <v>89.11587890081428</v>
          </cell>
          <cell r="AH245">
            <v>98.072755441643167</v>
          </cell>
        </row>
        <row r="246">
          <cell r="AD246">
            <v>79.300028460644711</v>
          </cell>
          <cell r="AE246">
            <v>81.395478002882001</v>
          </cell>
          <cell r="AF246">
            <v>84.344120403804524</v>
          </cell>
          <cell r="AG246">
            <v>89.184485622357698</v>
          </cell>
          <cell r="AH246">
            <v>98.132196028433526</v>
          </cell>
        </row>
        <row r="247">
          <cell r="AD247">
            <v>79.358359422257649</v>
          </cell>
          <cell r="AE247">
            <v>81.455030462617714</v>
          </cell>
          <cell r="AF247">
            <v>84.404190900360987</v>
          </cell>
          <cell r="AG247">
            <v>89.253092343901116</v>
          </cell>
          <cell r="AH247">
            <v>98.191636615223871</v>
          </cell>
        </row>
        <row r="248">
          <cell r="AD248">
            <v>79.416690383870588</v>
          </cell>
          <cell r="AE248">
            <v>81.514582922353426</v>
          </cell>
          <cell r="AF248">
            <v>84.46426139691745</v>
          </cell>
          <cell r="AG248">
            <v>89.321699065444534</v>
          </cell>
          <cell r="AH248">
            <v>98.25107720201423</v>
          </cell>
        </row>
        <row r="249">
          <cell r="AD249">
            <v>79.475021345483526</v>
          </cell>
          <cell r="AE249">
            <v>81.574135382089139</v>
          </cell>
          <cell r="AF249">
            <v>84.524331893473914</v>
          </cell>
          <cell r="AG249">
            <v>89.390305786987952</v>
          </cell>
          <cell r="AH249">
            <v>98.310517788804589</v>
          </cell>
        </row>
        <row r="250">
          <cell r="AD250">
            <v>79.533352307096465</v>
          </cell>
          <cell r="AE250">
            <v>81.633687841824852</v>
          </cell>
          <cell r="AF250">
            <v>84.584402390030377</v>
          </cell>
          <cell r="AG250">
            <v>89.45891250853137</v>
          </cell>
          <cell r="AH250">
            <v>98.369958375594933</v>
          </cell>
        </row>
        <row r="251">
          <cell r="AD251">
            <v>79.591683268709417</v>
          </cell>
          <cell r="AE251">
            <v>81.693240301560579</v>
          </cell>
          <cell r="AF251">
            <v>84.64447288658684</v>
          </cell>
          <cell r="AG251">
            <v>89.527519230074788</v>
          </cell>
          <cell r="AH251">
            <v>98.429398962385292</v>
          </cell>
        </row>
        <row r="252">
          <cell r="AD252">
            <v>79.650014230322356</v>
          </cell>
          <cell r="AE252">
            <v>81.752792761296291</v>
          </cell>
          <cell r="AF252">
            <v>84.704543383143317</v>
          </cell>
          <cell r="AG252">
            <v>89.596125951618205</v>
          </cell>
          <cell r="AH252">
            <v>98.488839549175651</v>
          </cell>
        </row>
        <row r="253">
          <cell r="AD253">
            <v>79.708345191935294</v>
          </cell>
          <cell r="AE253">
            <v>81.812345221032004</v>
          </cell>
          <cell r="AF253">
            <v>84.76461387969978</v>
          </cell>
          <cell r="AG253">
            <v>89.664732673161623</v>
          </cell>
          <cell r="AH253">
            <v>98.548280135965996</v>
          </cell>
        </row>
        <row r="254">
          <cell r="AD254">
            <v>79.766676153548232</v>
          </cell>
          <cell r="AE254">
            <v>81.871897680767717</v>
          </cell>
          <cell r="AF254">
            <v>84.824684376256243</v>
          </cell>
          <cell r="AG254">
            <v>89.733339394705041</v>
          </cell>
          <cell r="AH254">
            <v>98.607720722756355</v>
          </cell>
        </row>
        <row r="255">
          <cell r="AD255">
            <v>79.825007115161171</v>
          </cell>
          <cell r="AE255">
            <v>81.931450140503429</v>
          </cell>
          <cell r="AF255">
            <v>84.884754872812707</v>
          </cell>
          <cell r="AG255">
            <v>89.801946116248459</v>
          </cell>
          <cell r="AH255">
            <v>98.667161309546714</v>
          </cell>
        </row>
        <row r="256">
          <cell r="AD256">
            <v>79.883338076774123</v>
          </cell>
          <cell r="AE256">
            <v>81.991002600239142</v>
          </cell>
          <cell r="AF256">
            <v>84.94482536936917</v>
          </cell>
          <cell r="AG256">
            <v>89.870552837791877</v>
          </cell>
          <cell r="AH256">
            <v>98.726601896337058</v>
          </cell>
        </row>
        <row r="257">
          <cell r="AD257">
            <v>79.941669038387062</v>
          </cell>
          <cell r="AE257">
            <v>82.046165327855846</v>
          </cell>
          <cell r="AF257">
            <v>85.004450307848032</v>
          </cell>
          <cell r="AG257">
            <v>89.939159559335295</v>
          </cell>
          <cell r="AH257">
            <v>98.786042483127417</v>
          </cell>
        </row>
        <row r="258">
          <cell r="AD258">
            <v>80</v>
          </cell>
          <cell r="AE258">
            <v>82.100546804797787</v>
          </cell>
          <cell r="AF258">
            <v>85.059053968634842</v>
          </cell>
          <cell r="AG258">
            <v>90.006385600230558</v>
          </cell>
          <cell r="AH258">
            <v>98.845483069917776</v>
          </cell>
        </row>
        <row r="259">
          <cell r="AD259">
            <v>80.054424711612938</v>
          </cell>
          <cell r="AE259">
            <v>82.154928281739714</v>
          </cell>
          <cell r="AF259">
            <v>85.113657629421638</v>
          </cell>
          <cell r="AG259">
            <v>90.062795496260307</v>
          </cell>
          <cell r="AH259">
            <v>98.904923656708121</v>
          </cell>
        </row>
        <row r="260">
          <cell r="AD260">
            <v>80.108849423225877</v>
          </cell>
          <cell r="AE260">
            <v>82.209309758681655</v>
          </cell>
          <cell r="AF260">
            <v>85.168261290208434</v>
          </cell>
          <cell r="AG260">
            <v>90.119205392290041</v>
          </cell>
          <cell r="AH260">
            <v>98.96436424349848</v>
          </cell>
        </row>
        <row r="261">
          <cell r="AD261">
            <v>80.163274134838829</v>
          </cell>
          <cell r="AE261">
            <v>82.263691235623583</v>
          </cell>
          <cell r="AF261">
            <v>85.222864950995231</v>
          </cell>
          <cell r="AG261">
            <v>90.175615288319776</v>
          </cell>
          <cell r="AH261">
            <v>99.023313221876677</v>
          </cell>
        </row>
        <row r="262">
          <cell r="AD262">
            <v>80.217698846451768</v>
          </cell>
          <cell r="AE262">
            <v>82.318072712565524</v>
          </cell>
          <cell r="AF262">
            <v>85.277468611782027</v>
          </cell>
          <cell r="AG262">
            <v>90.23202518434951</v>
          </cell>
          <cell r="AH262">
            <v>99.081526263999208</v>
          </cell>
        </row>
        <row r="263">
          <cell r="AD263">
            <v>80.272123558064706</v>
          </cell>
          <cell r="AE263">
            <v>82.372454189507465</v>
          </cell>
          <cell r="AF263">
            <v>85.332072272568837</v>
          </cell>
          <cell r="AG263">
            <v>90.288435080379244</v>
          </cell>
          <cell r="AH263">
            <v>99.139739306121726</v>
          </cell>
        </row>
        <row r="264">
          <cell r="AD264">
            <v>80.326548269677644</v>
          </cell>
          <cell r="AE264">
            <v>82.426835666449392</v>
          </cell>
          <cell r="AF264">
            <v>85.386675933355633</v>
          </cell>
          <cell r="AG264">
            <v>90.344844976408993</v>
          </cell>
          <cell r="AH264">
            <v>99.197952348244257</v>
          </cell>
        </row>
        <row r="265">
          <cell r="AD265">
            <v>80.380972981290597</v>
          </cell>
          <cell r="AE265">
            <v>82.481217143391333</v>
          </cell>
          <cell r="AF265">
            <v>85.441279594142429</v>
          </cell>
          <cell r="AG265">
            <v>90.401254872438727</v>
          </cell>
          <cell r="AH265">
            <v>99.256165390366789</v>
          </cell>
        </row>
        <row r="266">
          <cell r="AD266">
            <v>80.435397692903535</v>
          </cell>
          <cell r="AE266">
            <v>82.535598620333275</v>
          </cell>
          <cell r="AF266">
            <v>85.495883254929225</v>
          </cell>
          <cell r="AG266">
            <v>90.457664768468462</v>
          </cell>
          <cell r="AH266">
            <v>99.314378432489306</v>
          </cell>
        </row>
        <row r="267">
          <cell r="AD267">
            <v>80.489822404516474</v>
          </cell>
          <cell r="AE267">
            <v>82.589980097275202</v>
          </cell>
          <cell r="AF267">
            <v>85.550486915716021</v>
          </cell>
          <cell r="AG267">
            <v>90.514074664498196</v>
          </cell>
          <cell r="AH267">
            <v>99.372591474611838</v>
          </cell>
        </row>
        <row r="268">
          <cell r="AD268">
            <v>80.544247116129412</v>
          </cell>
          <cell r="AE268">
            <v>82.644361574217143</v>
          </cell>
          <cell r="AF268">
            <v>85.605090576502832</v>
          </cell>
          <cell r="AG268">
            <v>90.57048456052793</v>
          </cell>
          <cell r="AH268">
            <v>99.430804516734369</v>
          </cell>
        </row>
        <row r="269">
          <cell r="AD269">
            <v>80.598671827742351</v>
          </cell>
          <cell r="AE269">
            <v>82.698743051159084</v>
          </cell>
          <cell r="AF269">
            <v>85.659694237289628</v>
          </cell>
          <cell r="AG269">
            <v>90.626894456557665</v>
          </cell>
          <cell r="AH269">
            <v>99.489017558856887</v>
          </cell>
        </row>
        <row r="270">
          <cell r="AD270">
            <v>80.653096539355303</v>
          </cell>
          <cell r="AE270">
            <v>82.753124528101011</v>
          </cell>
          <cell r="AF270">
            <v>85.714297898076424</v>
          </cell>
          <cell r="AG270">
            <v>90.683304352587413</v>
          </cell>
          <cell r="AH270">
            <v>99.547230600979418</v>
          </cell>
        </row>
        <row r="271">
          <cell r="AD271">
            <v>80.707521250968242</v>
          </cell>
          <cell r="AE271">
            <v>82.807506005042953</v>
          </cell>
          <cell r="AF271">
            <v>85.76890155886322</v>
          </cell>
          <cell r="AG271">
            <v>90.739714248617148</v>
          </cell>
          <cell r="AH271">
            <v>99.605443643101935</v>
          </cell>
        </row>
        <row r="272">
          <cell r="AD272">
            <v>80.76194596258118</v>
          </cell>
          <cell r="AE272">
            <v>82.861887481984894</v>
          </cell>
          <cell r="AF272">
            <v>85.823505219650016</v>
          </cell>
          <cell r="AG272">
            <v>90.796124144646882</v>
          </cell>
          <cell r="AH272">
            <v>99.663656685224467</v>
          </cell>
        </row>
        <row r="273">
          <cell r="AD273">
            <v>80.816370674194118</v>
          </cell>
          <cell r="AE273">
            <v>82.916268958926821</v>
          </cell>
          <cell r="AF273">
            <v>85.878108880436827</v>
          </cell>
          <cell r="AG273">
            <v>90.852534040676616</v>
          </cell>
          <cell r="AH273">
            <v>99.721869727346999</v>
          </cell>
        </row>
        <row r="274">
          <cell r="AD274">
            <v>80.870795385807057</v>
          </cell>
          <cell r="AE274">
            <v>82.970650435868762</v>
          </cell>
          <cell r="AF274">
            <v>85.932712541223623</v>
          </cell>
          <cell r="AG274">
            <v>90.908943936706351</v>
          </cell>
          <cell r="AH274">
            <v>99.780082769469516</v>
          </cell>
        </row>
        <row r="275">
          <cell r="AD275">
            <v>80.925220097420009</v>
          </cell>
          <cell r="AE275">
            <v>83.023342162088809</v>
          </cell>
          <cell r="AF275">
            <v>85.987316202010419</v>
          </cell>
          <cell r="AG275">
            <v>90.965353832736099</v>
          </cell>
          <cell r="AH275">
            <v>99.838295811592047</v>
          </cell>
        </row>
        <row r="276">
          <cell r="AD276">
            <v>80.979644809032948</v>
          </cell>
          <cell r="AE276">
            <v>83.07405267945947</v>
          </cell>
          <cell r="AF276">
            <v>86.038061368689995</v>
          </cell>
          <cell r="AG276">
            <v>91.020352770869948</v>
          </cell>
          <cell r="AH276">
            <v>99.896508853714579</v>
          </cell>
        </row>
        <row r="277">
          <cell r="AD277">
            <v>81.031787986768464</v>
          </cell>
          <cell r="AE277">
            <v>83.124763196830131</v>
          </cell>
          <cell r="AF277">
            <v>86.087639061133402</v>
          </cell>
          <cell r="AG277">
            <v>91.073105573528181</v>
          </cell>
          <cell r="AH277">
            <v>99.954721895837096</v>
          </cell>
        </row>
        <row r="278">
          <cell r="AD278">
            <v>81.082568038258216</v>
          </cell>
          <cell r="AE278">
            <v>83.175473714200777</v>
          </cell>
          <cell r="AF278">
            <v>86.137216753576809</v>
          </cell>
          <cell r="AG278">
            <v>91.125858376186414</v>
          </cell>
          <cell r="AH278">
            <v>100.01191770041967</v>
          </cell>
        </row>
        <row r="279">
          <cell r="AD279">
            <v>81.133348089747955</v>
          </cell>
          <cell r="AE279">
            <v>83.226184231571438</v>
          </cell>
          <cell r="AF279">
            <v>86.186794446020215</v>
          </cell>
          <cell r="AG279">
            <v>91.178611178844633</v>
          </cell>
          <cell r="AH279">
            <v>100.06555271580974</v>
          </cell>
        </row>
        <row r="280">
          <cell r="AD280">
            <v>81.184128141237707</v>
          </cell>
          <cell r="AE280">
            <v>83.276894748942098</v>
          </cell>
          <cell r="AF280">
            <v>86.236372138463622</v>
          </cell>
          <cell r="AG280">
            <v>91.231363981502867</v>
          </cell>
          <cell r="AH280">
            <v>100.11918773119983</v>
          </cell>
        </row>
        <row r="281">
          <cell r="AD281">
            <v>81.23490819272746</v>
          </cell>
          <cell r="AE281">
            <v>83.327605266312744</v>
          </cell>
          <cell r="AF281">
            <v>86.285949830907029</v>
          </cell>
          <cell r="AG281">
            <v>91.2841167841611</v>
          </cell>
          <cell r="AH281">
            <v>100.1728227465899</v>
          </cell>
        </row>
        <row r="282">
          <cell r="AD282">
            <v>81.285688244217212</v>
          </cell>
          <cell r="AE282">
            <v>83.378315783683405</v>
          </cell>
          <cell r="AF282">
            <v>86.335527523350422</v>
          </cell>
          <cell r="AG282">
            <v>91.336869586819319</v>
          </cell>
          <cell r="AH282">
            <v>100.22645776197997</v>
          </cell>
        </row>
        <row r="283">
          <cell r="AD283">
            <v>81.336468295706965</v>
          </cell>
          <cell r="AE283">
            <v>83.429026301054066</v>
          </cell>
          <cell r="AF283">
            <v>86.385105215793828</v>
          </cell>
          <cell r="AG283">
            <v>91.389622389477552</v>
          </cell>
          <cell r="AH283">
            <v>100.28009277737006</v>
          </cell>
        </row>
        <row r="284">
          <cell r="AD284">
            <v>81.387248347196717</v>
          </cell>
          <cell r="AE284">
            <v>83.479736818424712</v>
          </cell>
          <cell r="AF284">
            <v>86.434682908237235</v>
          </cell>
          <cell r="AG284">
            <v>91.442375192135771</v>
          </cell>
          <cell r="AH284">
            <v>100.33372779276013</v>
          </cell>
        </row>
        <row r="285">
          <cell r="AD285">
            <v>81.43802839868647</v>
          </cell>
          <cell r="AE285">
            <v>83.530447335795373</v>
          </cell>
          <cell r="AF285">
            <v>86.484260600680642</v>
          </cell>
          <cell r="AG285">
            <v>91.495127994794004</v>
          </cell>
          <cell r="AH285">
            <v>100.3873628081502</v>
          </cell>
        </row>
        <row r="286">
          <cell r="AD286">
            <v>81.488808450176222</v>
          </cell>
          <cell r="AE286">
            <v>83.581157853166033</v>
          </cell>
          <cell r="AF286">
            <v>86.533838293124049</v>
          </cell>
          <cell r="AG286">
            <v>91.547880797452237</v>
          </cell>
          <cell r="AH286">
            <v>100.44099782354027</v>
          </cell>
        </row>
        <row r="287">
          <cell r="AD287">
            <v>81.539588501665975</v>
          </cell>
          <cell r="AE287">
            <v>83.631868370536679</v>
          </cell>
          <cell r="AF287">
            <v>86.583415985567456</v>
          </cell>
          <cell r="AG287">
            <v>91.600633600110456</v>
          </cell>
          <cell r="AH287">
            <v>100.49463283893036</v>
          </cell>
        </row>
        <row r="288">
          <cell r="AD288">
            <v>81.590368553155727</v>
          </cell>
          <cell r="AE288">
            <v>83.68257888790734</v>
          </cell>
          <cell r="AF288">
            <v>86.632993678010848</v>
          </cell>
          <cell r="AG288">
            <v>91.653386402768689</v>
          </cell>
          <cell r="AH288">
            <v>100.54826785432043</v>
          </cell>
        </row>
        <row r="289">
          <cell r="AD289">
            <v>81.64114860464548</v>
          </cell>
          <cell r="AE289">
            <v>83.733289405278001</v>
          </cell>
          <cell r="AF289">
            <v>86.682571370454255</v>
          </cell>
          <cell r="AG289">
            <v>91.706139205426922</v>
          </cell>
          <cell r="AH289">
            <v>100.6019028697105</v>
          </cell>
        </row>
        <row r="290">
          <cell r="AD290">
            <v>81.691928656135218</v>
          </cell>
          <cell r="AE290">
            <v>83.783999922648647</v>
          </cell>
          <cell r="AF290">
            <v>86.732149062897662</v>
          </cell>
          <cell r="AG290">
            <v>91.758892008085141</v>
          </cell>
          <cell r="AH290">
            <v>100.65553788510059</v>
          </cell>
        </row>
        <row r="291">
          <cell r="AD291">
            <v>81.742708707624971</v>
          </cell>
          <cell r="AE291">
            <v>83.834710440019307</v>
          </cell>
          <cell r="AF291">
            <v>86.781726755341069</v>
          </cell>
          <cell r="AG291">
            <v>91.811644810743374</v>
          </cell>
          <cell r="AH291">
            <v>100.70917290049066</v>
          </cell>
        </row>
        <row r="292">
          <cell r="AD292">
            <v>81.793488759114723</v>
          </cell>
          <cell r="AE292">
            <v>83.885420957389968</v>
          </cell>
          <cell r="AF292">
            <v>86.831304447784476</v>
          </cell>
          <cell r="AG292">
            <v>91.864397613401607</v>
          </cell>
          <cell r="AH292">
            <v>100.76280791588073</v>
          </cell>
        </row>
        <row r="293">
          <cell r="AD293">
            <v>81.844268810604476</v>
          </cell>
          <cell r="AE293">
            <v>83.936131474760614</v>
          </cell>
          <cell r="AF293">
            <v>86.880882140227882</v>
          </cell>
          <cell r="AG293">
            <v>91.917150416059826</v>
          </cell>
          <cell r="AH293">
            <v>100.8164429312708</v>
          </cell>
        </row>
        <row r="294">
          <cell r="AD294">
            <v>81.895048862094228</v>
          </cell>
          <cell r="AE294">
            <v>83.986841992131275</v>
          </cell>
          <cell r="AF294">
            <v>86.930459832671289</v>
          </cell>
          <cell r="AG294">
            <v>91.969903218718059</v>
          </cell>
          <cell r="AH294">
            <v>100.87007794666089</v>
          </cell>
        </row>
        <row r="295">
          <cell r="AD295">
            <v>81.945828913583981</v>
          </cell>
          <cell r="AE295">
            <v>84.036191564035917</v>
          </cell>
          <cell r="AF295">
            <v>86.980037525114682</v>
          </cell>
          <cell r="AG295">
            <v>92.021521414287719</v>
          </cell>
          <cell r="AH295">
            <v>100.92371296205096</v>
          </cell>
        </row>
        <row r="296">
          <cell r="AD296">
            <v>81.996608965073733</v>
          </cell>
          <cell r="AE296">
            <v>84.085064274836242</v>
          </cell>
          <cell r="AF296">
            <v>87.029133791498197</v>
          </cell>
          <cell r="AG296">
            <v>92.071632371634976</v>
          </cell>
          <cell r="AH296">
            <v>100.97734797744103</v>
          </cell>
        </row>
        <row r="297">
          <cell r="AD297">
            <v>82.044215515890215</v>
          </cell>
          <cell r="AE297">
            <v>84.133936985636566</v>
          </cell>
          <cell r="AF297">
            <v>87.077905547159801</v>
          </cell>
          <cell r="AG297">
            <v>92.121743328982234</v>
          </cell>
          <cell r="AH297">
            <v>101.02868392415382</v>
          </cell>
        </row>
        <row r="298">
          <cell r="AD298">
            <v>82.091594979242089</v>
          </cell>
          <cell r="AE298">
            <v>84.182809696436891</v>
          </cell>
          <cell r="AF298">
            <v>87.126677302821392</v>
          </cell>
          <cell r="AG298">
            <v>92.171854286329506</v>
          </cell>
          <cell r="AH298">
            <v>101.07833899530283</v>
          </cell>
        </row>
        <row r="299">
          <cell r="AD299">
            <v>82.138974442593963</v>
          </cell>
          <cell r="AE299">
            <v>84.23168240723723</v>
          </cell>
          <cell r="AF299">
            <v>87.175449058482982</v>
          </cell>
          <cell r="AG299">
            <v>92.221965243676763</v>
          </cell>
          <cell r="AH299">
            <v>101.12799406645185</v>
          </cell>
        </row>
        <row r="300">
          <cell r="AD300">
            <v>82.186353905945836</v>
          </cell>
          <cell r="AE300">
            <v>84.280555118037555</v>
          </cell>
          <cell r="AF300">
            <v>87.224220814144587</v>
          </cell>
          <cell r="AG300">
            <v>92.272076201024021</v>
          </cell>
          <cell r="AH300">
            <v>101.17764913760085</v>
          </cell>
        </row>
        <row r="301">
          <cell r="AD301">
            <v>82.23373336929771</v>
          </cell>
          <cell r="AE301">
            <v>84.329427828837879</v>
          </cell>
          <cell r="AF301">
            <v>87.272992569806178</v>
          </cell>
          <cell r="AG301">
            <v>92.322187158371293</v>
          </cell>
          <cell r="AH301">
            <v>101.22730420874987</v>
          </cell>
        </row>
        <row r="302">
          <cell r="AD302">
            <v>82.281112832649583</v>
          </cell>
          <cell r="AE302">
            <v>84.378300539638204</v>
          </cell>
          <cell r="AF302">
            <v>87.321764325467768</v>
          </cell>
          <cell r="AG302">
            <v>92.37229811571855</v>
          </cell>
          <cell r="AH302">
            <v>101.27695927989888</v>
          </cell>
        </row>
        <row r="303">
          <cell r="AD303">
            <v>82.328492296001457</v>
          </cell>
          <cell r="AE303">
            <v>84.427173250438543</v>
          </cell>
          <cell r="AF303">
            <v>87.370536081129359</v>
          </cell>
          <cell r="AG303">
            <v>92.422409073065808</v>
          </cell>
          <cell r="AH303">
            <v>101.32661435104789</v>
          </cell>
        </row>
        <row r="304">
          <cell r="AD304">
            <v>82.375871759353331</v>
          </cell>
          <cell r="AE304">
            <v>84.476045961238867</v>
          </cell>
          <cell r="AF304">
            <v>87.419307836790964</v>
          </cell>
          <cell r="AG304">
            <v>92.472520030413079</v>
          </cell>
          <cell r="AH304">
            <v>101.3762694221969</v>
          </cell>
        </row>
        <row r="305">
          <cell r="AD305">
            <v>82.423251222705204</v>
          </cell>
          <cell r="AE305">
            <v>84.524918672039192</v>
          </cell>
          <cell r="AF305">
            <v>87.468079592452554</v>
          </cell>
          <cell r="AG305">
            <v>92.522630987760337</v>
          </cell>
          <cell r="AH305">
            <v>101.42592449334592</v>
          </cell>
        </row>
        <row r="306">
          <cell r="AD306">
            <v>82.470630686057078</v>
          </cell>
          <cell r="AE306">
            <v>84.573791382839516</v>
          </cell>
          <cell r="AF306">
            <v>87.516851348114145</v>
          </cell>
          <cell r="AG306">
            <v>92.572741945107595</v>
          </cell>
          <cell r="AH306">
            <v>101.47557956449492</v>
          </cell>
        </row>
        <row r="307">
          <cell r="AD307">
            <v>82.518010149408951</v>
          </cell>
          <cell r="AE307">
            <v>84.622664093639855</v>
          </cell>
          <cell r="AF307">
            <v>87.565623103775735</v>
          </cell>
          <cell r="AG307">
            <v>92.622852902454852</v>
          </cell>
          <cell r="AH307">
            <v>101.52523463564394</v>
          </cell>
        </row>
        <row r="308">
          <cell r="AD308">
            <v>82.565389612760825</v>
          </cell>
          <cell r="AE308">
            <v>84.67153680444018</v>
          </cell>
          <cell r="AF308">
            <v>87.61439485943734</v>
          </cell>
          <cell r="AG308">
            <v>92.672963859802124</v>
          </cell>
          <cell r="AH308">
            <v>101.57488970679294</v>
          </cell>
        </row>
        <row r="309">
          <cell r="AD309">
            <v>82.612769076112698</v>
          </cell>
          <cell r="AE309">
            <v>84.720409515240505</v>
          </cell>
          <cell r="AF309">
            <v>87.66316661509893</v>
          </cell>
          <cell r="AG309">
            <v>92.723074817149381</v>
          </cell>
          <cell r="AH309">
            <v>101.62454477794196</v>
          </cell>
        </row>
        <row r="310">
          <cell r="AD310">
            <v>82.660148539464572</v>
          </cell>
          <cell r="AE310">
            <v>84.769282226040829</v>
          </cell>
          <cell r="AF310">
            <v>87.711938370760521</v>
          </cell>
          <cell r="AG310">
            <v>92.773185774496639</v>
          </cell>
          <cell r="AH310">
            <v>101.67419984909097</v>
          </cell>
        </row>
        <row r="311">
          <cell r="AD311">
            <v>82.707528002816446</v>
          </cell>
          <cell r="AE311">
            <v>84.818154936841154</v>
          </cell>
          <cell r="AF311">
            <v>87.760710126422126</v>
          </cell>
          <cell r="AG311">
            <v>92.823296731843911</v>
          </cell>
          <cell r="AH311">
            <v>101.72385492023999</v>
          </cell>
        </row>
        <row r="312">
          <cell r="AD312">
            <v>82.754907466168319</v>
          </cell>
          <cell r="AE312">
            <v>84.867027647641493</v>
          </cell>
          <cell r="AF312">
            <v>87.809481882083716</v>
          </cell>
          <cell r="AG312">
            <v>92.873407689191168</v>
          </cell>
          <cell r="AH312">
            <v>101.77350999138899</v>
          </cell>
        </row>
        <row r="313">
          <cell r="AD313">
            <v>82.802286929520193</v>
          </cell>
          <cell r="AE313">
            <v>84.915900358441817</v>
          </cell>
          <cell r="AF313">
            <v>87.858253637745307</v>
          </cell>
          <cell r="AG313">
            <v>92.923518646538426</v>
          </cell>
          <cell r="AH313">
            <v>101.82316506253801</v>
          </cell>
        </row>
        <row r="314">
          <cell r="AD314">
            <v>82.849666392872066</v>
          </cell>
          <cell r="AE314">
            <v>84.964773069242142</v>
          </cell>
          <cell r="AF314">
            <v>87.907025393406897</v>
          </cell>
          <cell r="AG314">
            <v>92.973629603885698</v>
          </cell>
          <cell r="AH314">
            <v>101.87282013368701</v>
          </cell>
        </row>
        <row r="315">
          <cell r="AD315">
            <v>82.89704585622394</v>
          </cell>
          <cell r="AE315">
            <v>85.012531647506819</v>
          </cell>
          <cell r="AF315">
            <v>87.955797149068502</v>
          </cell>
          <cell r="AG315">
            <v>93.022367647203353</v>
          </cell>
          <cell r="AH315">
            <v>101.92247520483603</v>
          </cell>
        </row>
        <row r="316">
          <cell r="AD316">
            <v>82.944425319575814</v>
          </cell>
          <cell r="AE316">
            <v>85.057414064088832</v>
          </cell>
          <cell r="AF316">
            <v>88.004756197276762</v>
          </cell>
          <cell r="AG316">
            <v>93.069580693431178</v>
          </cell>
          <cell r="AH316">
            <v>101.97213027598504</v>
          </cell>
        </row>
        <row r="317">
          <cell r="AD317">
            <v>82.991804782927687</v>
          </cell>
          <cell r="AE317">
            <v>85.10229648067083</v>
          </cell>
          <cell r="AF317">
            <v>88.05552724748766</v>
          </cell>
          <cell r="AG317">
            <v>93.116793739659002</v>
          </cell>
          <cell r="AH317">
            <v>102.01969836502204</v>
          </cell>
        </row>
        <row r="318">
          <cell r="AD318">
            <v>83.03656019452734</v>
          </cell>
          <cell r="AE318">
            <v>85.147178897252829</v>
          </cell>
          <cell r="AF318">
            <v>88.106298297698572</v>
          </cell>
          <cell r="AG318">
            <v>93.164006785886826</v>
          </cell>
          <cell r="AH318">
            <v>102.06459660376342</v>
          </cell>
        </row>
        <row r="319">
          <cell r="AD319">
            <v>83.080766796955942</v>
          </cell>
          <cell r="AE319">
            <v>85.192061313834827</v>
          </cell>
          <cell r="AF319">
            <v>88.15706934790947</v>
          </cell>
          <cell r="AG319">
            <v>93.211219832114651</v>
          </cell>
          <cell r="AH319">
            <v>102.1094948425048</v>
          </cell>
        </row>
        <row r="320">
          <cell r="AD320">
            <v>83.124973399384558</v>
          </cell>
          <cell r="AE320">
            <v>85.236943730416826</v>
          </cell>
          <cell r="AF320">
            <v>88.207840398120382</v>
          </cell>
          <cell r="AG320">
            <v>93.258432878342475</v>
          </cell>
          <cell r="AH320">
            <v>102.15439308124618</v>
          </cell>
        </row>
        <row r="321">
          <cell r="AD321">
            <v>83.16918000181316</v>
          </cell>
          <cell r="AE321">
            <v>85.281826146998839</v>
          </cell>
          <cell r="AF321">
            <v>88.258611448331294</v>
          </cell>
          <cell r="AG321">
            <v>93.3056459245703</v>
          </cell>
          <cell r="AH321">
            <v>102.19929131998755</v>
          </cell>
        </row>
        <row r="322">
          <cell r="AD322">
            <v>83.213386604241776</v>
          </cell>
          <cell r="AE322">
            <v>85.326708563580837</v>
          </cell>
          <cell r="AF322">
            <v>88.309382498542192</v>
          </cell>
          <cell r="AG322">
            <v>93.352858970798124</v>
          </cell>
          <cell r="AH322">
            <v>102.24418955872893</v>
          </cell>
        </row>
        <row r="323">
          <cell r="AD323">
            <v>83.257593206670379</v>
          </cell>
          <cell r="AE323">
            <v>85.371590980162836</v>
          </cell>
          <cell r="AF323">
            <v>88.360153548753104</v>
          </cell>
          <cell r="AG323">
            <v>93.400072017025948</v>
          </cell>
          <cell r="AH323">
            <v>102.28908779747032</v>
          </cell>
        </row>
        <row r="324">
          <cell r="AD324">
            <v>83.301799809098995</v>
          </cell>
          <cell r="AE324">
            <v>85.416473396744834</v>
          </cell>
          <cell r="AF324">
            <v>88.410924598964016</v>
          </cell>
          <cell r="AG324">
            <v>93.447285063253773</v>
          </cell>
          <cell r="AH324">
            <v>102.3339860362117</v>
          </cell>
        </row>
        <row r="325">
          <cell r="AD325">
            <v>83.346006411527597</v>
          </cell>
          <cell r="AE325">
            <v>85.461355813326847</v>
          </cell>
          <cell r="AF325">
            <v>88.461695649174914</v>
          </cell>
          <cell r="AG325">
            <v>93.494498109481597</v>
          </cell>
          <cell r="AH325">
            <v>102.37888427495307</v>
          </cell>
        </row>
        <row r="326">
          <cell r="AD326">
            <v>83.390213013956213</v>
          </cell>
          <cell r="AE326">
            <v>85.506238229908845</v>
          </cell>
          <cell r="AF326">
            <v>88.512466699385826</v>
          </cell>
          <cell r="AG326">
            <v>93.541711155709422</v>
          </cell>
          <cell r="AH326">
            <v>102.42378251369445</v>
          </cell>
        </row>
        <row r="327">
          <cell r="AD327">
            <v>83.434419616384815</v>
          </cell>
          <cell r="AE327">
            <v>85.551120646490844</v>
          </cell>
          <cell r="AF327">
            <v>88.563237749596723</v>
          </cell>
          <cell r="AG327">
            <v>93.588924201937246</v>
          </cell>
          <cell r="AH327">
            <v>102.46868075243583</v>
          </cell>
        </row>
        <row r="328">
          <cell r="AD328">
            <v>83.478626218813432</v>
          </cell>
          <cell r="AE328">
            <v>85.596003063072843</v>
          </cell>
          <cell r="AF328">
            <v>88.614008799807635</v>
          </cell>
          <cell r="AG328">
            <v>93.63613724816507</v>
          </cell>
          <cell r="AH328">
            <v>102.51357899117721</v>
          </cell>
        </row>
        <row r="329">
          <cell r="AD329">
            <v>83.522832821242034</v>
          </cell>
          <cell r="AE329">
            <v>85.640885479654855</v>
          </cell>
          <cell r="AF329">
            <v>88.664779850018547</v>
          </cell>
          <cell r="AG329">
            <v>93.683350294392895</v>
          </cell>
          <cell r="AH329">
            <v>102.55847722991859</v>
          </cell>
        </row>
        <row r="330">
          <cell r="AD330">
            <v>83.56703942367065</v>
          </cell>
          <cell r="AE330">
            <v>85.685767896236854</v>
          </cell>
          <cell r="AF330">
            <v>88.715550900229445</v>
          </cell>
          <cell r="AG330">
            <v>93.730563340620719</v>
          </cell>
          <cell r="AH330">
            <v>102.60337546865996</v>
          </cell>
        </row>
        <row r="331">
          <cell r="AD331">
            <v>83.611246026099252</v>
          </cell>
          <cell r="AE331">
            <v>85.730650312818852</v>
          </cell>
          <cell r="AF331">
            <v>88.766321950440357</v>
          </cell>
          <cell r="AG331">
            <v>93.777776386848544</v>
          </cell>
          <cell r="AH331">
            <v>102.64827370740134</v>
          </cell>
        </row>
        <row r="332">
          <cell r="AD332">
            <v>83.655452628527868</v>
          </cell>
          <cell r="AE332">
            <v>85.775532729400851</v>
          </cell>
          <cell r="AF332">
            <v>88.817093000651269</v>
          </cell>
          <cell r="AG332">
            <v>93.824989433076368</v>
          </cell>
          <cell r="AH332">
            <v>102.69317194614273</v>
          </cell>
        </row>
        <row r="333">
          <cell r="AD333">
            <v>83.69965923095647</v>
          </cell>
          <cell r="AE333">
            <v>85.820415145982849</v>
          </cell>
          <cell r="AF333">
            <v>88.867864050862167</v>
          </cell>
          <cell r="AG333">
            <v>93.872202479304192</v>
          </cell>
          <cell r="AH333">
            <v>102.73807018488411</v>
          </cell>
        </row>
        <row r="334">
          <cell r="AD334">
            <v>83.743865833385087</v>
          </cell>
          <cell r="AE334">
            <v>85.865297562564862</v>
          </cell>
          <cell r="AF334">
            <v>88.918635101073079</v>
          </cell>
          <cell r="AG334">
            <v>93.919415525532017</v>
          </cell>
          <cell r="AH334">
            <v>102.78296842362549</v>
          </cell>
        </row>
        <row r="335">
          <cell r="AD335">
            <v>83.788072435813689</v>
          </cell>
          <cell r="AE335">
            <v>85.910179979146861</v>
          </cell>
          <cell r="AF335">
            <v>88.969406151283977</v>
          </cell>
          <cell r="AG335">
            <v>93.966628571759841</v>
          </cell>
          <cell r="AH335">
            <v>102.82786666236686</v>
          </cell>
        </row>
        <row r="336">
          <cell r="AD336">
            <v>83.832279038242305</v>
          </cell>
          <cell r="AE336">
            <v>85.955062395728859</v>
          </cell>
          <cell r="AF336">
            <v>89.018466905731287</v>
          </cell>
          <cell r="AG336">
            <v>94.012923283729691</v>
          </cell>
          <cell r="AH336">
            <v>102.87276490110824</v>
          </cell>
        </row>
        <row r="337">
          <cell r="AD337">
            <v>83.876485640670907</v>
          </cell>
          <cell r="AE337">
            <v>85.999944812310858</v>
          </cell>
          <cell r="AF337">
            <v>89.064934410075779</v>
          </cell>
          <cell r="AG337">
            <v>94.057003939090123</v>
          </cell>
          <cell r="AH337">
            <v>102.91766313984962</v>
          </cell>
        </row>
        <row r="338">
          <cell r="AD338">
            <v>83.920692243099523</v>
          </cell>
          <cell r="AE338">
            <v>86.041129946887025</v>
          </cell>
          <cell r="AF338">
            <v>89.11140191442027</v>
          </cell>
          <cell r="AG338">
            <v>94.101084594450555</v>
          </cell>
          <cell r="AH338">
            <v>102.962561378591</v>
          </cell>
        </row>
        <row r="339">
          <cell r="AD339">
            <v>83.964898845528126</v>
          </cell>
          <cell r="AE339">
            <v>86.082310529666103</v>
          </cell>
          <cell r="AF339">
            <v>89.157869418764761</v>
          </cell>
          <cell r="AG339">
            <v>94.145165249810972</v>
          </cell>
          <cell r="AH339">
            <v>103.00673656424885</v>
          </cell>
        </row>
        <row r="340">
          <cell r="AD340">
            <v>84.008495683346354</v>
          </cell>
          <cell r="AE340">
            <v>86.12349111244518</v>
          </cell>
          <cell r="AF340">
            <v>89.204336923109267</v>
          </cell>
          <cell r="AG340">
            <v>94.189245905171404</v>
          </cell>
          <cell r="AH340">
            <v>103.04728286259964</v>
          </cell>
        </row>
        <row r="341">
          <cell r="AD341">
            <v>84.049741901856009</v>
          </cell>
          <cell r="AE341">
            <v>86.164671695224243</v>
          </cell>
          <cell r="AF341">
            <v>89.250804427453758</v>
          </cell>
          <cell r="AG341">
            <v>94.233326560531836</v>
          </cell>
          <cell r="AH341">
            <v>103.08782916095045</v>
          </cell>
        </row>
        <row r="342">
          <cell r="AD342">
            <v>84.090988120365651</v>
          </cell>
          <cell r="AE342">
            <v>86.20585227800332</v>
          </cell>
          <cell r="AF342">
            <v>89.29727193179825</v>
          </cell>
          <cell r="AG342">
            <v>94.277407215892268</v>
          </cell>
          <cell r="AH342">
            <v>103.12837545930124</v>
          </cell>
        </row>
        <row r="343">
          <cell r="AD343">
            <v>84.132234338875293</v>
          </cell>
          <cell r="AE343">
            <v>86.247032860782397</v>
          </cell>
          <cell r="AF343">
            <v>89.343739436142741</v>
          </cell>
          <cell r="AG343">
            <v>94.3214878712527</v>
          </cell>
          <cell r="AH343">
            <v>103.16892175765203</v>
          </cell>
        </row>
        <row r="344">
          <cell r="AD344">
            <v>84.173480557384934</v>
          </cell>
          <cell r="AE344">
            <v>86.288213443561474</v>
          </cell>
          <cell r="AF344">
            <v>89.390206940487232</v>
          </cell>
          <cell r="AG344">
            <v>94.365568526613131</v>
          </cell>
          <cell r="AH344">
            <v>103.20946805600283</v>
          </cell>
        </row>
        <row r="345">
          <cell r="AD345">
            <v>84.214726775894576</v>
          </cell>
          <cell r="AE345">
            <v>86.329394026340537</v>
          </cell>
          <cell r="AF345">
            <v>89.436674444831723</v>
          </cell>
          <cell r="AG345">
            <v>94.409649181973549</v>
          </cell>
          <cell r="AH345">
            <v>103.25001435435362</v>
          </cell>
        </row>
        <row r="346">
          <cell r="AD346">
            <v>84.255972994404218</v>
          </cell>
          <cell r="AE346">
            <v>86.370574609119615</v>
          </cell>
          <cell r="AF346">
            <v>89.483141949176215</v>
          </cell>
          <cell r="AG346">
            <v>94.453729837333981</v>
          </cell>
          <cell r="AH346">
            <v>103.29056065270443</v>
          </cell>
        </row>
        <row r="347">
          <cell r="AD347">
            <v>84.297219212913859</v>
          </cell>
          <cell r="AE347">
            <v>86.411755191898692</v>
          </cell>
          <cell r="AF347">
            <v>89.529609453520706</v>
          </cell>
          <cell r="AG347">
            <v>94.497810492694413</v>
          </cell>
          <cell r="AH347">
            <v>103.33110695105522</v>
          </cell>
        </row>
        <row r="348">
          <cell r="AD348">
            <v>84.338465431423501</v>
          </cell>
          <cell r="AE348">
            <v>86.452935774677769</v>
          </cell>
          <cell r="AF348">
            <v>89.576076957865197</v>
          </cell>
          <cell r="AG348">
            <v>94.541891148054845</v>
          </cell>
          <cell r="AH348">
            <v>103.37165324940601</v>
          </cell>
        </row>
        <row r="349">
          <cell r="AD349">
            <v>84.379711649933142</v>
          </cell>
          <cell r="AE349">
            <v>86.494116357456846</v>
          </cell>
          <cell r="AF349">
            <v>89.622544462209689</v>
          </cell>
          <cell r="AG349">
            <v>94.585971803415276</v>
          </cell>
          <cell r="AH349">
            <v>103.41219954775681</v>
          </cell>
        </row>
        <row r="350">
          <cell r="AD350">
            <v>84.420957868442784</v>
          </cell>
          <cell r="AE350">
            <v>86.535296940235909</v>
          </cell>
          <cell r="AF350">
            <v>89.66901196655418</v>
          </cell>
          <cell r="AG350">
            <v>94.630052458775694</v>
          </cell>
          <cell r="AH350">
            <v>103.4527458461076</v>
          </cell>
        </row>
        <row r="351">
          <cell r="AD351">
            <v>84.462204086952426</v>
          </cell>
          <cell r="AE351">
            <v>86.576477523014987</v>
          </cell>
          <cell r="AF351">
            <v>89.715479470898671</v>
          </cell>
          <cell r="AG351">
            <v>94.674133114136126</v>
          </cell>
          <cell r="AH351">
            <v>103.49329214445841</v>
          </cell>
        </row>
        <row r="352">
          <cell r="AD352">
            <v>84.503450305462081</v>
          </cell>
          <cell r="AE352">
            <v>86.617658105794064</v>
          </cell>
          <cell r="AF352">
            <v>89.761946975243163</v>
          </cell>
          <cell r="AG352">
            <v>94.718213769496558</v>
          </cell>
          <cell r="AH352">
            <v>103.5338384428092</v>
          </cell>
        </row>
        <row r="353">
          <cell r="AD353">
            <v>84.544696523971723</v>
          </cell>
          <cell r="AE353">
            <v>86.658838688573141</v>
          </cell>
          <cell r="AF353">
            <v>89.808414479587654</v>
          </cell>
          <cell r="AG353">
            <v>94.762294424856989</v>
          </cell>
          <cell r="AH353">
            <v>103.57438474115999</v>
          </cell>
        </row>
        <row r="354">
          <cell r="AD354">
            <v>84.585942742481365</v>
          </cell>
          <cell r="AE354">
            <v>86.700019271352204</v>
          </cell>
          <cell r="AF354">
            <v>89.854881983932145</v>
          </cell>
          <cell r="AG354">
            <v>94.806375080217421</v>
          </cell>
          <cell r="AH354">
            <v>103.61493103951079</v>
          </cell>
        </row>
        <row r="355">
          <cell r="AD355">
            <v>84.627188960991006</v>
          </cell>
          <cell r="AE355">
            <v>86.741199854131281</v>
          </cell>
          <cell r="AF355">
            <v>89.901349488276637</v>
          </cell>
          <cell r="AG355">
            <v>94.850455735577853</v>
          </cell>
          <cell r="AH355">
            <v>103.65547733786158</v>
          </cell>
        </row>
        <row r="356">
          <cell r="AD356">
            <v>84.668435179500648</v>
          </cell>
          <cell r="AE356">
            <v>86.782380436910358</v>
          </cell>
          <cell r="AF356">
            <v>89.947816992621142</v>
          </cell>
          <cell r="AG356">
            <v>94.894536390938271</v>
          </cell>
          <cell r="AH356">
            <v>103.69602363621237</v>
          </cell>
        </row>
        <row r="357">
          <cell r="AD357">
            <v>84.709681398010289</v>
          </cell>
          <cell r="AE357">
            <v>86.823561019689436</v>
          </cell>
          <cell r="AF357">
            <v>89.994284496965633</v>
          </cell>
          <cell r="AG357">
            <v>94.938617046298702</v>
          </cell>
          <cell r="AH357">
            <v>103.73656993456318</v>
          </cell>
        </row>
        <row r="358">
          <cell r="AD358">
            <v>84.750927616519931</v>
          </cell>
          <cell r="AE358">
            <v>86.864741602468499</v>
          </cell>
          <cell r="AF358">
            <v>90.036066635925749</v>
          </cell>
          <cell r="AG358">
            <v>94.982697701659134</v>
          </cell>
          <cell r="AH358">
            <v>103.77711623291397</v>
          </cell>
        </row>
        <row r="359">
          <cell r="AD359">
            <v>84.792173835029573</v>
          </cell>
          <cell r="AE359">
            <v>86.905922185247576</v>
          </cell>
          <cell r="AF359">
            <v>90.077191648383845</v>
          </cell>
          <cell r="AG359">
            <v>95.024001308619916</v>
          </cell>
          <cell r="AH359">
            <v>103.81766253126477</v>
          </cell>
        </row>
        <row r="360">
          <cell r="AD360">
            <v>84.833420053539214</v>
          </cell>
          <cell r="AE360">
            <v>86.947102768026653</v>
          </cell>
          <cell r="AF360">
            <v>90.118316660841927</v>
          </cell>
          <cell r="AG360">
            <v>95.063510581451752</v>
          </cell>
          <cell r="AH360">
            <v>103.85820882961556</v>
          </cell>
        </row>
        <row r="361">
          <cell r="AD361">
            <v>84.874666272048856</v>
          </cell>
          <cell r="AE361">
            <v>86.98828335080573</v>
          </cell>
          <cell r="AF361">
            <v>90.159441673300023</v>
          </cell>
          <cell r="AG361">
            <v>95.103019854283588</v>
          </cell>
          <cell r="AH361">
            <v>103.89875512796635</v>
          </cell>
        </row>
        <row r="362">
          <cell r="AD362">
            <v>84.915912490558497</v>
          </cell>
          <cell r="AE362">
            <v>87.027010646912942</v>
          </cell>
          <cell r="AF362">
            <v>90.200566685758119</v>
          </cell>
          <cell r="AG362">
            <v>95.142529127115409</v>
          </cell>
          <cell r="AH362">
            <v>103.93930142631716</v>
          </cell>
        </row>
        <row r="363">
          <cell r="AD363">
            <v>84.957158709068153</v>
          </cell>
          <cell r="AE363">
            <v>87.064762367263285</v>
          </cell>
          <cell r="AF363">
            <v>90.241691698216215</v>
          </cell>
          <cell r="AG363">
            <v>95.182038399947245</v>
          </cell>
          <cell r="AH363">
            <v>103.97984772466795</v>
          </cell>
        </row>
      </sheetData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>
        <row r="4">
          <cell r="N4">
            <v>3.301579276669484</v>
          </cell>
          <cell r="O4">
            <v>4.0057487176130557</v>
          </cell>
          <cell r="P4">
            <v>4.2565036636761029</v>
          </cell>
          <cell r="Q4">
            <v>3.3562706551221395</v>
          </cell>
          <cell r="R4">
            <v>1.7550190606299467</v>
          </cell>
        </row>
        <row r="5">
          <cell r="N5">
            <v>6.840124329863615</v>
          </cell>
          <cell r="O5">
            <v>8.3787062090179365</v>
          </cell>
          <cell r="P5">
            <v>8.9944214875541597</v>
          </cell>
          <cell r="Q5">
            <v>7.192360993180591</v>
          </cell>
          <cell r="R5">
            <v>3.819793082834837</v>
          </cell>
          <cell r="AO5">
            <v>3</v>
          </cell>
          <cell r="AP5">
            <v>2</v>
          </cell>
          <cell r="AQ5">
            <v>0</v>
          </cell>
          <cell r="AR5">
            <v>0</v>
          </cell>
          <cell r="AS5">
            <v>0</v>
          </cell>
          <cell r="AT5">
            <v>0</v>
          </cell>
          <cell r="CS5">
            <v>0</v>
          </cell>
          <cell r="CT5">
            <v>0</v>
          </cell>
          <cell r="CU5">
            <v>0</v>
          </cell>
          <cell r="CV5">
            <v>0</v>
          </cell>
          <cell r="CW5">
            <v>0</v>
          </cell>
          <cell r="KF5">
            <v>3</v>
          </cell>
        </row>
        <row r="6">
          <cell r="N6">
            <v>10.632643013866151</v>
          </cell>
          <cell r="O6">
            <v>13.120311648049476</v>
          </cell>
          <cell r="P6">
            <v>14.210666074680118</v>
          </cell>
          <cell r="Q6">
            <v>11.453968457804642</v>
          </cell>
          <cell r="R6">
            <v>6.1162429781958272</v>
          </cell>
          <cell r="AO6">
            <v>5</v>
          </cell>
          <cell r="AP6">
            <v>2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CS6">
            <v>0</v>
          </cell>
          <cell r="CT6">
            <v>0</v>
          </cell>
          <cell r="CU6">
            <v>0</v>
          </cell>
          <cell r="CV6">
            <v>0</v>
          </cell>
          <cell r="CW6">
            <v>0</v>
          </cell>
          <cell r="KF6">
            <v>3.09</v>
          </cell>
        </row>
        <row r="7">
          <cell r="N7">
            <v>14.697363895553133</v>
          </cell>
          <cell r="O7">
            <v>18.221663954542464</v>
          </cell>
          <cell r="P7">
            <v>19.852560134291625</v>
          </cell>
          <cell r="Q7">
            <v>16.076200284493559</v>
          </cell>
          <cell r="R7">
            <v>8.6584407264078909</v>
          </cell>
          <cell r="AO7">
            <v>7</v>
          </cell>
          <cell r="AP7">
            <v>2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CS7">
            <v>0</v>
          </cell>
          <cell r="CT7">
            <v>0</v>
          </cell>
          <cell r="CU7">
            <v>0</v>
          </cell>
          <cell r="CV7">
            <v>0</v>
          </cell>
          <cell r="CW7">
            <v>0</v>
          </cell>
          <cell r="KF7">
            <v>3.1827000000000001</v>
          </cell>
        </row>
        <row r="8">
          <cell r="N8">
            <v>19.053823869162375</v>
          </cell>
          <cell r="O8">
            <v>23.611664224090969</v>
          </cell>
          <cell r="P8">
            <v>25.76723160268055</v>
          </cell>
          <cell r="Q8">
            <v>20.905358492970112</v>
          </cell>
          <cell r="R8">
            <v>11.280360786818976</v>
          </cell>
          <cell r="AO8">
            <v>10</v>
          </cell>
          <cell r="AP8">
            <v>1</v>
          </cell>
          <cell r="AQ8">
            <v>1</v>
          </cell>
          <cell r="AR8">
            <v>0</v>
          </cell>
          <cell r="AS8">
            <v>0</v>
          </cell>
          <cell r="AT8">
            <v>0</v>
          </cell>
          <cell r="CS8">
            <v>0</v>
          </cell>
          <cell r="CT8">
            <v>0</v>
          </cell>
          <cell r="CU8">
            <v>0</v>
          </cell>
          <cell r="CV8">
            <v>0</v>
          </cell>
          <cell r="CW8">
            <v>0</v>
          </cell>
          <cell r="KF8">
            <v>3.278181</v>
          </cell>
        </row>
        <row r="9">
          <cell r="N9">
            <v>23.722962059478306</v>
          </cell>
          <cell r="O9">
            <v>29.439164482679558</v>
          </cell>
          <cell r="P9">
            <v>32.156578214936147</v>
          </cell>
          <cell r="Q9">
            <v>26.203507172736675</v>
          </cell>
          <cell r="R9">
            <v>14.251775743858198</v>
          </cell>
          <cell r="AO9">
            <v>13</v>
          </cell>
          <cell r="AP9">
            <v>0.95</v>
          </cell>
          <cell r="AQ9">
            <v>1.05</v>
          </cell>
          <cell r="AR9">
            <v>0</v>
          </cell>
          <cell r="AS9">
            <v>0</v>
          </cell>
          <cell r="AT9">
            <v>0</v>
          </cell>
          <cell r="CS9">
            <v>0</v>
          </cell>
          <cell r="CT9">
            <v>0</v>
          </cell>
          <cell r="CU9">
            <v>0</v>
          </cell>
          <cell r="CV9">
            <v>0</v>
          </cell>
          <cell r="CW9">
            <v>0</v>
          </cell>
          <cell r="KF9">
            <v>3.3765264300000002</v>
          </cell>
        </row>
        <row r="10">
          <cell r="N10">
            <v>28.727220464773662</v>
          </cell>
          <cell r="O10">
            <v>35.787309596867416</v>
          </cell>
          <cell r="P10">
            <v>39.195606953575002</v>
          </cell>
          <cell r="Q10">
            <v>31.878971252634962</v>
          </cell>
          <cell r="R10">
            <v>17.200235901845417</v>
          </cell>
          <cell r="AO10">
            <v>16</v>
          </cell>
          <cell r="AP10">
            <v>0.89749999999999996</v>
          </cell>
          <cell r="AQ10">
            <v>1.1025</v>
          </cell>
          <cell r="AR10">
            <v>0</v>
          </cell>
          <cell r="AS10">
            <v>0</v>
          </cell>
          <cell r="AT10">
            <v>0</v>
          </cell>
          <cell r="CS10">
            <v>0</v>
          </cell>
          <cell r="CT10">
            <v>0</v>
          </cell>
          <cell r="CU10">
            <v>0</v>
          </cell>
          <cell r="CV10">
            <v>0</v>
          </cell>
          <cell r="CW10">
            <v>0</v>
          </cell>
          <cell r="KF10">
            <v>3.4778222229000004</v>
          </cell>
        </row>
        <row r="11">
          <cell r="N11">
            <v>34.090651823243419</v>
          </cell>
          <cell r="O11">
            <v>42.270259067554726</v>
          </cell>
          <cell r="P11">
            <v>46.0009621388201</v>
          </cell>
          <cell r="Q11">
            <v>37.281240393448371</v>
          </cell>
          <cell r="R11">
            <v>20.167288517504215</v>
          </cell>
          <cell r="AO11">
            <v>20</v>
          </cell>
          <cell r="AP11">
            <v>0.89749999999999996</v>
          </cell>
          <cell r="AQ11">
            <v>0.58500000000000008</v>
          </cell>
          <cell r="AR11">
            <v>0.51749999999999996</v>
          </cell>
          <cell r="AS11">
            <v>0</v>
          </cell>
          <cell r="AT11">
            <v>0</v>
          </cell>
          <cell r="CS11">
            <v>0</v>
          </cell>
          <cell r="CT11">
            <v>0</v>
          </cell>
          <cell r="CU11">
            <v>0</v>
          </cell>
          <cell r="CV11">
            <v>0</v>
          </cell>
          <cell r="CW11">
            <v>0</v>
          </cell>
          <cell r="KF11">
            <v>3.5821568895870004</v>
          </cell>
        </row>
        <row r="12">
          <cell r="N12">
            <v>39.839035221386283</v>
          </cell>
          <cell r="O12">
            <v>49.380484156908295</v>
          </cell>
          <cell r="P12">
            <v>53.946817052663931</v>
          </cell>
          <cell r="Q12">
            <v>44.049328391500353</v>
          </cell>
          <cell r="R12">
            <v>23.889044437512744</v>
          </cell>
          <cell r="AO12">
            <v>24</v>
          </cell>
          <cell r="AP12">
            <v>0.84574999999999978</v>
          </cell>
          <cell r="AQ12">
            <v>0.58500000000000008</v>
          </cell>
          <cell r="AR12">
            <v>0.56925000000000003</v>
          </cell>
          <cell r="AS12">
            <v>0</v>
          </cell>
          <cell r="AT12">
            <v>0</v>
          </cell>
          <cell r="CS12">
            <v>0</v>
          </cell>
          <cell r="CT12">
            <v>0</v>
          </cell>
          <cell r="CU12">
            <v>0</v>
          </cell>
          <cell r="CV12">
            <v>0</v>
          </cell>
          <cell r="CW12">
            <v>0</v>
          </cell>
          <cell r="KF12">
            <v>3.6896215962746104</v>
          </cell>
        </row>
        <row r="13">
          <cell r="N13">
            <v>46</v>
          </cell>
          <cell r="O13">
            <v>57.271599999999999</v>
          </cell>
          <cell r="P13">
            <v>62.744500000000002</v>
          </cell>
          <cell r="Q13">
            <v>51.479400000000005</v>
          </cell>
          <cell r="R13">
            <v>28.139600000000002</v>
          </cell>
          <cell r="AO13">
            <v>28</v>
          </cell>
          <cell r="AQ13">
            <v>1.43075</v>
          </cell>
          <cell r="AR13">
            <v>0.56925000000000003</v>
          </cell>
          <cell r="AS13">
            <v>0</v>
          </cell>
          <cell r="AT13">
            <v>0</v>
          </cell>
          <cell r="CS13">
            <v>0</v>
          </cell>
          <cell r="CT13">
            <v>0</v>
          </cell>
          <cell r="CU13">
            <v>0</v>
          </cell>
          <cell r="CV13">
            <v>0</v>
          </cell>
          <cell r="CW13">
            <v>0</v>
          </cell>
          <cell r="KF13">
            <v>3.8003102441628487</v>
          </cell>
        </row>
        <row r="14">
          <cell r="N14">
            <v>52.603158553338972</v>
          </cell>
          <cell r="O14">
            <v>65.684306183936783</v>
          </cell>
          <cell r="P14">
            <v>72.302812722179397</v>
          </cell>
          <cell r="Q14">
            <v>59.304915307726851</v>
          </cell>
          <cell r="R14">
            <v>32.720765585871938</v>
          </cell>
          <cell r="AO14">
            <v>34</v>
          </cell>
          <cell r="AQ14">
            <v>1.43075</v>
          </cell>
          <cell r="AR14">
            <v>0.32925000000000004</v>
          </cell>
          <cell r="AS14">
            <v>0.24</v>
          </cell>
          <cell r="AT14">
            <v>0</v>
          </cell>
          <cell r="CS14">
            <v>0</v>
          </cell>
          <cell r="CT14">
            <v>0</v>
          </cell>
          <cell r="CU14">
            <v>0</v>
          </cell>
          <cell r="CV14">
            <v>0</v>
          </cell>
          <cell r="CW14">
            <v>0</v>
          </cell>
          <cell r="KF14">
            <v>3.914319551487734</v>
          </cell>
        </row>
        <row r="15">
          <cell r="N15">
            <v>59.680248659727226</v>
          </cell>
          <cell r="O15">
            <v>74.54737703889127</v>
          </cell>
          <cell r="P15">
            <v>82.431656845525254</v>
          </cell>
          <cell r="Q15">
            <v>68.205701920440248</v>
          </cell>
          <cell r="R15">
            <v>37.657458466261879</v>
          </cell>
          <cell r="AD15">
            <v>0.3</v>
          </cell>
          <cell r="AO15">
            <v>39</v>
          </cell>
          <cell r="AQ15">
            <v>1.41875</v>
          </cell>
          <cell r="AR15">
            <v>0.32925000000000004</v>
          </cell>
          <cell r="AS15">
            <v>0.252</v>
          </cell>
          <cell r="AT15">
            <v>0</v>
          </cell>
          <cell r="CS15">
            <v>0</v>
          </cell>
          <cell r="CT15">
            <v>0</v>
          </cell>
          <cell r="CU15">
            <v>0</v>
          </cell>
          <cell r="CV15">
            <v>0</v>
          </cell>
          <cell r="CW15">
            <v>0</v>
          </cell>
          <cell r="KF15">
            <v>4.0317491380323665</v>
          </cell>
        </row>
        <row r="16">
          <cell r="N16">
            <v>67.265286027732301</v>
          </cell>
          <cell r="O16">
            <v>84.609786258865753</v>
          </cell>
          <cell r="P16">
            <v>93.680071393057432</v>
          </cell>
          <cell r="Q16">
            <v>77.82315758531557</v>
          </cell>
          <cell r="R16">
            <v>43.121288981373802</v>
          </cell>
          <cell r="AO16">
            <v>44</v>
          </cell>
          <cell r="AQ16">
            <v>1.40615</v>
          </cell>
          <cell r="AR16">
            <v>0.32925000000000004</v>
          </cell>
          <cell r="AS16">
            <v>0.2646</v>
          </cell>
          <cell r="AT16">
            <v>0</v>
          </cell>
          <cell r="CS16">
            <v>0</v>
          </cell>
          <cell r="CT16">
            <v>0</v>
          </cell>
          <cell r="CU16">
            <v>0</v>
          </cell>
          <cell r="CV16">
            <v>0</v>
          </cell>
          <cell r="CW16">
            <v>0</v>
          </cell>
          <cell r="KF16">
            <v>4.1527016121733373</v>
          </cell>
        </row>
        <row r="17">
          <cell r="N17">
            <v>75.394727791106263</v>
          </cell>
          <cell r="O17">
            <v>94.714626787577259</v>
          </cell>
          <cell r="P17">
            <v>105.06156976741366</v>
          </cell>
          <cell r="Q17">
            <v>87.144176609439413</v>
          </cell>
          <cell r="R17">
            <v>48.214600619248152</v>
          </cell>
          <cell r="AO17">
            <v>53</v>
          </cell>
          <cell r="AR17">
            <v>1.7354000000000001</v>
          </cell>
          <cell r="AS17">
            <v>0.2326</v>
          </cell>
          <cell r="AT17">
            <v>3.2000000000000001E-2</v>
          </cell>
          <cell r="CS17">
            <v>0</v>
          </cell>
          <cell r="CT17">
            <v>0</v>
          </cell>
          <cell r="CU17">
            <v>0</v>
          </cell>
          <cell r="CV17">
            <v>0</v>
          </cell>
          <cell r="CW17">
            <v>0</v>
          </cell>
          <cell r="KF17">
            <v>4.2772826605385372</v>
          </cell>
        </row>
        <row r="18">
          <cell r="N18">
            <v>84.107647738324729</v>
          </cell>
          <cell r="O18">
            <v>105.81948847383583</v>
          </cell>
          <cell r="P18">
            <v>117.65215461163081</v>
          </cell>
          <cell r="Q18">
            <v>97.742228807557069</v>
          </cell>
          <cell r="R18">
            <v>54.294960626625631</v>
          </cell>
          <cell r="AO18">
            <v>59</v>
          </cell>
          <cell r="AR18">
            <v>1.7338</v>
          </cell>
          <cell r="AS18">
            <v>0.2326</v>
          </cell>
          <cell r="AT18">
            <v>3.3600000000000005E-2</v>
          </cell>
          <cell r="CS18">
            <v>0</v>
          </cell>
          <cell r="CT18">
            <v>0</v>
          </cell>
          <cell r="CU18">
            <v>0</v>
          </cell>
          <cell r="CV18">
            <v>0</v>
          </cell>
          <cell r="CW18">
            <v>0</v>
          </cell>
          <cell r="KF18">
            <v>4.4056011403546931</v>
          </cell>
        </row>
        <row r="19">
          <cell r="N19">
            <v>93.445924118956611</v>
          </cell>
          <cell r="O19">
            <v>117.82698143815891</v>
          </cell>
          <cell r="P19">
            <v>131.02906222634775</v>
          </cell>
          <cell r="Q19">
            <v>109.36850015888693</v>
          </cell>
          <cell r="R19">
            <v>61.243849237624261</v>
          </cell>
          <cell r="AO19">
            <v>65</v>
          </cell>
          <cell r="AR19">
            <v>1.7321200000000001</v>
          </cell>
          <cell r="AS19">
            <v>0.2326</v>
          </cell>
          <cell r="AT19">
            <v>3.5280000000000006E-2</v>
          </cell>
          <cell r="CS19">
            <v>0</v>
          </cell>
          <cell r="CT19">
            <v>0</v>
          </cell>
          <cell r="CU19">
            <v>0</v>
          </cell>
          <cell r="CV19">
            <v>0</v>
          </cell>
          <cell r="CW19">
            <v>0</v>
          </cell>
          <cell r="KF19">
            <v>4.5377691745653337</v>
          </cell>
        </row>
        <row r="20">
          <cell r="N20">
            <v>103.45444092954733</v>
          </cell>
          <cell r="O20">
            <v>130.20573524530138</v>
          </cell>
          <cell r="P20">
            <v>144.73546167193922</v>
          </cell>
          <cell r="Q20">
            <v>120.9434141686873</v>
          </cell>
          <cell r="R20">
            <v>67.270575511562512</v>
          </cell>
          <cell r="AO20">
            <v>72</v>
          </cell>
          <cell r="AR20">
            <v>1.7321200000000001</v>
          </cell>
          <cell r="AS20">
            <v>0.2326</v>
          </cell>
          <cell r="AT20">
            <v>3.5280000000000006E-2</v>
          </cell>
          <cell r="CS20">
            <v>0</v>
          </cell>
          <cell r="CT20">
            <v>0</v>
          </cell>
          <cell r="CU20">
            <v>0</v>
          </cell>
          <cell r="CV20">
            <v>0</v>
          </cell>
          <cell r="CW20">
            <v>0</v>
          </cell>
          <cell r="KF20">
            <v>4.6739022498022935</v>
          </cell>
        </row>
        <row r="21">
          <cell r="N21">
            <v>114.18130364648684</v>
          </cell>
          <cell r="O21">
            <v>144.15538517504154</v>
          </cell>
          <cell r="P21">
            <v>160.98496467185777</v>
          </cell>
          <cell r="Q21">
            <v>134.58302040586085</v>
          </cell>
          <cell r="R21">
            <v>74.731415016400319</v>
          </cell>
          <cell r="AO21">
            <v>79</v>
          </cell>
          <cell r="AR21">
            <v>1.7321200000000001</v>
          </cell>
          <cell r="AS21">
            <v>0.2326</v>
          </cell>
          <cell r="AT21">
            <v>3.5280000000000006E-2</v>
          </cell>
          <cell r="CS21">
            <v>0</v>
          </cell>
          <cell r="CT21">
            <v>0</v>
          </cell>
          <cell r="CU21">
            <v>0</v>
          </cell>
          <cell r="CV21">
            <v>0</v>
          </cell>
          <cell r="CW21">
            <v>0</v>
          </cell>
          <cell r="KF21">
            <v>4.8141193172963623</v>
          </cell>
        </row>
        <row r="22">
          <cell r="N22">
            <v>125.67807044277257</v>
          </cell>
          <cell r="O22">
            <v>159.01800361247061</v>
          </cell>
          <cell r="P22">
            <v>177.54240476934203</v>
          </cell>
          <cell r="Q22">
            <v>148.27471429518647</v>
          </cell>
          <cell r="R22">
            <v>82.678138280367776</v>
          </cell>
          <cell r="CS22">
            <v>0</v>
          </cell>
          <cell r="CT22">
            <v>0</v>
          </cell>
          <cell r="CU22">
            <v>0</v>
          </cell>
          <cell r="CV22">
            <v>0</v>
          </cell>
          <cell r="CW22">
            <v>0</v>
          </cell>
          <cell r="KF22">
            <v>4.9585428968152536</v>
          </cell>
        </row>
        <row r="23">
          <cell r="N23">
            <v>138</v>
          </cell>
          <cell r="O23">
            <v>174.4479</v>
          </cell>
          <cell r="P23">
            <v>194.48519999999999</v>
          </cell>
          <cell r="Q23">
            <v>162.75029999999998</v>
          </cell>
          <cell r="R23">
            <v>90.6297</v>
          </cell>
          <cell r="CS23">
            <v>0</v>
          </cell>
          <cell r="CT23">
            <v>0</v>
          </cell>
          <cell r="CU23">
            <v>0</v>
          </cell>
          <cell r="CV23">
            <v>0</v>
          </cell>
          <cell r="CW23">
            <v>0</v>
          </cell>
          <cell r="KF23">
            <v>5.1072991837197117</v>
          </cell>
        </row>
        <row r="24">
          <cell r="N24">
            <v>151.20631710667794</v>
          </cell>
          <cell r="O24">
            <v>191.07613583385876</v>
          </cell>
          <cell r="P24">
            <v>213.54572326529612</v>
          </cell>
          <cell r="Q24">
            <v>178.86688314626454</v>
          </cell>
          <cell r="R24">
            <v>100.08148903660003</v>
          </cell>
          <cell r="CS24">
            <v>0</v>
          </cell>
          <cell r="CT24">
            <v>0</v>
          </cell>
          <cell r="CU24">
            <v>0</v>
          </cell>
          <cell r="CV24">
            <v>0</v>
          </cell>
          <cell r="CW24">
            <v>0</v>
          </cell>
          <cell r="KF24">
            <v>5.2605181592313031</v>
          </cell>
        </row>
        <row r="25">
          <cell r="N25">
            <v>165.36049731945442</v>
          </cell>
          <cell r="O25">
            <v>209.32374240788337</v>
          </cell>
          <cell r="P25">
            <v>234.3204979331129</v>
          </cell>
          <cell r="Q25">
            <v>196.49895740273368</v>
          </cell>
          <cell r="R25">
            <v>110.07940462753481</v>
          </cell>
          <cell r="CS25">
            <v>0</v>
          </cell>
          <cell r="CT25">
            <v>0</v>
          </cell>
          <cell r="CU25">
            <v>0</v>
          </cell>
          <cell r="CV25">
            <v>0</v>
          </cell>
          <cell r="CW25">
            <v>0</v>
          </cell>
          <cell r="KF25">
            <v>5.4183337040082424</v>
          </cell>
        </row>
        <row r="26">
          <cell r="N26">
            <v>180.53057205546457</v>
          </cell>
          <cell r="O26">
            <v>228.34291669105832</v>
          </cell>
          <cell r="P26">
            <v>255.38835867379359</v>
          </cell>
          <cell r="Q26">
            <v>214.20227094816607</v>
          </cell>
          <cell r="R26">
            <v>119.57167719657959</v>
          </cell>
          <cell r="CS26">
            <v>0</v>
          </cell>
          <cell r="CT26">
            <v>0</v>
          </cell>
          <cell r="CU26">
            <v>0</v>
          </cell>
          <cell r="CV26">
            <v>0</v>
          </cell>
          <cell r="CW26">
            <v>0</v>
          </cell>
          <cell r="KF26">
            <v>5.5808837151284898</v>
          </cell>
        </row>
        <row r="27">
          <cell r="N27">
            <v>196.78945558221253</v>
          </cell>
          <cell r="O27">
            <v>249.3378016637993</v>
          </cell>
          <cell r="P27">
            <v>279.36231114450891</v>
          </cell>
          <cell r="Q27">
            <v>234.24276701115065</v>
          </cell>
          <cell r="R27">
            <v>130.73707481604291</v>
          </cell>
          <cell r="CS27">
            <v>0</v>
          </cell>
          <cell r="CT27">
            <v>0</v>
          </cell>
          <cell r="CU27">
            <v>0</v>
          </cell>
          <cell r="CV27">
            <v>0</v>
          </cell>
          <cell r="CW27">
            <v>0</v>
          </cell>
          <cell r="KF27">
            <v>5.7483102265823449</v>
          </cell>
        </row>
        <row r="28">
          <cell r="N28">
            <v>214.21529547664952</v>
          </cell>
          <cell r="O28">
            <v>271.6352397437405</v>
          </cell>
          <cell r="P28">
            <v>304.3542977006739</v>
          </cell>
          <cell r="Q28">
            <v>255.27291665272404</v>
          </cell>
          <cell r="R28">
            <v>142.17003475360278</v>
          </cell>
          <cell r="CS28">
            <v>0</v>
          </cell>
          <cell r="CT28">
            <v>0</v>
          </cell>
          <cell r="CU28">
            <v>0</v>
          </cell>
          <cell r="CV28">
            <v>0</v>
          </cell>
          <cell r="CW28">
            <v>0</v>
          </cell>
          <cell r="KF28">
            <v>5.9207595333798153</v>
          </cell>
        </row>
        <row r="29">
          <cell r="N29">
            <v>232.89184823791322</v>
          </cell>
          <cell r="O29">
            <v>295.38584427942419</v>
          </cell>
          <cell r="P29">
            <v>330.98184442270946</v>
          </cell>
          <cell r="Q29">
            <v>277.21622982385412</v>
          </cell>
          <cell r="R29">
            <v>154.46096176415654</v>
          </cell>
          <cell r="CS29">
            <v>0</v>
          </cell>
          <cell r="CT29">
            <v>0</v>
          </cell>
          <cell r="CU29">
            <v>0</v>
          </cell>
          <cell r="CV29">
            <v>0</v>
          </cell>
          <cell r="CW29">
            <v>0</v>
          </cell>
          <cell r="KF29">
            <v>6.0983823193812103</v>
          </cell>
        </row>
        <row r="30">
          <cell r="N30">
            <v>252.90888185909469</v>
          </cell>
          <cell r="O30">
            <v>320.81106802484203</v>
          </cell>
          <cell r="P30">
            <v>359.37967250835402</v>
          </cell>
          <cell r="Q30">
            <v>300.81642170621222</v>
          </cell>
          <cell r="R30">
            <v>167.79349727325055</v>
          </cell>
          <cell r="CS30">
            <v>0</v>
          </cell>
          <cell r="CT30">
            <v>0</v>
          </cell>
          <cell r="CU30">
            <v>0</v>
          </cell>
          <cell r="CV30">
            <v>0</v>
          </cell>
          <cell r="CW30">
            <v>0</v>
          </cell>
          <cell r="KF30">
            <v>6.2813337889626464</v>
          </cell>
        </row>
        <row r="31">
          <cell r="N31">
            <v>274.36260729297362</v>
          </cell>
          <cell r="O31">
            <v>347.82498471701922</v>
          </cell>
          <cell r="P31">
            <v>389.05094866504174</v>
          </cell>
          <cell r="Q31">
            <v>326.02687556759241</v>
          </cell>
          <cell r="R31">
            <v>182.70283171999623</v>
          </cell>
          <cell r="CS31">
            <v>0</v>
          </cell>
          <cell r="CT31">
            <v>0</v>
          </cell>
          <cell r="CU31">
            <v>0</v>
          </cell>
          <cell r="CV31">
            <v>0</v>
          </cell>
          <cell r="CW31">
            <v>0</v>
          </cell>
          <cell r="KF31">
            <v>6.4697738026315257</v>
          </cell>
        </row>
        <row r="32">
          <cell r="N32">
            <v>297.35614088554507</v>
          </cell>
          <cell r="O32">
            <v>377.36498200194677</v>
          </cell>
          <cell r="P32">
            <v>423.24444883501349</v>
          </cell>
          <cell r="Q32">
            <v>355.68060864106502</v>
          </cell>
          <cell r="R32">
            <v>199.4794278338882</v>
          </cell>
          <cell r="CS32">
            <v>0</v>
          </cell>
          <cell r="CT32">
            <v>0</v>
          </cell>
          <cell r="CU32">
            <v>0</v>
          </cell>
          <cell r="CV32">
            <v>0</v>
          </cell>
          <cell r="CW32">
            <v>0</v>
          </cell>
          <cell r="KF32">
            <v>6.6638670167104719</v>
          </cell>
        </row>
        <row r="33">
          <cell r="N33">
            <v>322</v>
          </cell>
          <cell r="O33">
            <v>408.87419999999997</v>
          </cell>
          <cell r="P33">
            <v>458.83110000000005</v>
          </cell>
          <cell r="Q33">
            <v>385.51869999999997</v>
          </cell>
          <cell r="R33">
            <v>216.37209999999999</v>
          </cell>
          <cell r="CS33">
            <v>0</v>
          </cell>
          <cell r="CT33">
            <v>0</v>
          </cell>
          <cell r="CU33">
            <v>0</v>
          </cell>
          <cell r="CV33">
            <v>0</v>
          </cell>
          <cell r="CW33">
            <v>0</v>
          </cell>
          <cell r="KF33">
            <v>6.8637830272117863</v>
          </cell>
        </row>
        <row r="34">
          <cell r="N34">
            <v>348.41263421335577</v>
          </cell>
          <cell r="O34">
            <v>442.97106572009051</v>
          </cell>
          <cell r="P34">
            <v>497.15680452796772</v>
          </cell>
          <cell r="Q34">
            <v>417.37561322449938</v>
          </cell>
          <cell r="R34">
            <v>234.66651300547557</v>
          </cell>
          <cell r="CS34">
            <v>0</v>
          </cell>
          <cell r="CT34">
            <v>0</v>
          </cell>
          <cell r="CU34">
            <v>0</v>
          </cell>
          <cell r="CV34">
            <v>0</v>
          </cell>
          <cell r="CW34">
            <v>0</v>
          </cell>
          <cell r="KF34">
            <v>7.0696965180281399</v>
          </cell>
        </row>
        <row r="35">
          <cell r="N35">
            <v>376.72099463890885</v>
          </cell>
          <cell r="O35">
            <v>479.18173455253606</v>
          </cell>
          <cell r="P35">
            <v>537.4760326381712</v>
          </cell>
          <cell r="Q35">
            <v>451.70894653915161</v>
          </cell>
          <cell r="R35">
            <v>253.90176079978457</v>
          </cell>
          <cell r="CS35">
            <v>0</v>
          </cell>
          <cell r="CT35">
            <v>0</v>
          </cell>
          <cell r="CU35">
            <v>0</v>
          </cell>
          <cell r="CV35">
            <v>0</v>
          </cell>
          <cell r="CW35">
            <v>0</v>
          </cell>
          <cell r="KF35">
            <v>7.281787413568984</v>
          </cell>
        </row>
        <row r="36">
          <cell r="N36">
            <v>407.06114411092915</v>
          </cell>
          <cell r="O36">
            <v>516.70660293933065</v>
          </cell>
          <cell r="P36">
            <v>579.63560107228818</v>
          </cell>
          <cell r="Q36">
            <v>487.81499577829209</v>
          </cell>
          <cell r="R36">
            <v>274.25921567579985</v>
          </cell>
          <cell r="CS36">
            <v>0</v>
          </cell>
          <cell r="CT36">
            <v>0</v>
          </cell>
          <cell r="CU36">
            <v>0</v>
          </cell>
          <cell r="CV36">
            <v>0</v>
          </cell>
          <cell r="CW36">
            <v>0</v>
          </cell>
          <cell r="KF36">
            <v>7.5002410359760541</v>
          </cell>
        </row>
        <row r="37">
          <cell r="N37">
            <v>439.57891116442499</v>
          </cell>
          <cell r="O37">
            <v>558.17539018392961</v>
          </cell>
          <cell r="P37">
            <v>627.15678862157131</v>
          </cell>
          <cell r="Q37">
            <v>528.26013406653317</v>
          </cell>
          <cell r="R37">
            <v>296.75876732077467</v>
          </cell>
          <cell r="CS37">
            <v>0</v>
          </cell>
          <cell r="CT37">
            <v>0</v>
          </cell>
          <cell r="CU37">
            <v>0</v>
          </cell>
          <cell r="CV37">
            <v>0</v>
          </cell>
          <cell r="CW37">
            <v>0</v>
          </cell>
          <cell r="KF37">
            <v>7.7252482670553357</v>
          </cell>
        </row>
        <row r="38">
          <cell r="N38">
            <v>474.43059095329892</v>
          </cell>
          <cell r="O38">
            <v>603.32822566106074</v>
          </cell>
          <cell r="P38">
            <v>678.38211377902269</v>
          </cell>
          <cell r="Q38">
            <v>570.67399318242508</v>
          </cell>
          <cell r="R38">
            <v>320.39329177926174</v>
          </cell>
          <cell r="CS38">
            <v>0</v>
          </cell>
          <cell r="CT38">
            <v>0</v>
          </cell>
          <cell r="CU38">
            <v>0</v>
          </cell>
          <cell r="CV38">
            <v>0</v>
          </cell>
          <cell r="CW38">
            <v>0</v>
          </cell>
          <cell r="KF38">
            <v>7.9570057150669964</v>
          </cell>
        </row>
        <row r="39">
          <cell r="N39">
            <v>511.78369647582645</v>
          </cell>
          <cell r="O39">
            <v>651.64973042965698</v>
          </cell>
          <cell r="P39">
            <v>731.69158798522301</v>
          </cell>
          <cell r="Q39">
            <v>614.91701190173114</v>
          </cell>
          <cell r="R39">
            <v>343.89973028645079</v>
          </cell>
          <cell r="CS39">
            <v>0</v>
          </cell>
          <cell r="CT39">
            <v>0</v>
          </cell>
          <cell r="CU39">
            <v>0</v>
          </cell>
          <cell r="CV39">
            <v>0</v>
          </cell>
          <cell r="CW39">
            <v>0</v>
          </cell>
          <cell r="KF39">
            <v>8.1957158865190056</v>
          </cell>
        </row>
        <row r="40">
          <cell r="N40">
            <v>551.81776371818933</v>
          </cell>
          <cell r="O40">
            <v>702.3836397563656</v>
          </cell>
          <cell r="P40">
            <v>788.70953087090561</v>
          </cell>
          <cell r="Q40">
            <v>660.91813362444623</v>
          </cell>
          <cell r="R40">
            <v>370.80114395344231</v>
          </cell>
          <cell r="CS40">
            <v>0</v>
          </cell>
          <cell r="CT40">
            <v>0</v>
          </cell>
          <cell r="CU40">
            <v>0</v>
          </cell>
          <cell r="CV40">
            <v>0</v>
          </cell>
          <cell r="CW40">
            <v>0</v>
          </cell>
          <cell r="KF40">
            <v>8.4415873631145768</v>
          </cell>
        </row>
        <row r="41">
          <cell r="N41">
            <v>594.72521458594724</v>
          </cell>
          <cell r="O41">
            <v>756.5654600455988</v>
          </cell>
          <cell r="P41">
            <v>848.03678381072007</v>
          </cell>
          <cell r="Q41">
            <v>710.3113529216273</v>
          </cell>
          <cell r="R41">
            <v>398.70119809661651</v>
          </cell>
          <cell r="CS41">
            <v>0</v>
          </cell>
          <cell r="CT41">
            <v>0</v>
          </cell>
          <cell r="CU41">
            <v>0</v>
          </cell>
          <cell r="CV41">
            <v>0</v>
          </cell>
          <cell r="CW41">
            <v>0</v>
          </cell>
          <cell r="KF41">
            <v>8.6948349840080148</v>
          </cell>
        </row>
        <row r="42">
          <cell r="N42">
            <v>640.71228177109015</v>
          </cell>
          <cell r="O42">
            <v>813.85363309743559</v>
          </cell>
          <cell r="P42">
            <v>911.45639925575597</v>
          </cell>
          <cell r="Q42">
            <v>764.23185972705107</v>
          </cell>
          <cell r="R42">
            <v>429.53072799376594</v>
          </cell>
          <cell r="CS42">
            <v>0</v>
          </cell>
          <cell r="CT42">
            <v>0</v>
          </cell>
          <cell r="CU42">
            <v>0</v>
          </cell>
          <cell r="CV42">
            <v>0</v>
          </cell>
          <cell r="CW42">
            <v>0</v>
          </cell>
          <cell r="KF42">
            <v>8.9556800335282549</v>
          </cell>
        </row>
        <row r="43">
          <cell r="N43">
            <v>690</v>
          </cell>
          <cell r="O43">
            <v>874.95300000000009</v>
          </cell>
          <cell r="P43">
            <v>981.16200000000003</v>
          </cell>
          <cell r="Q43">
            <v>824.10299999999995</v>
          </cell>
          <cell r="R43">
            <v>463.5</v>
          </cell>
          <cell r="CS43">
            <v>0</v>
          </cell>
          <cell r="CT43">
            <v>0</v>
          </cell>
          <cell r="CU43">
            <v>0</v>
          </cell>
          <cell r="CV43">
            <v>0</v>
          </cell>
          <cell r="CW43">
            <v>0</v>
          </cell>
          <cell r="KF43">
            <v>9.2243504345341023</v>
          </cell>
        </row>
        <row r="44">
          <cell r="N44">
            <v>742.82526842671143</v>
          </cell>
          <cell r="O44">
            <v>942.37074325168692</v>
          </cell>
          <cell r="P44">
            <v>1057.6007055976104</v>
          </cell>
          <cell r="Q44">
            <v>888.85825684924259</v>
          </cell>
          <cell r="R44">
            <v>500.64808254420291</v>
          </cell>
          <cell r="CS44">
            <v>0</v>
          </cell>
          <cell r="CT44">
            <v>0</v>
          </cell>
          <cell r="CU44">
            <v>0</v>
          </cell>
          <cell r="CV44">
            <v>0</v>
          </cell>
          <cell r="CW44">
            <v>0</v>
          </cell>
          <cell r="KF44">
            <v>9.5010809475701254</v>
          </cell>
        </row>
        <row r="45">
          <cell r="N45">
            <v>799.4419892778177</v>
          </cell>
          <cell r="O45">
            <v>1017.2238904960392</v>
          </cell>
          <cell r="P45">
            <v>1141.846469120243</v>
          </cell>
          <cell r="Q45">
            <v>960.18544247843488</v>
          </cell>
          <cell r="R45">
            <v>540.59657648860423</v>
          </cell>
          <cell r="CS45">
            <v>0</v>
          </cell>
          <cell r="CT45">
            <v>0</v>
          </cell>
          <cell r="CU45">
            <v>0</v>
          </cell>
          <cell r="CV45">
            <v>0</v>
          </cell>
          <cell r="CW45">
            <v>0</v>
          </cell>
          <cell r="KF45">
            <v>9.7861133759972301</v>
          </cell>
        </row>
        <row r="46">
          <cell r="N46">
            <v>860.12228822185841</v>
          </cell>
          <cell r="O46">
            <v>1094.6851155442046</v>
          </cell>
          <cell r="P46">
            <v>1229.3671770623182</v>
          </cell>
          <cell r="Q46">
            <v>1032.1037397518191</v>
          </cell>
          <cell r="R46">
            <v>580.8592795468345</v>
          </cell>
          <cell r="CS46">
            <v>0</v>
          </cell>
          <cell r="CT46">
            <v>0</v>
          </cell>
          <cell r="CU46">
            <v>0</v>
          </cell>
          <cell r="CV46">
            <v>0</v>
          </cell>
          <cell r="CW46">
            <v>0</v>
          </cell>
          <cell r="KF46">
            <v>10.079696777277148</v>
          </cell>
        </row>
        <row r="47">
          <cell r="N47">
            <v>925.1578223288501</v>
          </cell>
          <cell r="O47">
            <v>1177.4564053285565</v>
          </cell>
          <cell r="P47">
            <v>1321.4069400576111</v>
          </cell>
          <cell r="Q47">
            <v>1109.1073543850268</v>
          </cell>
          <cell r="R47">
            <v>623.53626012307257</v>
          </cell>
          <cell r="CS47">
            <v>0</v>
          </cell>
          <cell r="CT47">
            <v>0</v>
          </cell>
          <cell r="CU47">
            <v>0</v>
          </cell>
          <cell r="CV47">
            <v>0</v>
          </cell>
          <cell r="CW47">
            <v>0</v>
          </cell>
          <cell r="KF47">
            <v>10.382087680595463</v>
          </cell>
        </row>
        <row r="48">
          <cell r="N48">
            <v>994.86118190659784</v>
          </cell>
          <cell r="O48">
            <v>1266.3133808732127</v>
          </cell>
          <cell r="P48">
            <v>1419.9805041271859</v>
          </cell>
          <cell r="Q48">
            <v>1192.0015760681895</v>
          </cell>
          <cell r="R48">
            <v>669.40099721265346</v>
          </cell>
          <cell r="CS48">
            <v>0</v>
          </cell>
          <cell r="CT48">
            <v>0</v>
          </cell>
          <cell r="CU48">
            <v>0</v>
          </cell>
          <cell r="CV48">
            <v>0</v>
          </cell>
          <cell r="CW48">
            <v>0</v>
          </cell>
          <cell r="KF48">
            <v>10.693550311013327</v>
          </cell>
        </row>
        <row r="49">
          <cell r="N49">
            <v>1069.5673929516524</v>
          </cell>
          <cell r="O49">
            <v>1360.7803671478041</v>
          </cell>
          <cell r="P49">
            <v>1524.9171093287671</v>
          </cell>
          <cell r="Q49">
            <v>1279.8350418199216</v>
          </cell>
          <cell r="R49">
            <v>716.31485967129208</v>
          </cell>
          <cell r="CS49">
            <v>7.4350250216264249E-2</v>
          </cell>
          <cell r="CT49">
            <v>9.4780773914300037E-2</v>
          </cell>
          <cell r="CU49">
            <v>0.10514513500754645</v>
          </cell>
          <cell r="CV49">
            <v>8.842050312870682E-2</v>
          </cell>
          <cell r="CW49">
            <v>4.8922386228886297E-2</v>
          </cell>
          <cell r="KF49">
            <v>11.014356820343727</v>
          </cell>
        </row>
        <row r="50">
          <cell r="N50">
            <v>1149.6355274363787</v>
          </cell>
          <cell r="O50">
            <v>1462.1464511162799</v>
          </cell>
          <cell r="P50">
            <v>1637.7082921941562</v>
          </cell>
          <cell r="Q50">
            <v>1373.584528180985</v>
          </cell>
          <cell r="R50">
            <v>766.59196494058733</v>
          </cell>
          <cell r="CS50">
            <v>0.23372350044571405</v>
          </cell>
          <cell r="CT50">
            <v>0.29631034463342831</v>
          </cell>
          <cell r="CU50">
            <v>0.32900989277091969</v>
          </cell>
          <cell r="CV50">
            <v>0.27579856339906861</v>
          </cell>
          <cell r="CW50">
            <v>0.14900529280731534</v>
          </cell>
          <cell r="KF50">
            <v>11.344787524954038</v>
          </cell>
        </row>
        <row r="51">
          <cell r="N51">
            <v>1235.4504291718947</v>
          </cell>
          <cell r="O51">
            <v>1569.4893676019494</v>
          </cell>
          <cell r="P51">
            <v>1758.9779200570902</v>
          </cell>
          <cell r="Q51">
            <v>1469.7536030643444</v>
          </cell>
          <cell r="R51">
            <v>819.941592223361</v>
          </cell>
          <cell r="CS51">
            <v>0.48994153079683794</v>
          </cell>
          <cell r="CT51">
            <v>0.62068181333255079</v>
          </cell>
          <cell r="CU51">
            <v>0.68994167794016503</v>
          </cell>
          <cell r="CV51">
            <v>0.57579691975447156</v>
          </cell>
          <cell r="CW51">
            <v>0.30989202966906015</v>
          </cell>
          <cell r="KF51">
            <v>11.685131150702659</v>
          </cell>
        </row>
        <row r="52">
          <cell r="N52">
            <v>1327.4245635421805</v>
          </cell>
          <cell r="O52">
            <v>1686.1379661948713</v>
          </cell>
          <cell r="P52">
            <v>1885.4623072330214</v>
          </cell>
          <cell r="Q52">
            <v>1572.6316231897233</v>
          </cell>
          <cell r="R52">
            <v>880.3883704191951</v>
          </cell>
          <cell r="CS52">
            <v>0.85608511153503986</v>
          </cell>
          <cell r="CT52">
            <v>1.0786782570047408</v>
          </cell>
          <cell r="CU52">
            <v>1.2073587568220165</v>
          </cell>
          <cell r="CV52">
            <v>0.98611830592347149</v>
          </cell>
          <cell r="CW52">
            <v>0.53751710607556114</v>
          </cell>
          <cell r="KF52">
            <v>12.03568508522374</v>
          </cell>
        </row>
        <row r="53">
          <cell r="N53">
            <v>1426</v>
          </cell>
          <cell r="O53">
            <v>1811.3516999999999</v>
          </cell>
          <cell r="P53">
            <v>2020.6823000000002</v>
          </cell>
          <cell r="Q53">
            <v>1687.8197999999998</v>
          </cell>
          <cell r="R53">
            <v>946.40519999999992</v>
          </cell>
          <cell r="CS53">
            <v>1.3466138281765643</v>
          </cell>
          <cell r="CT53">
            <v>1.7008041161669909</v>
          </cell>
          <cell r="CU53">
            <v>1.8819421550936499</v>
          </cell>
          <cell r="CV53">
            <v>1.5348010799254925</v>
          </cell>
          <cell r="CW53">
            <v>0.85989992312000973</v>
          </cell>
          <cell r="KF53">
            <v>12.396755637780453</v>
          </cell>
        </row>
        <row r="54">
          <cell r="N54">
            <v>1531.6505368534229</v>
          </cell>
          <cell r="O54">
            <v>1938.1905454352827</v>
          </cell>
          <cell r="P54">
            <v>2164.3320878515306</v>
          </cell>
          <cell r="Q54">
            <v>1811.4964086368636</v>
          </cell>
          <cell r="R54">
            <v>1014.1224688260519</v>
          </cell>
          <cell r="CS54">
            <v>1.977496621506609</v>
          </cell>
          <cell r="CT54">
            <v>2.5021720125198144</v>
          </cell>
          <cell r="CU54">
            <v>2.7473501088023138</v>
          </cell>
          <cell r="CV54">
            <v>2.2720054115112616</v>
          </cell>
          <cell r="CW54">
            <v>1.2824076324371605</v>
          </cell>
          <cell r="KF54">
            <v>12.768658306913867</v>
          </cell>
        </row>
        <row r="55">
          <cell r="N55">
            <v>1644.8839785556356</v>
          </cell>
          <cell r="O55">
            <v>2082.4374201903788</v>
          </cell>
          <cell r="P55">
            <v>2330.1962815429533</v>
          </cell>
          <cell r="Q55">
            <v>1949.8383165103787</v>
          </cell>
          <cell r="R55">
            <v>1088.7272503975591</v>
          </cell>
          <cell r="CS55">
            <v>2.7663539633454999</v>
          </cell>
          <cell r="CT55">
            <v>3.4492353917699257</v>
          </cell>
          <cell r="CU55">
            <v>3.8199351914270743</v>
          </cell>
          <cell r="CV55">
            <v>3.1954574226665118</v>
          </cell>
          <cell r="CW55">
            <v>1.7880299063383485</v>
          </cell>
          <cell r="KF55">
            <v>13.151718056121283</v>
          </cell>
        </row>
        <row r="56">
          <cell r="N56">
            <v>1766.2445764437161</v>
          </cell>
          <cell r="O56">
            <v>2239.6825954973315</v>
          </cell>
          <cell r="P56">
            <v>2509.806665491662</v>
          </cell>
          <cell r="Q56">
            <v>2092.9076711948587</v>
          </cell>
          <cell r="R56">
            <v>1167.8677915794442</v>
          </cell>
          <cell r="CS56">
            <v>3.7326126658710486</v>
          </cell>
          <cell r="CT56">
            <v>4.680142056346746</v>
          </cell>
          <cell r="CU56">
            <v>5.2353096442605489</v>
          </cell>
          <cell r="CV56">
            <v>4.375975036520507</v>
          </cell>
          <cell r="CW56">
            <v>2.4246573757485437</v>
          </cell>
          <cell r="KF56">
            <v>13.546269597804921</v>
          </cell>
        </row>
        <row r="57">
          <cell r="N57">
            <v>1896.3156446577002</v>
          </cell>
          <cell r="O57">
            <v>2408.4857657278585</v>
          </cell>
          <cell r="P57">
            <v>2689.3837042307518</v>
          </cell>
          <cell r="Q57">
            <v>2241.5151732157478</v>
          </cell>
          <cell r="R57">
            <v>1247.5036141140115</v>
          </cell>
          <cell r="CS57">
            <v>4.8976744055966215</v>
          </cell>
          <cell r="CT57">
            <v>6.1896957392934908</v>
          </cell>
          <cell r="CU57">
            <v>6.9595693301681516</v>
          </cell>
          <cell r="CV57">
            <v>5.7494408414915146</v>
          </cell>
          <cell r="CW57">
            <v>3.1844065710946401</v>
          </cell>
          <cell r="KF57">
            <v>13.952657685739069</v>
          </cell>
        </row>
        <row r="58">
          <cell r="N58">
            <v>2035.7223638131961</v>
          </cell>
          <cell r="O58">
            <v>2581.6898253376967</v>
          </cell>
          <cell r="P58">
            <v>2879.4407739457738</v>
          </cell>
          <cell r="Q58">
            <v>2398.0942210221438</v>
          </cell>
          <cell r="R58">
            <v>1333.2875112126535</v>
          </cell>
          <cell r="CS58">
            <v>6.1567623459079872</v>
          </cell>
          <cell r="CT58">
            <v>7.8237104271249924</v>
          </cell>
          <cell r="CU58">
            <v>8.6978750651625418</v>
          </cell>
          <cell r="CV58">
            <v>7.187961461053721</v>
          </cell>
          <cell r="CW58">
            <v>3.9552813332292516</v>
          </cell>
          <cell r="KF58">
            <v>14.371237416311242</v>
          </cell>
        </row>
        <row r="59">
          <cell r="N59">
            <v>2185.1347859033053</v>
          </cell>
          <cell r="O59">
            <v>2765.4448312300565</v>
          </cell>
          <cell r="P59">
            <v>3083.8617221732834</v>
          </cell>
          <cell r="Q59">
            <v>2565.7852656076611</v>
          </cell>
          <cell r="R59">
            <v>1425.2731652774821</v>
          </cell>
          <cell r="CS59">
            <v>7.5173719248656274</v>
          </cell>
          <cell r="CT59">
            <v>9.5141820489170126</v>
          </cell>
          <cell r="CU59">
            <v>10.552832065581157</v>
          </cell>
          <cell r="CV59">
            <v>8.7161729676441446</v>
          </cell>
          <cell r="CW59">
            <v>4.7925321689119977</v>
          </cell>
          <cell r="KF59">
            <v>14.80237453880058</v>
          </cell>
        </row>
        <row r="60">
          <cell r="N60">
            <v>2345.2710548727578</v>
          </cell>
          <cell r="O60">
            <v>2968.7919553027004</v>
          </cell>
          <cell r="P60">
            <v>3304.7571323285597</v>
          </cell>
          <cell r="Q60">
            <v>2746.4653577160998</v>
          </cell>
          <cell r="R60">
            <v>1526.0474817443567</v>
          </cell>
          <cell r="CS60">
            <v>8.987590158232301</v>
          </cell>
          <cell r="CT60">
            <v>11.322331306897834</v>
          </cell>
          <cell r="CU60">
            <v>12.564334196139852</v>
          </cell>
          <cell r="CV60">
            <v>10.366252846365636</v>
          </cell>
          <cell r="CW60">
            <v>5.6976710049099113</v>
          </cell>
          <cell r="KF60">
            <v>15.246445774964597</v>
          </cell>
        </row>
        <row r="61">
          <cell r="N61">
            <v>2516.9008583437885</v>
          </cell>
          <cell r="O61">
            <v>3179.8197152899115</v>
          </cell>
          <cell r="P61">
            <v>3541.126305028768</v>
          </cell>
          <cell r="Q61">
            <v>2942.9465153781307</v>
          </cell>
          <cell r="R61">
            <v>1633.2169669792843</v>
          </cell>
          <cell r="CS61">
            <v>10.576141946409269</v>
          </cell>
          <cell r="CT61">
            <v>13.339534777698461</v>
          </cell>
          <cell r="CU61">
            <v>14.755616664880193</v>
          </cell>
          <cell r="CV61">
            <v>12.158599360081348</v>
          </cell>
          <cell r="CW61">
            <v>6.6973522242613068</v>
          </cell>
          <cell r="KF61">
            <v>15.703839148213536</v>
          </cell>
        </row>
        <row r="62">
          <cell r="N62">
            <v>2700.8491270843624</v>
          </cell>
          <cell r="O62">
            <v>3413.0043277850505</v>
          </cell>
          <cell r="P62">
            <v>3797.2588302242589</v>
          </cell>
          <cell r="Q62">
            <v>3152.5896292338052</v>
          </cell>
          <cell r="R62">
            <v>1751.3714878690009</v>
          </cell>
          <cell r="CS62">
            <v>12.292439981119577</v>
          </cell>
          <cell r="CT62">
            <v>15.449812377570572</v>
          </cell>
          <cell r="CU62">
            <v>17.119308391882278</v>
          </cell>
          <cell r="CV62">
            <v>14.123410936701658</v>
          </cell>
          <cell r="CW62">
            <v>7.7690470766105832</v>
          </cell>
          <cell r="KF62">
            <v>16.174954322659943</v>
          </cell>
        </row>
        <row r="63">
          <cell r="N63">
            <v>2898</v>
          </cell>
          <cell r="O63">
            <v>3657.4965000000002</v>
          </cell>
          <cell r="P63">
            <v>4069.2833999999998</v>
          </cell>
          <cell r="Q63">
            <v>3379.4712</v>
          </cell>
          <cell r="R63">
            <v>1882.4589000000003</v>
          </cell>
          <cell r="S63">
            <v>197.15087291563759</v>
          </cell>
          <cell r="T63">
            <v>244.49217221494973</v>
          </cell>
          <cell r="U63">
            <v>272.02456977574093</v>
          </cell>
          <cell r="V63">
            <v>226.88157076619473</v>
          </cell>
          <cell r="W63">
            <v>131.08741213099938</v>
          </cell>
          <cell r="CS63">
            <v>14.146638530024562</v>
          </cell>
          <cell r="CT63">
            <v>17.800313271521574</v>
          </cell>
          <cell r="CU63">
            <v>19.701124245852824</v>
          </cell>
          <cell r="CV63">
            <v>16.236613524366859</v>
          </cell>
          <cell r="CW63">
            <v>8.9600446471789272</v>
          </cell>
          <cell r="KF63">
            <v>16.660202952339741</v>
          </cell>
        </row>
        <row r="64">
          <cell r="N64">
            <v>3109.3010737068457</v>
          </cell>
          <cell r="O64">
            <v>3925.9860381165895</v>
          </cell>
          <cell r="P64">
            <v>4365.9859367969093</v>
          </cell>
          <cell r="Q64">
            <v>3628.6625026184524</v>
          </cell>
          <cell r="R64">
            <v>2019.01789286138</v>
          </cell>
          <cell r="S64">
            <v>211.30107370684573</v>
          </cell>
          <cell r="T64">
            <v>268.4895381165893</v>
          </cell>
          <cell r="U64">
            <v>296.7025367969095</v>
          </cell>
          <cell r="V64">
            <v>249.19130261845248</v>
          </cell>
          <cell r="W64">
            <v>136.55899286137969</v>
          </cell>
          <cell r="CS64">
            <v>16.150480002339101</v>
          </cell>
          <cell r="CT64">
            <v>20.285331709914324</v>
          </cell>
          <cell r="CU64">
            <v>22.465981973053456</v>
          </cell>
          <cell r="CV64">
            <v>18.542637809634464</v>
          </cell>
          <cell r="CW64">
            <v>10.292417104078405</v>
          </cell>
          <cell r="KF64">
            <v>17.160009040909934</v>
          </cell>
        </row>
        <row r="65">
          <cell r="N65">
            <v>3335.7679571112699</v>
          </cell>
          <cell r="O65">
            <v>4210.4788321605647</v>
          </cell>
          <cell r="P65">
            <v>4687.2833516127894</v>
          </cell>
          <cell r="Q65">
            <v>3898.1856863497019</v>
          </cell>
          <cell r="R65">
            <v>2175.7836567037139</v>
          </cell>
          <cell r="S65">
            <v>226.46688340442415</v>
          </cell>
          <cell r="T65">
            <v>284.49279404397521</v>
          </cell>
          <cell r="U65">
            <v>321.29741481588007</v>
          </cell>
          <cell r="V65">
            <v>269.52318373124945</v>
          </cell>
          <cell r="W65">
            <v>156.76576384233385</v>
          </cell>
          <cell r="CS65">
            <v>18.315893405686857</v>
          </cell>
          <cell r="CT65">
            <v>23.03681249653313</v>
          </cell>
          <cell r="CU65">
            <v>25.506589570148183</v>
          </cell>
          <cell r="CV65">
            <v>21.096350278868364</v>
          </cell>
          <cell r="CW65">
            <v>11.691873662921823</v>
          </cell>
          <cell r="KF65">
            <v>17.674809312137231</v>
          </cell>
        </row>
        <row r="66">
          <cell r="N66">
            <v>3578.4891528874323</v>
          </cell>
          <cell r="O66">
            <v>4520.4953050880667</v>
          </cell>
          <cell r="P66">
            <v>5030.4689059957536</v>
          </cell>
          <cell r="Q66">
            <v>4189.8429073612688</v>
          </cell>
          <cell r="R66">
            <v>2338.1070192541943</v>
          </cell>
          <cell r="S66">
            <v>242.7211957761624</v>
          </cell>
          <cell r="T66">
            <v>310.01647292750204</v>
          </cell>
          <cell r="U66">
            <v>343.18555438296426</v>
          </cell>
          <cell r="V66">
            <v>291.65722101156689</v>
          </cell>
          <cell r="W66">
            <v>162.3233625504804</v>
          </cell>
          <cell r="CS66">
            <v>20.655749245021369</v>
          </cell>
          <cell r="CT66">
            <v>25.976192044595482</v>
          </cell>
          <cell r="CU66">
            <v>28.826234460025855</v>
          </cell>
          <cell r="CV66">
            <v>23.881063813179633</v>
          </cell>
          <cell r="CW66">
            <v>13.311577534940817</v>
          </cell>
          <cell r="KF66">
            <v>18.20505359150135</v>
          </cell>
        </row>
        <row r="67">
          <cell r="N67">
            <v>3838.631289315399</v>
          </cell>
          <cell r="O67">
            <v>4850.7949118015804</v>
          </cell>
          <cell r="P67">
            <v>5402.2393310636253</v>
          </cell>
          <cell r="Q67">
            <v>4503.0232618402342</v>
          </cell>
          <cell r="R67">
            <v>2507.2187163176109</v>
          </cell>
          <cell r="S67">
            <v>260.14213642796676</v>
          </cell>
          <cell r="T67">
            <v>330.29960671351364</v>
          </cell>
          <cell r="U67">
            <v>371.77042506787166</v>
          </cell>
          <cell r="V67">
            <v>313.18035447896546</v>
          </cell>
          <cell r="W67">
            <v>169.11169706341661</v>
          </cell>
          <cell r="CS67">
            <v>23.183933220225878</v>
          </cell>
          <cell r="CT67">
            <v>29.205323626608344</v>
          </cell>
          <cell r="CU67">
            <v>32.400855194478808</v>
          </cell>
          <cell r="CV67">
            <v>26.918965427236113</v>
          </cell>
          <cell r="CW67">
            <v>15.002337679266621</v>
          </cell>
          <cell r="KF67">
            <v>18.751205199246392</v>
          </cell>
        </row>
        <row r="68">
          <cell r="N68">
            <v>4117.4447276263909</v>
          </cell>
          <cell r="O68">
            <v>5202.5256778579324</v>
          </cell>
          <cell r="P68">
            <v>5806.0267123595722</v>
          </cell>
          <cell r="Q68">
            <v>4833.7816495985917</v>
          </cell>
          <cell r="R68">
            <v>2677.3415812386629</v>
          </cell>
          <cell r="S68">
            <v>278.81343831099184</v>
          </cell>
          <cell r="T68">
            <v>351.73076605635197</v>
          </cell>
          <cell r="U68">
            <v>403.78738129594694</v>
          </cell>
          <cell r="V68">
            <v>330.75838775835746</v>
          </cell>
          <cell r="W68">
            <v>170.12286492105204</v>
          </cell>
          <cell r="CS68">
            <v>25.915425652719531</v>
          </cell>
          <cell r="CT68">
            <v>32.673469497100236</v>
          </cell>
          <cell r="CU68">
            <v>36.304444657691462</v>
          </cell>
          <cell r="CV68">
            <v>30.207359149265251</v>
          </cell>
          <cell r="CW68">
            <v>16.778010498432494</v>
          </cell>
          <cell r="KF68">
            <v>19.313741355223783</v>
          </cell>
        </row>
        <row r="69">
          <cell r="N69">
            <v>4416.2695718066107</v>
          </cell>
          <cell r="O69">
            <v>5584.6032876140744</v>
          </cell>
          <cell r="P69">
            <v>6232.6428443465666</v>
          </cell>
          <cell r="Q69">
            <v>5166.7953843630921</v>
          </cell>
          <cell r="R69">
            <v>2868.6839062272406</v>
          </cell>
          <cell r="S69">
            <v>298.82484418021977</v>
          </cell>
          <cell r="T69">
            <v>382.07760975614201</v>
          </cell>
          <cell r="U69">
            <v>426.61613198699433</v>
          </cell>
          <cell r="V69">
            <v>333.01373476450044</v>
          </cell>
          <cell r="W69">
            <v>191.34232498857773</v>
          </cell>
          <cell r="CS69">
            <v>28.866387083803069</v>
          </cell>
          <cell r="CT69">
            <v>36.396187925040664</v>
          </cell>
          <cell r="CU69">
            <v>40.578130301327768</v>
          </cell>
          <cell r="CV69">
            <v>33.708105925299705</v>
          </cell>
          <cell r="CW69">
            <v>18.578590900756907</v>
          </cell>
          <cell r="KF69">
            <v>19.893153595880499</v>
          </cell>
        </row>
        <row r="70">
          <cell r="N70">
            <v>4736.5421097455128</v>
          </cell>
          <cell r="O70">
            <v>5994.4338352951672</v>
          </cell>
          <cell r="P70">
            <v>6669.648506700737</v>
          </cell>
          <cell r="Q70">
            <v>5523.467097126364</v>
          </cell>
          <cell r="R70">
            <v>3069.2998807764393</v>
          </cell>
          <cell r="S70">
            <v>320.27253793890213</v>
          </cell>
          <cell r="T70">
            <v>409.83054768109287</v>
          </cell>
          <cell r="U70">
            <v>437.00566235417045</v>
          </cell>
          <cell r="V70">
            <v>356.6717127632719</v>
          </cell>
          <cell r="W70">
            <v>200.61597454919865</v>
          </cell>
          <cell r="CS70">
            <v>32.029149234606514</v>
          </cell>
          <cell r="CT70">
            <v>40.440097346699673</v>
          </cell>
          <cell r="CU70">
            <v>45.093435442278114</v>
          </cell>
          <cell r="CV70">
            <v>37.232723294047176</v>
          </cell>
          <cell r="CW70">
            <v>20.603758068436015</v>
          </cell>
          <cell r="KF70">
            <v>20.489948203756914</v>
          </cell>
        </row>
        <row r="71">
          <cell r="N71">
            <v>5079.8017166875779</v>
          </cell>
          <cell r="O71">
            <v>6420.7147672321553</v>
          </cell>
          <cell r="P71">
            <v>7120.8439603582265</v>
          </cell>
          <cell r="Q71">
            <v>5913.5186519153212</v>
          </cell>
          <cell r="R71">
            <v>3281.4966937441241</v>
          </cell>
          <cell r="S71">
            <v>343.25960694206515</v>
          </cell>
          <cell r="T71">
            <v>426.28093193698805</v>
          </cell>
          <cell r="U71">
            <v>451.19545365748945</v>
          </cell>
          <cell r="V71">
            <v>390.05155478895722</v>
          </cell>
          <cell r="W71">
            <v>212.19681296768476</v>
          </cell>
          <cell r="CS71">
            <v>35.418913776151854</v>
          </cell>
          <cell r="CT71">
            <v>44.777743863356363</v>
          </cell>
          <cell r="CU71">
            <v>49.718703372634657</v>
          </cell>
          <cell r="CV71">
            <v>41.007736701933645</v>
          </cell>
          <cell r="CW71">
            <v>22.727077543064734</v>
          </cell>
          <cell r="KF71">
            <v>21.104646649869622</v>
          </cell>
        </row>
        <row r="72">
          <cell r="N72">
            <v>5447.6982541687212</v>
          </cell>
          <cell r="O72">
            <v>6868.2684736992569</v>
          </cell>
          <cell r="P72">
            <v>7634.4043333920454</v>
          </cell>
          <cell r="Q72">
            <v>6338.1363766348895</v>
          </cell>
          <cell r="R72">
            <v>3508.175561817156</v>
          </cell>
          <cell r="S72">
            <v>367.89653748114324</v>
          </cell>
          <cell r="T72">
            <v>447.55370646710162</v>
          </cell>
          <cell r="U72">
            <v>513.56037303381891</v>
          </cell>
          <cell r="V72">
            <v>424.61772471956829</v>
          </cell>
          <cell r="W72">
            <v>226.67886807303194</v>
          </cell>
          <cell r="CS72">
            <v>39.051973456026673</v>
          </cell>
          <cell r="CT72">
            <v>49.289501246977444</v>
          </cell>
          <cell r="CU72">
            <v>54.494156054145527</v>
          </cell>
          <cell r="CV72">
            <v>45.136042357819967</v>
          </cell>
          <cell r="CW72">
            <v>24.972968611514709</v>
          </cell>
          <cell r="KF72">
            <v>21.73778604936571</v>
          </cell>
        </row>
        <row r="73">
          <cell r="N73">
            <v>5842</v>
          </cell>
          <cell r="O73">
            <v>7367.9431000000004</v>
          </cell>
          <cell r="P73">
            <v>8199.691499999999</v>
          </cell>
          <cell r="Q73">
            <v>6790.3471000000009</v>
          </cell>
          <cell r="R73">
            <v>3759.4794000000002</v>
          </cell>
          <cell r="S73">
            <v>394.30174583127882</v>
          </cell>
          <cell r="T73">
            <v>499.67462630074351</v>
          </cell>
          <cell r="U73">
            <v>565.28716660795362</v>
          </cell>
          <cell r="V73">
            <v>452.21072336511133</v>
          </cell>
          <cell r="W73">
            <v>251.30383818284417</v>
          </cell>
          <cell r="CS73">
            <v>42.945790408727092</v>
          </cell>
          <cell r="CT73">
            <v>54.026409676225249</v>
          </cell>
          <cell r="CU73">
            <v>59.929679042335465</v>
          </cell>
          <cell r="CV73">
            <v>49.630196356251879</v>
          </cell>
          <cell r="CW73">
            <v>27.372137751199681</v>
          </cell>
          <cell r="KF73">
            <v>22.389919630846681</v>
          </cell>
        </row>
        <row r="74">
          <cell r="N74">
            <v>6264.6021474136924</v>
          </cell>
          <cell r="O74">
            <v>7908.2294703902389</v>
          </cell>
          <cell r="P74">
            <v>8789.1278632188478</v>
          </cell>
          <cell r="Q74">
            <v>7273.1349996456938</v>
          </cell>
          <cell r="R74">
            <v>4030.0321801315486</v>
          </cell>
          <cell r="S74">
            <v>422.60214741369236</v>
          </cell>
          <cell r="T74">
            <v>540.28637039023852</v>
          </cell>
          <cell r="U74">
            <v>589.43636321884878</v>
          </cell>
          <cell r="V74">
            <v>482.78789964569296</v>
          </cell>
          <cell r="W74">
            <v>270.55278013154839</v>
          </cell>
          <cell r="CS74">
            <v>47.119080086605351</v>
          </cell>
          <cell r="CT74">
            <v>59.314965920992321</v>
          </cell>
          <cell r="CU74">
            <v>65.912678413714048</v>
          </cell>
          <cell r="CV74">
            <v>54.416394652348217</v>
          </cell>
          <cell r="CW74">
            <v>30.031937574526903</v>
          </cell>
          <cell r="KF74">
            <v>23.061617219772081</v>
          </cell>
        </row>
        <row r="75">
          <cell r="N75">
            <v>6717.5359142225398</v>
          </cell>
          <cell r="O75">
            <v>8480.9767117396204</v>
          </cell>
          <cell r="P75">
            <v>9401.9946955963624</v>
          </cell>
          <cell r="Q75">
            <v>7785.4488845165961</v>
          </cell>
          <cell r="R75">
            <v>4315.3888813133908</v>
          </cell>
          <cell r="S75">
            <v>452.93376680884739</v>
          </cell>
          <cell r="T75">
            <v>572.74724134938151</v>
          </cell>
          <cell r="U75">
            <v>612.86683237751458</v>
          </cell>
          <cell r="V75">
            <v>512.31388487090226</v>
          </cell>
          <cell r="W75">
            <v>285.35670118184225</v>
          </cell>
          <cell r="CS75">
            <v>51.591901214831871</v>
          </cell>
          <cell r="CT75">
            <v>65.033356865202606</v>
          </cell>
          <cell r="CU75">
            <v>72.15127288202234</v>
          </cell>
          <cell r="CV75">
            <v>59.526221782198235</v>
          </cell>
          <cell r="CW75">
            <v>32.895468199439215</v>
          </cell>
          <cell r="KF75">
            <v>23.753465736365243</v>
          </cell>
        </row>
        <row r="76">
          <cell r="N76">
            <v>7202.9783057748664</v>
          </cell>
          <cell r="O76">
            <v>9072.871473954021</v>
          </cell>
          <cell r="P76">
            <v>10062.905183434286</v>
          </cell>
          <cell r="Q76">
            <v>8338.3869078438565</v>
          </cell>
          <cell r="R76">
            <v>4622.4017171915848</v>
          </cell>
          <cell r="S76">
            <v>485.44239155232663</v>
          </cell>
          <cell r="T76">
            <v>591.89476221440054</v>
          </cell>
          <cell r="U76">
            <v>660.91048783792394</v>
          </cell>
          <cell r="V76">
            <v>552.93802332726045</v>
          </cell>
          <cell r="W76">
            <v>307.01283587819398</v>
          </cell>
          <cell r="CS76">
            <v>56.385752202736711</v>
          </cell>
          <cell r="CT76">
            <v>71.095313667644461</v>
          </cell>
          <cell r="CU76">
            <v>78.637855435905948</v>
          </cell>
          <cell r="CV76">
            <v>64.948551939671859</v>
          </cell>
          <cell r="CW76">
            <v>35.915683524747834</v>
          </cell>
          <cell r="KF76">
            <v>24.4660697084562</v>
          </cell>
        </row>
        <row r="77">
          <cell r="N77">
            <v>7723.2625786307999</v>
          </cell>
          <cell r="O77">
            <v>9725.9717240747977</v>
          </cell>
          <cell r="P77">
            <v>10801.990098290646</v>
          </cell>
          <cell r="Q77">
            <v>8947.6011737588742</v>
          </cell>
          <cell r="R77">
            <v>4961.4742496161989</v>
          </cell>
          <cell r="S77">
            <v>520.28427285593352</v>
          </cell>
          <cell r="T77">
            <v>653.10025012077676</v>
          </cell>
          <cell r="U77">
            <v>739.08491485635932</v>
          </cell>
          <cell r="V77">
            <v>609.21426591501768</v>
          </cell>
          <cell r="W77">
            <v>339.07253242461411</v>
          </cell>
          <cell r="CS77">
            <v>61.523674474926537</v>
          </cell>
          <cell r="CT77">
            <v>77.359927830921677</v>
          </cell>
          <cell r="CU77">
            <v>85.632932039182535</v>
          </cell>
          <cell r="CV77">
            <v>70.800847978567589</v>
          </cell>
          <cell r="CW77">
            <v>39.165107379682638</v>
          </cell>
          <cell r="KF77">
            <v>25.200051799709886</v>
          </cell>
        </row>
        <row r="78">
          <cell r="N78">
            <v>8280.8894552527818</v>
          </cell>
          <cell r="O78">
            <v>10435.432876040768</v>
          </cell>
          <cell r="P78">
            <v>11591.73307493163</v>
          </cell>
          <cell r="Q78">
            <v>9601.0432537560609</v>
          </cell>
          <cell r="R78">
            <v>5330.8225868189775</v>
          </cell>
          <cell r="S78">
            <v>557.62687662198186</v>
          </cell>
          <cell r="T78">
            <v>709.4611519659702</v>
          </cell>
          <cell r="U78">
            <v>789.74297664098412</v>
          </cell>
          <cell r="V78">
            <v>653.44207999718674</v>
          </cell>
          <cell r="W78">
            <v>369.34833720277857</v>
          </cell>
          <cell r="CS78">
            <v>67.030363218833742</v>
          </cell>
          <cell r="CT78">
            <v>84.272340878199984</v>
          </cell>
          <cell r="CU78">
            <v>93.455406778022237</v>
          </cell>
          <cell r="CV78">
            <v>77.248771769012137</v>
          </cell>
          <cell r="CW78">
            <v>42.753851062864754</v>
          </cell>
          <cell r="KF78">
            <v>25.956053353701183</v>
          </cell>
        </row>
        <row r="79">
          <cell r="N79">
            <v>8878.5391436132213</v>
          </cell>
          <cell r="O79">
            <v>11187.287440877531</v>
          </cell>
          <cell r="P79">
            <v>12423.064282636185</v>
          </cell>
          <cell r="Q79">
            <v>10303.911398432119</v>
          </cell>
          <cell r="R79">
            <v>5733.4517601925972</v>
          </cell>
          <cell r="S79">
            <v>597.64968836043954</v>
          </cell>
          <cell r="T79">
            <v>751.85456483676353</v>
          </cell>
          <cell r="U79">
            <v>831.33120770455571</v>
          </cell>
          <cell r="V79">
            <v>702.86814467605836</v>
          </cell>
          <cell r="W79">
            <v>402.62917337361978</v>
          </cell>
          <cell r="CS79">
            <v>72.932286081000797</v>
          </cell>
          <cell r="CT79">
            <v>91.78127771060781</v>
          </cell>
          <cell r="CU79">
            <v>101.81404644279041</v>
          </cell>
          <cell r="CV79">
            <v>84.164802743702367</v>
          </cell>
          <cell r="CW79">
            <v>46.66303386381896</v>
          </cell>
          <cell r="KF79">
            <v>26.73473495431222</v>
          </cell>
        </row>
        <row r="80">
          <cell r="N80">
            <v>9519.0842194910274</v>
          </cell>
          <cell r="O80">
            <v>12001.33028535274</v>
          </cell>
          <cell r="P80">
            <v>13334.39525564707</v>
          </cell>
          <cell r="Q80">
            <v>11064.341993234622</v>
          </cell>
          <cell r="R80">
            <v>6132.1733605347736</v>
          </cell>
          <cell r="S80">
            <v>640.54507587780608</v>
          </cell>
          <cell r="T80">
            <v>814.04284447520877</v>
          </cell>
          <cell r="U80">
            <v>911.33097301088492</v>
          </cell>
          <cell r="V80">
            <v>760.43059480250304</v>
          </cell>
          <cell r="W80">
            <v>398.72160034217632</v>
          </cell>
          <cell r="CS80">
            <v>79.257810382607687</v>
          </cell>
          <cell r="CT80">
            <v>99.73890642484011</v>
          </cell>
          <cell r="CU80">
            <v>110.61285594513544</v>
          </cell>
          <cell r="CV80">
            <v>91.603959186953773</v>
          </cell>
          <cell r="CW80">
            <v>50.924461034805354</v>
          </cell>
          <cell r="KF80">
            <v>27.536777002941587</v>
          </cell>
        </row>
        <row r="81">
          <cell r="N81">
            <v>10205.603433375156</v>
          </cell>
          <cell r="O81">
            <v>12866.869831288672</v>
          </cell>
          <cell r="P81">
            <v>14308.189455308708</v>
          </cell>
          <cell r="Q81">
            <v>11862.30566202825</v>
          </cell>
          <cell r="R81">
            <v>6556.1462038834607</v>
          </cell>
          <cell r="S81">
            <v>686.51921388412848</v>
          </cell>
          <cell r="T81">
            <v>865.53954593593153</v>
          </cell>
          <cell r="U81">
            <v>973.79419966163732</v>
          </cell>
          <cell r="V81">
            <v>797.96366879362722</v>
          </cell>
          <cell r="W81">
            <v>423.97284334868709</v>
          </cell>
          <cell r="CS81">
            <v>86.037339465698381</v>
          </cell>
          <cell r="CT81">
            <v>108.35473589076572</v>
          </cell>
          <cell r="CU81">
            <v>120.25838296348265</v>
          </cell>
          <cell r="CV81">
            <v>99.652356602343474</v>
          </cell>
          <cell r="CW81">
            <v>55.144530452826949</v>
          </cell>
          <cell r="KF81">
            <v>28.362880313029837</v>
          </cell>
        </row>
        <row r="82">
          <cell r="N82">
            <v>10941.396508337442</v>
          </cell>
          <cell r="O82">
            <v>13807.281252895182</v>
          </cell>
          <cell r="P82">
            <v>15354.918003354933</v>
          </cell>
          <cell r="Q82">
            <v>12680.793125428094</v>
          </cell>
          <cell r="R82">
            <v>7016.5748669292998</v>
          </cell>
          <cell r="S82">
            <v>735.79307496228648</v>
          </cell>
          <cell r="T82">
            <v>940.41142160650998</v>
          </cell>
          <cell r="U82">
            <v>1046.7285480462251</v>
          </cell>
          <cell r="V82">
            <v>818.48746339984427</v>
          </cell>
          <cell r="W82">
            <v>460.42866304583913</v>
          </cell>
          <cell r="CS82">
            <v>93.30345882544799</v>
          </cell>
          <cell r="CT82">
            <v>117.51560644495163</v>
          </cell>
          <cell r="CU82">
            <v>130.56502077270142</v>
          </cell>
          <cell r="CV82">
            <v>108.09800407285522</v>
          </cell>
          <cell r="CW82">
            <v>59.631859026829453</v>
          </cell>
          <cell r="KF82">
            <v>29.213766722420733</v>
          </cell>
        </row>
        <row r="83">
          <cell r="N83">
            <v>11730</v>
          </cell>
          <cell r="O83">
            <v>14812.695</v>
          </cell>
          <cell r="P83">
            <v>16410.576000000001</v>
          </cell>
          <cell r="Q83">
            <v>13552.740000000002</v>
          </cell>
          <cell r="R83">
            <v>7496.0309999999999</v>
          </cell>
          <cell r="S83">
            <v>788.60349166255764</v>
          </cell>
          <cell r="T83">
            <v>1005.413747104818</v>
          </cell>
          <cell r="U83">
            <v>1055.6579966450681</v>
          </cell>
          <cell r="V83">
            <v>871.94687457190776</v>
          </cell>
          <cell r="W83">
            <v>479.45613307070016</v>
          </cell>
          <cell r="CS83">
            <v>101.09109273084883</v>
          </cell>
          <cell r="CT83">
            <v>127.46892093123493</v>
          </cell>
          <cell r="CU83">
            <v>141.64359572522267</v>
          </cell>
          <cell r="CV83">
            <v>116.76087538547917</v>
          </cell>
          <cell r="CW83">
            <v>64.505035996506621</v>
          </cell>
          <cell r="KF83">
            <v>30.090179724093357</v>
          </cell>
        </row>
        <row r="84">
          <cell r="N84">
            <v>12575.204294827385</v>
          </cell>
          <cell r="O84">
            <v>15836.064118078692</v>
          </cell>
          <cell r="P84">
            <v>17533.333974271412</v>
          </cell>
          <cell r="Q84">
            <v>14498.308417714825</v>
          </cell>
          <cell r="R84">
            <v>8019.2624536127059</v>
          </cell>
          <cell r="S84">
            <v>845.20429482738473</v>
          </cell>
          <cell r="T84">
            <v>1023.3691180786918</v>
          </cell>
          <cell r="U84">
            <v>1122.7579742714115</v>
          </cell>
          <cell r="V84">
            <v>945.56841771482323</v>
          </cell>
          <cell r="W84">
            <v>523.23145361270599</v>
          </cell>
          <cell r="CS84">
            <v>109.43767208660535</v>
          </cell>
          <cell r="CT84">
            <v>138.11022003059233</v>
          </cell>
          <cell r="CU84">
            <v>152.81667996171407</v>
          </cell>
          <cell r="CV84">
            <v>125.98956110594824</v>
          </cell>
          <cell r="CW84">
            <v>69.579599708926906</v>
          </cell>
          <cell r="KF84">
            <v>30.992885115816158</v>
          </cell>
        </row>
        <row r="85">
          <cell r="N85">
            <v>13481.07182844507</v>
          </cell>
          <cell r="O85">
            <v>16961.1226009245</v>
          </cell>
          <cell r="P85">
            <v>18780.363937495276</v>
          </cell>
          <cell r="Q85">
            <v>15533.652934359494</v>
          </cell>
          <cell r="R85">
            <v>8572.7894157755472</v>
          </cell>
          <cell r="S85">
            <v>905.86753361768569</v>
          </cell>
          <cell r="T85">
            <v>1125.0584828458086</v>
          </cell>
          <cell r="U85">
            <v>1247.0299632238639</v>
          </cell>
          <cell r="V85">
            <v>1035.3445166446691</v>
          </cell>
          <cell r="W85">
            <v>553.5269621628413</v>
          </cell>
          <cell r="CS85">
            <v>118.38331434305839</v>
          </cell>
          <cell r="CT85">
            <v>148.94155877633722</v>
          </cell>
          <cell r="CU85">
            <v>164.6999503614027</v>
          </cell>
          <cell r="CV85">
            <v>135.99745723904192</v>
          </cell>
          <cell r="CW85">
            <v>75.117481413963787</v>
          </cell>
          <cell r="KF85">
            <v>31.922671669290644</v>
          </cell>
        </row>
        <row r="86">
          <cell r="N86">
            <v>14451.956611549746</v>
          </cell>
          <cell r="O86">
            <v>18193.159753419211</v>
          </cell>
          <cell r="P86">
            <v>20161.484826615306</v>
          </cell>
          <cell r="Q86">
            <v>16642.653312781815</v>
          </cell>
          <cell r="R86">
            <v>9186.9517314772656</v>
          </cell>
          <cell r="S86">
            <v>970.88478310467508</v>
          </cell>
          <cell r="T86">
            <v>1232.0371524947113</v>
          </cell>
          <cell r="U86">
            <v>1381.1208891200295</v>
          </cell>
          <cell r="V86">
            <v>1109.0003784223209</v>
          </cell>
          <cell r="W86">
            <v>614.1623157017184</v>
          </cell>
          <cell r="CS86">
            <v>127.97101631886798</v>
          </cell>
          <cell r="CT86">
            <v>160.84917775877724</v>
          </cell>
          <cell r="CU86">
            <v>177.89851549216408</v>
          </cell>
          <cell r="CV86">
            <v>146.95554360320909</v>
          </cell>
          <cell r="CW86">
            <v>80.976010781495305</v>
          </cell>
          <cell r="KF86">
            <v>32.880351819369366</v>
          </cell>
        </row>
        <row r="87">
          <cell r="N87">
            <v>15492.5251572616</v>
          </cell>
          <cell r="O87">
            <v>19514.384688086713</v>
          </cell>
          <cell r="P87">
            <v>21591.696555857881</v>
          </cell>
          <cell r="Q87">
            <v>17816.673366070961</v>
          </cell>
          <cell r="R87">
            <v>9851.8988239177452</v>
          </cell>
          <cell r="S87">
            <v>1040.5685457118543</v>
          </cell>
          <cell r="T87">
            <v>1321.2249346675017</v>
          </cell>
          <cell r="U87">
            <v>1430.2117292425755</v>
          </cell>
          <cell r="V87">
            <v>1174.0200532891467</v>
          </cell>
          <cell r="W87">
            <v>664.94709244047954</v>
          </cell>
          <cell r="CS87">
            <v>138.24686086324786</v>
          </cell>
          <cell r="CT87">
            <v>173.88905898078127</v>
          </cell>
          <cell r="CU87">
            <v>192.51629898261046</v>
          </cell>
          <cell r="CV87">
            <v>158.69320360843093</v>
          </cell>
          <cell r="CW87">
            <v>87.476304730882291</v>
          </cell>
          <cell r="KF87">
            <v>33.866762373950451</v>
          </cell>
        </row>
        <row r="88">
          <cell r="N88">
            <v>16607.778910505567</v>
          </cell>
          <cell r="O88">
            <v>20885.292888242257</v>
          </cell>
          <cell r="P88">
            <v>23106.583317522378</v>
          </cell>
          <cell r="Q88">
            <v>19114.109371304035</v>
          </cell>
          <cell r="R88">
            <v>10561.103232393669</v>
          </cell>
          <cell r="S88">
            <v>1115.2537532439674</v>
          </cell>
          <cell r="T88">
            <v>1370.9082001555435</v>
          </cell>
          <cell r="U88">
            <v>1514.8867616644966</v>
          </cell>
          <cell r="V88">
            <v>1297.436005233074</v>
          </cell>
          <cell r="W88">
            <v>709.20440847592363</v>
          </cell>
          <cell r="CS88">
            <v>149.26023835106213</v>
          </cell>
          <cell r="CT88">
            <v>187.87290368930212</v>
          </cell>
          <cell r="CU88">
            <v>207.65365992491388</v>
          </cell>
          <cell r="CV88">
            <v>171.11903185244327</v>
          </cell>
          <cell r="CW88">
            <v>94.514104757272321</v>
          </cell>
          <cell r="KF88">
            <v>34.882765245168962</v>
          </cell>
        </row>
        <row r="89">
          <cell r="N89">
            <v>17803.078287226446</v>
          </cell>
          <cell r="O89">
            <v>22378.082383602617</v>
          </cell>
          <cell r="P89">
            <v>24773.138246052011</v>
          </cell>
          <cell r="Q89">
            <v>20537.631112144427</v>
          </cell>
          <cell r="R89">
            <v>11221.551160847546</v>
          </cell>
          <cell r="S89">
            <v>1195.2993767208791</v>
          </cell>
          <cell r="T89">
            <v>1492.7894953603609</v>
          </cell>
          <cell r="U89">
            <v>1666.5549285296329</v>
          </cell>
          <cell r="V89">
            <v>1423.5217408403914</v>
          </cell>
          <cell r="W89">
            <v>660.44792845387747</v>
          </cell>
          <cell r="CS89">
            <v>161.06408407539629</v>
          </cell>
          <cell r="CT89">
            <v>202.3825960797484</v>
          </cell>
          <cell r="CU89">
            <v>223.68722141037091</v>
          </cell>
          <cell r="CV89">
            <v>184.85109453183014</v>
          </cell>
          <cell r="CW89">
            <v>102.0203242165815</v>
          </cell>
          <cell r="KF89">
            <v>35.929248202524029</v>
          </cell>
        </row>
        <row r="90">
          <cell r="N90">
            <v>19084.16843898204</v>
          </cell>
          <cell r="O90">
            <v>24005.062758296252</v>
          </cell>
          <cell r="P90">
            <v>26608.641181245723</v>
          </cell>
          <cell r="Q90">
            <v>21895.847272561801</v>
          </cell>
          <cell r="R90">
            <v>11922.21192241363</v>
          </cell>
          <cell r="S90">
            <v>1281.090151755594</v>
          </cell>
          <cell r="T90">
            <v>1626.9803746936341</v>
          </cell>
          <cell r="U90">
            <v>1835.5029351937119</v>
          </cell>
          <cell r="V90">
            <v>1358.2161604173743</v>
          </cell>
          <cell r="W90">
            <v>700.66076156608324</v>
          </cell>
          <cell r="CS90">
            <v>173.71513267861008</v>
          </cell>
          <cell r="CT90">
            <v>218.18228009864245</v>
          </cell>
          <cell r="CU90">
            <v>241.32603877392853</v>
          </cell>
          <cell r="CV90">
            <v>199.91764863688485</v>
          </cell>
          <cell r="CW90">
            <v>109.01050509133734</v>
          </cell>
          <cell r="KF90">
            <v>37.007125648599754</v>
          </cell>
        </row>
        <row r="91">
          <cell r="N91">
            <v>20457.206866750312</v>
          </cell>
          <cell r="O91">
            <v>25779.816315968015</v>
          </cell>
          <cell r="P91">
            <v>28474.475182207443</v>
          </cell>
          <cell r="Q91">
            <v>23278.789359941271</v>
          </cell>
          <cell r="R91">
            <v>12688.360198157678</v>
          </cell>
          <cell r="S91">
            <v>1373.0384277682715</v>
          </cell>
          <cell r="T91">
            <v>1774.7535576717637</v>
          </cell>
          <cell r="U91">
            <v>1865.8340009617204</v>
          </cell>
          <cell r="V91">
            <v>1382.9420873794697</v>
          </cell>
          <cell r="W91">
            <v>766.14827574404808</v>
          </cell>
          <cell r="CS91">
            <v>187.27419084479129</v>
          </cell>
          <cell r="CT91">
            <v>235.40224038439987</v>
          </cell>
          <cell r="CU91">
            <v>260.75300184001878</v>
          </cell>
          <cell r="CV91">
            <v>214.29300847874234</v>
          </cell>
          <cell r="CW91">
            <v>116.42629859175277</v>
          </cell>
          <cell r="KF91">
            <v>38.117339418057746</v>
          </cell>
        </row>
        <row r="92">
          <cell r="N92">
            <v>21928.793016674885</v>
          </cell>
          <cell r="O92">
            <v>27589.567920062011</v>
          </cell>
          <cell r="P92">
            <v>30266.835190952177</v>
          </cell>
          <cell r="Q92">
            <v>24752.029774993443</v>
          </cell>
          <cell r="R92">
            <v>13453.791228621709</v>
          </cell>
          <cell r="S92">
            <v>1471.586149924573</v>
          </cell>
          <cell r="T92">
            <v>1809.7516040939954</v>
          </cell>
          <cell r="U92">
            <v>1792.3600087447339</v>
          </cell>
          <cell r="V92">
            <v>1473.2404150521725</v>
          </cell>
          <cell r="W92">
            <v>765.43103046403121</v>
          </cell>
          <cell r="CS92">
            <v>201.80642956429068</v>
          </cell>
          <cell r="CT92">
            <v>254.18623203879781</v>
          </cell>
          <cell r="CU92">
            <v>280.50098890619762</v>
          </cell>
          <cell r="CV92">
            <v>228.93006753156664</v>
          </cell>
          <cell r="CW92">
            <v>124.53521194222778</v>
          </cell>
          <cell r="KF92">
            <v>39.260859600599481</v>
          </cell>
        </row>
        <row r="93">
          <cell r="N93">
            <v>23506</v>
          </cell>
          <cell r="O93">
            <v>29354.803800000002</v>
          </cell>
          <cell r="P93">
            <v>32225.192999999999</v>
          </cell>
          <cell r="Q93">
            <v>26253.340400000001</v>
          </cell>
          <cell r="R93">
            <v>14263.543000000001</v>
          </cell>
          <cell r="S93">
            <v>1577.2069833251153</v>
          </cell>
          <cell r="T93">
            <v>1765.2358799379908</v>
          </cell>
          <cell r="U93">
            <v>1958.3578090478222</v>
          </cell>
          <cell r="V93">
            <v>1501.3106250065575</v>
          </cell>
          <cell r="W93">
            <v>809.75177137829269</v>
          </cell>
          <cell r="CS93">
            <v>217.38169737509236</v>
          </cell>
          <cell r="CT93">
            <v>273.34064301652865</v>
          </cell>
          <cell r="CU93">
            <v>299.47132723875188</v>
          </cell>
          <cell r="CV93">
            <v>244.52284408447883</v>
          </cell>
          <cell r="CW93">
            <v>132.63653396865908</v>
          </cell>
          <cell r="KF93">
            <v>40.438685388617465</v>
          </cell>
        </row>
        <row r="94">
          <cell r="N94">
            <v>25196.408589654777</v>
          </cell>
          <cell r="O94">
            <v>31465.822794773703</v>
          </cell>
          <cell r="P94">
            <v>34437.958287128611</v>
          </cell>
          <cell r="Q94">
            <v>28079.261155920252</v>
          </cell>
          <cell r="R94">
            <v>15232.872236484771</v>
          </cell>
          <cell r="S94">
            <v>1690.4085896547767</v>
          </cell>
          <cell r="T94">
            <v>2111.0189947737017</v>
          </cell>
          <cell r="U94">
            <v>2212.7652871286118</v>
          </cell>
          <cell r="V94">
            <v>1825.9207559202514</v>
          </cell>
          <cell r="W94">
            <v>969.32923648476935</v>
          </cell>
          <cell r="CS94">
            <v>234.07485608660539</v>
          </cell>
          <cell r="CT94">
            <v>292.02389956979232</v>
          </cell>
          <cell r="CU94">
            <v>320.19858628971406</v>
          </cell>
          <cell r="CV94">
            <v>260.41271573954822</v>
          </cell>
          <cell r="CW94">
            <v>141.20694671692692</v>
          </cell>
          <cell r="KF94">
            <v>41.651845950275991</v>
          </cell>
        </row>
        <row r="95">
          <cell r="N95">
            <v>27008.143656890144</v>
          </cell>
          <cell r="O95">
            <v>33653.614830379513</v>
          </cell>
          <cell r="P95">
            <v>36866.116091655043</v>
          </cell>
          <cell r="Q95">
            <v>30031.764052634771</v>
          </cell>
          <cell r="R95">
            <v>16237.472106589683</v>
          </cell>
          <cell r="S95">
            <v>1811.7350672353678</v>
          </cell>
          <cell r="T95">
            <v>2187.7920356058094</v>
          </cell>
          <cell r="U95">
            <v>2428.1578045264323</v>
          </cell>
          <cell r="V95">
            <v>1952.502896714519</v>
          </cell>
          <cell r="W95">
            <v>1004.599870104912</v>
          </cell>
          <cell r="CS95">
            <v>251.96614059951156</v>
          </cell>
          <cell r="CT95">
            <v>314.36692461047716</v>
          </cell>
          <cell r="CU95">
            <v>343.61849408868329</v>
          </cell>
          <cell r="CV95">
            <v>279.73826102020814</v>
          </cell>
          <cell r="CW95">
            <v>151.46632735588173</v>
          </cell>
          <cell r="KF95">
            <v>42.901401328784274</v>
          </cell>
        </row>
        <row r="96">
          <cell r="N96">
            <v>28949.913223099466</v>
          </cell>
          <cell r="O96">
            <v>36068.948623035481</v>
          </cell>
          <cell r="P96">
            <v>39465.088117074862</v>
          </cell>
          <cell r="Q96">
            <v>32087.20273216796</v>
          </cell>
          <cell r="R96">
            <v>17340.054001727131</v>
          </cell>
          <cell r="S96">
            <v>1941.7695662093211</v>
          </cell>
          <cell r="T96">
            <v>2415.3337926559689</v>
          </cell>
          <cell r="U96">
            <v>2598.9720254198182</v>
          </cell>
          <cell r="V96">
            <v>2055.4386795331884</v>
          </cell>
          <cell r="W96">
            <v>1102.5818951374476</v>
          </cell>
          <cell r="CS96">
            <v>271.14154455113072</v>
          </cell>
          <cell r="CT96">
            <v>337.52251551532902</v>
          </cell>
          <cell r="CU96">
            <v>369.31811629179106</v>
          </cell>
          <cell r="CV96">
            <v>300.40355167903459</v>
          </cell>
          <cell r="CW96">
            <v>162.09901238107213</v>
          </cell>
          <cell r="KF96">
            <v>44.188443368647803</v>
          </cell>
        </row>
        <row r="97">
          <cell r="N97">
            <v>31031.050314523203</v>
          </cell>
          <cell r="O97">
            <v>38612.138282776315</v>
          </cell>
          <cell r="P97">
            <v>42228.469902908837</v>
          </cell>
          <cell r="Q97">
            <v>34268.803120818542</v>
          </cell>
          <cell r="R97">
            <v>18503.208173304902</v>
          </cell>
          <cell r="S97">
            <v>2081.1370914237377</v>
          </cell>
          <cell r="T97">
            <v>2543.189659740834</v>
          </cell>
          <cell r="U97">
            <v>2763.3817858339753</v>
          </cell>
          <cell r="V97">
            <v>2181.6003886505823</v>
          </cell>
          <cell r="W97">
            <v>1163.1541715777712</v>
          </cell>
          <cell r="CS97">
            <v>291.6932336398902</v>
          </cell>
          <cell r="CT97">
            <v>363.0864083767998</v>
          </cell>
          <cell r="CU97">
            <v>396.8256362088344</v>
          </cell>
          <cell r="CV97">
            <v>322.15831466321384</v>
          </cell>
          <cell r="CW97">
            <v>173.76873915920689</v>
          </cell>
          <cell r="KF97">
            <v>45.514096669707236</v>
          </cell>
        </row>
        <row r="98">
          <cell r="N98">
            <v>33261.557821011134</v>
          </cell>
          <cell r="O98">
            <v>41416.641029113518</v>
          </cell>
          <cell r="P98">
            <v>45132.246268658033</v>
          </cell>
          <cell r="Q98">
            <v>36605.428998038653</v>
          </cell>
          <cell r="R98">
            <v>19863.00694562952</v>
          </cell>
          <cell r="S98">
            <v>2230.5075064879311</v>
          </cell>
          <cell r="T98">
            <v>2804.5027463372026</v>
          </cell>
          <cell r="U98">
            <v>2903.776365749196</v>
          </cell>
          <cell r="V98">
            <v>2336.6258772201109</v>
          </cell>
          <cell r="W98">
            <v>1359.7987723246188</v>
          </cell>
          <cell r="CS98">
            <v>313.71998861551901</v>
          </cell>
          <cell r="CT98">
            <v>390.00352773549679</v>
          </cell>
          <cell r="CU98">
            <v>426.07326903010119</v>
          </cell>
          <cell r="CV98">
            <v>345.24837317669159</v>
          </cell>
          <cell r="CW98">
            <v>186.07956291118603</v>
          </cell>
          <cell r="KF98">
            <v>46.879519569798454</v>
          </cell>
        </row>
        <row r="99">
          <cell r="N99">
            <v>35652.156574452893</v>
          </cell>
          <cell r="O99">
            <v>44289.511542119748</v>
          </cell>
          <cell r="P99">
            <v>48227.912273273716</v>
          </cell>
          <cell r="Q99">
            <v>39212.411931853043</v>
          </cell>
          <cell r="R99">
            <v>21306.581320463309</v>
          </cell>
          <cell r="S99">
            <v>2390.5987534417582</v>
          </cell>
          <cell r="T99">
            <v>2872.8705130062299</v>
          </cell>
          <cell r="U99">
            <v>3095.6660046156831</v>
          </cell>
          <cell r="V99">
            <v>2606.98293381439</v>
          </cell>
          <cell r="W99">
            <v>1443.5743748337882</v>
          </cell>
          <cell r="CS99">
            <v>337.32768006418729</v>
          </cell>
          <cell r="CT99">
            <v>419.68638480272972</v>
          </cell>
          <cell r="CU99">
            <v>456.80683808519069</v>
          </cell>
          <cell r="CV99">
            <v>369.97922146118924</v>
          </cell>
          <cell r="CW99">
            <v>200.47167311746981</v>
          </cell>
          <cell r="KF99">
            <v>48.285905156892412</v>
          </cell>
        </row>
        <row r="100">
          <cell r="N100">
            <v>38214.336877964088</v>
          </cell>
          <cell r="O100">
            <v>47416.764571404769</v>
          </cell>
          <cell r="P100">
            <v>51807.259580101301</v>
          </cell>
          <cell r="Q100">
            <v>42210.144246427553</v>
          </cell>
          <cell r="R100">
            <v>23000.378620392712</v>
          </cell>
          <cell r="S100">
            <v>2562.1803035111952</v>
          </cell>
          <cell r="T100">
            <v>3127.2530292850206</v>
          </cell>
          <cell r="U100">
            <v>3579.3473068275853</v>
          </cell>
          <cell r="V100">
            <v>2997.7323145745104</v>
          </cell>
          <cell r="W100">
            <v>1693.7972999294034</v>
          </cell>
          <cell r="CS100">
            <v>362.62977727061485</v>
          </cell>
          <cell r="CT100">
            <v>450.09284631238768</v>
          </cell>
          <cell r="CU100">
            <v>489.57136707804307</v>
          </cell>
          <cell r="CV100">
            <v>397.57152883268077</v>
          </cell>
          <cell r="CW100">
            <v>215.75046430071063</v>
          </cell>
          <cell r="KF100">
            <v>49.734482311599187</v>
          </cell>
        </row>
        <row r="101">
          <cell r="N101">
            <v>40960.413733500631</v>
          </cell>
          <cell r="O101">
            <v>50943.446048509235</v>
          </cell>
          <cell r="P101">
            <v>55781.316132324064</v>
          </cell>
          <cell r="Q101">
            <v>45518.506382640116</v>
          </cell>
          <cell r="R101">
            <v>24799.927716836362</v>
          </cell>
          <cell r="S101">
            <v>2746.076855536543</v>
          </cell>
          <cell r="T101">
            <v>3526.6814771044665</v>
          </cell>
          <cell r="U101">
            <v>3974.0565522227625</v>
          </cell>
          <cell r="V101">
            <v>3308.3621362125632</v>
          </cell>
          <cell r="W101">
            <v>1799.5490964436503</v>
          </cell>
          <cell r="CS101">
            <v>389.74789360297734</v>
          </cell>
          <cell r="CT101">
            <v>483.19169237434033</v>
          </cell>
          <cell r="CU101">
            <v>527.45517897350624</v>
          </cell>
          <cell r="CV101">
            <v>429.29952765013741</v>
          </cell>
          <cell r="CW101">
            <v>233.67761492316345</v>
          </cell>
          <cell r="KF101">
            <v>51.226516780947165</v>
          </cell>
        </row>
        <row r="102">
          <cell r="N102">
            <v>43903.586033349777</v>
          </cell>
          <cell r="O102">
            <v>54706.25426201216</v>
          </cell>
          <cell r="P102">
            <v>59937.080210150787</v>
          </cell>
          <cell r="Q102">
            <v>48966.146715886673</v>
          </cell>
          <cell r="R102">
            <v>26532.750448941599</v>
          </cell>
          <cell r="S102">
            <v>2943.1722998491459</v>
          </cell>
          <cell r="T102">
            <v>3762.8082135029254</v>
          </cell>
          <cell r="U102">
            <v>4155.7640778267232</v>
          </cell>
          <cell r="V102">
            <v>3447.6403332465561</v>
          </cell>
          <cell r="W102">
            <v>1732.8227321052364</v>
          </cell>
          <cell r="CS102">
            <v>418.81237104197612</v>
          </cell>
          <cell r="CT102">
            <v>520.51808912801403</v>
          </cell>
          <cell r="CU102">
            <v>569.51659352223191</v>
          </cell>
          <cell r="CV102">
            <v>464.3152324998112</v>
          </cell>
          <cell r="CW102">
            <v>252.72404255992305</v>
          </cell>
          <cell r="KF102">
            <v>52.76331228437558</v>
          </cell>
        </row>
        <row r="103">
          <cell r="N103">
            <v>47058</v>
          </cell>
          <cell r="O103">
            <v>58650.533700000007</v>
          </cell>
          <cell r="P103">
            <v>64308.644399999997</v>
          </cell>
          <cell r="Q103">
            <v>52347.319199999998</v>
          </cell>
          <cell r="R103">
            <v>28302.113400000002</v>
          </cell>
          <cell r="S103">
            <v>3154.4139666502233</v>
          </cell>
          <cell r="T103">
            <v>3944.2794379878469</v>
          </cell>
          <cell r="U103">
            <v>4371.5641898492104</v>
          </cell>
          <cell r="V103">
            <v>3381.1724841133255</v>
          </cell>
          <cell r="W103">
            <v>1769.3629510584033</v>
          </cell>
          <cell r="CS103">
            <v>449.96290666357947</v>
          </cell>
          <cell r="CT103">
            <v>560.34365125972897</v>
          </cell>
          <cell r="CU103">
            <v>613.50120052194995</v>
          </cell>
          <cell r="CV103">
            <v>500.80505778689275</v>
          </cell>
          <cell r="CW103">
            <v>271.06423835652487</v>
          </cell>
          <cell r="KF103">
            <v>54.346211652906845</v>
          </cell>
        </row>
        <row r="104">
          <cell r="N104">
            <v>50438.81717930951</v>
          </cell>
          <cell r="O104">
            <v>62922.972679201433</v>
          </cell>
          <cell r="P104">
            <v>68819.051108257583</v>
          </cell>
          <cell r="Q104">
            <v>55825.792503662335</v>
          </cell>
          <cell r="R104">
            <v>30222.500655432003</v>
          </cell>
          <cell r="S104">
            <v>3380.8171793095098</v>
          </cell>
          <cell r="T104">
            <v>4272.4389792014263</v>
          </cell>
          <cell r="U104">
            <v>4510.4067082575857</v>
          </cell>
          <cell r="V104">
            <v>3478.4733036623365</v>
          </cell>
          <cell r="W104">
            <v>1920.3872554320005</v>
          </cell>
          <cell r="CS104">
            <v>483.34922408660543</v>
          </cell>
          <cell r="CT104">
            <v>602.08990483139235</v>
          </cell>
          <cell r="CU104">
            <v>659.76983590731402</v>
          </cell>
          <cell r="CV104">
            <v>536.59138735874819</v>
          </cell>
          <cell r="CW104">
            <v>289.79117583052698</v>
          </cell>
          <cell r="KF104">
            <v>55.97659800249405</v>
          </cell>
        </row>
        <row r="105">
          <cell r="N105">
            <v>54062.287313780289</v>
          </cell>
          <cell r="O105">
            <v>67285.805264019393</v>
          </cell>
          <cell r="P105">
            <v>73367.224953261932</v>
          </cell>
          <cell r="Q105">
            <v>59533.625843357957</v>
          </cell>
          <cell r="R105">
            <v>32296.810441252339</v>
          </cell>
          <cell r="S105">
            <v>3623.4701344707792</v>
          </cell>
          <cell r="T105">
            <v>4362.8325848179593</v>
          </cell>
          <cell r="U105">
            <v>4548.1738450043485</v>
          </cell>
          <cell r="V105">
            <v>3707.8333396956223</v>
          </cell>
          <cell r="W105">
            <v>2074.3097858203364</v>
          </cell>
          <cell r="CS105">
            <v>519.13179311241731</v>
          </cell>
          <cell r="CT105">
            <v>647.30939898726024</v>
          </cell>
          <cell r="CU105">
            <v>707.50798050751234</v>
          </cell>
          <cell r="CV105">
            <v>573.40754880471036</v>
          </cell>
          <cell r="CW105">
            <v>310.11655454201929</v>
          </cell>
          <cell r="KF105">
            <v>57.655895942568876</v>
          </cell>
        </row>
        <row r="106">
          <cell r="N106">
            <v>57945.826446198938</v>
          </cell>
          <cell r="O106">
            <v>71916.691171565428</v>
          </cell>
          <cell r="P106">
            <v>78396.798136881436</v>
          </cell>
          <cell r="Q106">
            <v>63758.296715504403</v>
          </cell>
          <cell r="R106">
            <v>34590.887066246381</v>
          </cell>
          <cell r="S106">
            <v>3883.5391324186494</v>
          </cell>
          <cell r="T106">
            <v>4630.885907546035</v>
          </cell>
          <cell r="U106">
            <v>5029.5731836195046</v>
          </cell>
          <cell r="V106">
            <v>4224.6708721464456</v>
          </cell>
          <cell r="W106">
            <v>2294.0766249940425</v>
          </cell>
          <cell r="CS106">
            <v>557.48260101565609</v>
          </cell>
          <cell r="CT106">
            <v>693.48561906497355</v>
          </cell>
          <cell r="CU106">
            <v>755.64585248303842</v>
          </cell>
          <cell r="CV106">
            <v>612.65125687204886</v>
          </cell>
          <cell r="CW106">
            <v>332.07104931514175</v>
          </cell>
          <cell r="KF106">
            <v>59.385572820845944</v>
          </cell>
        </row>
        <row r="107">
          <cell r="N107">
            <v>62108.100629046407</v>
          </cell>
          <cell r="O107">
            <v>77100.591068068024</v>
          </cell>
          <cell r="P107">
            <v>84212.373642924023</v>
          </cell>
          <cell r="Q107">
            <v>68504.96495861806</v>
          </cell>
          <cell r="R107">
            <v>37131.192943465336</v>
          </cell>
          <cell r="S107">
            <v>4162.2741828474682</v>
          </cell>
          <cell r="T107">
            <v>5183.8998965025967</v>
          </cell>
          <cell r="U107">
            <v>5815.5755060425872</v>
          </cell>
          <cell r="V107">
            <v>4746.6682431136578</v>
          </cell>
          <cell r="W107">
            <v>2540.3058772189543</v>
          </cell>
          <cell r="CS107">
            <v>598.58597919317504</v>
          </cell>
          <cell r="CT107">
            <v>742.49891551044084</v>
          </cell>
          <cell r="CU107">
            <v>808.87885505846725</v>
          </cell>
          <cell r="CV107">
            <v>657.36517338284682</v>
          </cell>
          <cell r="CW107">
            <v>356.35155631407872</v>
          </cell>
          <cell r="KF107">
            <v>61.167140005471325</v>
          </cell>
        </row>
        <row r="108">
          <cell r="N108">
            <v>66569.115642022269</v>
          </cell>
          <cell r="O108">
            <v>82735.42537568738</v>
          </cell>
          <cell r="P108">
            <v>90379.585867954564</v>
          </cell>
          <cell r="Q108">
            <v>73499.973588638299</v>
          </cell>
          <cell r="R108">
            <v>39798.201071114236</v>
          </cell>
          <cell r="S108">
            <v>4461.0150129758622</v>
          </cell>
          <cell r="T108">
            <v>5634.834307619356</v>
          </cell>
          <cell r="U108">
            <v>6167.2122250305401</v>
          </cell>
          <cell r="V108">
            <v>4995.0086300202383</v>
          </cell>
          <cell r="W108">
            <v>2667.0081276489</v>
          </cell>
          <cell r="CS108">
            <v>642.63948914443267</v>
          </cell>
          <cell r="CT108">
            <v>797.3653120150243</v>
          </cell>
          <cell r="CU108">
            <v>870.43090621442195</v>
          </cell>
          <cell r="CV108">
            <v>707.60391006796181</v>
          </cell>
          <cell r="CW108">
            <v>383.23815371856415</v>
          </cell>
          <cell r="KF108">
            <v>63.002154205635463</v>
          </cell>
        </row>
        <row r="109">
          <cell r="N109">
            <v>71350.313148905741</v>
          </cell>
          <cell r="O109">
            <v>88740.090666434582</v>
          </cell>
          <cell r="P109">
            <v>96885.039131134996</v>
          </cell>
          <cell r="Q109">
            <v>78731.037716030813</v>
          </cell>
          <cell r="R109">
            <v>42496.866948993898</v>
          </cell>
          <cell r="S109">
            <v>4781.1975068834727</v>
          </cell>
          <cell r="T109">
            <v>6004.6652907472017</v>
          </cell>
          <cell r="U109">
            <v>6505.4532631804323</v>
          </cell>
          <cell r="V109">
            <v>5231.0641273925139</v>
          </cell>
          <cell r="W109">
            <v>2698.6658778796627</v>
          </cell>
          <cell r="CS109">
            <v>689.85487204176923</v>
          </cell>
          <cell r="CT109">
            <v>857.00439832686754</v>
          </cell>
          <cell r="CU109">
            <v>935.70468040414517</v>
          </cell>
          <cell r="CV109">
            <v>760.47108140809598</v>
          </cell>
          <cell r="CW109">
            <v>411.46576774160013</v>
          </cell>
          <cell r="KF109">
            <v>64.892218831804527</v>
          </cell>
        </row>
        <row r="110">
          <cell r="N110">
            <v>76474.673755928176</v>
          </cell>
          <cell r="O110">
            <v>95068.825682519018</v>
          </cell>
          <cell r="P110">
            <v>103888.68305664834</v>
          </cell>
          <cell r="Q110">
            <v>84060.13014606238</v>
          </cell>
          <cell r="R110">
            <v>45343.496562797547</v>
          </cell>
          <cell r="S110">
            <v>5124.3606070224341</v>
          </cell>
          <cell r="T110">
            <v>6328.7350160844362</v>
          </cell>
          <cell r="U110">
            <v>7003.6439255133446</v>
          </cell>
          <cell r="V110">
            <v>5329.0924300315673</v>
          </cell>
          <cell r="W110">
            <v>2846.6296138036487</v>
          </cell>
          <cell r="CS110">
            <v>740.45906645462389</v>
          </cell>
          <cell r="CT110">
            <v>920.55777576413595</v>
          </cell>
          <cell r="CU110">
            <v>1004.5583977416469</v>
          </cell>
          <cell r="CV110">
            <v>815.83666413241838</v>
          </cell>
          <cell r="CW110">
            <v>440.02844739307847</v>
          </cell>
          <cell r="KF110">
            <v>66.838985396758659</v>
          </cell>
        </row>
        <row r="111">
          <cell r="N111">
            <v>81966.827467001276</v>
          </cell>
          <cell r="O111">
            <v>101896.34881058118</v>
          </cell>
          <cell r="P111">
            <v>110846.94818122237</v>
          </cell>
          <cell r="Q111">
            <v>89785.037297310293</v>
          </cell>
          <cell r="R111">
            <v>48526.500125529114</v>
          </cell>
          <cell r="S111">
            <v>5492.1537110731006</v>
          </cell>
          <cell r="T111">
            <v>6827.5231280621665</v>
          </cell>
          <cell r="U111">
            <v>6958.2651245740271</v>
          </cell>
          <cell r="V111">
            <v>5724.9071512479131</v>
          </cell>
          <cell r="W111">
            <v>3183.0035627315665</v>
          </cell>
          <cell r="CS111">
            <v>794.69529911934933</v>
          </cell>
          <cell r="CT111">
            <v>987.54110717437368</v>
          </cell>
          <cell r="CU111">
            <v>1078.6849650492802</v>
          </cell>
          <cell r="CV111">
            <v>872.23977841187252</v>
          </cell>
          <cell r="CW111">
            <v>470.15717522557628</v>
          </cell>
          <cell r="KF111">
            <v>68.84415495866142</v>
          </cell>
        </row>
        <row r="112">
          <cell r="N112">
            <v>87853.172066699568</v>
          </cell>
          <cell r="O112">
            <v>108855.61876018409</v>
          </cell>
          <cell r="P112">
            <v>118442.30968422769</v>
          </cell>
          <cell r="Q112">
            <v>95977.107675832609</v>
          </cell>
          <cell r="R112">
            <v>51972.026743092792</v>
          </cell>
          <cell r="S112">
            <v>5886.3445996982919</v>
          </cell>
          <cell r="T112">
            <v>6959.269949602909</v>
          </cell>
          <cell r="U112">
            <v>7595.3615030053188</v>
          </cell>
          <cell r="V112">
            <v>6192.0703785223159</v>
          </cell>
          <cell r="W112">
            <v>3445.5266175636789</v>
          </cell>
          <cell r="CS112">
            <v>852.824253997347</v>
          </cell>
          <cell r="CT112">
            <v>1059.8036119617836</v>
          </cell>
          <cell r="CU112">
            <v>1152.3312431277718</v>
          </cell>
          <cell r="CV112">
            <v>932.83219570068047</v>
          </cell>
          <cell r="CW112">
            <v>503.84608493352721</v>
          </cell>
          <cell r="KF112">
            <v>70.909479607421261</v>
          </cell>
        </row>
        <row r="113">
          <cell r="N113">
            <v>94162</v>
          </cell>
          <cell r="O113">
            <v>116672.65430000001</v>
          </cell>
          <cell r="P113">
            <v>127152.68019999999</v>
          </cell>
          <cell r="Q113">
            <v>103143.41720000001</v>
          </cell>
          <cell r="R113">
            <v>55830.696799999991</v>
          </cell>
          <cell r="S113">
            <v>6308.8279333004321</v>
          </cell>
          <cell r="T113">
            <v>7817.0355398159154</v>
          </cell>
          <cell r="U113">
            <v>8710.3705157723016</v>
          </cell>
          <cell r="V113">
            <v>7166.3095241674018</v>
          </cell>
          <cell r="W113">
            <v>3858.6700569071982</v>
          </cell>
          <cell r="CS113">
            <v>915.12532524055371</v>
          </cell>
          <cell r="CT113">
            <v>1133.4605251083808</v>
          </cell>
          <cell r="CU113">
            <v>1232.7205492755802</v>
          </cell>
          <cell r="CV113">
            <v>998.36906858696068</v>
          </cell>
          <cell r="CW113">
            <v>540.31353865382118</v>
          </cell>
          <cell r="KF113">
            <v>73.036763995643895</v>
          </cell>
        </row>
        <row r="114">
          <cell r="N114">
            <v>100923.63435861902</v>
          </cell>
          <cell r="O114">
            <v>125227.14250820011</v>
          </cell>
          <cell r="P114">
            <v>136542.87591185258</v>
          </cell>
          <cell r="Q114">
            <v>110888.96565471216</v>
          </cell>
          <cell r="R114">
            <v>60065.79798455775</v>
          </cell>
          <cell r="S114">
            <v>6761.6343586190196</v>
          </cell>
          <cell r="T114">
            <v>8554.4882082000986</v>
          </cell>
          <cell r="U114">
            <v>9390.1957118525897</v>
          </cell>
          <cell r="V114">
            <v>7745.548454712145</v>
          </cell>
          <cell r="W114">
            <v>4235.1011845577596</v>
          </cell>
          <cell r="CS114">
            <v>981.89796008660551</v>
          </cell>
          <cell r="CT114">
            <v>1216.1960292617925</v>
          </cell>
          <cell r="CU114">
            <v>1324.9111108145144</v>
          </cell>
          <cell r="CV114">
            <v>1074.2172885907485</v>
          </cell>
          <cell r="CW114">
            <v>581.15370253612696</v>
          </cell>
          <cell r="KF114">
            <v>75.227866915513218</v>
          </cell>
        </row>
        <row r="115">
          <cell r="N115">
            <v>108170.57462756058</v>
          </cell>
          <cell r="O115">
            <v>134313.75644108024</v>
          </cell>
          <cell r="P115">
            <v>146454.49252248529</v>
          </cell>
          <cell r="Q115">
            <v>118996.80307381767</v>
          </cell>
          <cell r="R115">
            <v>64185.126836071002</v>
          </cell>
          <cell r="S115">
            <v>7246.9402689415583</v>
          </cell>
          <cell r="T115">
            <v>9086.6139328801364</v>
          </cell>
          <cell r="U115">
            <v>9911.6166106327146</v>
          </cell>
          <cell r="V115">
            <v>8107.8374191055191</v>
          </cell>
          <cell r="W115">
            <v>4119.3288515132517</v>
          </cell>
          <cell r="CS115">
            <v>1053.4630981382293</v>
          </cell>
          <cell r="CT115">
            <v>1306.7367324573825</v>
          </cell>
          <cell r="CU115">
            <v>1424.2969422287622</v>
          </cell>
          <cell r="CV115">
            <v>1156.1961734354218</v>
          </cell>
          <cell r="CW115">
            <v>625.97801347348627</v>
          </cell>
          <cell r="KF115">
            <v>77.484702922978613</v>
          </cell>
        </row>
        <row r="116">
          <cell r="N116">
            <v>115937.65289239788</v>
          </cell>
          <cell r="O116">
            <v>144025.56561258808</v>
          </cell>
          <cell r="P116">
            <v>157131.05708019441</v>
          </cell>
          <cell r="Q116">
            <v>127281.6481511673</v>
          </cell>
          <cell r="R116">
            <v>68560.235114671188</v>
          </cell>
          <cell r="S116">
            <v>7767.0782648372988</v>
          </cell>
          <cell r="T116">
            <v>9711.8091715078335</v>
          </cell>
          <cell r="U116">
            <v>10676.56455770912</v>
          </cell>
          <cell r="V116">
            <v>8284.8450773496297</v>
          </cell>
          <cell r="W116">
            <v>4375.1082786001862</v>
          </cell>
          <cell r="CS116">
            <v>1130.1647139447068</v>
          </cell>
          <cell r="CT116">
            <v>1402.9094543229858</v>
          </cell>
          <cell r="CU116">
            <v>1529.2014924356988</v>
          </cell>
          <cell r="CV116">
            <v>1242.0095246792346</v>
          </cell>
          <cell r="CW116">
            <v>669.57699003790253</v>
          </cell>
          <cell r="KF116">
            <v>79.809244010667967</v>
          </cell>
        </row>
        <row r="117">
          <cell r="N117">
            <v>124262.20125809284</v>
          </cell>
          <cell r="O117">
            <v>154403.07871412375</v>
          </cell>
          <cell r="P117">
            <v>168020.05489024971</v>
          </cell>
          <cell r="Q117">
            <v>135892.06275496984</v>
          </cell>
          <cell r="R117">
            <v>73232.577635356385</v>
          </cell>
          <cell r="S117">
            <v>8324.5483656949655</v>
          </cell>
          <cell r="T117">
            <v>10377.513101535675</v>
          </cell>
          <cell r="U117">
            <v>10888.997810055298</v>
          </cell>
          <cell r="V117">
            <v>8610.4146038025356</v>
          </cell>
          <cell r="W117">
            <v>4672.3425206851971</v>
          </cell>
          <cell r="CS117">
            <v>1212.3714702997447</v>
          </cell>
          <cell r="CT117">
            <v>1505.6992425942246</v>
          </cell>
          <cell r="CU117">
            <v>1642.2022517144921</v>
          </cell>
          <cell r="CV117">
            <v>1329.696324977903</v>
          </cell>
          <cell r="CW117">
            <v>715.88313605860685</v>
          </cell>
          <cell r="KF117">
            <v>82.203521330988011</v>
          </cell>
        </row>
        <row r="118">
          <cell r="N118">
            <v>133184.23128404454</v>
          </cell>
          <cell r="O118">
            <v>165023.65895812085</v>
          </cell>
          <cell r="P118">
            <v>179267.13343207428</v>
          </cell>
          <cell r="Q118">
            <v>144933.39673079786</v>
          </cell>
          <cell r="R118">
            <v>78162.640500292429</v>
          </cell>
          <cell r="S118">
            <v>8922.0300259516953</v>
          </cell>
          <cell r="T118">
            <v>10620.580243997101</v>
          </cell>
          <cell r="U118">
            <v>11247.078541824565</v>
          </cell>
          <cell r="V118">
            <v>9041.3339758280199</v>
          </cell>
          <cell r="W118">
            <v>4930.0628649360442</v>
          </cell>
          <cell r="CS118">
            <v>1300.4784902022602</v>
          </cell>
          <cell r="CT118">
            <v>1615.5348412608782</v>
          </cell>
          <cell r="CU118">
            <v>1757.4514045361175</v>
          </cell>
          <cell r="CV118">
            <v>1420.8289531445491</v>
          </cell>
          <cell r="CW118">
            <v>765.335209297539</v>
          </cell>
          <cell r="KF118">
            <v>84.669626970917648</v>
          </cell>
        </row>
        <row r="119">
          <cell r="N119">
            <v>142746.62629781148</v>
          </cell>
          <cell r="O119">
            <v>176664.15566242993</v>
          </cell>
          <cell r="P119">
            <v>191912.2882198116</v>
          </cell>
          <cell r="Q119">
            <v>155435.24978192279</v>
          </cell>
          <cell r="R119">
            <v>83774.581467904514</v>
          </cell>
          <cell r="S119">
            <v>9562.3950137669453</v>
          </cell>
          <cell r="T119">
            <v>11640.496704309073</v>
          </cell>
          <cell r="U119">
            <v>12645.154787737323</v>
          </cell>
          <cell r="V119">
            <v>10501.853051124926</v>
          </cell>
          <cell r="W119">
            <v>5611.9409676120849</v>
          </cell>
          <cell r="CS119">
            <v>1394.9092559969329</v>
          </cell>
          <cell r="CT119">
            <v>1727.9430625633436</v>
          </cell>
          <cell r="CU119">
            <v>1876.4904838227887</v>
          </cell>
          <cell r="CV119">
            <v>1516.5224319447129</v>
          </cell>
          <cell r="CW119">
            <v>817.51499466002213</v>
          </cell>
          <cell r="KF119">
            <v>87.209715780045173</v>
          </cell>
        </row>
        <row r="120">
          <cell r="N120">
            <v>152995.34751185621</v>
          </cell>
          <cell r="O120">
            <v>189392.60808634528</v>
          </cell>
          <cell r="P120">
            <v>205902.80167436381</v>
          </cell>
          <cell r="Q120">
            <v>166663.48622055128</v>
          </cell>
          <cell r="R120">
            <v>89926.341485908968</v>
          </cell>
          <cell r="S120">
            <v>10248.721214044723</v>
          </cell>
          <cell r="T120">
            <v>12728.452423915354</v>
          </cell>
          <cell r="U120">
            <v>13990.513454552216</v>
          </cell>
          <cell r="V120">
            <v>11228.23643862849</v>
          </cell>
          <cell r="W120">
            <v>6151.7600180044537</v>
          </cell>
          <cell r="CS120">
            <v>1496.1176448226422</v>
          </cell>
          <cell r="CT120">
            <v>1851.1460796817507</v>
          </cell>
          <cell r="CU120">
            <v>2010.3268020962005</v>
          </cell>
          <cell r="CV120">
            <v>1627.6740446378192</v>
          </cell>
          <cell r="CW120">
            <v>876.91177786122842</v>
          </cell>
          <cell r="KF120">
            <v>89.826007253446534</v>
          </cell>
        </row>
        <row r="121">
          <cell r="N121">
            <v>163979.6549340027</v>
          </cell>
          <cell r="O121">
            <v>203037.82635172849</v>
          </cell>
          <cell r="P121">
            <v>220782.92035816269</v>
          </cell>
          <cell r="Q121">
            <v>178959.55288973456</v>
          </cell>
          <cell r="R121">
            <v>96419.324146172134</v>
          </cell>
          <cell r="S121">
            <v>10984.307422146492</v>
          </cell>
          <cell r="T121">
            <v>13645.218265383213</v>
          </cell>
          <cell r="U121">
            <v>14880.118683798879</v>
          </cell>
          <cell r="V121">
            <v>12296.066669183288</v>
          </cell>
          <cell r="W121">
            <v>6492.9826602631656</v>
          </cell>
          <cell r="CS121">
            <v>1604.5901101520915</v>
          </cell>
          <cell r="CT121">
            <v>1985.8640201364708</v>
          </cell>
          <cell r="CU121">
            <v>2158.4023964991811</v>
          </cell>
          <cell r="CV121">
            <v>1746.5136991042632</v>
          </cell>
          <cell r="CW121">
            <v>942.02200589178756</v>
          </cell>
          <cell r="KF121">
            <v>92.520787471049928</v>
          </cell>
        </row>
        <row r="122">
          <cell r="N122">
            <v>175752.34413339914</v>
          </cell>
          <cell r="O122">
            <v>217768.23442036819</v>
          </cell>
          <cell r="P122">
            <v>237016.17266548204</v>
          </cell>
          <cell r="Q122">
            <v>191925.76256711851</v>
          </cell>
          <cell r="R122">
            <v>103026.78827162522</v>
          </cell>
          <cell r="S122">
            <v>11772.689199396438</v>
          </cell>
          <cell r="T122">
            <v>14730.408068639692</v>
          </cell>
          <cell r="U122">
            <v>16233.252307319344</v>
          </cell>
          <cell r="V122">
            <v>12966.209677383944</v>
          </cell>
          <cell r="W122">
            <v>6607.464125453087</v>
          </cell>
          <cell r="CS122">
            <v>1720.84801990809</v>
          </cell>
          <cell r="CT122">
            <v>2130.2850102572866</v>
          </cell>
          <cell r="CU122">
            <v>2315.8935726485083</v>
          </cell>
          <cell r="CV122">
            <v>1876.655268730899</v>
          </cell>
          <cell r="CW122">
            <v>1010.743734368013</v>
          </cell>
          <cell r="KF122">
            <v>95.296411095181426</v>
          </cell>
        </row>
        <row r="123">
          <cell r="N123">
            <v>188370</v>
          </cell>
          <cell r="O123">
            <v>233566.92449999999</v>
          </cell>
          <cell r="P123">
            <v>254069.361</v>
          </cell>
          <cell r="Q123">
            <v>204818.796</v>
          </cell>
          <cell r="R123">
            <v>110001.52799999999</v>
          </cell>
          <cell r="S123">
            <v>12617.655866600864</v>
          </cell>
          <cell r="T123">
            <v>15798.690079631808</v>
          </cell>
          <cell r="U123">
            <v>17053.188334517967</v>
          </cell>
          <cell r="V123">
            <v>12893.033432881493</v>
          </cell>
          <cell r="W123">
            <v>6974.7397283747705</v>
          </cell>
          <cell r="CS123">
            <v>1845.4501623945018</v>
          </cell>
          <cell r="CT123">
            <v>2286.1916492557689</v>
          </cell>
          <cell r="CU123">
            <v>2487.7063150691765</v>
          </cell>
          <cell r="CV123">
            <v>2013.8896319563307</v>
          </cell>
          <cell r="CW123">
            <v>1080.6771346718085</v>
          </cell>
          <cell r="KF123">
            <v>98.155303428036873</v>
          </cell>
        </row>
        <row r="124">
          <cell r="N124">
            <v>201893.26871723824</v>
          </cell>
          <cell r="O124">
            <v>250011.4570271202</v>
          </cell>
          <cell r="P124">
            <v>271071.11944637942</v>
          </cell>
          <cell r="Q124">
            <v>218573.6027989744</v>
          </cell>
          <cell r="R124">
            <v>117763.02694753431</v>
          </cell>
          <cell r="S124">
            <v>13523.268717238243</v>
          </cell>
          <cell r="T124">
            <v>16444.532527120202</v>
          </cell>
          <cell r="U124">
            <v>17001.758446379419</v>
          </cell>
          <cell r="V124">
            <v>13754.806798974401</v>
          </cell>
          <cell r="W124">
            <v>7761.4989475343173</v>
          </cell>
          <cell r="CS124">
            <v>1978.9954320866054</v>
          </cell>
          <cell r="CT124">
            <v>2453.404985058592</v>
          </cell>
          <cell r="CU124">
            <v>2668.1972604017146</v>
          </cell>
          <cell r="CV124">
            <v>2150.3494978099484</v>
          </cell>
          <cell r="CW124">
            <v>1154.4977799569272</v>
          </cell>
          <cell r="KF124">
            <v>101.09996253087799</v>
          </cell>
        </row>
        <row r="125">
          <cell r="N125">
            <v>216387.14925512118</v>
          </cell>
          <cell r="O125">
            <v>267297.87099954294</v>
          </cell>
          <cell r="P125">
            <v>289717.93169660447</v>
          </cell>
          <cell r="Q125">
            <v>233925.79810909499</v>
          </cell>
          <cell r="R125">
            <v>126071.85722449567</v>
          </cell>
          <cell r="S125">
            <v>14493.880537882942</v>
          </cell>
          <cell r="T125">
            <v>17286.413972422743</v>
          </cell>
          <cell r="U125">
            <v>18646.812250225048</v>
          </cell>
          <cell r="V125">
            <v>15352.195310120587</v>
          </cell>
          <cell r="W125">
            <v>8308.8302769613656</v>
          </cell>
          <cell r="CS125">
            <v>2122.1257081898548</v>
          </cell>
          <cell r="CT125">
            <v>2627.4539173256321</v>
          </cell>
          <cell r="CU125">
            <v>2848.1438717981946</v>
          </cell>
          <cell r="CV125">
            <v>2295.9303729702933</v>
          </cell>
          <cell r="CW125">
            <v>1236.6454848176304</v>
          </cell>
          <cell r="KF125">
            <v>104.13296140680433</v>
          </cell>
        </row>
        <row r="126">
          <cell r="N126">
            <v>231921.30578479578</v>
          </cell>
          <cell r="O126">
            <v>286486.84309168946</v>
          </cell>
          <cell r="P126">
            <v>311204.61252083164</v>
          </cell>
          <cell r="Q126">
            <v>251601.8452876425</v>
          </cell>
          <cell r="R126">
            <v>135589.76636657064</v>
          </cell>
          <cell r="S126">
            <v>15534.156529674598</v>
          </cell>
          <cell r="T126">
            <v>19188.97209214652</v>
          </cell>
          <cell r="U126">
            <v>21486.680824227165</v>
          </cell>
          <cell r="V126">
            <v>17676.047178547509</v>
          </cell>
          <cell r="W126">
            <v>9517.909142074961</v>
          </cell>
          <cell r="CS126">
            <v>2275.5289398028081</v>
          </cell>
          <cell r="CT126">
            <v>2810.4133228097544</v>
          </cell>
          <cell r="CU126">
            <v>3045.5017326545767</v>
          </cell>
          <cell r="CV126">
            <v>2458.4180081326094</v>
          </cell>
          <cell r="CW126">
            <v>1324.5861444689895</v>
          </cell>
          <cell r="KF126">
            <v>107.25695024900845</v>
          </cell>
        </row>
        <row r="127">
          <cell r="N127">
            <v>248570.40251618548</v>
          </cell>
          <cell r="O127">
            <v>307632.35126535187</v>
          </cell>
          <cell r="P127">
            <v>334086.18616791681</v>
          </cell>
          <cell r="Q127">
            <v>270276.00236025098</v>
          </cell>
          <cell r="R127">
            <v>145824.36700656047</v>
          </cell>
          <cell r="S127">
            <v>16649.096731389698</v>
          </cell>
          <cell r="T127">
            <v>21145.508173662412</v>
          </cell>
          <cell r="U127">
            <v>22881.57364708517</v>
          </cell>
          <cell r="V127">
            <v>18674.157072608476</v>
          </cell>
          <cell r="W127">
            <v>10234.600639989832</v>
          </cell>
          <cell r="CS127">
            <v>2439.9424525128838</v>
          </cell>
          <cell r="CT127">
            <v>3013.5094034330332</v>
          </cell>
          <cell r="CU127">
            <v>3272.9167624981969</v>
          </cell>
          <cell r="CV127">
            <v>2645.5012914703561</v>
          </cell>
          <cell r="CW127">
            <v>1425.3236948287108</v>
          </cell>
          <cell r="KF127">
            <v>110.47465875647872</v>
          </cell>
        </row>
        <row r="128">
          <cell r="N128">
            <v>266414.46256808913</v>
          </cell>
          <cell r="O128">
            <v>329561.0609773529</v>
          </cell>
          <cell r="P128">
            <v>358543.47953351011</v>
          </cell>
          <cell r="Q128">
            <v>290095.8124810165</v>
          </cell>
          <cell r="R128">
            <v>155517.12587662143</v>
          </cell>
          <cell r="S128">
            <v>17844.060051903652</v>
          </cell>
          <cell r="T128">
            <v>21928.709712001029</v>
          </cell>
          <cell r="U128">
            <v>24457.293365593301</v>
          </cell>
          <cell r="V128">
            <v>19819.810120765527</v>
          </cell>
          <cell r="W128">
            <v>9692.7588700609631</v>
          </cell>
          <cell r="CS128">
            <v>2616.1564923179126</v>
          </cell>
          <cell r="CT128">
            <v>3237.3134619430762</v>
          </cell>
          <cell r="CU128">
            <v>3515.0953379789462</v>
          </cell>
          <cell r="CV128">
            <v>2843.1485699268442</v>
          </cell>
          <cell r="CW128">
            <v>1533.6467080023633</v>
          </cell>
          <cell r="KF128">
            <v>113.78889851917309</v>
          </cell>
        </row>
        <row r="129">
          <cell r="N129">
            <v>285539.25259562297</v>
          </cell>
          <cell r="O129">
            <v>353717.95652788441</v>
          </cell>
          <cell r="P129">
            <v>384564.26539578498</v>
          </cell>
          <cell r="Q129">
            <v>309705.805165303</v>
          </cell>
          <cell r="R129">
            <v>165849.88823261682</v>
          </cell>
          <cell r="S129">
            <v>19124.790027533832</v>
          </cell>
          <cell r="T129">
            <v>24156.89555053151</v>
          </cell>
          <cell r="U129">
            <v>26020.785862274875</v>
          </cell>
          <cell r="V129">
            <v>19609.992684286495</v>
          </cell>
          <cell r="W129">
            <v>10332.762355995394</v>
          </cell>
          <cell r="CS129">
            <v>2805.0180239072611</v>
          </cell>
          <cell r="CT129">
            <v>3469.406925534895</v>
          </cell>
          <cell r="CU129">
            <v>3773.9513309603858</v>
          </cell>
          <cell r="CV129">
            <v>3052.9214402450266</v>
          </cell>
          <cell r="CW129">
            <v>1636.2348678830886</v>
          </cell>
          <cell r="KF129">
            <v>117.20256547474828</v>
          </cell>
        </row>
        <row r="130">
          <cell r="N130">
            <v>306036.69502371247</v>
          </cell>
          <cell r="O130">
            <v>379109.60893225478</v>
          </cell>
          <cell r="P130">
            <v>410293.41756084486</v>
          </cell>
          <cell r="Q130">
            <v>329950.8015511632</v>
          </cell>
          <cell r="R130">
            <v>177138.69615986643</v>
          </cell>
          <cell r="S130">
            <v>20497.442428089504</v>
          </cell>
          <cell r="T130">
            <v>25391.652404370368</v>
          </cell>
          <cell r="U130">
            <v>25729.152165059873</v>
          </cell>
          <cell r="V130">
            <v>20244.996385860199</v>
          </cell>
          <cell r="W130">
            <v>11288.807927249611</v>
          </cell>
          <cell r="CS130">
            <v>3007.4348015586793</v>
          </cell>
          <cell r="CT130">
            <v>3725.0835080417205</v>
          </cell>
          <cell r="CU130">
            <v>4049.355328526703</v>
          </cell>
          <cell r="CV130">
            <v>3260.4736028155148</v>
          </cell>
          <cell r="CW130">
            <v>1745.5968246589439</v>
          </cell>
          <cell r="KF130">
            <v>120.71864243899074</v>
          </cell>
        </row>
        <row r="131">
          <cell r="N131">
            <v>328005.30986800481</v>
          </cell>
          <cell r="O131">
            <v>404412.72069171362</v>
          </cell>
          <cell r="P131">
            <v>437345.16685748287</v>
          </cell>
          <cell r="Q131">
            <v>352167.17926991213</v>
          </cell>
          <cell r="R131">
            <v>189413.79673349392</v>
          </cell>
          <cell r="S131">
            <v>21968.614844292344</v>
          </cell>
          <cell r="T131">
            <v>25303.111759458843</v>
          </cell>
          <cell r="U131">
            <v>27051.749296638009</v>
          </cell>
          <cell r="V131">
            <v>22216.377718748932</v>
          </cell>
          <cell r="W131">
            <v>12275.100573627482</v>
          </cell>
          <cell r="CS131">
            <v>3224.3797322175787</v>
          </cell>
          <cell r="CT131">
            <v>3993.8287570895764</v>
          </cell>
          <cell r="CU131">
            <v>4321.6726750416965</v>
          </cell>
          <cell r="CV131">
            <v>3474.7466445634591</v>
          </cell>
          <cell r="CW131">
            <v>1865.0775677609538</v>
          </cell>
          <cell r="KF131">
            <v>124.34020171216046</v>
          </cell>
        </row>
        <row r="132">
          <cell r="N132">
            <v>351550.68826679827</v>
          </cell>
          <cell r="O132">
            <v>433442.89261729561</v>
          </cell>
          <cell r="P132">
            <v>469504.35082720249</v>
          </cell>
          <cell r="Q132">
            <v>378706.45045415516</v>
          </cell>
          <cell r="R132">
            <v>203482.88805320952</v>
          </cell>
          <cell r="S132">
            <v>23545.378398793458</v>
          </cell>
          <cell r="T132">
            <v>29030.171925581992</v>
          </cell>
          <cell r="U132">
            <v>32159.183969719626</v>
          </cell>
          <cell r="V132">
            <v>26539.271184243029</v>
          </cell>
          <cell r="W132">
            <v>14069.091319715604</v>
          </cell>
          <cell r="CS132">
            <v>3456.895551729569</v>
          </cell>
          <cell r="CT132">
            <v>4261.636891951689</v>
          </cell>
          <cell r="CU132">
            <v>4607.9883895973135</v>
          </cell>
          <cell r="CV132">
            <v>3709.8847863386977</v>
          </cell>
          <cell r="CW132">
            <v>1994.9972322322271</v>
          </cell>
          <cell r="KF132">
            <v>128.07040776352528</v>
          </cell>
        </row>
        <row r="133">
          <cell r="N133">
            <v>376786</v>
          </cell>
          <cell r="O133">
            <v>465105.45750000002</v>
          </cell>
          <cell r="P133">
            <v>504324.78460000001</v>
          </cell>
          <cell r="Q133">
            <v>406987.85519999999</v>
          </cell>
          <cell r="R133">
            <v>218848.77620000002</v>
          </cell>
          <cell r="S133">
            <v>25235.311733201728</v>
          </cell>
          <cell r="T133">
            <v>31662.564882704406</v>
          </cell>
          <cell r="U133">
            <v>34820.433772797522</v>
          </cell>
          <cell r="V133">
            <v>28281.404745844833</v>
          </cell>
          <cell r="W133">
            <v>15365.888146790501</v>
          </cell>
          <cell r="CS133">
            <v>3706.099836702399</v>
          </cell>
          <cell r="CT133">
            <v>4568.8922316120488</v>
          </cell>
          <cell r="CU133">
            <v>4948.3611927328257</v>
          </cell>
          <cell r="CV133">
            <v>3990.776432552726</v>
          </cell>
          <cell r="CW133">
            <v>2143.9044947600969</v>
          </cell>
          <cell r="KF133">
            <v>131.91251999643103</v>
          </cell>
        </row>
        <row r="134">
          <cell r="N134">
            <v>403832.53743447649</v>
          </cell>
          <cell r="O134">
            <v>498727.03845383495</v>
          </cell>
          <cell r="P134">
            <v>541005.67143276311</v>
          </cell>
          <cell r="Q134">
            <v>437197.00609794882</v>
          </cell>
          <cell r="R134">
            <v>234377.38155240606</v>
          </cell>
          <cell r="S134">
            <v>27046.537434476486</v>
          </cell>
          <cell r="T134">
            <v>33621.580953834928</v>
          </cell>
          <cell r="U134">
            <v>36680.886832763092</v>
          </cell>
          <cell r="V134">
            <v>30209.150897948828</v>
          </cell>
          <cell r="W134">
            <v>15528.605352406041</v>
          </cell>
          <cell r="CS134">
            <v>3973.1903760866062</v>
          </cell>
          <cell r="CT134">
            <v>4904.0088183305925</v>
          </cell>
          <cell r="CU134">
            <v>5316.9006637841148</v>
          </cell>
          <cell r="CV134">
            <v>4290.1068203827481</v>
          </cell>
          <cell r="CW134">
            <v>2306.5370549057275</v>
          </cell>
          <cell r="KF134">
            <v>135.86989559632397</v>
          </cell>
        </row>
        <row r="135">
          <cell r="N135">
            <v>432820.29851024237</v>
          </cell>
          <cell r="O135">
            <v>534904.72956865281</v>
          </cell>
          <cell r="P135">
            <v>581124.29196739208</v>
          </cell>
          <cell r="Q135">
            <v>468095.15283882717</v>
          </cell>
          <cell r="R135">
            <v>250426.06106325664</v>
          </cell>
          <cell r="S135">
            <v>28987.761075765884</v>
          </cell>
          <cell r="T135">
            <v>36177.691114817862</v>
          </cell>
          <cell r="U135">
            <v>40118.620534628979</v>
          </cell>
          <cell r="V135">
            <v>30898.14674087835</v>
          </cell>
          <cell r="W135">
            <v>16048.679510850576</v>
          </cell>
          <cell r="CS135">
            <v>4259.4509282931049</v>
          </cell>
          <cell r="CT135">
            <v>5259.8596311459814</v>
          </cell>
          <cell r="CU135">
            <v>5705.1311700220795</v>
          </cell>
          <cell r="CV135">
            <v>4609.8404734866381</v>
          </cell>
          <cell r="CW135">
            <v>2470.8918139555931</v>
          </cell>
          <cell r="KF135">
            <v>139.9459924642137</v>
          </cell>
        </row>
        <row r="136">
          <cell r="N136">
            <v>463888.61156959157</v>
          </cell>
          <cell r="O136">
            <v>573706.17273066507</v>
          </cell>
          <cell r="P136">
            <v>621277.94984712673</v>
          </cell>
          <cell r="Q136">
            <v>499306.50706292992</v>
          </cell>
          <cell r="R136">
            <v>267363.20973163756</v>
          </cell>
          <cell r="S136">
            <v>31068.313059349195</v>
          </cell>
          <cell r="T136">
            <v>38801.443162012263</v>
          </cell>
          <cell r="U136">
            <v>40153.657879734645</v>
          </cell>
          <cell r="V136">
            <v>31211.354224102746</v>
          </cell>
          <cell r="W136">
            <v>16937.14866838092</v>
          </cell>
          <cell r="CS136">
            <v>4566.2573915190114</v>
          </cell>
          <cell r="CT136">
            <v>5642.7643139052134</v>
          </cell>
          <cell r="CU136">
            <v>6129.7466497605928</v>
          </cell>
          <cell r="CV136">
            <v>4936.8664585920942</v>
          </cell>
          <cell r="CW136">
            <v>2640.7510378984357</v>
          </cell>
          <cell r="KF136">
            <v>144.14437223814011</v>
          </cell>
        </row>
        <row r="137">
          <cell r="N137">
            <v>497186.80503237102</v>
          </cell>
          <cell r="O137">
            <v>613149.14226088859</v>
          </cell>
          <cell r="P137">
            <v>662824.58912890544</v>
          </cell>
          <cell r="Q137">
            <v>533031.81199344399</v>
          </cell>
          <cell r="R137">
            <v>285886.73625713534</v>
          </cell>
          <cell r="S137">
            <v>33298.193462779454</v>
          </cell>
          <cell r="T137">
            <v>39442.96953022352</v>
          </cell>
          <cell r="U137">
            <v>41546.639281778713</v>
          </cell>
          <cell r="V137">
            <v>33725.304930514074</v>
          </cell>
          <cell r="W137">
            <v>18523.526525497786</v>
          </cell>
          <cell r="CS137">
            <v>4895.084416939163</v>
          </cell>
          <cell r="CT137">
            <v>6053.4387883319514</v>
          </cell>
          <cell r="CU137">
            <v>6554.7329647597044</v>
          </cell>
          <cell r="CV137">
            <v>5267.2074316999979</v>
          </cell>
          <cell r="CW137">
            <v>2820.0138194045794</v>
          </cell>
          <cell r="KF137">
            <v>148.46870340528432</v>
          </cell>
        </row>
        <row r="138">
          <cell r="N138">
            <v>532874.92513617827</v>
          </cell>
          <cell r="O138">
            <v>656384.90696899174</v>
          </cell>
          <cell r="P138">
            <v>709453.45739380363</v>
          </cell>
          <cell r="Q138">
            <v>571531.52568355715</v>
          </cell>
          <cell r="R138">
            <v>306884.98623342562</v>
          </cell>
          <cell r="S138">
            <v>35688.120103807247</v>
          </cell>
          <cell r="T138">
            <v>43235.764708103146</v>
          </cell>
          <cell r="U138">
            <v>46628.868264898192</v>
          </cell>
          <cell r="V138">
            <v>38499.71369011316</v>
          </cell>
          <cell r="W138">
            <v>20998.249976290273</v>
          </cell>
          <cell r="CS138">
            <v>5247.5124965492205</v>
          </cell>
          <cell r="CT138">
            <v>6470.9031778398376</v>
          </cell>
          <cell r="CU138">
            <v>6994.4625949180499</v>
          </cell>
          <cell r="CV138">
            <v>5624.1560590845593</v>
          </cell>
          <cell r="CW138">
            <v>3016.0668241504482</v>
          </cell>
          <cell r="KF138">
            <v>152.92276450744285</v>
          </cell>
        </row>
        <row r="139">
          <cell r="N139">
            <v>571124.50519124593</v>
          </cell>
          <cell r="O139">
            <v>703999.10447401193</v>
          </cell>
          <cell r="P139">
            <v>762976.40066008712</v>
          </cell>
          <cell r="Q139">
            <v>614601.97893643519</v>
          </cell>
          <cell r="R139">
            <v>330064.0257251226</v>
          </cell>
          <cell r="S139">
            <v>38249.580055067665</v>
          </cell>
          <cell r="T139">
            <v>47614.197505020187</v>
          </cell>
          <cell r="U139">
            <v>53522.943266283488</v>
          </cell>
          <cell r="V139">
            <v>43070.45325287804</v>
          </cell>
          <cell r="W139">
            <v>23179.039491696982</v>
          </cell>
          <cell r="CS139">
            <v>5625.2355597279166</v>
          </cell>
          <cell r="CT139">
            <v>6928.5105115104016</v>
          </cell>
          <cell r="CU139">
            <v>7487.9825366337327</v>
          </cell>
          <cell r="CV139">
            <v>6031.6370287807167</v>
          </cell>
          <cell r="CW139">
            <v>3238.3123018995043</v>
          </cell>
          <cell r="KF139">
            <v>157.51044744266613</v>
          </cell>
        </row>
        <row r="140">
          <cell r="N140">
            <v>612119.39004742505</v>
          </cell>
          <cell r="O140">
            <v>755423.19272915821</v>
          </cell>
          <cell r="P140">
            <v>818589.92169907386</v>
          </cell>
          <cell r="Q140">
            <v>659951.19760232652</v>
          </cell>
          <cell r="R140">
            <v>354166.95630413538</v>
          </cell>
          <cell r="S140">
            <v>40994.884856179124</v>
          </cell>
          <cell r="T140">
            <v>51424.088255146286</v>
          </cell>
          <cell r="U140">
            <v>55613.521038986742</v>
          </cell>
          <cell r="V140">
            <v>45349.218665891327</v>
          </cell>
          <cell r="W140">
            <v>24102.930579012784</v>
          </cell>
          <cell r="CS140">
            <v>6030.069115030753</v>
          </cell>
          <cell r="CT140">
            <v>7432.4591779035354</v>
          </cell>
          <cell r="CU140">
            <v>8054.4693681640774</v>
          </cell>
          <cell r="CV140">
            <v>6487.4947060091781</v>
          </cell>
          <cell r="CW140">
            <v>3483.6392558796251</v>
          </cell>
          <cell r="KF140">
            <v>162.23576086594613</v>
          </cell>
        </row>
        <row r="141">
          <cell r="N141">
            <v>656056.61973600974</v>
          </cell>
          <cell r="O141">
            <v>809646.60546642425</v>
          </cell>
          <cell r="P141">
            <v>877996.29556257313</v>
          </cell>
          <cell r="Q141">
            <v>707762.43863146473</v>
          </cell>
          <cell r="R141">
            <v>378119.65899489215</v>
          </cell>
          <cell r="S141">
            <v>43937.229688584688</v>
          </cell>
          <cell r="T141">
            <v>54223.412737266044</v>
          </cell>
          <cell r="U141">
            <v>59406.373863499262</v>
          </cell>
          <cell r="V141">
            <v>47811.241029138211</v>
          </cell>
          <cell r="W141">
            <v>23952.702690756763</v>
          </cell>
          <cell r="CS141">
            <v>6463.9589763485528</v>
          </cell>
          <cell r="CT141">
            <v>7976.7317279960034</v>
          </cell>
          <cell r="CU141">
            <v>8643.082874840713</v>
          </cell>
          <cell r="CV141">
            <v>6967.4708363689715</v>
          </cell>
          <cell r="CW141">
            <v>3738.7446731278965</v>
          </cell>
          <cell r="KF141">
            <v>167.10283369192453</v>
          </cell>
        </row>
        <row r="142">
          <cell r="N142">
            <v>703147.37653359666</v>
          </cell>
          <cell r="O142">
            <v>868171.48006227182</v>
          </cell>
          <cell r="P142">
            <v>941156.64916520589</v>
          </cell>
          <cell r="Q142">
            <v>755573.12777918961</v>
          </cell>
          <cell r="R142">
            <v>403843.52422455128</v>
          </cell>
          <cell r="S142">
            <v>47090.756797586917</v>
          </cell>
          <cell r="T142">
            <v>58524.874595847563</v>
          </cell>
          <cell r="U142">
            <v>63160.353602632764</v>
          </cell>
          <cell r="V142">
            <v>47810.689147724886</v>
          </cell>
          <cell r="W142">
            <v>25723.865229659132</v>
          </cell>
          <cell r="CS142">
            <v>6928.9906153725333</v>
          </cell>
          <cell r="CT142">
            <v>8550.6323284072278</v>
          </cell>
          <cell r="CU142">
            <v>9271.8399358119896</v>
          </cell>
          <cell r="CV142">
            <v>7473.50501142137</v>
          </cell>
          <cell r="CW142">
            <v>3992.2600784068659</v>
          </cell>
          <cell r="KF142">
            <v>172.11591870268228</v>
          </cell>
        </row>
        <row r="143">
          <cell r="N143">
            <v>753618</v>
          </cell>
          <cell r="O143">
            <v>930048.16530000011</v>
          </cell>
          <cell r="P143">
            <v>1004387.6661</v>
          </cell>
          <cell r="Q143">
            <v>806263.13219999999</v>
          </cell>
          <cell r="R143">
            <v>431818.19910000003</v>
          </cell>
          <cell r="S143">
            <v>50470.62346640334</v>
          </cell>
          <cell r="T143">
            <v>61876.685237728292</v>
          </cell>
          <cell r="U143">
            <v>63231.016934794141</v>
          </cell>
          <cell r="V143">
            <v>50690.004420810379</v>
          </cell>
          <cell r="W143">
            <v>27974.674875448749</v>
          </cell>
          <cell r="CS143">
            <v>7427.3991853181933</v>
          </cell>
          <cell r="CT143">
            <v>9170.0596011296784</v>
          </cell>
          <cell r="CU143">
            <v>9940.3291183422552</v>
          </cell>
          <cell r="CV143">
            <v>7979.5333453608901</v>
          </cell>
          <cell r="CW143">
            <v>4264.5214679975779</v>
          </cell>
          <cell r="KF143">
            <v>177.27939626376275</v>
          </cell>
        </row>
        <row r="144">
          <cell r="N144">
            <v>807711.07486895169</v>
          </cell>
          <cell r="O144">
            <v>994216.82973711565</v>
          </cell>
          <cell r="P144">
            <v>1072805.3614282238</v>
          </cell>
          <cell r="Q144">
            <v>863230.67590434593</v>
          </cell>
          <cell r="R144">
            <v>462451.46412893618</v>
          </cell>
          <cell r="S144">
            <v>54093.074868951691</v>
          </cell>
          <cell r="T144">
            <v>64168.664437115542</v>
          </cell>
          <cell r="U144">
            <v>68417.695328223752</v>
          </cell>
          <cell r="V144">
            <v>56967.543704345939</v>
          </cell>
          <cell r="W144">
            <v>30633.265028936148</v>
          </cell>
          <cell r="CS144">
            <v>7961.5802640866059</v>
          </cell>
          <cell r="CT144">
            <v>9824.9624376857955</v>
          </cell>
          <cell r="CU144">
            <v>10609.566201580117</v>
          </cell>
          <cell r="CV144">
            <v>8516.0363521507479</v>
          </cell>
          <cell r="CW144">
            <v>4560.6054268793278</v>
          </cell>
          <cell r="KF144">
            <v>182.59777815167564</v>
          </cell>
        </row>
        <row r="145">
          <cell r="N145">
            <v>865686.59702048497</v>
          </cell>
          <cell r="O145">
            <v>1065579.2780546695</v>
          </cell>
          <cell r="P145">
            <v>1152720.0436817054</v>
          </cell>
          <cell r="Q145">
            <v>927323.48272834357</v>
          </cell>
          <cell r="R145">
            <v>496808.12839313212</v>
          </cell>
          <cell r="S145">
            <v>57975.522151533281</v>
          </cell>
          <cell r="T145">
            <v>71362.448317553848</v>
          </cell>
          <cell r="U145">
            <v>79914.682253481587</v>
          </cell>
          <cell r="V145">
            <v>64092.806823997642</v>
          </cell>
          <cell r="W145">
            <v>34356.664264195948</v>
          </cell>
          <cell r="CS145">
            <v>8534.1013684995905</v>
          </cell>
          <cell r="CT145">
            <v>10504.123582088227</v>
          </cell>
          <cell r="CU145">
            <v>11333.699088934038</v>
          </cell>
          <cell r="CV145">
            <v>9118.9808347175458</v>
          </cell>
          <cell r="CW145">
            <v>4884.8279039455883</v>
          </cell>
          <cell r="KF145">
            <v>188.07571149622592</v>
          </cell>
        </row>
        <row r="146">
          <cell r="N146">
            <v>927823.22313918336</v>
          </cell>
          <cell r="O146">
            <v>1143415.0510776134</v>
          </cell>
          <cell r="P146">
            <v>1237111.0775656232</v>
          </cell>
          <cell r="Q146">
            <v>995961.75384372217</v>
          </cell>
          <cell r="R146">
            <v>534129.6764981664</v>
          </cell>
          <cell r="S146">
            <v>62136.62611869839</v>
          </cell>
          <cell r="T146">
            <v>77835.773022943875</v>
          </cell>
          <cell r="U146">
            <v>84391.033883917844</v>
          </cell>
          <cell r="V146">
            <v>68638.271115378593</v>
          </cell>
          <cell r="W146">
            <v>37321.548105034279</v>
          </cell>
          <cell r="CS146">
            <v>9147.7142949514182</v>
          </cell>
          <cell r="CT146">
            <v>11259.423735081216</v>
          </cell>
          <cell r="CU146">
            <v>12179.516085904886</v>
          </cell>
          <cell r="CV146">
            <v>9797.3391021427378</v>
          </cell>
          <cell r="CW146">
            <v>5248.4588385178386</v>
          </cell>
          <cell r="KF146">
            <v>193.7179828411127</v>
          </cell>
        </row>
        <row r="147">
          <cell r="N147">
            <v>994419.61006474204</v>
          </cell>
          <cell r="O147">
            <v>1225485.977153851</v>
          </cell>
          <cell r="P147">
            <v>1327284.2802798264</v>
          </cell>
          <cell r="Q147">
            <v>1069230.2296862649</v>
          </cell>
          <cell r="R147">
            <v>571354.59587150253</v>
          </cell>
          <cell r="S147">
            <v>66596.386925558676</v>
          </cell>
          <cell r="T147">
            <v>82070.926076237578</v>
          </cell>
          <cell r="U147">
            <v>90173.202714203158</v>
          </cell>
          <cell r="V147">
            <v>73268.475842542714</v>
          </cell>
          <cell r="W147">
            <v>37224.919373336132</v>
          </cell>
          <cell r="CS147">
            <v>9805.3683457917214</v>
          </cell>
          <cell r="CT147">
            <v>12083.237556756054</v>
          </cell>
          <cell r="CU147">
            <v>13072.710788532273</v>
          </cell>
          <cell r="CV147">
            <v>10523.806563627904</v>
          </cell>
          <cell r="CW147">
            <v>5643.4701036615215</v>
          </cell>
          <cell r="KF147">
            <v>199.5295223263461</v>
          </cell>
        </row>
        <row r="148">
          <cell r="N148">
            <v>1065795.8502723568</v>
          </cell>
          <cell r="O148">
            <v>1315310.2435586185</v>
          </cell>
          <cell r="P148">
            <v>1424239.2133514546</v>
          </cell>
          <cell r="Q148">
            <v>1143828.3251447973</v>
          </cell>
          <cell r="R148">
            <v>610455.42577099777</v>
          </cell>
          <cell r="S148">
            <v>71376.240207614726</v>
          </cell>
          <cell r="T148">
            <v>89824.266404767521</v>
          </cell>
          <cell r="U148">
            <v>96954.933071628213</v>
          </cell>
          <cell r="V148">
            <v>74598.095458532451</v>
          </cell>
          <cell r="W148">
            <v>39100.829899495235</v>
          </cell>
          <cell r="CS148">
            <v>10510.224505011834</v>
          </cell>
          <cell r="CT148">
            <v>12951.876238346953</v>
          </cell>
          <cell r="CU148">
            <v>14027.1039660594</v>
          </cell>
          <cell r="CV148">
            <v>11299.280111945376</v>
          </cell>
          <cell r="CW148">
            <v>6037.4586503089113</v>
          </cell>
          <cell r="KF148">
            <v>205.51540799613647</v>
          </cell>
        </row>
        <row r="149">
          <cell r="N149">
            <v>1142295.0103824921</v>
          </cell>
          <cell r="O149">
            <v>1409385.933060122</v>
          </cell>
          <cell r="P149">
            <v>1521494.7385790958</v>
          </cell>
          <cell r="Q149">
            <v>1220301.3433415035</v>
          </cell>
          <cell r="R149">
            <v>651458.29417120293</v>
          </cell>
          <cell r="S149">
            <v>76499.16011013533</v>
          </cell>
          <cell r="T149">
            <v>94075.689501503482</v>
          </cell>
          <cell r="U149">
            <v>97255.525227641221</v>
          </cell>
          <cell r="V149">
            <v>76473.018196706194</v>
          </cell>
          <cell r="W149">
            <v>41002.86840020516</v>
          </cell>
          <cell r="CS149">
            <v>11265.670631369228</v>
          </cell>
          <cell r="CT149">
            <v>13902.576273975013</v>
          </cell>
          <cell r="CU149">
            <v>15053.274977689513</v>
          </cell>
          <cell r="CV149">
            <v>12088.826354278484</v>
          </cell>
          <cell r="CW149">
            <v>6451.301833965169</v>
          </cell>
          <cell r="KF149">
            <v>211.68087023602058</v>
          </cell>
        </row>
        <row r="150">
          <cell r="N150">
            <v>1224284.7800948501</v>
          </cell>
          <cell r="O150">
            <v>1505553.5623670323</v>
          </cell>
          <cell r="P150">
            <v>1623194.0222908854</v>
          </cell>
          <cell r="Q150">
            <v>1301036.7898521877</v>
          </cell>
          <cell r="R150">
            <v>695750.39457329374</v>
          </cell>
          <cell r="S150">
            <v>81989.769712358015</v>
          </cell>
          <cell r="T150">
            <v>96167.629306910327</v>
          </cell>
          <cell r="U150">
            <v>101699.28371178964</v>
          </cell>
          <cell r="V150">
            <v>80735.446510684211</v>
          </cell>
          <cell r="W150">
            <v>44292.100402090815</v>
          </cell>
          <cell r="CS150">
            <v>12075.337741974901</v>
          </cell>
          <cell r="CT150">
            <v>14898.273371658926</v>
          </cell>
          <cell r="CU150">
            <v>16082.627456698867</v>
          </cell>
          <cell r="CV150">
            <v>12898.216778872424</v>
          </cell>
          <cell r="CW150">
            <v>6885.2761931129407</v>
          </cell>
          <cell r="KF150">
            <v>218.03129634310122</v>
          </cell>
        </row>
        <row r="151">
          <cell r="N151">
            <v>1312159.2394720195</v>
          </cell>
          <cell r="O151">
            <v>1613616.414660373</v>
          </cell>
          <cell r="P151">
            <v>1740738.9722844393</v>
          </cell>
          <cell r="Q151">
            <v>1397358.3093949549</v>
          </cell>
          <cell r="R151">
            <v>745982.49528044381</v>
          </cell>
          <cell r="S151">
            <v>87874.459377169376</v>
          </cell>
          <cell r="T151">
            <v>108062.85229334072</v>
          </cell>
          <cell r="U151">
            <v>117544.9499935538</v>
          </cell>
          <cell r="V151">
            <v>96321.519542767201</v>
          </cell>
          <cell r="W151">
            <v>50232.100707150064</v>
          </cell>
          <cell r="CS151">
            <v>12943.117464610499</v>
          </cell>
          <cell r="CT151">
            <v>15916.111560243266</v>
          </cell>
          <cell r="CU151">
            <v>17159.012675504448</v>
          </cell>
          <cell r="CV151">
            <v>13752.720744741506</v>
          </cell>
          <cell r="CW151">
            <v>7354.06378376867</v>
          </cell>
          <cell r="KF151">
            <v>224.57223523339425</v>
          </cell>
        </row>
        <row r="152">
          <cell r="N152">
            <v>1406340.7530671936</v>
          </cell>
          <cell r="O152">
            <v>1729844.985210248</v>
          </cell>
          <cell r="P152">
            <v>1867351.4809726463</v>
          </cell>
          <cell r="Q152">
            <v>1498599.763730908</v>
          </cell>
          <cell r="R152">
            <v>800155.91503261973</v>
          </cell>
          <cell r="S152">
            <v>94181.513595174067</v>
          </cell>
          <cell r="T152">
            <v>116228.57054987503</v>
          </cell>
          <cell r="U152">
            <v>126612.50868820702</v>
          </cell>
          <cell r="V152">
            <v>101241.45433595311</v>
          </cell>
          <cell r="W152">
            <v>54173.41975217592</v>
          </cell>
          <cell r="CS152">
            <v>13873.18074265846</v>
          </cell>
          <cell r="CT152">
            <v>17059.848788915984</v>
          </cell>
          <cell r="CU152">
            <v>18403.10842623622</v>
          </cell>
          <cell r="CV152">
            <v>14772.187707582154</v>
          </cell>
          <cell r="CW152">
            <v>7885.7203376531461</v>
          </cell>
          <cell r="KF152">
            <v>231.30940229039609</v>
          </cell>
        </row>
        <row r="153">
          <cell r="N153">
            <v>1507282</v>
          </cell>
          <cell r="O153">
            <v>1854006.0105000001</v>
          </cell>
          <cell r="P153">
            <v>2001680.3260999999</v>
          </cell>
          <cell r="Q153">
            <v>1607175.4762000002</v>
          </cell>
          <cell r="R153">
            <v>860625.25500000012</v>
          </cell>
          <cell r="S153">
            <v>100941.24693280645</v>
          </cell>
          <cell r="T153">
            <v>124161.02528975205</v>
          </cell>
          <cell r="U153">
            <v>134328.84512735368</v>
          </cell>
          <cell r="V153">
            <v>108575.7124690921</v>
          </cell>
          <cell r="W153">
            <v>60469.339967380394</v>
          </cell>
          <cell r="CS153">
            <v>14869.997882549782</v>
          </cell>
          <cell r="CT153">
            <v>18290.011979615861</v>
          </cell>
          <cell r="CU153">
            <v>19743.175218192202</v>
          </cell>
          <cell r="CV153">
            <v>15843.727260273881</v>
          </cell>
          <cell r="CW153">
            <v>8459.0918123101765</v>
          </cell>
          <cell r="KF153">
            <v>238.24868435910798</v>
          </cell>
        </row>
        <row r="154">
          <cell r="N154">
            <v>1615468.1497379036</v>
          </cell>
          <cell r="O154">
            <v>1988019.6882784385</v>
          </cell>
          <cell r="P154">
            <v>2146950.1472271094</v>
          </cell>
          <cell r="Q154">
            <v>1730851.2063892924</v>
          </cell>
          <cell r="R154">
            <v>936866.17022952298</v>
          </cell>
          <cell r="S154">
            <v>108186.14973790362</v>
          </cell>
          <cell r="T154">
            <v>134013.67777843843</v>
          </cell>
          <cell r="U154">
            <v>145269.82112710946</v>
          </cell>
          <cell r="V154">
            <v>123675.73018929223</v>
          </cell>
          <cell r="W154">
            <v>76240.915229522856</v>
          </cell>
          <cell r="CS154">
            <v>15938.360040086605</v>
          </cell>
          <cell r="CT154">
            <v>19604.132271282597</v>
          </cell>
          <cell r="CU154">
            <v>21164.911715020113</v>
          </cell>
          <cell r="CV154">
            <v>16992.892601046751</v>
          </cell>
          <cell r="CW154">
            <v>9099.0993065249313</v>
          </cell>
          <cell r="KF154">
            <v>245.39614488988124</v>
          </cell>
        </row>
        <row r="155">
          <cell r="N155">
            <v>1731419.1940409699</v>
          </cell>
          <cell r="O155">
            <v>2130206.4379310715</v>
          </cell>
          <cell r="P155">
            <v>2313721.8166803354</v>
          </cell>
          <cell r="Q155">
            <v>1880283.6051807969</v>
          </cell>
          <cell r="R155">
            <v>1453827.5297789667</v>
          </cell>
          <cell r="S155">
            <v>115951.04430306633</v>
          </cell>
          <cell r="T155">
            <v>142186.74965263298</v>
          </cell>
          <cell r="U155">
            <v>166771.66945322603</v>
          </cell>
          <cell r="V155">
            <v>149432.39879150456</v>
          </cell>
          <cell r="W155">
            <v>516961.3595494437</v>
          </cell>
          <cell r="CS155">
            <v>17083.402248912578</v>
          </cell>
          <cell r="CT155">
            <v>21022.533036889588</v>
          </cell>
          <cell r="CU155">
            <v>22702.44750182944</v>
          </cell>
          <cell r="CV155">
            <v>18301.87652937022</v>
          </cell>
          <cell r="CW155">
            <v>9906.0331533142016</v>
          </cell>
          <cell r="KF155">
            <v>252.7580292365777</v>
          </cell>
        </row>
        <row r="156">
          <cell r="N156">
            <v>1855692.4462783667</v>
          </cell>
          <cell r="O156">
            <v>2300130.7871620352</v>
          </cell>
          <cell r="P156">
            <v>2507322.8829030287</v>
          </cell>
          <cell r="Q156">
            <v>2493082.4604348489</v>
          </cell>
          <cell r="R156">
            <v>2493082.4604348489</v>
          </cell>
          <cell r="S156">
            <v>124273.25223739678</v>
          </cell>
          <cell r="T156">
            <v>169924.34923096374</v>
          </cell>
          <cell r="U156">
            <v>193601.06622269331</v>
          </cell>
          <cell r="V156">
            <v>612798.85525405197</v>
          </cell>
          <cell r="W156">
            <v>1039254.9306558822</v>
          </cell>
          <cell r="CS156">
            <v>18310.628101816234</v>
          </cell>
          <cell r="CT156">
            <v>22527.437595213058</v>
          </cell>
          <cell r="CU156">
            <v>24467.558851322385</v>
          </cell>
          <cell r="CV156">
            <v>19883.469038179504</v>
          </cell>
          <cell r="CW156">
            <v>15377.552182785515</v>
          </cell>
          <cell r="KF156">
            <v>260.34077011367503</v>
          </cell>
        </row>
        <row r="157">
          <cell r="N157">
            <v>1988885.2201294843</v>
          </cell>
          <cell r="O157">
            <v>2476810.6485895114</v>
          </cell>
          <cell r="P157">
            <v>3088609.0369554288</v>
          </cell>
          <cell r="Q157">
            <v>3518165.0078681773</v>
          </cell>
          <cell r="R157">
            <v>3518165.0078681773</v>
          </cell>
          <cell r="S157">
            <v>133192.77385111758</v>
          </cell>
          <cell r="T157">
            <v>176679.86142747616</v>
          </cell>
          <cell r="U157">
            <v>581286.15405240003</v>
          </cell>
          <cell r="V157">
            <v>1025082.5474333283</v>
          </cell>
          <cell r="W157">
            <v>1025082.5474333283</v>
          </cell>
          <cell r="CS157">
            <v>19625.93620349684</v>
          </cell>
          <cell r="CT157">
            <v>24325.916907473576</v>
          </cell>
          <cell r="CU157">
            <v>26516.632536223369</v>
          </cell>
          <cell r="CV157">
            <v>26369.332122188393</v>
          </cell>
          <cell r="CW157">
            <v>26377.026368847375</v>
          </cell>
          <cell r="KF157">
            <v>268.15099321708527</v>
          </cell>
        </row>
        <row r="158">
          <cell r="N158">
            <v>2131637.700544714</v>
          </cell>
          <cell r="O158">
            <v>2953263.5502346703</v>
          </cell>
          <cell r="P158">
            <v>4040667.5492225429</v>
          </cell>
          <cell r="Q158">
            <v>4573502.8304387024</v>
          </cell>
          <cell r="R158">
            <v>4587821.8749923613</v>
          </cell>
          <cell r="S158">
            <v>142752.48041522969</v>
          </cell>
          <cell r="T158">
            <v>476452.90164515888</v>
          </cell>
          <cell r="U158">
            <v>952058.51226711413</v>
          </cell>
          <cell r="V158">
            <v>1055337.8225705251</v>
          </cell>
          <cell r="W158">
            <v>1069656.867124184</v>
          </cell>
          <cell r="CS158">
            <v>21035.64852193707</v>
          </cell>
          <cell r="CT158">
            <v>26195.896560821984</v>
          </cell>
          <cell r="CU158">
            <v>32668.965190713971</v>
          </cell>
          <cell r="CV158">
            <v>37218.805804222742</v>
          </cell>
          <cell r="CW158">
            <v>37226.500050881725</v>
          </cell>
          <cell r="KF158">
            <v>276.19552301359784</v>
          </cell>
        </row>
        <row r="159">
          <cell r="N159">
            <v>2284636.0207649847</v>
          </cell>
          <cell r="O159">
            <v>3327622.0302446513</v>
          </cell>
          <cell r="P159">
            <v>4564802.1014893418</v>
          </cell>
          <cell r="Q159">
            <v>5166754.0269604633</v>
          </cell>
          <cell r="R159">
            <v>5182100.82109995</v>
          </cell>
          <cell r="S159">
            <v>152998.32022027066</v>
          </cell>
          <cell r="T159">
            <v>374358.48000998097</v>
          </cell>
          <cell r="U159">
            <v>524134.55226679891</v>
          </cell>
          <cell r="V159">
            <v>593251.1965217609</v>
          </cell>
          <cell r="W159">
            <v>594278.94610758871</v>
          </cell>
          <cell r="CS159">
            <v>22546.540774651861</v>
          </cell>
          <cell r="CT159">
            <v>31238.674071834346</v>
          </cell>
          <cell r="CU159">
            <v>42745.552484549109</v>
          </cell>
          <cell r="CV159">
            <v>48388.50131830918</v>
          </cell>
          <cell r="CW159">
            <v>48547.74833252409</v>
          </cell>
          <cell r="KF159">
            <v>284.48138870400578</v>
          </cell>
        </row>
        <row r="160">
          <cell r="N160">
            <v>2448615.5601897002</v>
          </cell>
          <cell r="O160">
            <v>3566461.794189346</v>
          </cell>
          <cell r="P160">
            <v>4892440.3508051168</v>
          </cell>
          <cell r="Q160">
            <v>5537597.3201420549</v>
          </cell>
          <cell r="R160">
            <v>5537597.3201420549</v>
          </cell>
          <cell r="S160">
            <v>163979.53942471556</v>
          </cell>
          <cell r="T160">
            <v>238839.76394469477</v>
          </cell>
          <cell r="U160">
            <v>327638.249315775</v>
          </cell>
          <cell r="V160">
            <v>370843.29318159167</v>
          </cell>
          <cell r="W160">
            <v>355496.49904210493</v>
          </cell>
          <cell r="CS160">
            <v>24165.874995863207</v>
          </cell>
          <cell r="CT160">
            <v>35200.884224259986</v>
          </cell>
          <cell r="CU160">
            <v>48292.992585740911</v>
          </cell>
          <cell r="CV160">
            <v>54667.471982295494</v>
          </cell>
          <cell r="CW160">
            <v>54837.596698126814</v>
          </cell>
          <cell r="KF160">
            <v>293.01583036512596</v>
          </cell>
        </row>
        <row r="161">
          <cell r="N161">
            <v>2624364.4789440394</v>
          </cell>
          <cell r="O161">
            <v>3822443.9149837093</v>
          </cell>
          <cell r="P161">
            <v>5243594.3317336226</v>
          </cell>
          <cell r="Q161">
            <v>5935057.3205336612</v>
          </cell>
          <cell r="R161">
            <v>5935057.3205336612</v>
          </cell>
          <cell r="S161">
            <v>175748.91875433922</v>
          </cell>
          <cell r="T161">
            <v>255982.12079436332</v>
          </cell>
          <cell r="U161">
            <v>351153.98092850577</v>
          </cell>
          <cell r="V161">
            <v>397460.00039160624</v>
          </cell>
          <cell r="W161">
            <v>397460.00039160624</v>
          </cell>
          <cell r="CS161">
            <v>25901.434441134395</v>
          </cell>
          <cell r="CT161">
            <v>37728.764285850637</v>
          </cell>
          <cell r="CU161">
            <v>51760.715816499076</v>
          </cell>
          <cell r="CV161">
            <v>58592.477397329458</v>
          </cell>
          <cell r="CW161">
            <v>58600.171643988455</v>
          </cell>
          <cell r="KF161">
            <v>301.80630527607974</v>
          </cell>
        </row>
        <row r="162">
          <cell r="N162">
            <v>2812727.5061343871</v>
          </cell>
          <cell r="O162">
            <v>4096798.758934868</v>
          </cell>
          <cell r="P162">
            <v>5619951.8497567717</v>
          </cell>
          <cell r="Q162">
            <v>6361044.4013730492</v>
          </cell>
          <cell r="R162">
            <v>6361044.4013730492</v>
          </cell>
          <cell r="S162">
            <v>188363.02719034767</v>
          </cell>
          <cell r="T162">
            <v>274354.84395115869</v>
          </cell>
          <cell r="U162">
            <v>376357.51802314911</v>
          </cell>
          <cell r="V162">
            <v>425987.08083938807</v>
          </cell>
          <cell r="W162">
            <v>425987.08083938807</v>
          </cell>
          <cell r="CS162">
            <v>27761.560997230321</v>
          </cell>
          <cell r="CT162">
            <v>40438.07905233818</v>
          </cell>
          <cell r="CU162">
            <v>55477.329550646384</v>
          </cell>
          <cell r="CV162">
            <v>62799.19404147422</v>
          </cell>
          <cell r="CW162">
            <v>62806.888288133217</v>
          </cell>
          <cell r="KF162">
            <v>310.86049443436212</v>
          </cell>
        </row>
        <row r="163">
          <cell r="N163">
            <v>3014610</v>
          </cell>
          <cell r="O163">
            <v>4390845</v>
          </cell>
          <cell r="P163">
            <v>6023321.8500000006</v>
          </cell>
          <cell r="Q163">
            <v>6817606.0500000007</v>
          </cell>
          <cell r="R163">
            <v>6817606.0500000007</v>
          </cell>
          <cell r="S163">
            <v>201882.49386561289</v>
          </cell>
          <cell r="T163">
            <v>294046.24106513197</v>
          </cell>
          <cell r="U163">
            <v>403370.00024322886</v>
          </cell>
          <cell r="V163">
            <v>456561.6486269515</v>
          </cell>
          <cell r="W163">
            <v>456561.6486269515</v>
          </cell>
          <cell r="CS163">
            <v>29755.195277012961</v>
          </cell>
          <cell r="CT163">
            <v>43341.850720717244</v>
          </cell>
          <cell r="CU163">
            <v>59460.697521403396</v>
          </cell>
          <cell r="CV163">
            <v>67307.841305078298</v>
          </cell>
          <cell r="CW163">
            <v>67315.535551737295</v>
          </cell>
          <cell r="KF163">
            <v>320.18630926739297</v>
          </cell>
        </row>
        <row r="164">
          <cell r="CS164">
            <v>31891.919592086608</v>
          </cell>
          <cell r="CT164">
            <v>46454.0361361506</v>
          </cell>
          <cell r="CU164">
            <v>63729.965603977733</v>
          </cell>
          <cell r="CV164">
            <v>72140.089794145955</v>
          </cell>
          <cell r="CW164">
            <v>72147.784040804952</v>
          </cell>
          <cell r="KF164">
            <v>329.79189854541477</v>
          </cell>
        </row>
      </sheetData>
      <sheetData sheetId="9">
        <row r="6">
          <cell r="H6">
            <v>15</v>
          </cell>
          <cell r="S6">
            <v>9.6496736743948083E-3</v>
          </cell>
          <cell r="T6">
            <v>9.6429733210681764E-3</v>
          </cell>
          <cell r="U6">
            <v>9.6281917987293963E-3</v>
          </cell>
          <cell r="V6">
            <v>9.5733540687249295E-3</v>
          </cell>
          <cell r="W6">
            <v>9.545891612068742E-3</v>
          </cell>
          <cell r="X6">
            <v>1.4552770363095298E-2</v>
          </cell>
          <cell r="Y6">
            <v>1.4552288901670254E-2</v>
          </cell>
          <cell r="Z6">
            <v>1.4551224502040197E-2</v>
          </cell>
          <cell r="AA6">
            <v>1.4547248364406124E-2</v>
          </cell>
          <cell r="AB6">
            <v>1.4545240793316875E-2</v>
          </cell>
          <cell r="AF6">
            <v>30.913636018605509</v>
          </cell>
          <cell r="AG6">
            <v>1</v>
          </cell>
          <cell r="AH6">
            <v>3.2348184451616933E-2</v>
          </cell>
          <cell r="AI6">
            <v>3.2348184451616933E-2</v>
          </cell>
          <cell r="AJ6">
            <v>3.2348184451616933E-2</v>
          </cell>
          <cell r="AK6">
            <v>3.2348184451616933E-2</v>
          </cell>
          <cell r="AL6">
            <v>3.2348184451616933E-2</v>
          </cell>
          <cell r="AO6">
            <v>0.15643808148819094</v>
          </cell>
          <cell r="AP6">
            <v>1</v>
          </cell>
          <cell r="AQ6">
            <v>3.0487804878048782E-3</v>
          </cell>
          <cell r="AR6">
            <v>3.0487804878048782E-3</v>
          </cell>
          <cell r="AS6">
            <v>3.0487804878048782E-3</v>
          </cell>
          <cell r="AT6">
            <v>3.0487804878048782E-3</v>
          </cell>
          <cell r="AU6">
            <v>3.0487804878048782E-3</v>
          </cell>
          <cell r="BI6">
            <v>1.5</v>
          </cell>
          <cell r="BJ6">
            <v>1.5</v>
          </cell>
          <cell r="BK6">
            <v>1.5</v>
          </cell>
          <cell r="BL6">
            <v>1.5</v>
          </cell>
          <cell r="BM6">
            <v>1.5</v>
          </cell>
          <cell r="DG6">
            <v>25</v>
          </cell>
        </row>
        <row r="7">
          <cell r="S7">
            <v>4.6540833984672304E-3</v>
          </cell>
          <cell r="T7">
            <v>4.6468515709230879E-3</v>
          </cell>
          <cell r="U7">
            <v>4.6313058572587619E-3</v>
          </cell>
          <cell r="V7">
            <v>4.5745746186359147E-3</v>
          </cell>
          <cell r="W7">
            <v>4.5445241110342472E-3</v>
          </cell>
          <cell r="X7">
            <v>7.0593018684359955E-3</v>
          </cell>
          <cell r="Y7">
            <v>7.0587757825632284E-3</v>
          </cell>
          <cell r="Z7">
            <v>7.0576396011912609E-3</v>
          </cell>
          <cell r="AA7">
            <v>7.0534309940726006E-3</v>
          </cell>
          <cell r="AB7">
            <v>7.0511612120586209E-3</v>
          </cell>
          <cell r="AF7">
            <v>31.855096396360789</v>
          </cell>
          <cell r="AG7">
            <v>2</v>
          </cell>
          <cell r="AH7">
            <v>3.1392151119474958E-2</v>
          </cell>
          <cell r="AI7">
            <v>3.1392151119474958E-2</v>
          </cell>
          <cell r="AJ7">
            <v>3.1392151119474958E-2</v>
          </cell>
          <cell r="AK7">
            <v>3.1392151119474958E-2</v>
          </cell>
          <cell r="AL7">
            <v>3.1392151119474958E-2</v>
          </cell>
          <cell r="AO7">
            <v>0.13867074544392194</v>
          </cell>
          <cell r="AP7">
            <v>2</v>
          </cell>
          <cell r="AQ7">
            <v>2.976190476190476E-3</v>
          </cell>
          <cell r="AR7">
            <v>2.976190476190476E-3</v>
          </cell>
          <cell r="AS7">
            <v>2.976190476190476E-3</v>
          </cell>
          <cell r="AT7">
            <v>2.976190476190476E-3</v>
          </cell>
          <cell r="AU7">
            <v>2.976190476190476E-3</v>
          </cell>
          <cell r="BI7">
            <v>1.0344827586206897</v>
          </cell>
          <cell r="BJ7">
            <v>1.0344827586206897</v>
          </cell>
          <cell r="BK7">
            <v>1.0344827586206897</v>
          </cell>
          <cell r="BL7">
            <v>1.0344827586206897</v>
          </cell>
          <cell r="BM7">
            <v>1.0344827586206897</v>
          </cell>
          <cell r="DG7">
            <v>24.271844660194176</v>
          </cell>
        </row>
        <row r="8">
          <cell r="S8">
            <v>2.9917399805703391E-3</v>
          </cell>
          <cell r="T8">
            <v>2.9841192499108281E-3</v>
          </cell>
          <cell r="U8">
            <v>2.9679516004557397E-3</v>
          </cell>
          <cell r="V8">
            <v>2.9157242057543933E-3</v>
          </cell>
          <cell r="W8">
            <v>2.8908392652981481E-3</v>
          </cell>
          <cell r="X8">
            <v>4.5657027029264111E-3</v>
          </cell>
          <cell r="Y8">
            <v>4.5651409713790394E-3</v>
          </cell>
          <cell r="Z8">
            <v>4.5639401499506967E-3</v>
          </cell>
          <cell r="AA8">
            <v>4.5595641698171667E-3</v>
          </cell>
          <cell r="AB8">
            <v>4.5571623610909367E-3</v>
          </cell>
          <cell r="AF8">
            <v>32.825228511156311</v>
          </cell>
          <cell r="AG8">
            <v>3</v>
          </cell>
          <cell r="AH8">
            <v>3.0464372842374271E-2</v>
          </cell>
          <cell r="AI8">
            <v>3.0464372842374271E-2</v>
          </cell>
          <cell r="AJ8">
            <v>3.0464372842374271E-2</v>
          </cell>
          <cell r="AK8">
            <v>3.0464372842374271E-2</v>
          </cell>
          <cell r="AL8">
            <v>3.0464372842374271E-2</v>
          </cell>
          <cell r="AO8">
            <v>7.7301236694066633E-2</v>
          </cell>
          <cell r="AP8">
            <v>3</v>
          </cell>
          <cell r="AQ8">
            <v>2.9069767441860465E-3</v>
          </cell>
          <cell r="AR8">
            <v>2.9069767441860465E-3</v>
          </cell>
          <cell r="AS8">
            <v>2.9069767441860465E-3</v>
          </cell>
          <cell r="AT8">
            <v>2.9069767441860465E-3</v>
          </cell>
          <cell r="AU8">
            <v>2.9069767441860465E-3</v>
          </cell>
          <cell r="BI8">
            <v>0.79270709472849787</v>
          </cell>
          <cell r="BJ8">
            <v>0.79270709472849787</v>
          </cell>
          <cell r="BK8">
            <v>0.79270709472849787</v>
          </cell>
          <cell r="BL8">
            <v>0.79270709472849787</v>
          </cell>
          <cell r="BM8">
            <v>0.79270709472849787</v>
          </cell>
          <cell r="DG8">
            <v>23.564897728343858</v>
          </cell>
        </row>
        <row r="9">
          <cell r="S9">
            <v>2.1626466020241378E-3</v>
          </cell>
          <cell r="T9">
            <v>2.1548054797996237E-3</v>
          </cell>
          <cell r="U9">
            <v>2.1383235759076763E-3</v>
          </cell>
          <cell r="V9">
            <v>2.0917162282306622E-3</v>
          </cell>
          <cell r="W9">
            <v>2.0660119870909814E-3</v>
          </cell>
          <cell r="X9">
            <v>3.3219757107188367E-3</v>
          </cell>
          <cell r="Y9">
            <v>3.3213895573525453E-3</v>
          </cell>
          <cell r="Z9">
            <v>3.3201427345995248E-3</v>
          </cell>
          <cell r="AA9">
            <v>3.315651577922016E-3</v>
          </cell>
          <cell r="AB9">
            <v>3.3130934272548635E-3</v>
          </cell>
          <cell r="AF9">
            <v>33.82490554738127</v>
          </cell>
          <cell r="AG9">
            <v>4</v>
          </cell>
          <cell r="AH9">
            <v>2.9564014557238585E-2</v>
          </cell>
          <cell r="AI9">
            <v>2.9564014557238585E-2</v>
          </cell>
          <cell r="AJ9">
            <v>2.9564014557238585E-2</v>
          </cell>
          <cell r="AK9">
            <v>2.9564014557238585E-2</v>
          </cell>
          <cell r="AL9">
            <v>2.9564014557238585E-2</v>
          </cell>
          <cell r="AO9">
            <v>5.4197795043649903E-2</v>
          </cell>
          <cell r="AP9">
            <v>4</v>
          </cell>
          <cell r="AQ9">
            <v>2.840909090909091E-3</v>
          </cell>
          <cell r="AR9">
            <v>2.840909090909091E-3</v>
          </cell>
          <cell r="AS9">
            <v>2.840909090909091E-3</v>
          </cell>
          <cell r="AT9">
            <v>2.840909090909091E-3</v>
          </cell>
          <cell r="AU9">
            <v>2.840909090909091E-3</v>
          </cell>
          <cell r="BI9">
            <v>0.67493154085014717</v>
          </cell>
          <cell r="BJ9">
            <v>0.67493154085014717</v>
          </cell>
          <cell r="BK9">
            <v>0.67493154085014717</v>
          </cell>
          <cell r="BL9">
            <v>0.67493154085014717</v>
          </cell>
          <cell r="BM9">
            <v>0.67493154085014717</v>
          </cell>
          <cell r="DG9">
            <v>22.87854148382899</v>
          </cell>
        </row>
        <row r="10">
          <cell r="S10">
            <v>1.6668064578147441E-3</v>
          </cell>
          <cell r="T10">
            <v>1.659277062321858E-3</v>
          </cell>
          <cell r="U10">
            <v>1.6460120093869748E-3</v>
          </cell>
          <cell r="V10">
            <v>1.59993488069761E-3</v>
          </cell>
          <cell r="W10">
            <v>1.5774276861515383E-3</v>
          </cell>
          <cell r="X10">
            <v>2.5781236676955298E-3</v>
          </cell>
          <cell r="Y10">
            <v>2.5775363194734126E-3</v>
          </cell>
          <cell r="Z10">
            <v>2.5762735960982619E-3</v>
          </cell>
          <cell r="AA10">
            <v>2.57173498821099E-3</v>
          </cell>
          <cell r="AB10">
            <v>2.5691336988787972E-3</v>
          </cell>
          <cell r="AF10">
            <v>34.855027281848493</v>
          </cell>
          <cell r="AG10">
            <v>5</v>
          </cell>
          <cell r="AH10">
            <v>2.8690265880835262E-2</v>
          </cell>
          <cell r="AI10">
            <v>2.8690265880835262E-2</v>
          </cell>
          <cell r="AJ10">
            <v>2.8690265880835262E-2</v>
          </cell>
          <cell r="AK10">
            <v>2.8690265880835262E-2</v>
          </cell>
          <cell r="AL10">
            <v>2.8690265880835262E-2</v>
          </cell>
          <cell r="AO10">
            <v>4.9183312938574718E-2</v>
          </cell>
          <cell r="AP10">
            <v>5</v>
          </cell>
          <cell r="AQ10">
            <v>2.7777777777777779E-3</v>
          </cell>
          <cell r="AR10">
            <v>2.7777777777777779E-3</v>
          </cell>
          <cell r="AS10">
            <v>2.7777777777777779E-3</v>
          </cell>
          <cell r="AT10">
            <v>2.7777777777777779E-3</v>
          </cell>
          <cell r="AU10">
            <v>2.7777777777777779E-3</v>
          </cell>
          <cell r="BI10">
            <v>0.58689699204360635</v>
          </cell>
          <cell r="BJ10">
            <v>0.58689699204360635</v>
          </cell>
          <cell r="BK10">
            <v>0.58689699204360635</v>
          </cell>
          <cell r="BL10">
            <v>0.58689699204360635</v>
          </cell>
          <cell r="BM10">
            <v>0.58689699204360635</v>
          </cell>
          <cell r="DG10">
            <v>22.212176197892223</v>
          </cell>
        </row>
        <row r="11">
          <cell r="S11">
            <v>1.56451059684531E-3</v>
          </cell>
          <cell r="T11">
            <v>1.5571866040579097E-3</v>
          </cell>
          <cell r="U11">
            <v>1.5417401901672673E-3</v>
          </cell>
          <cell r="V11">
            <v>1.4909015553855997E-3</v>
          </cell>
          <cell r="W11">
            <v>1.4649328127797623E-3</v>
          </cell>
          <cell r="X11">
            <v>2.4399796485959887E-3</v>
          </cell>
          <cell r="Y11">
            <v>2.4392802489430119E-3</v>
          </cell>
          <cell r="Z11">
            <v>2.4377847653862059E-3</v>
          </cell>
          <cell r="AA11">
            <v>2.4323770721743103E-3</v>
          </cell>
          <cell r="AB11">
            <v>2.4291753284190411E-3</v>
          </cell>
          <cell r="AF11">
            <v>35.916520893654308</v>
          </cell>
          <cell r="AG11">
            <v>6</v>
          </cell>
          <cell r="AH11">
            <v>2.7842340380375731E-2</v>
          </cell>
          <cell r="AI11">
            <v>2.7842340380375731E-2</v>
          </cell>
          <cell r="AJ11">
            <v>2.7842340380375731E-2</v>
          </cell>
          <cell r="AK11">
            <v>2.7842340380375731E-2</v>
          </cell>
          <cell r="AL11">
            <v>2.7842340380375731E-2</v>
          </cell>
          <cell r="AO11">
            <v>4.4913157138743706E-2</v>
          </cell>
          <cell r="AP11">
            <v>6</v>
          </cell>
          <cell r="AQ11">
            <v>2.717391304347826E-3</v>
          </cell>
          <cell r="AR11">
            <v>2.717391304347826E-3</v>
          </cell>
          <cell r="AS11">
            <v>2.717391304347826E-3</v>
          </cell>
          <cell r="AT11">
            <v>2.717391304347826E-3</v>
          </cell>
          <cell r="AU11">
            <v>2.717391304347826E-3</v>
          </cell>
          <cell r="BI11">
            <v>0.52168621514987223</v>
          </cell>
          <cell r="BJ11">
            <v>0.52168621514987223</v>
          </cell>
          <cell r="BK11">
            <v>0.52168621514987223</v>
          </cell>
          <cell r="BL11">
            <v>0.52168621514987223</v>
          </cell>
          <cell r="BM11">
            <v>0.52168621514987223</v>
          </cell>
          <cell r="DG11">
            <v>21.565219609604096</v>
          </cell>
        </row>
        <row r="12">
          <cell r="S12">
            <v>1.4700272162915997E-3</v>
          </cell>
          <cell r="T12">
            <v>1.4615109481986778E-3</v>
          </cell>
          <cell r="U12">
            <v>1.4438462135681741E-3</v>
          </cell>
          <cell r="V12">
            <v>1.3896040961247867E-3</v>
          </cell>
          <cell r="W12">
            <v>1.364217559835664E-3</v>
          </cell>
          <cell r="X12">
            <v>2.3105497925906249E-3</v>
          </cell>
          <cell r="Y12">
            <v>2.3097241821688772E-3</v>
          </cell>
          <cell r="Z12">
            <v>2.3079825574226108E-3</v>
          </cell>
          <cell r="AA12">
            <v>2.30177568993773E-3</v>
          </cell>
          <cell r="AB12">
            <v>2.2982361109941483E-3</v>
          </cell>
          <cell r="AF12">
            <v>37.010341798702292</v>
          </cell>
          <cell r="AG12">
            <v>7</v>
          </cell>
          <cell r="AH12">
            <v>2.7019474865672907E-2</v>
          </cell>
          <cell r="AI12">
            <v>2.7019474865672907E-2</v>
          </cell>
          <cell r="AJ12">
            <v>2.7019474865672907E-2</v>
          </cell>
          <cell r="AK12">
            <v>2.7019474865672907E-2</v>
          </cell>
          <cell r="AL12">
            <v>2.7019474865672907E-2</v>
          </cell>
          <cell r="AO12">
            <v>4.1201238560704283E-2</v>
          </cell>
          <cell r="AP12">
            <v>7</v>
          </cell>
          <cell r="AQ12">
            <v>2.6595744680851063E-3</v>
          </cell>
          <cell r="AR12">
            <v>2.6595744680851063E-3</v>
          </cell>
          <cell r="AS12">
            <v>2.6595744680851063E-3</v>
          </cell>
          <cell r="AT12">
            <v>2.6595744680851063E-3</v>
          </cell>
          <cell r="AU12">
            <v>2.6595744680851063E-3</v>
          </cell>
          <cell r="BI12">
            <v>0.47426019559079291</v>
          </cell>
          <cell r="BJ12">
            <v>0.47426019559079291</v>
          </cell>
          <cell r="BK12">
            <v>0.47426019559079291</v>
          </cell>
          <cell r="BL12">
            <v>0.47426019559079291</v>
          </cell>
          <cell r="BM12">
            <v>0.47426019559079291</v>
          </cell>
          <cell r="DG12">
            <v>20.937106417091357</v>
          </cell>
        </row>
        <row r="13">
          <cell r="S13">
            <v>1.3815435409100588E-3</v>
          </cell>
          <cell r="T13">
            <v>1.3724518692781989E-3</v>
          </cell>
          <cell r="U13">
            <v>1.3536090713570654E-3</v>
          </cell>
          <cell r="V13">
            <v>1.2985133983798422E-3</v>
          </cell>
          <cell r="W13">
            <v>1.2729597442171045E-3</v>
          </cell>
          <cell r="X13">
            <v>2.1891631688842469E-3</v>
          </cell>
          <cell r="Y13">
            <v>2.1882680107531347E-3</v>
          </cell>
          <cell r="Z13">
            <v>2.1863768884114779E-3</v>
          </cell>
          <cell r="AA13">
            <v>2.179538995393021E-3</v>
          </cell>
          <cell r="AB13">
            <v>2.1755739769266222E-3</v>
          </cell>
          <cell r="AF13">
            <v>38.137474509642139</v>
          </cell>
          <cell r="AG13">
            <v>8</v>
          </cell>
          <cell r="AH13">
            <v>2.6220928702218448E-2</v>
          </cell>
          <cell r="AI13">
            <v>2.6220928702218448E-2</v>
          </cell>
          <cell r="AJ13">
            <v>2.6220928702218448E-2</v>
          </cell>
          <cell r="AK13">
            <v>2.6220928702218448E-2</v>
          </cell>
          <cell r="AL13">
            <v>2.6220928702218448E-2</v>
          </cell>
          <cell r="AO13">
            <v>3.8139532657772278E-2</v>
          </cell>
          <cell r="AP13">
            <v>8</v>
          </cell>
          <cell r="AQ13">
            <v>2.6041666666666665E-3</v>
          </cell>
          <cell r="AR13">
            <v>2.6041666666666665E-3</v>
          </cell>
          <cell r="AS13">
            <v>2.6041666666666665E-3</v>
          </cell>
          <cell r="AT13">
            <v>2.6041666666666665E-3</v>
          </cell>
          <cell r="AU13">
            <v>2.6041666666666665E-3</v>
          </cell>
          <cell r="BI13">
            <v>0.44117227496817951</v>
          </cell>
          <cell r="BJ13">
            <v>0.44117227496817951</v>
          </cell>
          <cell r="BK13">
            <v>0.44117227496817951</v>
          </cell>
          <cell r="BL13">
            <v>0.44117227496817951</v>
          </cell>
          <cell r="BM13">
            <v>0.44117227496817951</v>
          </cell>
          <cell r="DG13">
            <v>20.327287783583841</v>
          </cell>
        </row>
        <row r="14">
          <cell r="S14">
            <v>1.298589770742115E-3</v>
          </cell>
          <cell r="T14">
            <v>1.2887152512698736E-3</v>
          </cell>
          <cell r="U14">
            <v>1.2693876934731106E-3</v>
          </cell>
          <cell r="V14">
            <v>1.2123715859466931E-3</v>
          </cell>
          <cell r="W14">
            <v>1.1847241453396228E-3</v>
          </cell>
          <cell r="X14">
            <v>2.0752116167107901E-3</v>
          </cell>
          <cell r="Y14">
            <v>2.0742232112720359E-3</v>
          </cell>
          <cell r="Z14">
            <v>2.0720927227754894E-3</v>
          </cell>
          <cell r="AA14">
            <v>2.0643723353513392E-3</v>
          </cell>
          <cell r="AB14">
            <v>2.0598869294510837E-3</v>
          </cell>
          <cell r="AF14">
            <v>39.298933521997419</v>
          </cell>
          <cell r="AG14">
            <v>9</v>
          </cell>
          <cell r="AH14">
            <v>2.5445983144561774E-2</v>
          </cell>
          <cell r="AI14">
            <v>2.5445983144561774E-2</v>
          </cell>
          <cell r="AJ14">
            <v>2.5445983144561774E-2</v>
          </cell>
          <cell r="AK14">
            <v>2.5445983144561774E-2</v>
          </cell>
          <cell r="AL14">
            <v>2.5445983144561774E-2</v>
          </cell>
          <cell r="AO14">
            <v>3.4130516567073201E-2</v>
          </cell>
          <cell r="AP14">
            <v>9</v>
          </cell>
          <cell r="AQ14">
            <v>2.5510204081632651E-3</v>
          </cell>
          <cell r="AR14">
            <v>2.5510204081632651E-3</v>
          </cell>
          <cell r="AS14">
            <v>2.5510204081632651E-3</v>
          </cell>
          <cell r="AT14">
            <v>2.5510204081632651E-3</v>
          </cell>
          <cell r="AU14">
            <v>2.5510204081632651E-3</v>
          </cell>
          <cell r="BI14">
            <v>0.42016407139826617</v>
          </cell>
          <cell r="BJ14">
            <v>0.42016407139826617</v>
          </cell>
          <cell r="BK14">
            <v>0.42016407139826617</v>
          </cell>
          <cell r="BL14">
            <v>0.42016407139826617</v>
          </cell>
          <cell r="BM14">
            <v>0.42016407139826617</v>
          </cell>
          <cell r="DG14">
            <v>19.735230857848389</v>
          </cell>
        </row>
        <row r="15">
          <cell r="S15">
            <v>1.2207423255139644E-3</v>
          </cell>
          <cell r="T15">
            <v>1.2102613371935808E-3</v>
          </cell>
          <cell r="U15">
            <v>1.1903551326857302E-3</v>
          </cell>
          <cell r="V15">
            <v>1.1314946693452173E-3</v>
          </cell>
          <cell r="W15">
            <v>1.1032898121149759E-3</v>
          </cell>
          <cell r="X15">
            <v>1.9681427188696964E-3</v>
          </cell>
          <cell r="Y15">
            <v>1.9670461293141645E-3</v>
          </cell>
          <cell r="Z15">
            <v>1.9646514483929018E-3</v>
          </cell>
          <cell r="AA15">
            <v>1.9560570648404453E-3</v>
          </cell>
          <cell r="AB15">
            <v>1.9509080730311188E-3</v>
          </cell>
          <cell r="AF15">
            <v>40.495764227280098</v>
          </cell>
          <cell r="AG15">
            <v>10</v>
          </cell>
          <cell r="AH15">
            <v>2.4693940689390591E-2</v>
          </cell>
          <cell r="AI15">
            <v>2.4693940689390591E-2</v>
          </cell>
          <cell r="AJ15">
            <v>2.4693940689390591E-2</v>
          </cell>
          <cell r="AK15">
            <v>2.4693940689390591E-2</v>
          </cell>
          <cell r="AL15">
            <v>2.4693940689390591E-2</v>
          </cell>
          <cell r="AO15">
            <v>3.1638732344644475E-2</v>
          </cell>
          <cell r="AP15">
            <v>10</v>
          </cell>
          <cell r="AQ15">
            <v>2.5000000000000001E-3</v>
          </cell>
          <cell r="AR15">
            <v>2.5000000000000001E-3</v>
          </cell>
          <cell r="AS15">
            <v>2.5000000000000001E-3</v>
          </cell>
          <cell r="AT15">
            <v>2.5000000000000001E-3</v>
          </cell>
          <cell r="AU15">
            <v>2.5000000000000001E-3</v>
          </cell>
          <cell r="BI15">
            <v>0.40015625847453917</v>
          </cell>
          <cell r="BJ15">
            <v>0.40015625847453917</v>
          </cell>
          <cell r="BK15">
            <v>0.40015625847453917</v>
          </cell>
          <cell r="BL15">
            <v>0.40015625847453917</v>
          </cell>
          <cell r="BM15">
            <v>0.40015625847453917</v>
          </cell>
          <cell r="DG15">
            <v>19.160418308590671</v>
          </cell>
        </row>
        <row r="16">
          <cell r="S16">
            <v>1.1569765031202686E-3</v>
          </cell>
          <cell r="T16">
            <v>1.1467331291696067E-3</v>
          </cell>
          <cell r="U16">
            <v>1.1252728797645887E-3</v>
          </cell>
          <cell r="V16">
            <v>1.0659265429424621E-3</v>
          </cell>
          <cell r="W16">
            <v>1.0336116399838789E-3</v>
          </cell>
          <cell r="X16">
            <v>1.8747504309329192E-3</v>
          </cell>
          <cell r="Y16">
            <v>1.8735876002107545E-3</v>
          </cell>
          <cell r="Z16">
            <v>1.8709759958905345E-3</v>
          </cell>
          <cell r="AA16">
            <v>1.8618754372292296E-3</v>
          </cell>
          <cell r="AB16">
            <v>1.8555237690587858E-3</v>
          </cell>
          <cell r="AF16">
            <v>41.72904385391341</v>
          </cell>
          <cell r="AG16">
            <v>11</v>
          </cell>
          <cell r="AH16">
            <v>2.396412444773087E-2</v>
          </cell>
          <cell r="AI16">
            <v>2.396412444773087E-2</v>
          </cell>
          <cell r="AJ16">
            <v>2.396412444773087E-2</v>
          </cell>
          <cell r="AK16">
            <v>2.396412444773087E-2</v>
          </cell>
          <cell r="AL16">
            <v>2.396412444773087E-2</v>
          </cell>
          <cell r="AO16">
            <v>2.9494307012591855E-2</v>
          </cell>
          <cell r="AP16">
            <v>11</v>
          </cell>
          <cell r="AQ16">
            <v>2.4509803921568627E-3</v>
          </cell>
          <cell r="AR16">
            <v>2.4509803921568627E-3</v>
          </cell>
          <cell r="AS16">
            <v>2.4509803921568627E-3</v>
          </cell>
          <cell r="AT16">
            <v>2.4509803921568627E-3</v>
          </cell>
          <cell r="AU16">
            <v>2.4509803921568627E-3</v>
          </cell>
          <cell r="BI16">
            <v>0.38110119854718011</v>
          </cell>
          <cell r="BJ16">
            <v>0.38110119854718011</v>
          </cell>
          <cell r="BK16">
            <v>0.38110119854718011</v>
          </cell>
          <cell r="BL16">
            <v>0.38110119854718011</v>
          </cell>
          <cell r="BM16">
            <v>0.38110119854718011</v>
          </cell>
          <cell r="DG16">
            <v>18.602347872418125</v>
          </cell>
        </row>
        <row r="17">
          <cell r="S17">
            <v>1.0968771101797913E-3</v>
          </cell>
          <cell r="T17">
            <v>1.0867034022193913E-3</v>
          </cell>
          <cell r="U17">
            <v>1.0646747706131185E-3</v>
          </cell>
          <cell r="V17">
            <v>1.004387968544966E-3</v>
          </cell>
          <cell r="W17">
            <v>9.6895145621899868E-4</v>
          </cell>
          <cell r="X17">
            <v>1.7863464143793779E-3</v>
          </cell>
          <cell r="Y17">
            <v>1.7851284100604413E-3</v>
          </cell>
          <cell r="Z17">
            <v>1.7823725574230014E-3</v>
          </cell>
          <cell r="AA17">
            <v>1.772576453584862E-3</v>
          </cell>
          <cell r="AB17">
            <v>1.7651689540872457E-3</v>
          </cell>
          <cell r="AF17">
            <v>42.999882436810204</v>
          </cell>
          <cell r="AG17">
            <v>12</v>
          </cell>
          <cell r="AH17">
            <v>2.3255877535701037E-2</v>
          </cell>
          <cell r="AI17">
            <v>2.3255877535701037E-2</v>
          </cell>
          <cell r="AJ17">
            <v>2.3255877535701037E-2</v>
          </cell>
          <cell r="AK17">
            <v>2.3255877535701037E-2</v>
          </cell>
          <cell r="AL17">
            <v>2.3255877535701037E-2</v>
          </cell>
          <cell r="AO17">
            <v>2.6721082077880178E-2</v>
          </cell>
          <cell r="AP17">
            <v>12</v>
          </cell>
          <cell r="AQ17">
            <v>2.403846153846154E-3</v>
          </cell>
          <cell r="AR17">
            <v>2.403846153846154E-3</v>
          </cell>
          <cell r="AS17">
            <v>2.403846153846154E-3</v>
          </cell>
          <cell r="AT17">
            <v>2.403846153846154E-3</v>
          </cell>
          <cell r="AU17">
            <v>2.403846153846154E-3</v>
          </cell>
          <cell r="BI17">
            <v>0.36295352242588586</v>
          </cell>
          <cell r="BJ17">
            <v>0.36295352242588586</v>
          </cell>
          <cell r="BK17">
            <v>0.36295352242588586</v>
          </cell>
          <cell r="BL17">
            <v>0.36295352242588586</v>
          </cell>
          <cell r="BM17">
            <v>0.36295352242588586</v>
          </cell>
          <cell r="DG17">
            <v>18.060531914969054</v>
          </cell>
        </row>
        <row r="18">
          <cell r="S18">
            <v>1.0403932810189348E-3</v>
          </cell>
          <cell r="T18">
            <v>1.0295527414649068E-3</v>
          </cell>
          <cell r="U18">
            <v>1.0072437407989054E-3</v>
          </cell>
          <cell r="V18">
            <v>9.4625501911396162E-4</v>
          </cell>
          <cell r="W18">
            <v>9.0843676656971481E-4</v>
          </cell>
          <cell r="X18">
            <v>1.7026194066424335E-3</v>
          </cell>
          <cell r="Y18">
            <v>1.7013087834783797E-3</v>
          </cell>
          <cell r="Z18">
            <v>1.6984140197652826E-3</v>
          </cell>
          <cell r="AA18">
            <v>1.6879473275479896E-3</v>
          </cell>
          <cell r="AB18">
            <v>1.6794155443080648E-3</v>
          </cell>
          <cell r="AF18">
            <v>44.309423816479281</v>
          </cell>
          <cell r="AG18">
            <v>13</v>
          </cell>
          <cell r="AH18">
            <v>2.2568562483272155E-2</v>
          </cell>
          <cell r="AI18">
            <v>2.2568562483272155E-2</v>
          </cell>
          <cell r="AJ18">
            <v>2.2568562483272155E-2</v>
          </cell>
          <cell r="AK18">
            <v>2.2568562483272155E-2</v>
          </cell>
          <cell r="AL18">
            <v>2.2568562483272155E-2</v>
          </cell>
          <cell r="AO18">
            <v>2.3446662211716245E-2</v>
          </cell>
          <cell r="AP18">
            <v>13</v>
          </cell>
          <cell r="AQ18">
            <v>2.3584905660377358E-3</v>
          </cell>
          <cell r="AR18">
            <v>2.3584905660377358E-3</v>
          </cell>
          <cell r="AS18">
            <v>2.3584905660377358E-3</v>
          </cell>
          <cell r="AT18">
            <v>2.3584905660377358E-3</v>
          </cell>
          <cell r="AU18">
            <v>2.3584905660377358E-3</v>
          </cell>
          <cell r="BI18">
            <v>0.34567002135798647</v>
          </cell>
          <cell r="BJ18">
            <v>0.34567002135798647</v>
          </cell>
          <cell r="BK18">
            <v>0.34567002135798647</v>
          </cell>
          <cell r="BL18">
            <v>0.34567002135798647</v>
          </cell>
          <cell r="BM18">
            <v>0.34567002135798647</v>
          </cell>
          <cell r="DG18">
            <v>17.534497004824324</v>
          </cell>
        </row>
        <row r="19">
          <cell r="S19">
            <v>9.8687980315084137E-4</v>
          </cell>
          <cell r="T19">
            <v>9.7574812940310544E-4</v>
          </cell>
          <cell r="U19">
            <v>9.5358942149124199E-4</v>
          </cell>
          <cell r="V19">
            <v>8.9219366126326387E-4</v>
          </cell>
          <cell r="W19">
            <v>8.530956705389333E-4</v>
          </cell>
          <cell r="X19">
            <v>1.623281001361634E-3</v>
          </cell>
          <cell r="Y19">
            <v>1.6219216284360468E-3</v>
          </cell>
          <cell r="Z19">
            <v>1.6188985701182889E-3</v>
          </cell>
          <cell r="AA19">
            <v>1.607916389541619E-3</v>
          </cell>
          <cell r="AB19">
            <v>1.5985541284446658E-3</v>
          </cell>
          <cell r="AF19">
            <v>45.658846668559008</v>
          </cell>
          <cell r="AG19">
            <v>14</v>
          </cell>
          <cell r="AH19">
            <v>2.1901560660501897E-2</v>
          </cell>
          <cell r="AI19">
            <v>2.1901560660501897E-2</v>
          </cell>
          <cell r="AJ19">
            <v>2.1901560660501897E-2</v>
          </cell>
          <cell r="AK19">
            <v>2.1901560660501897E-2</v>
          </cell>
          <cell r="AL19">
            <v>2.1901560660501897E-2</v>
          </cell>
          <cell r="AO19">
            <v>1.8280922415443268E-2</v>
          </cell>
          <cell r="AP19">
            <v>14</v>
          </cell>
          <cell r="AQ19">
            <v>2.3148148148148147E-3</v>
          </cell>
          <cell r="AR19">
            <v>2.3148148148148147E-3</v>
          </cell>
          <cell r="AS19">
            <v>2.3148148148148147E-3</v>
          </cell>
          <cell r="AT19">
            <v>2.3148148148148147E-3</v>
          </cell>
          <cell r="AU19">
            <v>2.3148148148148147E-3</v>
          </cell>
          <cell r="BI19">
            <v>0.32920954415046327</v>
          </cell>
          <cell r="BJ19">
            <v>0.32920954415046327</v>
          </cell>
          <cell r="BK19">
            <v>0.32920954415046327</v>
          </cell>
          <cell r="BL19">
            <v>0.32920954415046327</v>
          </cell>
          <cell r="BM19">
            <v>0.32920954415046327</v>
          </cell>
          <cell r="DG19">
            <v>17.023783499829442</v>
          </cell>
        </row>
        <row r="20">
          <cell r="S20">
            <v>9.3614945617900196E-4</v>
          </cell>
          <cell r="T20">
            <v>9.2460377176037444E-4</v>
          </cell>
          <cell r="U20">
            <v>9.0283531851985161E-4</v>
          </cell>
          <cell r="V20">
            <v>8.4092477020780861E-4</v>
          </cell>
          <cell r="W20">
            <v>8.0501081947027939E-4</v>
          </cell>
          <cell r="X20">
            <v>1.5480636704224269E-3</v>
          </cell>
          <cell r="Y20">
            <v>1.5466385494653544E-3</v>
          </cell>
          <cell r="Z20">
            <v>1.5434738863559592E-3</v>
          </cell>
          <cell r="AA20">
            <v>1.5318898676452625E-3</v>
          </cell>
          <cell r="AB20">
            <v>1.5214697100480563E-3</v>
          </cell>
          <cell r="AF20">
            <v>47.049365564705063</v>
          </cell>
          <cell r="AG20">
            <v>15</v>
          </cell>
          <cell r="AH20">
            <v>2.1254271720725776E-2</v>
          </cell>
          <cell r="AI20">
            <v>2.1254271720725776E-2</v>
          </cell>
          <cell r="AJ20">
            <v>2.1254271720725776E-2</v>
          </cell>
          <cell r="AK20">
            <v>2.1254271720725776E-2</v>
          </cell>
          <cell r="AL20">
            <v>2.1254271720725776E-2</v>
          </cell>
          <cell r="AO20">
            <v>1.5312223689284128E-2</v>
          </cell>
          <cell r="AP20">
            <v>15</v>
          </cell>
          <cell r="AQ20">
            <v>2.2727272727272726E-3</v>
          </cell>
          <cell r="AR20">
            <v>2.2727272727272726E-3</v>
          </cell>
          <cell r="AS20">
            <v>2.2727272727272726E-3</v>
          </cell>
          <cell r="AT20">
            <v>2.2727272727272726E-3</v>
          </cell>
          <cell r="AU20">
            <v>2.2727272727272726E-3</v>
          </cell>
          <cell r="BI20">
            <v>0.31353289919091742</v>
          </cell>
          <cell r="BJ20">
            <v>0.31353289919091742</v>
          </cell>
          <cell r="BK20">
            <v>0.31353289919091742</v>
          </cell>
          <cell r="BL20">
            <v>0.31353289919091742</v>
          </cell>
          <cell r="BM20">
            <v>0.31353289919091742</v>
          </cell>
          <cell r="DG20">
            <v>16.52794514546548</v>
          </cell>
        </row>
        <row r="21">
          <cell r="S21">
            <v>8.8802924317911034E-4</v>
          </cell>
          <cell r="T21">
            <v>8.7646250565578477E-4</v>
          </cell>
          <cell r="U21">
            <v>8.5474030215011503E-4</v>
          </cell>
          <cell r="V21">
            <v>7.928940018293761E-4</v>
          </cell>
          <cell r="W21">
            <v>7.605596989780039E-4</v>
          </cell>
          <cell r="X21">
            <v>1.4767189850004774E-3</v>
          </cell>
          <cell r="Y21">
            <v>1.4752219687593088E-3</v>
          </cell>
          <cell r="Z21">
            <v>1.4719300995800651E-3</v>
          </cell>
          <cell r="AA21">
            <v>1.4596903431374345E-3</v>
          </cell>
          <cell r="AB21">
            <v>1.4480464415583658E-3</v>
          </cell>
          <cell r="AF21">
            <v>48.482232065786803</v>
          </cell>
          <cell r="AG21">
            <v>16</v>
          </cell>
          <cell r="AH21">
            <v>2.0626113060204693E-2</v>
          </cell>
          <cell r="AI21">
            <v>2.0626113060204693E-2</v>
          </cell>
          <cell r="AJ21">
            <v>2.0626113060204693E-2</v>
          </cell>
          <cell r="AK21">
            <v>2.0626113060204693E-2</v>
          </cell>
          <cell r="AL21">
            <v>2.0626113060204693E-2</v>
          </cell>
          <cell r="AO21">
            <v>1.3200712358531002E-2</v>
          </cell>
          <cell r="AP21">
            <v>16</v>
          </cell>
          <cell r="AQ21">
            <v>2.232142857142857E-3</v>
          </cell>
          <cell r="AR21">
            <v>2.232142857142857E-3</v>
          </cell>
          <cell r="AS21">
            <v>2.232142857142857E-3</v>
          </cell>
          <cell r="AT21">
            <v>2.232142857142857E-3</v>
          </cell>
          <cell r="AU21">
            <v>2.232142857142857E-3</v>
          </cell>
          <cell r="BI21">
            <v>0.29860276113420703</v>
          </cell>
          <cell r="BJ21">
            <v>0.29860276113420703</v>
          </cell>
          <cell r="BK21">
            <v>0.29860276113420703</v>
          </cell>
          <cell r="BL21">
            <v>0.29860276113420703</v>
          </cell>
          <cell r="BM21">
            <v>0.29860276113420703</v>
          </cell>
          <cell r="DG21">
            <v>16.046548684917941</v>
          </cell>
        </row>
        <row r="22">
          <cell r="S22">
            <v>8.2156906943322693E-4</v>
          </cell>
          <cell r="T22">
            <v>8.3096568862258042E-4</v>
          </cell>
          <cell r="U22">
            <v>8.0935743487884184E-4</v>
          </cell>
          <cell r="V22">
            <v>7.4796422745733481E-4</v>
          </cell>
          <cell r="W22">
            <v>7.2053800817560023E-4</v>
          </cell>
          <cell r="X22">
            <v>1.3708734163595179E-3</v>
          </cell>
          <cell r="Y22">
            <v>1.407473987272519E-3</v>
          </cell>
          <cell r="Z22">
            <v>1.4040705722822122E-3</v>
          </cell>
          <cell r="AA22">
            <v>1.3912921462872695E-3</v>
          </cell>
          <cell r="AB22">
            <v>1.3790428897495818E-3</v>
          </cell>
          <cell r="AF22">
            <v>49.958735848376591</v>
          </cell>
          <cell r="AG22">
            <v>17</v>
          </cell>
          <cell r="AH22">
            <v>2.0016519293742197E-2</v>
          </cell>
          <cell r="AI22">
            <v>2.0016519293742197E-2</v>
          </cell>
          <cell r="AJ22">
            <v>2.0016519293742197E-2</v>
          </cell>
          <cell r="AK22">
            <v>2.0016519293742197E-2</v>
          </cell>
          <cell r="AL22">
            <v>2.0016519293742197E-2</v>
          </cell>
          <cell r="AO22">
            <v>1.2145153191817719E-2</v>
          </cell>
          <cell r="AP22">
            <v>17</v>
          </cell>
          <cell r="AQ22">
            <v>2.1929824561403508E-3</v>
          </cell>
          <cell r="AR22">
            <v>2.1929824561403508E-3</v>
          </cell>
          <cell r="AS22">
            <v>2.1929824561403508E-3</v>
          </cell>
          <cell r="AT22">
            <v>2.1929824561403508E-3</v>
          </cell>
          <cell r="AU22">
            <v>2.1929824561403508E-3</v>
          </cell>
          <cell r="BI22">
            <v>0.28438358203257813</v>
          </cell>
          <cell r="BJ22">
            <v>0.28438358203257813</v>
          </cell>
          <cell r="BK22">
            <v>0.28438358203257813</v>
          </cell>
          <cell r="BL22">
            <v>0.28438358203257813</v>
          </cell>
          <cell r="BM22">
            <v>0.28438358203257813</v>
          </cell>
          <cell r="DG22">
            <v>15.579173480502856</v>
          </cell>
        </row>
        <row r="23">
          <cell r="S23">
            <v>7.5882279060099128E-4</v>
          </cell>
          <cell r="T23">
            <v>7.7758815411984043E-4</v>
          </cell>
          <cell r="U23">
            <v>7.6564409695025501E-4</v>
          </cell>
          <cell r="V23">
            <v>7.045208921309887E-4</v>
          </cell>
          <cell r="W23">
            <v>6.819215836523858E-4</v>
          </cell>
          <cell r="X23">
            <v>1.270011041042914E-3</v>
          </cell>
          <cell r="Y23">
            <v>1.3234911217311007E-3</v>
          </cell>
          <cell r="Z23">
            <v>1.3395339009401729E-3</v>
          </cell>
          <cell r="AA23">
            <v>1.3261131639549014E-3</v>
          </cell>
          <cell r="AB23">
            <v>1.3129725131083723E-3</v>
          </cell>
          <cell r="AF23">
            <v>51.480205865545756</v>
          </cell>
          <cell r="AG23">
            <v>18</v>
          </cell>
          <cell r="AH23">
            <v>1.9424941745799656E-2</v>
          </cell>
          <cell r="AI23">
            <v>1.9424941745799656E-2</v>
          </cell>
          <cell r="AJ23">
            <v>1.9424941745799656E-2</v>
          </cell>
          <cell r="AK23">
            <v>1.9424941745799656E-2</v>
          </cell>
          <cell r="AL23">
            <v>1.9424941745799656E-2</v>
          </cell>
          <cell r="AO23">
            <v>1.1511076590103499E-2</v>
          </cell>
          <cell r="AP23">
            <v>18</v>
          </cell>
          <cell r="AQ23">
            <v>2.1551724137931034E-3</v>
          </cell>
          <cell r="AR23">
            <v>2.1551724137931034E-3</v>
          </cell>
          <cell r="AS23">
            <v>2.1551724137931034E-3</v>
          </cell>
          <cell r="AT23">
            <v>2.1551724137931034E-3</v>
          </cell>
          <cell r="AU23">
            <v>2.1551724137931034E-3</v>
          </cell>
          <cell r="BI23">
            <v>0.27084150669769347</v>
          </cell>
          <cell r="BJ23">
            <v>0.27084150669769347</v>
          </cell>
          <cell r="BK23">
            <v>0.27084150669769347</v>
          </cell>
          <cell r="BL23">
            <v>0.27084150669769347</v>
          </cell>
          <cell r="BM23">
            <v>0.27084150669769347</v>
          </cell>
          <cell r="DG23">
            <v>15.125411146119276</v>
          </cell>
        </row>
        <row r="24">
          <cell r="S24">
            <v>5.9262022564491007E-4</v>
          </cell>
          <cell r="T24">
            <v>6.0405273164610741E-4</v>
          </cell>
          <cell r="U24">
            <v>6.0441363792125015E-4</v>
          </cell>
          <cell r="V24">
            <v>5.5909938660440633E-4</v>
          </cell>
          <cell r="W24">
            <v>5.4216656791917714E-4</v>
          </cell>
          <cell r="X24">
            <v>1.1754812507737101E-3</v>
          </cell>
          <cell r="Y24">
            <v>1.2276249019617911E-3</v>
          </cell>
          <cell r="Z24">
            <v>1.2782777441115516E-3</v>
          </cell>
          <cell r="AA24">
            <v>1.2643120310285327E-3</v>
          </cell>
          <cell r="AB24">
            <v>1.2501730168143071E-3</v>
          </cell>
          <cell r="AF24">
            <v>53.048011543012052</v>
          </cell>
          <cell r="AG24">
            <v>19</v>
          </cell>
          <cell r="AH24">
            <v>1.8850847956651238E-2</v>
          </cell>
          <cell r="AI24">
            <v>1.8850847956651238E-2</v>
          </cell>
          <cell r="AJ24">
            <v>1.8850847956651238E-2</v>
          </cell>
          <cell r="AK24">
            <v>1.8850847956651238E-2</v>
          </cell>
          <cell r="AL24">
            <v>1.8850847956651238E-2</v>
          </cell>
          <cell r="AO24">
            <v>1.056539163758353E-2</v>
          </cell>
          <cell r="AP24">
            <v>19</v>
          </cell>
          <cell r="AQ24">
            <v>2.1186440677966102E-3</v>
          </cell>
          <cell r="AR24">
            <v>2.1186440677966102E-3</v>
          </cell>
          <cell r="AS24">
            <v>2.1186440677966102E-3</v>
          </cell>
          <cell r="AT24">
            <v>2.1186440677966102E-3</v>
          </cell>
          <cell r="AU24">
            <v>2.1186440677966102E-3</v>
          </cell>
          <cell r="BI24">
            <v>0.25794429209304137</v>
          </cell>
          <cell r="BJ24">
            <v>0.25794429209304137</v>
          </cell>
          <cell r="BK24">
            <v>0.25794429209304137</v>
          </cell>
          <cell r="BL24">
            <v>0.25794429209304137</v>
          </cell>
          <cell r="BM24">
            <v>0.25794429209304137</v>
          </cell>
          <cell r="DG24">
            <v>14.684865190407063</v>
          </cell>
        </row>
        <row r="25">
          <cell r="S25">
            <v>5.4961840770556222E-4</v>
          </cell>
          <cell r="T25">
            <v>5.6166757513642618E-4</v>
          </cell>
          <cell r="U25">
            <v>5.6856975084743262E-4</v>
          </cell>
          <cell r="V25">
            <v>5.3174916821484297E-4</v>
          </cell>
          <cell r="W25">
            <v>5.1504229316247309E-4</v>
          </cell>
          <cell r="X25">
            <v>1.0869636164356127E-3</v>
          </cell>
          <cell r="Y25">
            <v>1.1387390419671298E-3</v>
          </cell>
          <cell r="Z25">
            <v>1.2046580879906167E-3</v>
          </cell>
          <cell r="AA25">
            <v>1.2060540898112826E-3</v>
          </cell>
          <cell r="AB25">
            <v>1.1918289087475681E-3</v>
          </cell>
          <cell r="AF25">
            <v>54.663564011715266</v>
          </cell>
          <cell r="AG25">
            <v>20</v>
          </cell>
          <cell r="AH25">
            <v>1.8293721203134217E-2</v>
          </cell>
          <cell r="AI25">
            <v>1.8293721203134217E-2</v>
          </cell>
          <cell r="AJ25">
            <v>1.8293721203134217E-2</v>
          </cell>
          <cell r="AK25">
            <v>1.8293721203134217E-2</v>
          </cell>
          <cell r="AL25">
            <v>1.8293721203134217E-2</v>
          </cell>
          <cell r="AO25">
            <v>1.009308756034992E-2</v>
          </cell>
          <cell r="AP25">
            <v>20</v>
          </cell>
          <cell r="AQ25">
            <v>2.0833333333333333E-3</v>
          </cell>
          <cell r="AR25">
            <v>2.0833333333333333E-3</v>
          </cell>
          <cell r="AS25">
            <v>2.0833333333333333E-3</v>
          </cell>
          <cell r="AT25">
            <v>2.0833333333333333E-3</v>
          </cell>
          <cell r="AU25">
            <v>2.0833333333333333E-3</v>
          </cell>
          <cell r="BI25">
            <v>0.24566123056480127</v>
          </cell>
          <cell r="BJ25">
            <v>0.24566123056480127</v>
          </cell>
          <cell r="BK25">
            <v>0.24566123056480127</v>
          </cell>
          <cell r="BL25">
            <v>0.24566123056480127</v>
          </cell>
          <cell r="BM25">
            <v>0.24566123056480127</v>
          </cell>
          <cell r="DG25">
            <v>14.257150670298119</v>
          </cell>
        </row>
        <row r="26">
          <cell r="S26">
            <v>5.1540248926799784E-4</v>
          </cell>
          <cell r="T26">
            <v>5.2201949965157682E-4</v>
          </cell>
          <cell r="U26">
            <v>5.2986943320609109E-4</v>
          </cell>
          <cell r="V26">
            <v>5.0614801451269074E-4</v>
          </cell>
          <cell r="W26">
            <v>4.8950694233891546E-4</v>
          </cell>
          <cell r="X26">
            <v>1.0189510652148558E-3</v>
          </cell>
          <cell r="Y26">
            <v>1.0551948999388099E-3</v>
          </cell>
          <cell r="Z26">
            <v>1.1196353241257797E-3</v>
          </cell>
          <cell r="AA26">
            <v>1.1509581721395198E-3</v>
          </cell>
          <cell r="AB26">
            <v>1.1365785195004104E-3</v>
          </cell>
          <cell r="AF26">
            <v>56.328317377930297</v>
          </cell>
          <cell r="AG26">
            <v>21</v>
          </cell>
          <cell r="AH26">
            <v>1.775306003356324E-2</v>
          </cell>
          <cell r="AI26">
            <v>1.775306003356324E-2</v>
          </cell>
          <cell r="AJ26">
            <v>1.775306003356324E-2</v>
          </cell>
          <cell r="AK26">
            <v>1.775306003356324E-2</v>
          </cell>
          <cell r="AL26">
            <v>1.775306003356324E-2</v>
          </cell>
          <cell r="AO26">
            <v>9.1636877152615707E-3</v>
          </cell>
          <cell r="AP26">
            <v>21</v>
          </cell>
          <cell r="AQ26">
            <v>2.0491803278688526E-3</v>
          </cell>
          <cell r="AR26">
            <v>2.0491803278688526E-3</v>
          </cell>
          <cell r="AS26">
            <v>2.0491803278688526E-3</v>
          </cell>
          <cell r="AT26">
            <v>2.0491803278688526E-3</v>
          </cell>
          <cell r="AU26">
            <v>2.0491803278688526E-3</v>
          </cell>
          <cell r="BI26">
            <v>0.23396307672838215</v>
          </cell>
          <cell r="BJ26">
            <v>0.23396307672838215</v>
          </cell>
          <cell r="BK26">
            <v>0.23396307672838215</v>
          </cell>
          <cell r="BL26">
            <v>0.23396307672838215</v>
          </cell>
          <cell r="BM26">
            <v>0.23396307672838215</v>
          </cell>
          <cell r="DG26">
            <v>13.841893854658368</v>
          </cell>
        </row>
        <row r="27">
          <cell r="S27">
            <v>4.9034776104490464E-4</v>
          </cell>
          <cell r="T27">
            <v>4.8439366272863083E-4</v>
          </cell>
          <cell r="U27">
            <v>4.9316388842784087E-4</v>
          </cell>
          <cell r="V27">
            <v>4.8195334774251428E-4</v>
          </cell>
          <cell r="W27">
            <v>4.6528728147860306E-4</v>
          </cell>
          <cell r="X27">
            <v>9.7341263796124719E-4</v>
          </cell>
          <cell r="Y27">
            <v>9.7611683591600359E-4</v>
          </cell>
          <cell r="Z27">
            <v>1.0391521124204714E-3</v>
          </cell>
          <cell r="AA27">
            <v>1.0985115603528571E-3</v>
          </cell>
          <cell r="AB27">
            <v>1.0840276238850673E-3</v>
          </cell>
          <cell r="AF27">
            <v>58.043770032060941</v>
          </cell>
          <cell r="AG27">
            <v>22</v>
          </cell>
          <cell r="AH27">
            <v>1.7228377816389976E-2</v>
          </cell>
          <cell r="AI27">
            <v>1.7228377816389976E-2</v>
          </cell>
          <cell r="AJ27">
            <v>1.7228377816389976E-2</v>
          </cell>
          <cell r="AK27">
            <v>1.7228377816389976E-2</v>
          </cell>
          <cell r="AL27">
            <v>1.7228377816389976E-2</v>
          </cell>
          <cell r="AO27">
            <v>8.7503047600174782E-3</v>
          </cell>
          <cell r="AP27">
            <v>22</v>
          </cell>
          <cell r="AQ27">
            <v>2.0161290322580645E-3</v>
          </cell>
          <cell r="AR27">
            <v>2.0161290322580645E-3</v>
          </cell>
          <cell r="AS27">
            <v>2.0161290322580645E-3</v>
          </cell>
          <cell r="AT27">
            <v>2.0161290322580645E-3</v>
          </cell>
          <cell r="AU27">
            <v>2.0161290322580645E-3</v>
          </cell>
          <cell r="BI27">
            <v>0.22282197783655441</v>
          </cell>
          <cell r="BJ27">
            <v>0.22282197783655441</v>
          </cell>
          <cell r="BK27">
            <v>0.22282197783655441</v>
          </cell>
          <cell r="BL27">
            <v>0.22282197783655441</v>
          </cell>
          <cell r="BM27">
            <v>0.22282197783655441</v>
          </cell>
          <cell r="DG27">
            <v>13.438731897726569</v>
          </cell>
        </row>
        <row r="28">
          <cell r="S28">
            <v>4.2606313778178724E-4</v>
          </cell>
          <cell r="T28">
            <v>4.1931153747531584E-4</v>
          </cell>
          <cell r="U28">
            <v>4.1807531815853745E-4</v>
          </cell>
          <cell r="V28">
            <v>4.1479674182342077E-4</v>
          </cell>
          <cell r="W28">
            <v>4.0140104470790617E-4</v>
          </cell>
          <cell r="X28">
            <v>9.2320328113934503E-4</v>
          </cell>
          <cell r="Y28">
            <v>9.2188536382925427E-4</v>
          </cell>
          <cell r="Z28">
            <v>9.5795101975211364E-4</v>
          </cell>
          <cell r="AA28">
            <v>1.0355762485405415E-3</v>
          </cell>
          <cell r="AB28">
            <v>1.0265951752689109E-3</v>
          </cell>
          <cell r="AF28">
            <v>59.811465997292466</v>
          </cell>
          <cell r="AG28">
            <v>23</v>
          </cell>
          <cell r="AH28">
            <v>1.6719202302201853E-2</v>
          </cell>
          <cell r="AI28">
            <v>1.6719202302201853E-2</v>
          </cell>
          <cell r="AJ28">
            <v>1.6719202302201853E-2</v>
          </cell>
          <cell r="AK28">
            <v>1.6719202302201853E-2</v>
          </cell>
          <cell r="AL28">
            <v>1.6719202302201853E-2</v>
          </cell>
          <cell r="AO28">
            <v>8.0046238926281908E-3</v>
          </cell>
          <cell r="AP28">
            <v>23</v>
          </cell>
          <cell r="AQ28">
            <v>1.984126984126984E-3</v>
          </cell>
          <cell r="AR28">
            <v>1.984126984126984E-3</v>
          </cell>
          <cell r="AS28">
            <v>1.984126984126984E-3</v>
          </cell>
          <cell r="AT28">
            <v>1.984126984126984E-3</v>
          </cell>
          <cell r="AU28">
            <v>1.984126984126984E-3</v>
          </cell>
          <cell r="BI28">
            <v>0.21221140746338515</v>
          </cell>
          <cell r="BJ28">
            <v>0.21221140746338515</v>
          </cell>
          <cell r="BK28">
            <v>0.21221140746338515</v>
          </cell>
          <cell r="BL28">
            <v>0.21221140746338515</v>
          </cell>
          <cell r="BM28">
            <v>0.21221140746338515</v>
          </cell>
          <cell r="DG28">
            <v>13.04731252206463</v>
          </cell>
        </row>
        <row r="29">
          <cell r="S29">
            <v>4.0251524579171759E-4</v>
          </cell>
          <cell r="T29">
            <v>3.9604306249123262E-4</v>
          </cell>
          <cell r="U29">
            <v>3.8646682265192669E-4</v>
          </cell>
          <cell r="V29">
            <v>3.8641325220710156E-4</v>
          </cell>
          <cell r="W29">
            <v>3.7901008793072286E-4</v>
          </cell>
          <cell r="X29">
            <v>8.7598604836975887E-4</v>
          </cell>
          <cell r="Y29">
            <v>8.7465906230934081E-4</v>
          </cell>
          <cell r="Z29">
            <v>8.8088406946357234E-4</v>
          </cell>
          <cell r="AA29">
            <v>9.5749442672846239E-4</v>
          </cell>
          <cell r="AB29">
            <v>9.723541874640672E-4</v>
          </cell>
          <cell r="AF29">
            <v>61.632996319316632</v>
          </cell>
          <cell r="AG29">
            <v>24</v>
          </cell>
          <cell r="AH29">
            <v>1.6225075198665721E-2</v>
          </cell>
          <cell r="AI29">
            <v>1.6225075198665721E-2</v>
          </cell>
          <cell r="AJ29">
            <v>1.6225075198665721E-2</v>
          </cell>
          <cell r="AK29">
            <v>1.6225075198665721E-2</v>
          </cell>
          <cell r="AL29">
            <v>1.6225075198665721E-2</v>
          </cell>
          <cell r="AO29">
            <v>7.6353295052544604E-3</v>
          </cell>
          <cell r="AP29">
            <v>24</v>
          </cell>
          <cell r="AQ29">
            <v>1.953125E-3</v>
          </cell>
          <cell r="AR29">
            <v>1.953125E-3</v>
          </cell>
          <cell r="AS29">
            <v>1.953125E-3</v>
          </cell>
          <cell r="AT29">
            <v>1.953125E-3</v>
          </cell>
          <cell r="AU29">
            <v>1.953125E-3</v>
          </cell>
          <cell r="BI29">
            <v>0.20210610234608109</v>
          </cell>
          <cell r="BJ29">
            <v>0.20210610234608109</v>
          </cell>
          <cell r="BK29">
            <v>0.20210610234608109</v>
          </cell>
          <cell r="BL29">
            <v>0.20210610234608109</v>
          </cell>
          <cell r="BM29">
            <v>0.20210610234608109</v>
          </cell>
          <cell r="DG29">
            <v>12.66729371074236</v>
          </cell>
        </row>
        <row r="30">
          <cell r="S30">
            <v>3.803409063164022E-4</v>
          </cell>
          <cell r="T30">
            <v>3.7427169273058976E-4</v>
          </cell>
          <cell r="U30">
            <v>3.6249340135193598E-4</v>
          </cell>
          <cell r="V30">
            <v>3.5995650767922232E-4</v>
          </cell>
          <cell r="W30">
            <v>3.5810908693115667E-4</v>
          </cell>
          <cell r="X30">
            <v>8.3154592725553206E-4</v>
          </cell>
          <cell r="Y30">
            <v>8.3021346097485573E-4</v>
          </cell>
          <cell r="Z30">
            <v>8.2732287110372747E-4</v>
          </cell>
          <cell r="AA30">
            <v>8.8521021543294697E-4</v>
          </cell>
          <cell r="AB30">
            <v>9.2136870345919746E-4</v>
          </cell>
          <cell r="AF30">
            <v>63.510000498380244</v>
          </cell>
          <cell r="AG30">
            <v>25</v>
          </cell>
          <cell r="AH30">
            <v>1.5745551758033823E-2</v>
          </cell>
          <cell r="AI30">
            <v>1.5745551758033823E-2</v>
          </cell>
          <cell r="AJ30">
            <v>1.5745551758033823E-2</v>
          </cell>
          <cell r="AK30">
            <v>1.5745551758033823E-2</v>
          </cell>
          <cell r="AL30">
            <v>1.5745551758033823E-2</v>
          </cell>
          <cell r="AO30">
            <v>7.0520171493666456E-3</v>
          </cell>
          <cell r="AP30">
            <v>25</v>
          </cell>
          <cell r="AQ30">
            <v>1.9230769230769232E-3</v>
          </cell>
          <cell r="AR30">
            <v>1.9230769230769232E-3</v>
          </cell>
          <cell r="AS30">
            <v>1.9230769230769232E-3</v>
          </cell>
          <cell r="AT30">
            <v>1.9230769230769232E-3</v>
          </cell>
          <cell r="AU30">
            <v>1.9230769230769232E-3</v>
          </cell>
          <cell r="BI30">
            <v>0.19248200223436293</v>
          </cell>
          <cell r="BJ30">
            <v>0.19248200223436293</v>
          </cell>
          <cell r="BK30">
            <v>0.19248200223436293</v>
          </cell>
          <cell r="BL30">
            <v>0.19248200223436293</v>
          </cell>
          <cell r="BM30">
            <v>0.19248200223436293</v>
          </cell>
          <cell r="DG30">
            <v>12.298343408487726</v>
          </cell>
        </row>
        <row r="31">
          <cell r="S31">
            <v>3.5952637554149459E-4</v>
          </cell>
          <cell r="T31">
            <v>3.5376418199574205E-4</v>
          </cell>
          <cell r="U31">
            <v>3.4253044261647327E-4</v>
          </cell>
          <cell r="V31">
            <v>3.352930701171892E-4</v>
          </cell>
          <cell r="W31">
            <v>3.3842665844584772E-4</v>
          </cell>
          <cell r="X31">
            <v>7.8968649951955663E-4</v>
          </cell>
          <cell r="Y31">
            <v>7.8835046390720123E-4</v>
          </cell>
          <cell r="Z31">
            <v>7.8546185210972414E-4</v>
          </cell>
          <cell r="AA31">
            <v>8.1841282182363868E-4</v>
          </cell>
          <cell r="AB31">
            <v>8.7330317724005225E-4</v>
          </cell>
          <cell r="AF31">
            <v>65.444167964946033</v>
          </cell>
          <cell r="AG31">
            <v>26</v>
          </cell>
          <cell r="AH31">
            <v>1.5280200376840785E-2</v>
          </cell>
          <cell r="AI31">
            <v>1.5280200376840785E-2</v>
          </cell>
          <cell r="AJ31">
            <v>1.5280200376840785E-2</v>
          </cell>
          <cell r="AK31">
            <v>1.5280200376840785E-2</v>
          </cell>
          <cell r="AL31">
            <v>1.5280200376840785E-2</v>
          </cell>
          <cell r="AO31">
            <v>6.6977622496806003E-3</v>
          </cell>
          <cell r="AP31">
            <v>26</v>
          </cell>
          <cell r="AQ31">
            <v>1.893939393939394E-3</v>
          </cell>
          <cell r="AR31">
            <v>1.893939393939394E-3</v>
          </cell>
          <cell r="AS31">
            <v>1.893939393939394E-3</v>
          </cell>
          <cell r="AT31">
            <v>1.893939393939394E-3</v>
          </cell>
          <cell r="AU31">
            <v>1.893939393939394E-3</v>
          </cell>
          <cell r="BI31">
            <v>0.18331619260415519</v>
          </cell>
          <cell r="BJ31">
            <v>0.18331619260415519</v>
          </cell>
          <cell r="BK31">
            <v>0.18331619260415519</v>
          </cell>
          <cell r="BL31">
            <v>0.18331619260415519</v>
          </cell>
          <cell r="BM31">
            <v>0.18331619260415519</v>
          </cell>
          <cell r="DG31">
            <v>11.940139231541483</v>
          </cell>
        </row>
        <row r="32">
          <cell r="S32">
            <v>3.4003503232136171E-4</v>
          </cell>
          <cell r="T32">
            <v>3.344280844025145E-4</v>
          </cell>
          <cell r="U32">
            <v>3.2370650409729981E-4</v>
          </cell>
          <cell r="V32">
            <v>3.1213817681342956E-4</v>
          </cell>
          <cell r="W32">
            <v>3.1986129737128472E-4</v>
          </cell>
          <cell r="X32">
            <v>7.5022802391861159E-4</v>
          </cell>
          <cell r="Y32">
            <v>7.4888756653361359E-4</v>
          </cell>
          <cell r="Z32">
            <v>7.4600021166051271E-4</v>
          </cell>
          <cell r="AA32">
            <v>7.5603547798534386E-4</v>
          </cell>
          <cell r="AB32">
            <v>8.2793336050508758E-4</v>
          </cell>
          <cell r="AF32">
            <v>67.437239600294134</v>
          </cell>
          <cell r="AG32">
            <v>27</v>
          </cell>
          <cell r="AH32">
            <v>1.4828602207431372E-2</v>
          </cell>
          <cell r="AI32">
            <v>1.4828602207431372E-2</v>
          </cell>
          <cell r="AJ32">
            <v>1.4828602207431372E-2</v>
          </cell>
          <cell r="AK32">
            <v>1.4828602207431372E-2</v>
          </cell>
          <cell r="AL32">
            <v>1.4828602207431372E-2</v>
          </cell>
          <cell r="AO32">
            <v>6.2558286970794286E-3</v>
          </cell>
          <cell r="AP32">
            <v>27</v>
          </cell>
          <cell r="AQ32">
            <v>1.8656716417910447E-3</v>
          </cell>
          <cell r="AR32">
            <v>1.8656716417910447E-3</v>
          </cell>
          <cell r="AS32">
            <v>1.8656716417910447E-3</v>
          </cell>
          <cell r="AT32">
            <v>1.8656716417910447E-3</v>
          </cell>
          <cell r="AU32">
            <v>1.8656716417910447E-3</v>
          </cell>
          <cell r="BI32">
            <v>0.17458685009919539</v>
          </cell>
          <cell r="BJ32">
            <v>0.17458685009919539</v>
          </cell>
          <cell r="BK32">
            <v>0.17458685009919539</v>
          </cell>
          <cell r="BL32">
            <v>0.17458685009919539</v>
          </cell>
          <cell r="BM32">
            <v>0.17458685009919539</v>
          </cell>
          <cell r="DG32">
            <v>11.592368185962604</v>
          </cell>
        </row>
        <row r="33">
          <cell r="S33">
            <v>3.2168239902184232E-4</v>
          </cell>
          <cell r="T33">
            <v>3.1627575954194234E-4</v>
          </cell>
          <cell r="U33">
            <v>3.0601583763640211E-4</v>
          </cell>
          <cell r="V33">
            <v>2.9058103560551462E-4</v>
          </cell>
          <cell r="W33">
            <v>3.0260917848361977E-4</v>
          </cell>
          <cell r="X33">
            <v>7.1300574983546017E-4</v>
          </cell>
          <cell r="Y33">
            <v>7.1169023302233099E-4</v>
          </cell>
          <cell r="Z33">
            <v>7.0880021139382117E-4</v>
          </cell>
          <cell r="AA33">
            <v>6.984255557789962E-4</v>
          </cell>
          <cell r="AB33">
            <v>7.8547144333548382E-4</v>
          </cell>
          <cell r="AF33">
            <v>69.491009303432747</v>
          </cell>
          <cell r="AG33">
            <v>28</v>
          </cell>
          <cell r="AH33">
            <v>1.4390350780969324E-2</v>
          </cell>
          <cell r="AI33">
            <v>1.4390350780969324E-2</v>
          </cell>
          <cell r="AJ33">
            <v>1.4390350780969324E-2</v>
          </cell>
          <cell r="AK33">
            <v>1.4390350780969324E-2</v>
          </cell>
          <cell r="AL33">
            <v>1.4390350780969324E-2</v>
          </cell>
          <cell r="AO33">
            <v>5.9037336537310029E-3</v>
          </cell>
          <cell r="AP33">
            <v>28</v>
          </cell>
          <cell r="AQ33">
            <v>1.838235294117647E-3</v>
          </cell>
          <cell r="AR33">
            <v>1.838235294117647E-3</v>
          </cell>
          <cell r="AS33">
            <v>1.838235294117647E-3</v>
          </cell>
          <cell r="AT33">
            <v>1.838235294117647E-3</v>
          </cell>
          <cell r="AU33">
            <v>1.838235294117647E-3</v>
          </cell>
          <cell r="BI33">
            <v>0.16627319057066228</v>
          </cell>
          <cell r="BJ33">
            <v>0.16627319057066228</v>
          </cell>
          <cell r="BK33">
            <v>0.16627319057066228</v>
          </cell>
          <cell r="BL33">
            <v>0.16627319057066228</v>
          </cell>
          <cell r="BM33">
            <v>0.16627319057066228</v>
          </cell>
          <cell r="DG33">
            <v>11.25472639413845</v>
          </cell>
        </row>
        <row r="34">
          <cell r="S34">
            <v>3.0485360413997644E-4</v>
          </cell>
          <cell r="T34">
            <v>2.9944810114757904E-4</v>
          </cell>
          <cell r="U34">
            <v>2.8930459416198984E-4</v>
          </cell>
          <cell r="V34">
            <v>2.7527563768100626E-4</v>
          </cell>
          <cell r="W34">
            <v>2.8638961074281294E-4</v>
          </cell>
          <cell r="X34">
            <v>6.7802296163087955E-4</v>
          </cell>
          <cell r="Y34">
            <v>6.7665657255679688E-4</v>
          </cell>
          <cell r="Z34">
            <v>6.7367416996628093E-4</v>
          </cell>
          <cell r="AA34">
            <v>6.6326184822949723E-4</v>
          </cell>
          <cell r="AB34">
            <v>7.4534720423414939E-4</v>
          </cell>
          <cell r="AF34">
            <v>71.607325605728292</v>
          </cell>
          <cell r="AG34">
            <v>29</v>
          </cell>
          <cell r="AH34">
            <v>1.3965051641587968E-2</v>
          </cell>
          <cell r="AI34">
            <v>1.3965051641587968E-2</v>
          </cell>
          <cell r="AJ34">
            <v>1.3965051641587968E-2</v>
          </cell>
          <cell r="AK34">
            <v>1.3965051641587968E-2</v>
          </cell>
          <cell r="AL34">
            <v>1.3965051641587968E-2</v>
          </cell>
          <cell r="AO34">
            <v>5.5517498417071241E-3</v>
          </cell>
          <cell r="AP34">
            <v>29</v>
          </cell>
          <cell r="AQ34">
            <v>1.8115942028985507E-3</v>
          </cell>
          <cell r="AR34">
            <v>1.8115942028985507E-3</v>
          </cell>
          <cell r="AS34">
            <v>1.8115942028985507E-3</v>
          </cell>
          <cell r="AT34">
            <v>1.8115942028985507E-3</v>
          </cell>
          <cell r="AU34">
            <v>1.8115942028985507E-3</v>
          </cell>
          <cell r="BI34">
            <v>0.15835541959110691</v>
          </cell>
          <cell r="BJ34">
            <v>0.15835541959110691</v>
          </cell>
          <cell r="BK34">
            <v>0.15835541959110691</v>
          </cell>
          <cell r="BL34">
            <v>0.15835541959110691</v>
          </cell>
          <cell r="BM34">
            <v>0.15835541959110691</v>
          </cell>
          <cell r="DG34">
            <v>10.926918829260631</v>
          </cell>
        </row>
        <row r="35">
          <cell r="S35">
            <v>2.8898714482804489E-4</v>
          </cell>
          <cell r="T35">
            <v>2.83650422906724E-4</v>
          </cell>
          <cell r="U35">
            <v>2.7420941280178936E-4</v>
          </cell>
          <cell r="V35">
            <v>2.6091924281982975E-4</v>
          </cell>
          <cell r="W35">
            <v>2.6994990467177246E-4</v>
          </cell>
          <cell r="X35">
            <v>6.4499339444793694E-4</v>
          </cell>
          <cell r="Y35">
            <v>6.4356623100762669E-4</v>
          </cell>
          <cell r="Z35">
            <v>6.4050911301302032E-4</v>
          </cell>
          <cell r="AA35">
            <v>6.3010570471004894E-4</v>
          </cell>
          <cell r="AB35">
            <v>7.0215597944582955E-4</v>
          </cell>
          <cell r="AF35">
            <v>73.788093334708478</v>
          </cell>
          <cell r="AG35">
            <v>30</v>
          </cell>
          <cell r="AH35">
            <v>1.3552321991353306E-2</v>
          </cell>
          <cell r="AI35">
            <v>1.3552321991353306E-2</v>
          </cell>
          <cell r="AJ35">
            <v>1.3552321991353306E-2</v>
          </cell>
          <cell r="AK35">
            <v>1.3552321991353306E-2</v>
          </cell>
          <cell r="AL35">
            <v>1.3552321991353306E-2</v>
          </cell>
          <cell r="AO35">
            <v>5.162789330039357E-3</v>
          </cell>
          <cell r="AP35">
            <v>30</v>
          </cell>
          <cell r="AQ35">
            <v>1.7857142857142857E-3</v>
          </cell>
          <cell r="AR35">
            <v>1.7857142857142857E-3</v>
          </cell>
          <cell r="AS35">
            <v>1.7857142857142857E-3</v>
          </cell>
          <cell r="AT35">
            <v>1.7857142857142857E-3</v>
          </cell>
          <cell r="AU35">
            <v>1.7857142857142857E-3</v>
          </cell>
          <cell r="BI35">
            <v>0.15081468532486372</v>
          </cell>
          <cell r="BJ35">
            <v>0.15081468532486372</v>
          </cell>
          <cell r="BK35">
            <v>0.15081468532486372</v>
          </cell>
          <cell r="BL35">
            <v>0.15081468532486372</v>
          </cell>
          <cell r="BM35">
            <v>0.15081468532486372</v>
          </cell>
          <cell r="DG35">
            <v>10.608659057534593</v>
          </cell>
        </row>
        <row r="36">
          <cell r="S36">
            <v>2.7132990593471587E-4</v>
          </cell>
          <cell r="T36">
            <v>2.6611656829383077E-4</v>
          </cell>
          <cell r="U36">
            <v>2.5766855427923217E-4</v>
          </cell>
          <cell r="V36">
            <v>2.4497812808397363E-4</v>
          </cell>
          <cell r="W36">
            <v>2.4986842402981515E-4</v>
          </cell>
          <cell r="X36">
            <v>6.0690635252192327E-4</v>
          </cell>
          <cell r="Y36">
            <v>6.0543072542291511E-4</v>
          </cell>
          <cell r="Z36">
            <v>6.0233402719127532E-4</v>
          </cell>
          <cell r="AA36">
            <v>5.920527644871907E-4</v>
          </cell>
          <cell r="AB36">
            <v>6.4488412388236343E-4</v>
          </cell>
          <cell r="AF36">
            <v>76.035275328535633</v>
          </cell>
          <cell r="AG36">
            <v>31</v>
          </cell>
          <cell r="AH36">
            <v>1.3151790345720039E-2</v>
          </cell>
          <cell r="AI36">
            <v>1.3151790345720039E-2</v>
          </cell>
          <cell r="AJ36">
            <v>1.3151790345720039E-2</v>
          </cell>
          <cell r="AK36">
            <v>1.3151790345720039E-2</v>
          </cell>
          <cell r="AL36">
            <v>1.3151790345720039E-2</v>
          </cell>
          <cell r="AO36">
            <v>4.9288410283633063E-3</v>
          </cell>
          <cell r="AP36">
            <v>31</v>
          </cell>
          <cell r="AQ36">
            <v>1.7605633802816902E-3</v>
          </cell>
          <cell r="AR36">
            <v>1.7605633802816902E-3</v>
          </cell>
          <cell r="AS36">
            <v>1.7605633802816902E-3</v>
          </cell>
          <cell r="AT36">
            <v>1.7605633802816902E-3</v>
          </cell>
          <cell r="AU36">
            <v>1.7605633802816902E-3</v>
          </cell>
          <cell r="BI36">
            <v>0.14363303364272736</v>
          </cell>
          <cell r="BJ36">
            <v>0.14363303364272736</v>
          </cell>
          <cell r="BK36">
            <v>0.14363303364272736</v>
          </cell>
          <cell r="BL36">
            <v>0.14363303364272736</v>
          </cell>
          <cell r="BM36">
            <v>0.14363303364272736</v>
          </cell>
          <cell r="DG36">
            <v>10.299668987897663</v>
          </cell>
        </row>
        <row r="37">
          <cell r="S37">
            <v>2.5490456544635464E-4</v>
          </cell>
          <cell r="T37">
            <v>2.4981426707414492E-4</v>
          </cell>
          <cell r="U37">
            <v>2.4228420631349984E-4</v>
          </cell>
          <cell r="V37">
            <v>2.3019473606257634E-4</v>
          </cell>
          <cell r="W37">
            <v>2.3140012587313135E-4</v>
          </cell>
          <cell r="X37">
            <v>5.7155489192873275E-4</v>
          </cell>
          <cell r="Y37">
            <v>5.7003579558400079E-4</v>
          </cell>
          <cell r="Z37">
            <v>5.6690641477821378E-4</v>
          </cell>
          <cell r="AA37">
            <v>5.5671051459402394E-4</v>
          </cell>
          <cell r="AB37">
            <v>5.9243936522998856E-4</v>
          </cell>
          <cell r="AF37">
            <v>78.350894202693539</v>
          </cell>
          <cell r="AG37">
            <v>32</v>
          </cell>
          <cell r="AH37">
            <v>1.2763096199170399E-2</v>
          </cell>
          <cell r="AI37">
            <v>1.2763096199170399E-2</v>
          </cell>
          <cell r="AJ37">
            <v>1.2763096199170399E-2</v>
          </cell>
          <cell r="AK37">
            <v>1.2763096199170399E-2</v>
          </cell>
          <cell r="AL37">
            <v>1.2763096199170399E-2</v>
          </cell>
          <cell r="AO37">
            <v>4.5379897597050307E-3</v>
          </cell>
          <cell r="AP37">
            <v>32</v>
          </cell>
          <cell r="AQ37">
            <v>1.736111111111111E-3</v>
          </cell>
          <cell r="AR37">
            <v>1.736111111111111E-3</v>
          </cell>
          <cell r="AS37">
            <v>1.736111111111111E-3</v>
          </cell>
          <cell r="AT37">
            <v>1.736111111111111E-3</v>
          </cell>
          <cell r="AU37">
            <v>1.736111111111111E-3</v>
          </cell>
          <cell r="BI37">
            <v>0.13679336537402603</v>
          </cell>
          <cell r="BJ37">
            <v>0.13679336537402603</v>
          </cell>
          <cell r="BK37">
            <v>0.13679336537402603</v>
          </cell>
          <cell r="BL37">
            <v>0.13679336537402603</v>
          </cell>
          <cell r="BM37">
            <v>0.13679336537402603</v>
          </cell>
          <cell r="DG37">
            <v>9.9996786290268567</v>
          </cell>
        </row>
        <row r="38">
          <cell r="S38">
            <v>2.3966597538900466E-4</v>
          </cell>
          <cell r="T38">
            <v>2.3464732910285764E-4</v>
          </cell>
          <cell r="U38">
            <v>2.2801491764442929E-4</v>
          </cell>
          <cell r="V38">
            <v>2.1644361983858863E-4</v>
          </cell>
          <cell r="W38">
            <v>2.1437497971662112E-4</v>
          </cell>
          <cell r="X38">
            <v>5.3869222517021679E-4</v>
          </cell>
          <cell r="Y38">
            <v>5.3714570243804994E-4</v>
          </cell>
          <cell r="Z38">
            <v>5.3398269064899742E-4</v>
          </cell>
          <cell r="AA38">
            <v>5.238629573221386E-4</v>
          </cell>
          <cell r="AB38">
            <v>5.4428320445699626E-4</v>
          </cell>
          <cell r="AF38">
            <v>80.737034170477855</v>
          </cell>
          <cell r="AG38">
            <v>33</v>
          </cell>
          <cell r="AH38">
            <v>1.2385889700734858E-2</v>
          </cell>
          <cell r="AI38">
            <v>1.2385889700734858E-2</v>
          </cell>
          <cell r="AJ38">
            <v>1.2385889700734858E-2</v>
          </cell>
          <cell r="AK38">
            <v>1.2385889700734858E-2</v>
          </cell>
          <cell r="AL38">
            <v>1.2385889700734858E-2</v>
          </cell>
          <cell r="AO38">
            <v>4.3817885241991261E-3</v>
          </cell>
          <cell r="AP38">
            <v>33</v>
          </cell>
          <cell r="AQ38">
            <v>1.7123287671232876E-3</v>
          </cell>
          <cell r="AR38">
            <v>1.7123287671232876E-3</v>
          </cell>
          <cell r="AS38">
            <v>1.7123287671232876E-3</v>
          </cell>
          <cell r="AT38">
            <v>1.7123287671232876E-3</v>
          </cell>
          <cell r="AU38">
            <v>1.7123287671232876E-3</v>
          </cell>
          <cell r="BI38">
            <v>0.13027939559431051</v>
          </cell>
          <cell r="BJ38">
            <v>0.13027939559431051</v>
          </cell>
          <cell r="BK38">
            <v>0.13027939559431051</v>
          </cell>
          <cell r="BL38">
            <v>0.13027939559431051</v>
          </cell>
          <cell r="BM38">
            <v>0.13027939559431051</v>
          </cell>
          <cell r="DG38">
            <v>9.7084258534241332</v>
          </cell>
        </row>
        <row r="39">
          <cell r="S39">
            <v>2.2550079590894192E-4</v>
          </cell>
          <cell r="T39">
            <v>2.2046448525172904E-4</v>
          </cell>
          <cell r="U39">
            <v>2.1476477708718225E-4</v>
          </cell>
          <cell r="V39">
            <v>2.035983532395705E-4</v>
          </cell>
          <cell r="W39">
            <v>1.9847022723744627E-4</v>
          </cell>
          <cell r="X39">
            <v>5.0809904561419106E-4</v>
          </cell>
          <cell r="Y39">
            <v>5.0651009901156549E-4</v>
          </cell>
          <cell r="Z39">
            <v>5.0329093278160357E-4</v>
          </cell>
          <cell r="AA39">
            <v>4.9324797814847394E-4</v>
          </cell>
          <cell r="AB39">
            <v>4.994896463805553E-4</v>
          </cell>
          <cell r="AF39">
            <v>83.195842918928932</v>
          </cell>
          <cell r="AG39">
            <v>34</v>
          </cell>
          <cell r="AH39">
            <v>1.201983133910261E-2</v>
          </cell>
          <cell r="AI39">
            <v>1.201983133910261E-2</v>
          </cell>
          <cell r="AJ39">
            <v>1.201983133910261E-2</v>
          </cell>
          <cell r="AK39">
            <v>1.201983133910261E-2</v>
          </cell>
          <cell r="AL39">
            <v>1.201983133910261E-2</v>
          </cell>
          <cell r="AO39">
            <v>3.4342375254578909E-3</v>
          </cell>
          <cell r="AP39">
            <v>34</v>
          </cell>
          <cell r="AQ39">
            <v>1.6891891891891893E-3</v>
          </cell>
          <cell r="AR39">
            <v>1.6891891891891893E-3</v>
          </cell>
          <cell r="AS39">
            <v>1.6891891891891893E-3</v>
          </cell>
          <cell r="AT39">
            <v>1.6891891891891893E-3</v>
          </cell>
          <cell r="AU39">
            <v>1.6891891891891893E-3</v>
          </cell>
          <cell r="BI39">
            <v>0.1240756148517243</v>
          </cell>
          <cell r="BJ39">
            <v>0.1240756148517243</v>
          </cell>
          <cell r="BK39">
            <v>0.1240756148517243</v>
          </cell>
          <cell r="BL39">
            <v>0.1240756148517243</v>
          </cell>
          <cell r="BM39">
            <v>0.1240756148517243</v>
          </cell>
          <cell r="DG39">
            <v>9.4256561683729441</v>
          </cell>
        </row>
        <row r="40">
          <cell r="S40">
            <v>2.1233817185683037E-4</v>
          </cell>
          <cell r="T40">
            <v>2.0758600152311632E-4</v>
          </cell>
          <cell r="U40">
            <v>2.0255083239185414E-4</v>
          </cell>
          <cell r="V40">
            <v>1.9165949426004639E-4</v>
          </cell>
          <cell r="W40">
            <v>1.8418698078886579E-4</v>
          </cell>
          <cell r="X40">
            <v>4.7960438059986685E-4</v>
          </cell>
          <cell r="Y40">
            <v>4.7803308863475551E-4</v>
          </cell>
          <cell r="Z40">
            <v>4.7483239224808325E-4</v>
          </cell>
          <cell r="AA40">
            <v>4.6478545562597087E-4</v>
          </cell>
          <cell r="AB40">
            <v>4.5848147941486024E-4</v>
          </cell>
          <cell r="AF40">
            <v>85.729533541894909</v>
          </cell>
          <cell r="AG40">
            <v>35</v>
          </cell>
          <cell r="AH40">
            <v>1.1664591637038512E-2</v>
          </cell>
          <cell r="AI40">
            <v>1.1664591637038512E-2</v>
          </cell>
          <cell r="AJ40">
            <v>1.1664591637038512E-2</v>
          </cell>
          <cell r="AK40">
            <v>1.1664591637038512E-2</v>
          </cell>
          <cell r="AL40">
            <v>1.1664591637038512E-2</v>
          </cell>
          <cell r="AO40">
            <v>3.3327404677252915E-3</v>
          </cell>
          <cell r="AP40">
            <v>35</v>
          </cell>
          <cell r="AQ40">
            <v>1.6666666666666668E-3</v>
          </cell>
          <cell r="AR40">
            <v>1.6666666666666668E-3</v>
          </cell>
          <cell r="AS40">
            <v>1.6666666666666668E-3</v>
          </cell>
          <cell r="AT40">
            <v>1.6666666666666668E-3</v>
          </cell>
          <cell r="AU40">
            <v>1.6666666666666668E-3</v>
          </cell>
          <cell r="BI40">
            <v>0.11816725223973744</v>
          </cell>
          <cell r="BJ40">
            <v>0.11816725223973744</v>
          </cell>
          <cell r="BK40">
            <v>0.11816725223973744</v>
          </cell>
          <cell r="BL40">
            <v>0.11816725223973744</v>
          </cell>
          <cell r="BM40">
            <v>0.11816725223973744</v>
          </cell>
          <cell r="DG40">
            <v>9.1511224935659659</v>
          </cell>
        </row>
        <row r="41">
          <cell r="S41">
            <v>2.0011168165806603E-4</v>
          </cell>
          <cell r="T41">
            <v>1.9597186212399749E-4</v>
          </cell>
          <cell r="U41">
            <v>1.9116615265930348E-4</v>
          </cell>
          <cell r="V41">
            <v>1.8054532819728277E-4</v>
          </cell>
          <cell r="W41">
            <v>1.7327628381652284E-4</v>
          </cell>
          <cell r="X41">
            <v>4.5304292301042261E-4</v>
          </cell>
          <cell r="Y41">
            <v>4.5148321568216936E-4</v>
          </cell>
          <cell r="Z41">
            <v>4.483193318805489E-4</v>
          </cell>
          <cell r="AA41">
            <v>4.3823420437215453E-4</v>
          </cell>
          <cell r="AB41">
            <v>4.2973618689294947E-4</v>
          </cell>
          <cell r="AF41">
            <v>88.34038653196572</v>
          </cell>
          <cell r="AG41">
            <v>36</v>
          </cell>
          <cell r="AH41">
            <v>1.1319850854831304E-2</v>
          </cell>
          <cell r="AI41">
            <v>1.1319850854831304E-2</v>
          </cell>
          <cell r="AJ41">
            <v>1.1319850854831304E-2</v>
          </cell>
          <cell r="AK41">
            <v>1.1319850854831304E-2</v>
          </cell>
          <cell r="AL41">
            <v>1.1319850854831304E-2</v>
          </cell>
          <cell r="AO41">
            <v>2.7599181740012475E-3</v>
          </cell>
          <cell r="AP41">
            <v>36</v>
          </cell>
          <cell r="AQ41">
            <v>1.6447368421052631E-3</v>
          </cell>
          <cell r="AR41">
            <v>1.6447368421052631E-3</v>
          </cell>
          <cell r="AS41">
            <v>1.6447368421052631E-3</v>
          </cell>
          <cell r="AT41">
            <v>1.6447368421052631E-3</v>
          </cell>
          <cell r="AU41">
            <v>1.6447368421052631E-3</v>
          </cell>
          <cell r="BI41">
            <v>0.11254024022832138</v>
          </cell>
          <cell r="BJ41">
            <v>0.11254024022832138</v>
          </cell>
          <cell r="BK41">
            <v>0.11254024022832138</v>
          </cell>
          <cell r="BL41">
            <v>0.11254024022832138</v>
          </cell>
          <cell r="BM41">
            <v>0.11254024022832138</v>
          </cell>
          <cell r="DG41">
            <v>8.8845849452096743</v>
          </cell>
        </row>
        <row r="42">
          <cell r="S42">
            <v>1.8866229282074126E-4</v>
          </cell>
          <cell r="T42">
            <v>1.8509905399763314E-4</v>
          </cell>
          <cell r="U42">
            <v>1.8051262049478486E-4</v>
          </cell>
          <cell r="V42">
            <v>1.7017310079514404E-4</v>
          </cell>
          <cell r="W42">
            <v>1.6363684403401403E-4</v>
          </cell>
          <cell r="X42">
            <v>4.282214060417805E-4</v>
          </cell>
          <cell r="Y42">
            <v>4.2667853779739716E-4</v>
          </cell>
          <cell r="Z42">
            <v>4.2353948854793725E-4</v>
          </cell>
          <cell r="AA42">
            <v>4.1344025423506258E-4</v>
          </cell>
          <cell r="AB42">
            <v>4.0507534931605494E-4</v>
          </cell>
          <cell r="AF42">
            <v>91.030751833070255</v>
          </cell>
          <cell r="AG42">
            <v>37</v>
          </cell>
          <cell r="AH42">
            <v>1.0985298702506304E-2</v>
          </cell>
          <cell r="AI42">
            <v>1.0985298702506304E-2</v>
          </cell>
          <cell r="AJ42">
            <v>1.0985298702506304E-2</v>
          </cell>
          <cell r="AK42">
            <v>1.0985298702506304E-2</v>
          </cell>
          <cell r="AL42">
            <v>1.0985298702506304E-2</v>
          </cell>
          <cell r="AO42">
            <v>2.5847761652956032E-3</v>
          </cell>
          <cell r="AP42">
            <v>37</v>
          </cell>
          <cell r="AQ42">
            <v>1.6233766233766235E-3</v>
          </cell>
          <cell r="AR42">
            <v>1.6233766233766235E-3</v>
          </cell>
          <cell r="AS42">
            <v>1.6233766233766235E-3</v>
          </cell>
          <cell r="AT42">
            <v>1.6233766233766235E-3</v>
          </cell>
          <cell r="AU42">
            <v>1.6233766233766235E-3</v>
          </cell>
          <cell r="BI42">
            <v>0.10718118116982987</v>
          </cell>
          <cell r="BJ42">
            <v>0.10718118116982987</v>
          </cell>
          <cell r="BK42">
            <v>0.10718118116982987</v>
          </cell>
          <cell r="BL42">
            <v>0.10718118116982987</v>
          </cell>
          <cell r="BM42">
            <v>0.10718118116982987</v>
          </cell>
          <cell r="DG42">
            <v>8.6258106264171595</v>
          </cell>
        </row>
        <row r="43">
          <cell r="S43">
            <v>1.7792323263490464E-4</v>
          </cell>
          <cell r="T43">
            <v>1.749101653968508E-4</v>
          </cell>
          <cell r="U43">
            <v>1.7053079044999542E-4</v>
          </cell>
          <cell r="V43">
            <v>1.6045030239162912E-4</v>
          </cell>
          <cell r="W43">
            <v>1.5460892785096767E-4</v>
          </cell>
          <cell r="X43">
            <v>4.0499916356859781E-4</v>
          </cell>
          <cell r="Y43">
            <v>4.0347186590083576E-4</v>
          </cell>
          <cell r="Z43">
            <v>4.003668121605332E-4</v>
          </cell>
          <cell r="AA43">
            <v>3.9022738068004807E-4</v>
          </cell>
          <cell r="AB43">
            <v>3.8203036727855647E-4</v>
          </cell>
          <cell r="AF43">
            <v>93.803050955584666</v>
          </cell>
          <cell r="AG43">
            <v>38</v>
          </cell>
          <cell r="AH43">
            <v>1.0660634060543463E-2</v>
          </cell>
          <cell r="AI43">
            <v>1.0660634060543463E-2</v>
          </cell>
          <cell r="AJ43">
            <v>1.0660634060543463E-2</v>
          </cell>
          <cell r="AK43">
            <v>1.0660634060543463E-2</v>
          </cell>
          <cell r="AL43">
            <v>1.0660634060543463E-2</v>
          </cell>
          <cell r="AO43">
            <v>2.4144468785694227E-3</v>
          </cell>
          <cell r="AP43">
            <v>38</v>
          </cell>
          <cell r="AQ43">
            <v>1.6025641025641025E-3</v>
          </cell>
          <cell r="AR43">
            <v>1.6025641025641025E-3</v>
          </cell>
          <cell r="AS43">
            <v>1.6025641025641025E-3</v>
          </cell>
          <cell r="AT43">
            <v>1.6025641025641025E-3</v>
          </cell>
          <cell r="AU43">
            <v>1.6025641025641025E-3</v>
          </cell>
          <cell r="BI43">
            <v>0.10207731539983797</v>
          </cell>
          <cell r="BJ43">
            <v>0.10207731539983797</v>
          </cell>
          <cell r="BK43">
            <v>0.10207731539983797</v>
          </cell>
          <cell r="BL43">
            <v>0.10207731539983797</v>
          </cell>
          <cell r="BM43">
            <v>0.10207731539983797</v>
          </cell>
          <cell r="DG43">
            <v>8.3745734237059803</v>
          </cell>
        </row>
        <row r="44">
          <cell r="S44">
            <v>1.6784088504685603E-4</v>
          </cell>
          <cell r="T44">
            <v>1.6536363838318298E-4</v>
          </cell>
          <cell r="U44">
            <v>1.6116661077064358E-4</v>
          </cell>
          <cell r="V44">
            <v>1.5131062521937783E-4</v>
          </cell>
          <cell r="W44">
            <v>1.4613499963817491E-4</v>
          </cell>
          <cell r="X44">
            <v>3.8324941689670255E-4</v>
          </cell>
          <cell r="Y44">
            <v>3.8174028541164477E-4</v>
          </cell>
          <cell r="Z44">
            <v>3.7866047740332478E-4</v>
          </cell>
          <cell r="AA44">
            <v>3.6845177459131194E-4</v>
          </cell>
          <cell r="AB44">
            <v>3.6039237442334304E-4</v>
          </cell>
          <cell r="AF44">
            <v>96.659779155854991</v>
          </cell>
          <cell r="AG44">
            <v>39</v>
          </cell>
          <cell r="AH44">
            <v>1.0345564708849501E-2</v>
          </cell>
          <cell r="AI44">
            <v>1.0345564708849501E-2</v>
          </cell>
          <cell r="AJ44">
            <v>1.0345564708849501E-2</v>
          </cell>
          <cell r="AK44">
            <v>1.0345564708849501E-2</v>
          </cell>
          <cell r="AL44">
            <v>1.0345564708849501E-2</v>
          </cell>
          <cell r="AO44">
            <v>2.2779225047008076E-3</v>
          </cell>
          <cell r="AP44">
            <v>39</v>
          </cell>
          <cell r="AQ44">
            <v>1.5822784810126582E-3</v>
          </cell>
          <cell r="AR44">
            <v>1.5822784810126582E-3</v>
          </cell>
          <cell r="AS44">
            <v>1.5822784810126582E-3</v>
          </cell>
          <cell r="AT44">
            <v>1.5822784810126582E-3</v>
          </cell>
          <cell r="AU44">
            <v>1.5822784810126582E-3</v>
          </cell>
          <cell r="BI44">
            <v>9.7216490856988524E-2</v>
          </cell>
          <cell r="BJ44">
            <v>9.7216490856988524E-2</v>
          </cell>
          <cell r="BK44">
            <v>9.7216490856988524E-2</v>
          </cell>
          <cell r="BL44">
            <v>9.7216490856988524E-2</v>
          </cell>
          <cell r="BM44">
            <v>9.7216490856988524E-2</v>
          </cell>
          <cell r="DG44">
            <v>8.130653809423281</v>
          </cell>
        </row>
        <row r="45">
          <cell r="S45">
            <v>1.5874813218074322E-4</v>
          </cell>
          <cell r="T45">
            <v>1.5645311784268494E-4</v>
          </cell>
          <cell r="U45">
            <v>1.5236413837786778E-4</v>
          </cell>
          <cell r="V45">
            <v>1.4284569909484704E-4</v>
          </cell>
          <cell r="W45">
            <v>1.3820619776044391E-4</v>
          </cell>
          <cell r="X45">
            <v>3.6285763154515017E-4</v>
          </cell>
          <cell r="Y45">
            <v>3.6137171529098929E-4</v>
          </cell>
          <cell r="Z45">
            <v>3.5829912285724772E-4</v>
          </cell>
          <cell r="AA45">
            <v>3.481367396153648E-4</v>
          </cell>
          <cell r="AB45">
            <v>3.4008280092676823E-4</v>
          </cell>
          <cell r="AF45">
            <v>99.603507682096421</v>
          </cell>
          <cell r="AG45">
            <v>40</v>
          </cell>
          <cell r="AH45">
            <v>1.003980706374007E-2</v>
          </cell>
          <cell r="AI45">
            <v>1.003980706374007E-2</v>
          </cell>
          <cell r="AJ45">
            <v>1.003980706374007E-2</v>
          </cell>
          <cell r="AK45">
            <v>1.003980706374007E-2</v>
          </cell>
          <cell r="AL45">
            <v>1.003980706374007E-2</v>
          </cell>
          <cell r="AO45">
            <v>2.1665683569099727E-3</v>
          </cell>
          <cell r="AP45">
            <v>40</v>
          </cell>
          <cell r="AQ45">
            <v>1.5625000000000001E-3</v>
          </cell>
          <cell r="AR45">
            <v>1.5625000000000001E-3</v>
          </cell>
          <cell r="AS45">
            <v>1.5625000000000001E-3</v>
          </cell>
          <cell r="AT45">
            <v>1.5625000000000001E-3</v>
          </cell>
          <cell r="AU45">
            <v>1.5625000000000001E-3</v>
          </cell>
          <cell r="BI45">
            <v>9.2587134149512876E-2</v>
          </cell>
          <cell r="BJ45">
            <v>9.2587134149512876E-2</v>
          </cell>
          <cell r="BK45">
            <v>9.2587134149512876E-2</v>
          </cell>
          <cell r="BL45">
            <v>9.2587134149512876E-2</v>
          </cell>
          <cell r="BM45">
            <v>9.2587134149512876E-2</v>
          </cell>
          <cell r="DG45">
            <v>7.8938386499255158</v>
          </cell>
        </row>
        <row r="46">
          <cell r="S46">
            <v>1.5026071643635592E-4</v>
          </cell>
          <cell r="T46">
            <v>1.4810370863691324E-4</v>
          </cell>
          <cell r="U46">
            <v>1.4408709353717062E-4</v>
          </cell>
          <cell r="V46">
            <v>1.3494409656707981E-4</v>
          </cell>
          <cell r="W46">
            <v>1.3074651372525252E-4</v>
          </cell>
          <cell r="X46">
            <v>3.4372728373207868E-4</v>
          </cell>
          <cell r="Y46">
            <v>3.4225535528659471E-4</v>
          </cell>
          <cell r="Z46">
            <v>3.3918632897764547E-4</v>
          </cell>
          <cell r="AA46">
            <v>3.2907464161783238E-4</v>
          </cell>
          <cell r="AB46">
            <v>3.2097597295183844E-4</v>
          </cell>
          <cell r="AF46">
            <v>102.6368860886902</v>
          </cell>
          <cell r="AG46">
            <v>41</v>
          </cell>
          <cell r="AH46">
            <v>9.7430859226953128E-3</v>
          </cell>
          <cell r="AI46">
            <v>9.7430859226953128E-3</v>
          </cell>
          <cell r="AJ46">
            <v>9.7430859226953128E-3</v>
          </cell>
          <cell r="AK46">
            <v>9.7430859226953128E-3</v>
          </cell>
          <cell r="AL46">
            <v>9.7430859226953128E-3</v>
          </cell>
          <cell r="AO46">
            <v>2.0158108805576509E-3</v>
          </cell>
          <cell r="AP46">
            <v>41</v>
          </cell>
          <cell r="AQ46">
            <v>1.5432098765432098E-3</v>
          </cell>
          <cell r="AR46">
            <v>1.5432098765432098E-3</v>
          </cell>
          <cell r="AS46">
            <v>1.5432098765432098E-3</v>
          </cell>
          <cell r="AT46">
            <v>1.5432098765432098E-3</v>
          </cell>
          <cell r="AU46">
            <v>1.5432098765432098E-3</v>
          </cell>
          <cell r="BI46">
            <v>8.9026090528377774E-2</v>
          </cell>
          <cell r="BJ46">
            <v>8.9026090528377774E-2</v>
          </cell>
          <cell r="BK46">
            <v>8.9026090528377774E-2</v>
          </cell>
          <cell r="BL46">
            <v>8.9026090528377774E-2</v>
          </cell>
          <cell r="BM46">
            <v>8.9026090528377774E-2</v>
          </cell>
          <cell r="DG46">
            <v>7.6639210193451603</v>
          </cell>
        </row>
        <row r="47">
          <cell r="S47">
            <v>1.4227783447413926E-4</v>
          </cell>
          <cell r="T47">
            <v>1.4023045702919767E-4</v>
          </cell>
          <cell r="U47">
            <v>1.3630298611948418E-4</v>
          </cell>
          <cell r="V47">
            <v>1.2779343899228758E-4</v>
          </cell>
          <cell r="W47">
            <v>1.2371600529098622E-4</v>
          </cell>
          <cell r="X47">
            <v>3.2575681078356628E-4</v>
          </cell>
          <cell r="Y47">
            <v>3.2428299006266299E-4</v>
          </cell>
          <cell r="Z47">
            <v>3.2121251632356043E-4</v>
          </cell>
          <cell r="AA47">
            <v>3.1112765755061462E-4</v>
          </cell>
          <cell r="AB47">
            <v>3.0300550600137634E-4</v>
          </cell>
          <cell r="AF47">
            <v>105.76264462096147</v>
          </cell>
          <cell r="AG47">
            <v>42</v>
          </cell>
          <cell r="AH47">
            <v>9.4551342166590124E-3</v>
          </cell>
          <cell r="AI47">
            <v>9.4551342166590124E-3</v>
          </cell>
          <cell r="AJ47">
            <v>9.4551342166590124E-3</v>
          </cell>
          <cell r="AK47">
            <v>9.4551342166590124E-3</v>
          </cell>
          <cell r="AL47">
            <v>9.4551342166590124E-3</v>
          </cell>
          <cell r="AO47">
            <v>1.9500213782652368E-3</v>
          </cell>
          <cell r="AP47">
            <v>42</v>
          </cell>
          <cell r="AQ47">
            <v>1.5243902439024391E-3</v>
          </cell>
          <cell r="AR47">
            <v>1.5243902439024391E-3</v>
          </cell>
          <cell r="AS47">
            <v>1.5243902439024391E-3</v>
          </cell>
          <cell r="AT47">
            <v>1.5243902439024391E-3</v>
          </cell>
          <cell r="AU47">
            <v>1.5243902439024391E-3</v>
          </cell>
          <cell r="BI47">
            <v>8.6433097600366757E-2</v>
          </cell>
          <cell r="BJ47">
            <v>8.6433097600366757E-2</v>
          </cell>
          <cell r="BK47">
            <v>8.6433097600366757E-2</v>
          </cell>
          <cell r="BL47">
            <v>8.6433097600366757E-2</v>
          </cell>
          <cell r="BM47">
            <v>8.6433097600366757E-2</v>
          </cell>
          <cell r="DG47">
            <v>7.4407000187817083</v>
          </cell>
        </row>
        <row r="48">
          <cell r="S48">
            <v>1.3475580012033337E-4</v>
          </cell>
          <cell r="T48">
            <v>1.3283040362254203E-4</v>
          </cell>
          <cell r="U48">
            <v>1.2900252716318398E-4</v>
          </cell>
          <cell r="V48">
            <v>1.2107344899544773E-4</v>
          </cell>
          <cell r="W48">
            <v>1.1713429100265651E-4</v>
          </cell>
          <cell r="X48">
            <v>3.0886067294415677E-4</v>
          </cell>
          <cell r="Y48">
            <v>3.0739711015737562E-4</v>
          </cell>
          <cell r="Z48">
            <v>3.043254638735498E-4</v>
          </cell>
          <cell r="AA48">
            <v>2.9430535546277968E-4</v>
          </cell>
          <cell r="AB48">
            <v>2.8623210681507288E-4</v>
          </cell>
          <cell r="AF48">
            <v>108.98359667258428</v>
          </cell>
          <cell r="AG48">
            <v>43</v>
          </cell>
          <cell r="AH48">
            <v>9.1756927696584108E-3</v>
          </cell>
          <cell r="AI48">
            <v>9.1756927696584108E-3</v>
          </cell>
          <cell r="AJ48">
            <v>9.1756927696584108E-3</v>
          </cell>
          <cell r="AK48">
            <v>9.1756927696584108E-3</v>
          </cell>
          <cell r="AL48">
            <v>9.1756927696584108E-3</v>
          </cell>
          <cell r="AO48">
            <v>1.7903790770065183E-3</v>
          </cell>
          <cell r="AP48">
            <v>43</v>
          </cell>
          <cell r="AQ48">
            <v>1.5060240963855422E-3</v>
          </cell>
          <cell r="AR48">
            <v>1.5060240963855422E-3</v>
          </cell>
          <cell r="AS48">
            <v>1.5060240963855422E-3</v>
          </cell>
          <cell r="AT48">
            <v>1.5060240963855422E-3</v>
          </cell>
          <cell r="AU48">
            <v>1.5060240963855422E-3</v>
          </cell>
          <cell r="BI48">
            <v>8.473833098075173E-2</v>
          </cell>
          <cell r="BJ48">
            <v>8.473833098075173E-2</v>
          </cell>
          <cell r="BK48">
            <v>8.473833098075173E-2</v>
          </cell>
          <cell r="BL48">
            <v>8.473833098075173E-2</v>
          </cell>
          <cell r="BM48">
            <v>8.473833098075173E-2</v>
          </cell>
          <cell r="DG48">
            <v>7.2239806007589396</v>
          </cell>
        </row>
        <row r="49">
          <cell r="S49">
            <v>1.2771690161479443E-4</v>
          </cell>
          <cell r="T49">
            <v>1.258596858452004E-4</v>
          </cell>
          <cell r="U49">
            <v>1.2217162723158922E-4</v>
          </cell>
          <cell r="V49">
            <v>1.1476219839291634E-4</v>
          </cell>
          <cell r="W49">
            <v>1.1095360929939298E-4</v>
          </cell>
          <cell r="X49">
            <v>2.9296217750097498E-4</v>
          </cell>
          <cell r="Y49">
            <v>2.915174557987228E-4</v>
          </cell>
          <cell r="Z49">
            <v>2.8847104147443158E-4</v>
          </cell>
          <cell r="AA49">
            <v>2.7853518146487205E-4</v>
          </cell>
          <cell r="AB49">
            <v>2.7053875423860703E-4</v>
          </cell>
          <cell r="AF49">
            <v>112.30264131782586</v>
          </cell>
          <cell r="AG49">
            <v>44</v>
          </cell>
          <cell r="AH49">
            <v>8.9045100655283475E-3</v>
          </cell>
          <cell r="AI49">
            <v>8.9045100655283475E-3</v>
          </cell>
          <cell r="AJ49">
            <v>8.9045100655283475E-3</v>
          </cell>
          <cell r="AK49">
            <v>8.9045100655283475E-3</v>
          </cell>
          <cell r="AL49">
            <v>8.9045100655283475E-3</v>
          </cell>
          <cell r="AO49">
            <v>1.737465378639677E-3</v>
          </cell>
          <cell r="AP49">
            <v>44</v>
          </cell>
          <cell r="AQ49">
            <v>1.488095238095238E-3</v>
          </cell>
          <cell r="AR49">
            <v>1.488095238095238E-3</v>
          </cell>
          <cell r="AS49">
            <v>1.488095238095238E-3</v>
          </cell>
          <cell r="AT49">
            <v>1.488095238095238E-3</v>
          </cell>
          <cell r="AU49">
            <v>1.488095238095238E-3</v>
          </cell>
          <cell r="BI49">
            <v>8.3076795079168347E-2</v>
          </cell>
          <cell r="BJ49">
            <v>8.3076795079168347E-2</v>
          </cell>
          <cell r="BK49">
            <v>8.3076795079168347E-2</v>
          </cell>
          <cell r="BL49">
            <v>8.3076795079168347E-2</v>
          </cell>
          <cell r="BM49">
            <v>8.3076795079168347E-2</v>
          </cell>
          <cell r="DG49">
            <v>7.0135733987950868</v>
          </cell>
        </row>
        <row r="50">
          <cell r="S50">
            <v>1.1574871627360997E-4</v>
          </cell>
          <cell r="T50">
            <v>1.1401163328095784E-4</v>
          </cell>
          <cell r="U50">
            <v>1.1061705770705498E-4</v>
          </cell>
          <cell r="V50">
            <v>1.0403065734241617E-4</v>
          </cell>
          <cell r="W50">
            <v>1.0056200738816067E-4</v>
          </cell>
          <cell r="X50">
            <v>2.7800348560163765E-4</v>
          </cell>
          <cell r="Y50">
            <v>2.7657261332098655E-4</v>
          </cell>
          <cell r="Z50">
            <v>2.7356544590673599E-4</v>
          </cell>
          <cell r="AA50">
            <v>2.6366803271422445E-4</v>
          </cell>
          <cell r="AB50">
            <v>2.5574147294243346E-4</v>
          </cell>
          <cell r="AF50">
            <v>115.72276592090923</v>
          </cell>
          <cell r="AG50">
            <v>45</v>
          </cell>
          <cell r="AH50">
            <v>8.641342021529717E-3</v>
          </cell>
          <cell r="AI50">
            <v>8.641342021529717E-3</v>
          </cell>
          <cell r="AJ50">
            <v>8.641342021529717E-3</v>
          </cell>
          <cell r="AK50">
            <v>8.641342021529717E-3</v>
          </cell>
          <cell r="AL50">
            <v>8.641342021529717E-3</v>
          </cell>
          <cell r="AO50">
            <v>1.6133339955043426E-3</v>
          </cell>
          <cell r="AP50">
            <v>45</v>
          </cell>
          <cell r="AQ50">
            <v>1.4705882352941176E-3</v>
          </cell>
          <cell r="AR50">
            <v>1.4705882352941176E-3</v>
          </cell>
          <cell r="AS50">
            <v>1.4705882352941176E-3</v>
          </cell>
          <cell r="AT50">
            <v>1.4705882352941176E-3</v>
          </cell>
          <cell r="AU50">
            <v>1.4705882352941176E-3</v>
          </cell>
          <cell r="BI50">
            <v>8.1447838312910151E-2</v>
          </cell>
          <cell r="BJ50">
            <v>8.1447838312910151E-2</v>
          </cell>
          <cell r="BK50">
            <v>8.1447838312910151E-2</v>
          </cell>
          <cell r="BL50">
            <v>8.1447838312910151E-2</v>
          </cell>
          <cell r="BM50">
            <v>8.1447838312910151E-2</v>
          </cell>
          <cell r="DG50">
            <v>6.8092945619369782</v>
          </cell>
        </row>
        <row r="51">
          <cell r="S51">
            <v>1.0981599614760501E-4</v>
          </cell>
          <cell r="T51">
            <v>1.0811773413190447E-4</v>
          </cell>
          <cell r="U51">
            <v>1.0487102327938128E-4</v>
          </cell>
          <cell r="V51">
            <v>9.8693163076514977E-5</v>
          </cell>
          <cell r="W51">
            <v>9.5564880593649495E-5</v>
          </cell>
          <cell r="X51">
            <v>2.6390448612953563E-4</v>
          </cell>
          <cell r="Y51">
            <v>2.6248844135437352E-4</v>
          </cell>
          <cell r="Z51">
            <v>2.5951620953355723E-4</v>
          </cell>
          <cell r="AA51">
            <v>2.4965537714786897E-4</v>
          </cell>
          <cell r="AB51">
            <v>2.4183938567712821E-4</v>
          </cell>
          <cell r="AF51">
            <v>119.24704882484244</v>
          </cell>
          <cell r="AG51">
            <v>46</v>
          </cell>
          <cell r="AH51">
            <v>8.3859517686585509E-3</v>
          </cell>
          <cell r="AI51">
            <v>8.3859517686585509E-3</v>
          </cell>
          <cell r="AJ51">
            <v>8.3859517686585509E-3</v>
          </cell>
          <cell r="AK51">
            <v>8.3859517686585509E-3</v>
          </cell>
          <cell r="AL51">
            <v>8.3859517686585509E-3</v>
          </cell>
          <cell r="AO51">
            <v>1.5481757111369637E-3</v>
          </cell>
          <cell r="AP51">
            <v>46</v>
          </cell>
          <cell r="AQ51">
            <v>1.4534883720930232E-3</v>
          </cell>
          <cell r="AR51">
            <v>1.4534883720930232E-3</v>
          </cell>
          <cell r="AS51">
            <v>1.4534883720930232E-3</v>
          </cell>
          <cell r="AT51">
            <v>1.4534883720930232E-3</v>
          </cell>
          <cell r="AU51">
            <v>1.4534883720930232E-3</v>
          </cell>
          <cell r="BI51">
            <v>7.9850821875402114E-2</v>
          </cell>
          <cell r="BJ51">
            <v>7.9850821875402114E-2</v>
          </cell>
          <cell r="BK51">
            <v>7.9850821875402114E-2</v>
          </cell>
          <cell r="BL51">
            <v>7.9850821875402114E-2</v>
          </cell>
          <cell r="BM51">
            <v>7.9850821875402114E-2</v>
          </cell>
          <cell r="DG51">
            <v>6.610965594113571</v>
          </cell>
        </row>
        <row r="52">
          <cell r="S52">
            <v>1.0420956864879764E-4</v>
          </cell>
          <cell r="T52">
            <v>1.0254919669582826E-4</v>
          </cell>
          <cell r="U52">
            <v>9.9435675961135562E-5</v>
          </cell>
          <cell r="V52">
            <v>9.3668920009141486E-5</v>
          </cell>
          <cell r="W52">
            <v>9.0845934167949012E-5</v>
          </cell>
          <cell r="X52">
            <v>2.5060566954197003E-4</v>
          </cell>
          <cell r="Y52">
            <v>2.4920194356250309E-4</v>
          </cell>
          <cell r="Z52">
            <v>2.4625937164810528E-4</v>
          </cell>
          <cell r="AA52">
            <v>2.3643153762197252E-4</v>
          </cell>
          <cell r="AB52">
            <v>2.2871377847309763E-4</v>
          </cell>
          <cell r="AF52">
            <v>122.87866212213527</v>
          </cell>
          <cell r="AG52">
            <v>47</v>
          </cell>
          <cell r="AH52">
            <v>8.138109438447904E-3</v>
          </cell>
          <cell r="AI52">
            <v>8.138109438447904E-3</v>
          </cell>
          <cell r="AJ52">
            <v>8.138109438447904E-3</v>
          </cell>
          <cell r="AK52">
            <v>8.138109438447904E-3</v>
          </cell>
          <cell r="AL52">
            <v>8.138109438447904E-3</v>
          </cell>
          <cell r="AO52">
            <v>1.4552225890460677E-3</v>
          </cell>
          <cell r="AP52">
            <v>47</v>
          </cell>
          <cell r="AQ52">
            <v>1.4367816091954023E-3</v>
          </cell>
          <cell r="AR52">
            <v>1.4367816091954023E-3</v>
          </cell>
          <cell r="AS52">
            <v>1.4367816091954023E-3</v>
          </cell>
          <cell r="AT52">
            <v>1.4367816091954023E-3</v>
          </cell>
          <cell r="AU52">
            <v>1.4367816091954023E-3</v>
          </cell>
          <cell r="BI52">
            <v>7.8285119485688351E-2</v>
          </cell>
          <cell r="BJ52">
            <v>7.8285119485688351E-2</v>
          </cell>
          <cell r="BK52">
            <v>7.8285119485688351E-2</v>
          </cell>
          <cell r="BL52">
            <v>7.8285119485688351E-2</v>
          </cell>
          <cell r="BM52">
            <v>7.8285119485688351E-2</v>
          </cell>
          <cell r="DG52">
            <v>6.4184131981685155</v>
          </cell>
        </row>
        <row r="53">
          <cell r="S53">
            <v>9.8907738382974399E-5</v>
          </cell>
          <cell r="T53">
            <v>9.7286294796054988E-5</v>
          </cell>
          <cell r="U53">
            <v>9.4295813802061293E-5</v>
          </cell>
          <cell r="V53">
            <v>8.8921592193378358E-5</v>
          </cell>
          <cell r="W53">
            <v>8.6372318508432972E-5</v>
          </cell>
          <cell r="X53">
            <v>2.3805244837531557E-4</v>
          </cell>
          <cell r="Y53">
            <v>2.3666376208755923E-4</v>
          </cell>
          <cell r="Z53">
            <v>2.3374062566321437E-4</v>
          </cell>
          <cell r="AA53">
            <v>2.2398009258058717E-4</v>
          </cell>
          <cell r="AB53">
            <v>2.1615377509777011E-4</v>
          </cell>
          <cell r="AF53">
            <v>126.62087450989657</v>
          </cell>
          <cell r="AG53">
            <v>48</v>
          </cell>
          <cell r="AH53">
            <v>7.8975919560707267E-3</v>
          </cell>
          <cell r="AI53">
            <v>7.8975919560707267E-3</v>
          </cell>
          <cell r="AJ53">
            <v>7.8975919560707267E-3</v>
          </cell>
          <cell r="AK53">
            <v>7.8975919560707267E-3</v>
          </cell>
          <cell r="AL53">
            <v>7.8975919560707267E-3</v>
          </cell>
          <cell r="AO53">
            <v>1.3734942532296918E-3</v>
          </cell>
          <cell r="AP53">
            <v>48</v>
          </cell>
          <cell r="AQ53">
            <v>1.4204545454545455E-3</v>
          </cell>
          <cell r="AR53">
            <v>1.4204545454545455E-3</v>
          </cell>
          <cell r="AS53">
            <v>1.4204545454545455E-3</v>
          </cell>
          <cell r="AT53">
            <v>1.4204545454545455E-3</v>
          </cell>
          <cell r="AU53">
            <v>1.4204545454545455E-3</v>
          </cell>
          <cell r="BI53">
            <v>7.6750117142831711E-2</v>
          </cell>
          <cell r="BJ53">
            <v>7.6750117142831711E-2</v>
          </cell>
          <cell r="BK53">
            <v>7.6750117142831711E-2</v>
          </cell>
          <cell r="BL53">
            <v>7.6750117142831711E-2</v>
          </cell>
          <cell r="BM53">
            <v>7.6750117142831711E-2</v>
          </cell>
          <cell r="DG53">
            <v>6.231469124435451</v>
          </cell>
        </row>
        <row r="54">
          <cell r="S54">
            <v>9.389263919844587E-5</v>
          </cell>
          <cell r="T54">
            <v>9.2324544390336201E-5</v>
          </cell>
          <cell r="U54">
            <v>8.9449719093722627E-5</v>
          </cell>
          <cell r="V54">
            <v>8.4442486519420985E-5</v>
          </cell>
          <cell r="W54">
            <v>8.2059208381428305E-5</v>
          </cell>
          <cell r="X54">
            <v>2.2619467396016115E-4</v>
          </cell>
          <cell r="Y54">
            <v>2.2481363011400205E-4</v>
          </cell>
          <cell r="Z54">
            <v>2.2192568594076641E-4</v>
          </cell>
          <cell r="AA54">
            <v>2.1224175627655319E-4</v>
          </cell>
          <cell r="AB54">
            <v>2.0345081899311753E-4</v>
          </cell>
          <cell r="AF54">
            <v>130.47705423188225</v>
          </cell>
          <cell r="AG54">
            <v>49</v>
          </cell>
          <cell r="AH54">
            <v>7.6641828395574603E-3</v>
          </cell>
          <cell r="AI54">
            <v>7.6641828395574603E-3</v>
          </cell>
          <cell r="AJ54">
            <v>7.6641828395574603E-3</v>
          </cell>
          <cell r="AK54">
            <v>7.6641828395574603E-3</v>
          </cell>
          <cell r="AL54">
            <v>7.6641828395574603E-3</v>
          </cell>
          <cell r="AO54">
            <v>1.3135897539625124E-3</v>
          </cell>
          <cell r="AP54">
            <v>49</v>
          </cell>
          <cell r="AQ54">
            <v>1.4044943820224719E-3</v>
          </cell>
          <cell r="AR54">
            <v>1.4044943820224719E-3</v>
          </cell>
          <cell r="AS54">
            <v>1.4044943820224719E-3</v>
          </cell>
          <cell r="AT54">
            <v>1.4044943820224719E-3</v>
          </cell>
          <cell r="AU54">
            <v>1.4044943820224719E-3</v>
          </cell>
          <cell r="BI54">
            <v>7.5245212885129129E-2</v>
          </cell>
          <cell r="BJ54">
            <v>7.5245212885129129E-2</v>
          </cell>
          <cell r="BK54">
            <v>7.5245212885129129E-2</v>
          </cell>
          <cell r="BL54">
            <v>7.5245212885129129E-2</v>
          </cell>
          <cell r="BM54">
            <v>7.5245212885129129E-2</v>
          </cell>
          <cell r="DG54">
            <v>6.0499700237237386</v>
          </cell>
        </row>
        <row r="55">
          <cell r="S55">
            <v>8.9139969802281546E-5</v>
          </cell>
          <cell r="T55">
            <v>8.7634259219578021E-5</v>
          </cell>
          <cell r="U55">
            <v>8.4885091976665851E-5</v>
          </cell>
          <cell r="V55">
            <v>8.021621795363308E-5</v>
          </cell>
          <cell r="W55">
            <v>7.7987844522814579E-5</v>
          </cell>
          <cell r="X55">
            <v>2.1498501125739384E-4</v>
          </cell>
          <cell r="Y55">
            <v>2.1361323158497497E-4</v>
          </cell>
          <cell r="Z55">
            <v>2.107698213550175E-4</v>
          </cell>
          <cell r="AA55">
            <v>2.0118600503770426E-4</v>
          </cell>
          <cell r="AB55">
            <v>1.9151245263369451E-4</v>
          </cell>
          <cell r="AF55">
            <v>134.45067211014194</v>
          </cell>
          <cell r="AG55">
            <v>50</v>
          </cell>
          <cell r="AH55">
            <v>7.4376720049476614E-3</v>
          </cell>
          <cell r="AI55">
            <v>7.4376720049476614E-3</v>
          </cell>
          <cell r="AJ55">
            <v>7.4376720049476614E-3</v>
          </cell>
          <cell r="AK55">
            <v>7.4376720049476614E-3</v>
          </cell>
          <cell r="AL55">
            <v>7.4376720049476614E-3</v>
          </cell>
          <cell r="AO55">
            <v>1.2226310145119451E-3</v>
          </cell>
          <cell r="AP55">
            <v>50</v>
          </cell>
          <cell r="AQ55">
            <v>1.3888888888888889E-3</v>
          </cell>
          <cell r="AR55">
            <v>1.3888888888888889E-3</v>
          </cell>
          <cell r="AS55">
            <v>1.3888888888888889E-3</v>
          </cell>
          <cell r="AT55">
            <v>1.3888888888888889E-3</v>
          </cell>
          <cell r="AU55">
            <v>1.3888888888888889E-3</v>
          </cell>
          <cell r="BI55">
            <v>7.376981655404817E-2</v>
          </cell>
          <cell r="BJ55">
            <v>7.376981655404817E-2</v>
          </cell>
          <cell r="BK55">
            <v>7.376981655404817E-2</v>
          </cell>
          <cell r="BL55">
            <v>7.376981655404817E-2</v>
          </cell>
          <cell r="BM55">
            <v>7.376981655404817E-2</v>
          </cell>
          <cell r="DG55">
            <v>5.873757304586154</v>
          </cell>
        </row>
        <row r="56">
          <cell r="S56">
            <v>8.4638869148817531E-5</v>
          </cell>
          <cell r="T56">
            <v>8.3223908425552473E-5</v>
          </cell>
          <cell r="U56">
            <v>8.056653150038468E-5</v>
          </cell>
          <cell r="V56">
            <v>7.6211872844849206E-5</v>
          </cell>
          <cell r="W56">
            <v>7.413248853982608E-5</v>
          </cell>
          <cell r="X56">
            <v>2.0438079981853296E-4</v>
          </cell>
          <cell r="Y56">
            <v>2.0304086635819195E-4</v>
          </cell>
          <cell r="Z56">
            <v>2.0022264102872935E-4</v>
          </cell>
          <cell r="AA56">
            <v>1.907192650489578E-4</v>
          </cell>
          <cell r="AB56">
            <v>1.8031124675595584E-4</v>
          </cell>
          <cell r="AF56">
            <v>138.54530466899342</v>
          </cell>
          <cell r="AG56">
            <v>51</v>
          </cell>
          <cell r="AH56">
            <v>7.2178555772002351E-3</v>
          </cell>
          <cell r="AI56">
            <v>7.2178555772002351E-3</v>
          </cell>
          <cell r="AJ56">
            <v>7.2178555772002351E-3</v>
          </cell>
          <cell r="AK56">
            <v>7.2178555772002351E-3</v>
          </cell>
          <cell r="AL56">
            <v>7.2178555772002351E-3</v>
          </cell>
          <cell r="AO56">
            <v>1.186496807210996E-3</v>
          </cell>
          <cell r="AP56">
            <v>51</v>
          </cell>
          <cell r="AQ56">
            <v>1.3736263736263737E-3</v>
          </cell>
          <cell r="AR56">
            <v>1.3736263736263737E-3</v>
          </cell>
          <cell r="AS56">
            <v>1.3736263736263737E-3</v>
          </cell>
          <cell r="AT56">
            <v>1.3736263736263737E-3</v>
          </cell>
          <cell r="AU56">
            <v>1.3736263736263737E-3</v>
          </cell>
          <cell r="BI56">
            <v>7.2323349562792322E-2</v>
          </cell>
          <cell r="BJ56">
            <v>7.2323349562792322E-2</v>
          </cell>
          <cell r="BK56">
            <v>7.2323349562792322E-2</v>
          </cell>
          <cell r="BL56">
            <v>7.2323349562792322E-2</v>
          </cell>
          <cell r="BM56">
            <v>7.2323349562792322E-2</v>
          </cell>
          <cell r="DG56">
            <v>5.7026769947438387</v>
          </cell>
        </row>
        <row r="57">
          <cell r="S57">
            <v>8.0374416895138853E-5</v>
          </cell>
          <cell r="T57">
            <v>7.9032921454424805E-5</v>
          </cell>
          <cell r="U57">
            <v>7.6444799382253549E-5</v>
          </cell>
          <cell r="V57">
            <v>7.2516082497256701E-5</v>
          </cell>
          <cell r="W57">
            <v>7.047634840950419E-5</v>
          </cell>
          <cell r="X57">
            <v>1.9434426330075549E-4</v>
          </cell>
          <cell r="Y57">
            <v>1.9300994079929956E-4</v>
          </cell>
          <cell r="Z57">
            <v>1.9019855724795615E-4</v>
          </cell>
          <cell r="AA57">
            <v>1.8076693404634099E-4</v>
          </cell>
          <cell r="AB57">
            <v>1.6965293432195396E-4</v>
          </cell>
          <cell r="AF57">
            <v>142.76463735413563</v>
          </cell>
          <cell r="AG57">
            <v>52</v>
          </cell>
          <cell r="AH57">
            <v>7.0045357066921572E-3</v>
          </cell>
          <cell r="AI57">
            <v>7.0045357066921572E-3</v>
          </cell>
          <cell r="AJ57">
            <v>7.0045357066921572E-3</v>
          </cell>
          <cell r="AK57">
            <v>7.0045357066921572E-3</v>
          </cell>
          <cell r="AL57">
            <v>7.0045357066921572E-3</v>
          </cell>
          <cell r="AO57">
            <v>1.093021365624695E-3</v>
          </cell>
          <cell r="AP57">
            <v>52</v>
          </cell>
          <cell r="AQ57">
            <v>1.358695652173913E-3</v>
          </cell>
          <cell r="AR57">
            <v>1.358695652173913E-3</v>
          </cell>
          <cell r="AS57">
            <v>1.358695652173913E-3</v>
          </cell>
          <cell r="AT57">
            <v>1.358695652173913E-3</v>
          </cell>
          <cell r="AU57">
            <v>1.358695652173913E-3</v>
          </cell>
          <cell r="BI57">
            <v>7.0905244669404233E-2</v>
          </cell>
          <cell r="BJ57">
            <v>7.0905244669404233E-2</v>
          </cell>
          <cell r="BK57">
            <v>7.0905244669404233E-2</v>
          </cell>
          <cell r="BL57">
            <v>7.0905244669404233E-2</v>
          </cell>
          <cell r="BM57">
            <v>7.0905244669404233E-2</v>
          </cell>
          <cell r="DG57">
            <v>5.5365796065474164</v>
          </cell>
        </row>
        <row r="58">
          <cell r="S58">
            <v>7.6350685001093065E-5</v>
          </cell>
          <cell r="T58">
            <v>7.5048788415960912E-5</v>
          </cell>
          <cell r="U58">
            <v>7.2551339629819335E-5</v>
          </cell>
          <cell r="V58">
            <v>6.9082643212622474E-5</v>
          </cell>
          <cell r="W58">
            <v>6.7018492377673682E-5</v>
          </cell>
          <cell r="X58">
            <v>1.8483917694284431E-4</v>
          </cell>
          <cell r="Y58">
            <v>1.8350183302499431E-4</v>
          </cell>
          <cell r="Z58">
            <v>1.8069624676634924E-4</v>
          </cell>
          <cell r="AA58">
            <v>1.7137640672286447E-4</v>
          </cell>
          <cell r="AB58">
            <v>1.5968351930494508E-4</v>
          </cell>
          <cell r="AF58">
            <v>147.11246784979863</v>
          </cell>
          <cell r="AG58">
            <v>53</v>
          </cell>
          <cell r="AH58">
            <v>6.7975203911404495E-3</v>
          </cell>
          <cell r="AI58">
            <v>6.7975203911404495E-3</v>
          </cell>
          <cell r="AJ58">
            <v>6.7975203911404495E-3</v>
          </cell>
          <cell r="AK58">
            <v>6.7975203911404495E-3</v>
          </cell>
          <cell r="AL58">
            <v>6.7975203911404495E-3</v>
          </cell>
          <cell r="AO58">
            <v>1.0593538271907192E-3</v>
          </cell>
          <cell r="AP58">
            <v>53</v>
          </cell>
          <cell r="AQ58">
            <v>1.3440860215053765E-3</v>
          </cell>
          <cell r="AR58">
            <v>1.3440860215053765E-3</v>
          </cell>
          <cell r="AS58">
            <v>1.3440860215053765E-3</v>
          </cell>
          <cell r="AT58">
            <v>1.3440860215053765E-3</v>
          </cell>
          <cell r="AU58">
            <v>1.3440860215053765E-3</v>
          </cell>
          <cell r="BI58">
            <v>6.9514945754317867E-2</v>
          </cell>
          <cell r="BJ58">
            <v>6.9514945754317867E-2</v>
          </cell>
          <cell r="BK58">
            <v>6.9514945754317867E-2</v>
          </cell>
          <cell r="BL58">
            <v>6.9514945754317867E-2</v>
          </cell>
          <cell r="BM58">
            <v>6.9514945754317867E-2</v>
          </cell>
          <cell r="DG58">
            <v>5.3753200063567146</v>
          </cell>
        </row>
        <row r="59">
          <cell r="S59">
            <v>7.2547061695999555E-5</v>
          </cell>
          <cell r="T59">
            <v>7.1275403204885235E-5</v>
          </cell>
          <cell r="U59">
            <v>6.88777654952036E-5</v>
          </cell>
          <cell r="V59">
            <v>6.5833712051194948E-5</v>
          </cell>
          <cell r="W59">
            <v>6.3760157162082759E-5</v>
          </cell>
          <cell r="X59">
            <v>1.3170412714313216E-4</v>
          </cell>
          <cell r="Y59">
            <v>1.3045385042989921E-4</v>
          </cell>
          <cell r="Z59">
            <v>1.2785540953300778E-4</v>
          </cell>
          <cell r="AA59">
            <v>1.2126430508392013E-4</v>
          </cell>
          <cell r="AB59">
            <v>1.1278179668474812E-4</v>
          </cell>
          <cell r="AF59">
            <v>151.592709496916</v>
          </cell>
          <cell r="AG59">
            <v>54</v>
          </cell>
          <cell r="AH59">
            <v>6.5966233027871567E-3</v>
          </cell>
          <cell r="AI59">
            <v>6.5966233027871567E-3</v>
          </cell>
          <cell r="AJ59">
            <v>6.5966233027871567E-3</v>
          </cell>
          <cell r="AK59">
            <v>6.5966233027871567E-3</v>
          </cell>
          <cell r="AL59">
            <v>6.5966233027871567E-3</v>
          </cell>
          <cell r="AO59">
            <v>9.9154959367252346E-4</v>
          </cell>
          <cell r="AP59">
            <v>54</v>
          </cell>
          <cell r="AQ59">
            <v>1.3297872340425532E-3</v>
          </cell>
          <cell r="AR59">
            <v>1.3297872340425532E-3</v>
          </cell>
          <cell r="AS59">
            <v>1.3297872340425532E-3</v>
          </cell>
          <cell r="AT59">
            <v>1.3297872340425532E-3</v>
          </cell>
          <cell r="AU59">
            <v>1.3297872340425532E-3</v>
          </cell>
          <cell r="BI59">
            <v>6.815190760227241E-2</v>
          </cell>
          <cell r="BJ59">
            <v>6.815190760227241E-2</v>
          </cell>
          <cell r="BK59">
            <v>6.815190760227241E-2</v>
          </cell>
          <cell r="BL59">
            <v>6.815190760227241E-2</v>
          </cell>
          <cell r="BM59">
            <v>6.815190760227241E-2</v>
          </cell>
          <cell r="DG59">
            <v>5.2187572877249657</v>
          </cell>
        </row>
        <row r="60">
          <cell r="S60">
            <v>6.8956687849233133E-5</v>
          </cell>
          <cell r="T60">
            <v>6.7714727094215967E-5</v>
          </cell>
          <cell r="U60">
            <v>6.5533511907297717E-5</v>
          </cell>
          <cell r="V60">
            <v>6.2748495956151422E-5</v>
          </cell>
          <cell r="W60">
            <v>6.0667382532749387E-5</v>
          </cell>
          <cell r="X60">
            <v>1.2547568119713586E-4</v>
          </cell>
          <cell r="Y60">
            <v>1.2425167713680016E-4</v>
          </cell>
          <cell r="Z60">
            <v>1.2171898448735167E-4</v>
          </cell>
          <cell r="AA60">
            <v>1.1525631344651021E-4</v>
          </cell>
          <cell r="AB60">
            <v>1.0665176201679419E-4</v>
          </cell>
          <cell r="AF60">
            <v>156.20939481539546</v>
          </cell>
          <cell r="AG60">
            <v>55</v>
          </cell>
          <cell r="AH60">
            <v>6.4016636206918037E-3</v>
          </cell>
          <cell r="AI60">
            <v>6.4016636206918037E-3</v>
          </cell>
          <cell r="AJ60">
            <v>6.4016636206918037E-3</v>
          </cell>
          <cell r="AK60">
            <v>6.4016636206918037E-3</v>
          </cell>
          <cell r="AL60">
            <v>6.4016636206918037E-3</v>
          </cell>
          <cell r="AO60">
            <v>9.4839461047285876E-4</v>
          </cell>
          <cell r="AP60">
            <v>55</v>
          </cell>
          <cell r="AQ60">
            <v>1.3157894736842105E-3</v>
          </cell>
          <cell r="AR60">
            <v>1.3157894736842105E-3</v>
          </cell>
          <cell r="AS60">
            <v>1.3157894736842105E-3</v>
          </cell>
          <cell r="AT60">
            <v>1.3157894736842105E-3</v>
          </cell>
          <cell r="AU60">
            <v>1.3157894736842105E-3</v>
          </cell>
          <cell r="BI60">
            <v>6.6815595688502358E-2</v>
          </cell>
          <cell r="BJ60">
            <v>6.6815595688502358E-2</v>
          </cell>
          <cell r="BK60">
            <v>6.6815595688502358E-2</v>
          </cell>
          <cell r="BL60">
            <v>6.6815595688502358E-2</v>
          </cell>
          <cell r="BM60">
            <v>6.6815595688502358E-2</v>
          </cell>
          <cell r="DG60">
            <v>5.0667546482766657</v>
          </cell>
        </row>
        <row r="61">
          <cell r="S61">
            <v>6.5545266131726435E-5</v>
          </cell>
          <cell r="T61">
            <v>6.4345513461078663E-5</v>
          </cell>
          <cell r="U61">
            <v>6.2389116392686018E-5</v>
          </cell>
          <cell r="V61">
            <v>5.9754280368333907E-5</v>
          </cell>
          <cell r="W61">
            <v>5.7729030460283041E-5</v>
          </cell>
          <cell r="X61">
            <v>1.1956470203927885E-4</v>
          </cell>
          <cell r="Y61">
            <v>1.1836698421005746E-4</v>
          </cell>
          <cell r="Z61">
            <v>1.1588946676271197E-4</v>
          </cell>
          <cell r="AA61">
            <v>1.0917998891634403E-4</v>
          </cell>
          <cell r="AB61">
            <v>1.0082672373508158E-4</v>
          </cell>
          <cell r="AF61">
            <v>160.96667913365923</v>
          </cell>
          <cell r="AG61">
            <v>56</v>
          </cell>
          <cell r="AH61">
            <v>6.2124658679803329E-3</v>
          </cell>
          <cell r="AI61">
            <v>6.2124658679803329E-3</v>
          </cell>
          <cell r="AJ61">
            <v>6.2124658679803329E-3</v>
          </cell>
          <cell r="AK61">
            <v>6.2124658679803329E-3</v>
          </cell>
          <cell r="AL61">
            <v>6.2124658679803329E-3</v>
          </cell>
          <cell r="AO61">
            <v>8.9854001331177657E-4</v>
          </cell>
          <cell r="AP61">
            <v>56</v>
          </cell>
          <cell r="AQ61">
            <v>1.3020833333333333E-3</v>
          </cell>
          <cell r="AR61">
            <v>1.3020833333333333E-3</v>
          </cell>
          <cell r="AS61">
            <v>1.3020833333333333E-3</v>
          </cell>
          <cell r="AT61">
            <v>1.3020833333333333E-3</v>
          </cell>
          <cell r="AU61">
            <v>1.3020833333333333E-3</v>
          </cell>
          <cell r="BI61">
            <v>6.5505485969119967E-2</v>
          </cell>
          <cell r="BJ61">
            <v>6.5505485969119967E-2</v>
          </cell>
          <cell r="BK61">
            <v>6.5505485969119967E-2</v>
          </cell>
          <cell r="BL61">
            <v>6.5505485969119967E-2</v>
          </cell>
          <cell r="BM61">
            <v>6.5505485969119967E-2</v>
          </cell>
          <cell r="DG61">
            <v>4.9191792701715196</v>
          </cell>
        </row>
        <row r="62">
          <cell r="S62">
            <v>6.2301197426818599E-5</v>
          </cell>
          <cell r="T62">
            <v>6.1134250284398757E-5</v>
          </cell>
          <cell r="U62">
            <v>5.9400112248215003E-5</v>
          </cell>
          <cell r="V62">
            <v>5.6908504622987444E-5</v>
          </cell>
          <cell r="W62">
            <v>5.493570316741812E-5</v>
          </cell>
          <cell r="X62">
            <v>1.1394994830923846E-4</v>
          </cell>
          <cell r="Y62">
            <v>1.1277458671046873E-4</v>
          </cell>
          <cell r="Z62">
            <v>1.1035033387645586E-4</v>
          </cell>
          <cell r="AA62">
            <v>1.0339893908002059E-4</v>
          </cell>
          <cell r="AB62">
            <v>9.5296558269682954E-5</v>
          </cell>
          <cell r="AF62">
            <v>165.86884432872012</v>
          </cell>
          <cell r="AG62">
            <v>57</v>
          </cell>
          <cell r="AH62">
            <v>6.0288597539040695E-3</v>
          </cell>
          <cell r="AI62">
            <v>6.0288597539040695E-3</v>
          </cell>
          <cell r="AJ62">
            <v>6.0288597539040695E-3</v>
          </cell>
          <cell r="AK62">
            <v>6.0288597539040695E-3</v>
          </cell>
          <cell r="AL62">
            <v>6.0288597539040695E-3</v>
          </cell>
          <cell r="AO62">
            <v>8.4615575493390415E-4</v>
          </cell>
          <cell r="AP62">
            <v>57</v>
          </cell>
          <cell r="AQ62">
            <v>1.288659793814433E-3</v>
          </cell>
          <cell r="AR62">
            <v>1.288659793814433E-3</v>
          </cell>
          <cell r="AS62">
            <v>1.288659793814433E-3</v>
          </cell>
          <cell r="AT62">
            <v>1.288659793814433E-3</v>
          </cell>
          <cell r="AU62">
            <v>1.288659793814433E-3</v>
          </cell>
          <cell r="BI62">
            <v>6.4221064675607814E-2</v>
          </cell>
          <cell r="BJ62">
            <v>6.4221064675607814E-2</v>
          </cell>
          <cell r="BK62">
            <v>6.4221064675607814E-2</v>
          </cell>
          <cell r="BL62">
            <v>6.4221064675607814E-2</v>
          </cell>
          <cell r="BM62">
            <v>6.4221064675607814E-2</v>
          </cell>
          <cell r="DG62">
            <v>4.775902204050019</v>
          </cell>
        </row>
        <row r="63">
          <cell r="S63">
            <v>5.3716880087950439E-5</v>
          </cell>
          <cell r="T63">
            <v>5.271186287658969E-5</v>
          </cell>
          <cell r="U63">
            <v>5.130096381568306E-5</v>
          </cell>
          <cell r="V63">
            <v>4.9148305115903081E-5</v>
          </cell>
          <cell r="W63">
            <v>4.731223625898919E-5</v>
          </cell>
          <cell r="X63">
            <v>9.667223855726388E-5</v>
          </cell>
          <cell r="Y63">
            <v>9.5597302495099566E-5</v>
          </cell>
          <cell r="Z63">
            <v>9.3391609071416011E-5</v>
          </cell>
          <cell r="AA63">
            <v>8.7237079161658313E-5</v>
          </cell>
          <cell r="AB63">
            <v>8.0586324116515166E-5</v>
          </cell>
          <cell r="AF63">
            <v>170.92030268015972</v>
          </cell>
          <cell r="AG63">
            <v>58</v>
          </cell>
          <cell r="AH63">
            <v>5.8506800205665628E-3</v>
          </cell>
          <cell r="AI63">
            <v>5.8506800205665628E-3</v>
          </cell>
          <cell r="AJ63">
            <v>5.8506800205665628E-3</v>
          </cell>
          <cell r="AK63">
            <v>5.8506800205665628E-3</v>
          </cell>
          <cell r="AL63">
            <v>5.8506800205665628E-3</v>
          </cell>
          <cell r="AO63">
            <v>8.14207384625071E-4</v>
          </cell>
          <cell r="AP63">
            <v>58</v>
          </cell>
          <cell r="AQ63">
            <v>1.2755102040816326E-3</v>
          </cell>
          <cell r="AR63">
            <v>1.2755102040816326E-3</v>
          </cell>
          <cell r="AS63">
            <v>1.2755102040816326E-3</v>
          </cell>
          <cell r="AT63">
            <v>1.2755102040816326E-3</v>
          </cell>
          <cell r="AU63">
            <v>1.2755102040816326E-3</v>
          </cell>
          <cell r="BI63">
            <v>6.2961828113340987E-2</v>
          </cell>
          <cell r="BJ63">
            <v>6.2961828113340987E-2</v>
          </cell>
          <cell r="BK63">
            <v>6.2961828113340987E-2</v>
          </cell>
          <cell r="BL63">
            <v>6.2961828113340987E-2</v>
          </cell>
          <cell r="BM63">
            <v>6.2961828113340987E-2</v>
          </cell>
          <cell r="DG63">
            <v>4.6367982563592411</v>
          </cell>
        </row>
        <row r="64">
          <cell r="S64">
            <v>5.110392192076222E-5</v>
          </cell>
          <cell r="T64">
            <v>5.0127469825335981E-5</v>
          </cell>
          <cell r="U64">
            <v>4.8882434816531289E-5</v>
          </cell>
          <cell r="V64">
            <v>4.6839776796771163E-5</v>
          </cell>
          <cell r="W64">
            <v>4.5067278306929152E-5</v>
          </cell>
          <cell r="X64">
            <v>9.2199620296155806E-5</v>
          </cell>
          <cell r="Y64">
            <v>9.1152325516289715E-5</v>
          </cell>
          <cell r="Z64">
            <v>8.8998156265600114E-5</v>
          </cell>
          <cell r="AA64">
            <v>8.2675384474953262E-5</v>
          </cell>
          <cell r="AB64">
            <v>7.6375506343958718E-5</v>
          </cell>
          <cell r="AF64">
            <v>176.12560084147805</v>
          </cell>
          <cell r="AG64">
            <v>59</v>
          </cell>
          <cell r="AH64">
            <v>5.6777662941803137E-3</v>
          </cell>
          <cell r="AI64">
            <v>5.6777662941803137E-3</v>
          </cell>
          <cell r="AJ64">
            <v>5.6777662941803137E-3</v>
          </cell>
          <cell r="AK64">
            <v>5.6777662941803137E-3</v>
          </cell>
          <cell r="AL64">
            <v>5.6777662941803137E-3</v>
          </cell>
          <cell r="AO64">
            <v>7.5703550589070886E-4</v>
          </cell>
          <cell r="AP64">
            <v>59</v>
          </cell>
          <cell r="AQ64">
            <v>1.2626262626262627E-3</v>
          </cell>
          <cell r="AR64">
            <v>1.2626262626262627E-3</v>
          </cell>
          <cell r="AS64">
            <v>1.2626262626262627E-3</v>
          </cell>
          <cell r="AT64">
            <v>1.2626262626262627E-3</v>
          </cell>
          <cell r="AU64">
            <v>1.2626262626262627E-3</v>
          </cell>
          <cell r="BI64">
            <v>6.1727282464059792E-2</v>
          </cell>
          <cell r="BJ64">
            <v>6.1727282464059792E-2</v>
          </cell>
          <cell r="BK64">
            <v>6.1727282464059792E-2</v>
          </cell>
          <cell r="BL64">
            <v>6.1727282464059792E-2</v>
          </cell>
          <cell r="BM64">
            <v>6.1727282464059792E-2</v>
          </cell>
          <cell r="DG64">
            <v>4.5017458799604286</v>
          </cell>
        </row>
        <row r="65">
          <cell r="S65">
            <v>4.9031157049900352E-5</v>
          </cell>
          <cell r="T65">
            <v>4.8113766652312894E-5</v>
          </cell>
          <cell r="U65">
            <v>4.6982983413238014E-5</v>
          </cell>
          <cell r="V65">
            <v>4.5009853630015275E-5</v>
          </cell>
          <cell r="W65">
            <v>4.3290010903410587E-5</v>
          </cell>
          <cell r="X65">
            <v>8.86868237086752E-5</v>
          </cell>
          <cell r="Y65">
            <v>8.7655895851189509E-5</v>
          </cell>
          <cell r="Z65">
            <v>8.5536524197682849E-5</v>
          </cell>
          <cell r="AA65">
            <v>7.8968960723681958E-5</v>
          </cell>
          <cell r="AB65">
            <v>7.29878933632472E-5</v>
          </cell>
          <cell r="AF65">
            <v>180</v>
          </cell>
          <cell r="AG65">
            <v>60</v>
          </cell>
          <cell r="AH65">
            <v>5.5555555555555558E-3</v>
          </cell>
          <cell r="AI65">
            <v>5.5555555555555558E-3</v>
          </cell>
          <cell r="AJ65">
            <v>5.5555555555555558E-3</v>
          </cell>
          <cell r="AK65">
            <v>5.5555555555555558E-3</v>
          </cell>
          <cell r="AL65">
            <v>5.5555555555555558E-3</v>
          </cell>
          <cell r="AO65">
            <v>7.4074074074074114E-4</v>
          </cell>
          <cell r="AP65">
            <v>60</v>
          </cell>
          <cell r="AQ65">
            <v>1.25E-3</v>
          </cell>
          <cell r="AR65">
            <v>1.25E-3</v>
          </cell>
          <cell r="AS65">
            <v>1.25E-3</v>
          </cell>
          <cell r="AT65">
            <v>1.25E-3</v>
          </cell>
          <cell r="AU65">
            <v>1.25E-3</v>
          </cell>
          <cell r="BI65">
            <v>6.0516943592215482E-2</v>
          </cell>
          <cell r="BJ65">
            <v>6.0516943592215482E-2</v>
          </cell>
          <cell r="BK65">
            <v>6.0516943592215482E-2</v>
          </cell>
          <cell r="BL65">
            <v>6.0516943592215482E-2</v>
          </cell>
          <cell r="BM65">
            <v>6.0516943592215482E-2</v>
          </cell>
          <cell r="DG65">
            <v>4.3706270679227464</v>
          </cell>
        </row>
        <row r="66">
          <cell r="S66">
            <v>4.8078784487203161E-5</v>
          </cell>
          <cell r="T66">
            <v>4.7283007705490022E-5</v>
          </cell>
          <cell r="U66">
            <v>4.6149475536821138E-5</v>
          </cell>
          <cell r="V66">
            <v>4.4202063774536685E-5</v>
          </cell>
          <cell r="W66">
            <v>4.2503199472894639E-5</v>
          </cell>
          <cell r="X66">
            <v>8.7197870936346519E-5</v>
          </cell>
          <cell r="Y66">
            <v>8.6159934955866877E-5</v>
          </cell>
          <cell r="Z66">
            <v>8.4015598747056155E-5</v>
          </cell>
          <cell r="AA66">
            <v>7.704764870201895E-5</v>
          </cell>
          <cell r="AB66">
            <v>7.1283776644738472E-5</v>
          </cell>
          <cell r="AF66">
            <v>180</v>
          </cell>
          <cell r="AG66">
            <v>61</v>
          </cell>
          <cell r="AH66">
            <v>5.5555555555555558E-3</v>
          </cell>
          <cell r="AI66">
            <v>5.5555555555555558E-3</v>
          </cell>
          <cell r="AJ66">
            <v>5.5555555555555558E-3</v>
          </cell>
          <cell r="AK66">
            <v>5.5555555555555558E-3</v>
          </cell>
          <cell r="AL66">
            <v>5.5555555555555558E-3</v>
          </cell>
          <cell r="AO66">
            <v>7.0914307760939089E-4</v>
          </cell>
          <cell r="AP66">
            <v>61</v>
          </cell>
          <cell r="AQ66">
            <v>1.2376237623762376E-3</v>
          </cell>
          <cell r="AR66">
            <v>1.2376237623762376E-3</v>
          </cell>
          <cell r="AS66">
            <v>1.2376237623762376E-3</v>
          </cell>
          <cell r="AT66">
            <v>1.2376237623762376E-3</v>
          </cell>
          <cell r="AU66">
            <v>1.2376237623762376E-3</v>
          </cell>
          <cell r="BI66">
            <v>5.9330336855113214E-2</v>
          </cell>
          <cell r="BJ66">
            <v>5.9330336855113214E-2</v>
          </cell>
          <cell r="BK66">
            <v>5.9330336855113214E-2</v>
          </cell>
          <cell r="BL66">
            <v>5.9330336855113214E-2</v>
          </cell>
          <cell r="BM66">
            <v>5.9330336855113214E-2</v>
          </cell>
          <cell r="DG66">
            <v>4.2433272504104336</v>
          </cell>
        </row>
        <row r="67">
          <cell r="S67">
            <v>4.7156626242210826E-5</v>
          </cell>
          <cell r="T67">
            <v>4.646775149157644E-5</v>
          </cell>
          <cell r="U67">
            <v>4.5333348247298418E-5</v>
          </cell>
          <cell r="V67">
            <v>4.3406839930640519E-5</v>
          </cell>
          <cell r="W67">
            <v>4.1718662266001732E-5</v>
          </cell>
          <cell r="X67">
            <v>8.574792798103295E-5</v>
          </cell>
          <cell r="Y67">
            <v>8.4692158891116107E-5</v>
          </cell>
          <cell r="Z67">
            <v>8.2527955736790712E-5</v>
          </cell>
          <cell r="AA67">
            <v>7.5136449974572218E-5</v>
          </cell>
          <cell r="AB67">
            <v>6.9551112778331621E-5</v>
          </cell>
          <cell r="AF67">
            <v>180</v>
          </cell>
          <cell r="AG67">
            <v>62</v>
          </cell>
          <cell r="AH67">
            <v>5.5555555555555558E-3</v>
          </cell>
          <cell r="AI67">
            <v>5.5555555555555558E-3</v>
          </cell>
          <cell r="AJ67">
            <v>5.5555555555555558E-3</v>
          </cell>
          <cell r="AK67">
            <v>5.5555555555555558E-3</v>
          </cell>
          <cell r="AL67">
            <v>5.5555555555555558E-3</v>
          </cell>
          <cell r="AO67">
            <v>7.0546737213404015E-4</v>
          </cell>
          <cell r="AP67">
            <v>62</v>
          </cell>
          <cell r="AQ67">
            <v>1.2254901960784314E-3</v>
          </cell>
          <cell r="AR67">
            <v>1.2254901960784314E-3</v>
          </cell>
          <cell r="AS67">
            <v>1.2254901960784314E-3</v>
          </cell>
          <cell r="AT67">
            <v>1.2254901960784314E-3</v>
          </cell>
          <cell r="AU67">
            <v>1.2254901960784314E-3</v>
          </cell>
          <cell r="BI67">
            <v>5.8166996916777659E-2</v>
          </cell>
          <cell r="BJ67">
            <v>5.8166996916777659E-2</v>
          </cell>
          <cell r="BK67">
            <v>5.8166996916777659E-2</v>
          </cell>
          <cell r="BL67">
            <v>5.8166996916777659E-2</v>
          </cell>
          <cell r="BM67">
            <v>5.8166996916777659E-2</v>
          </cell>
          <cell r="DG67">
            <v>4.1197351945732361</v>
          </cell>
        </row>
        <row r="68">
          <cell r="S68">
            <v>4.6256872928284174E-5</v>
          </cell>
          <cell r="T68">
            <v>4.5668791588696363E-5</v>
          </cell>
          <cell r="U68">
            <v>4.4529083082637009E-5</v>
          </cell>
          <cell r="V68">
            <v>4.2624694186491626E-5</v>
          </cell>
          <cell r="W68">
            <v>4.095264092729569E-5</v>
          </cell>
          <cell r="X68">
            <v>8.4326087823114929E-5</v>
          </cell>
          <cell r="Y68">
            <v>8.3256692049750287E-5</v>
          </cell>
          <cell r="Z68">
            <v>8.106122749471068E-5</v>
          </cell>
          <cell r="AA68">
            <v>7.3236605083341452E-5</v>
          </cell>
          <cell r="AB68">
            <v>6.785855039474985E-5</v>
          </cell>
          <cell r="AF68">
            <v>180</v>
          </cell>
          <cell r="AG68">
            <v>63</v>
          </cell>
          <cell r="AH68">
            <v>5.5555555555555558E-3</v>
          </cell>
          <cell r="AI68">
            <v>5.5555555555555558E-3</v>
          </cell>
          <cell r="AJ68">
            <v>5.5555555555555558E-3</v>
          </cell>
          <cell r="AK68">
            <v>5.5555555555555558E-3</v>
          </cell>
          <cell r="AL68">
            <v>5.5555555555555558E-3</v>
          </cell>
          <cell r="AO68">
            <v>6.8061327455537816E-4</v>
          </cell>
          <cell r="AP68">
            <v>63</v>
          </cell>
          <cell r="AQ68">
            <v>1.2135922330097086E-3</v>
          </cell>
          <cell r="AR68">
            <v>1.2135922330097086E-3</v>
          </cell>
          <cell r="AS68">
            <v>1.2135922330097086E-3</v>
          </cell>
          <cell r="AT68">
            <v>1.2135922330097086E-3</v>
          </cell>
          <cell r="AU68">
            <v>1.2135922330097086E-3</v>
          </cell>
          <cell r="BI68">
            <v>5.7026467565468295E-2</v>
          </cell>
          <cell r="BJ68">
            <v>5.7026467565468295E-2</v>
          </cell>
          <cell r="BK68">
            <v>5.7026467565468295E-2</v>
          </cell>
          <cell r="BL68">
            <v>5.7026467565468295E-2</v>
          </cell>
          <cell r="BM68">
            <v>5.7026467565468295E-2</v>
          </cell>
          <cell r="DG68">
            <v>3.9997429073526556</v>
          </cell>
        </row>
        <row r="69">
          <cell r="S69">
            <v>4.5484790570136001E-5</v>
          </cell>
          <cell r="T69">
            <v>4.4885173087507084E-5</v>
          </cell>
          <cell r="U69">
            <v>4.3779733961975854E-5</v>
          </cell>
          <cell r="V69">
            <v>4.1858325066037847E-5</v>
          </cell>
          <cell r="W69">
            <v>4.0199673018472298E-5</v>
          </cell>
          <cell r="X69">
            <v>8.2936335144908807E-5</v>
          </cell>
          <cell r="Y69">
            <v>8.1845855888341198E-5</v>
          </cell>
          <cell r="Z69">
            <v>7.9622814875585213E-5</v>
          </cell>
          <cell r="AA69">
            <v>7.1466443007385221E-5</v>
          </cell>
          <cell r="AB69">
            <v>6.6194028032511639E-5</v>
          </cell>
          <cell r="AF69">
            <v>180</v>
          </cell>
          <cell r="AG69">
            <v>64</v>
          </cell>
          <cell r="AH69">
            <v>5.5555555555555558E-3</v>
          </cell>
          <cell r="AI69">
            <v>5.5555555555555558E-3</v>
          </cell>
          <cell r="AJ69">
            <v>5.5555555555555558E-3</v>
          </cell>
          <cell r="AK69">
            <v>5.5555555555555558E-3</v>
          </cell>
          <cell r="AL69">
            <v>5.5555555555555558E-3</v>
          </cell>
          <cell r="AO69">
            <v>6.7340067340067311E-4</v>
          </cell>
          <cell r="AP69">
            <v>64</v>
          </cell>
          <cell r="AQ69">
            <v>1.201923076923077E-3</v>
          </cell>
          <cell r="AR69">
            <v>1.201923076923077E-3</v>
          </cell>
          <cell r="AS69">
            <v>1.201923076923077E-3</v>
          </cell>
          <cell r="AT69">
            <v>1.201923076923077E-3</v>
          </cell>
          <cell r="AU69">
            <v>1.201923076923077E-3</v>
          </cell>
          <cell r="BI69">
            <v>5.5908301534772838E-2</v>
          </cell>
          <cell r="BJ69">
            <v>5.5908301534772838E-2</v>
          </cell>
          <cell r="BK69">
            <v>5.5908301534772838E-2</v>
          </cell>
          <cell r="BL69">
            <v>5.5908301534772838E-2</v>
          </cell>
          <cell r="BM69">
            <v>5.5908301534772838E-2</v>
          </cell>
          <cell r="DG69">
            <v>3.8832455411190834</v>
          </cell>
        </row>
        <row r="70">
          <cell r="S70">
            <v>4.4726180922174518E-5</v>
          </cell>
          <cell r="T70">
            <v>4.4133509192284094E-5</v>
          </cell>
          <cell r="U70">
            <v>4.3117324769837868E-5</v>
          </cell>
          <cell r="V70">
            <v>4.1112304037832768E-5</v>
          </cell>
          <cell r="W70">
            <v>3.9493397026933861E-5</v>
          </cell>
          <cell r="X70">
            <v>8.1571980319661123E-5</v>
          </cell>
          <cell r="Y70">
            <v>8.0473017952493401E-5</v>
          </cell>
          <cell r="Z70">
            <v>7.8199947933093418E-5</v>
          </cell>
          <cell r="AA70">
            <v>6.9772295754675831E-5</v>
          </cell>
          <cell r="AB70">
            <v>6.4576287770927489E-5</v>
          </cell>
          <cell r="AF70">
            <v>180</v>
          </cell>
          <cell r="AG70">
            <v>65</v>
          </cell>
          <cell r="AH70">
            <v>5.5555555555555558E-3</v>
          </cell>
          <cell r="AI70">
            <v>5.5555555555555558E-3</v>
          </cell>
          <cell r="AJ70">
            <v>5.5555555555555558E-3</v>
          </cell>
          <cell r="AK70">
            <v>5.5555555555555558E-3</v>
          </cell>
          <cell r="AL70">
            <v>5.5555555555555558E-3</v>
          </cell>
          <cell r="AO70">
            <v>6.5229967218612237E-4</v>
          </cell>
          <cell r="AP70">
            <v>65</v>
          </cell>
          <cell r="AQ70">
            <v>1.1904761904761906E-3</v>
          </cell>
          <cell r="AR70">
            <v>1.1904761904761906E-3</v>
          </cell>
          <cell r="AS70">
            <v>1.1904761904761906E-3</v>
          </cell>
          <cell r="AT70">
            <v>1.1904761904761906E-3</v>
          </cell>
          <cell r="AU70">
            <v>1.1904761904761906E-3</v>
          </cell>
          <cell r="BI70">
            <v>5.4812060328208664E-2</v>
          </cell>
          <cell r="BJ70">
            <v>5.4812060328208664E-2</v>
          </cell>
          <cell r="BK70">
            <v>5.4812060328208664E-2</v>
          </cell>
          <cell r="BL70">
            <v>5.4812060328208664E-2</v>
          </cell>
          <cell r="BM70">
            <v>5.4812060328208664E-2</v>
          </cell>
          <cell r="DG70">
            <v>3.7701413020573624</v>
          </cell>
        </row>
        <row r="71">
          <cell r="S71">
            <v>4.4022739537474926E-5</v>
          </cell>
          <cell r="T71">
            <v>4.3409703367537137E-5</v>
          </cell>
          <cell r="U71">
            <v>4.2474634962026656E-5</v>
          </cell>
          <cell r="V71">
            <v>4.038623895721353E-5</v>
          </cell>
          <cell r="W71">
            <v>3.8793451481050929E-5</v>
          </cell>
          <cell r="X71">
            <v>8.0302915435127013E-5</v>
          </cell>
          <cell r="Y71">
            <v>7.9151291581029234E-5</v>
          </cell>
          <cell r="Z71">
            <v>7.681763323640257E-5</v>
          </cell>
          <cell r="AA71">
            <v>6.8137845508122041E-5</v>
          </cell>
          <cell r="AB71">
            <v>6.2936096370818154E-5</v>
          </cell>
          <cell r="AF71">
            <v>180</v>
          </cell>
          <cell r="AG71">
            <v>66</v>
          </cell>
          <cell r="AH71">
            <v>5.5555555555555558E-3</v>
          </cell>
          <cell r="AI71">
            <v>5.5555555555555558E-3</v>
          </cell>
          <cell r="AJ71">
            <v>5.5555555555555558E-3</v>
          </cell>
          <cell r="AK71">
            <v>5.5555555555555558E-3</v>
          </cell>
          <cell r="AL71">
            <v>5.5555555555555558E-3</v>
          </cell>
          <cell r="AO71">
            <v>6.4102564102564048E-4</v>
          </cell>
          <cell r="AP71">
            <v>66</v>
          </cell>
          <cell r="AQ71">
            <v>1.1792452830188679E-3</v>
          </cell>
          <cell r="AR71">
            <v>1.1792452830188679E-3</v>
          </cell>
          <cell r="AS71">
            <v>1.1792452830188679E-3</v>
          </cell>
          <cell r="AT71">
            <v>1.1792452830188679E-3</v>
          </cell>
          <cell r="AU71">
            <v>1.1792452830188679E-3</v>
          </cell>
          <cell r="BI71">
            <v>5.3737314047263396E-2</v>
          </cell>
          <cell r="BJ71">
            <v>5.3737314047263396E-2</v>
          </cell>
          <cell r="BK71">
            <v>5.3737314047263396E-2</v>
          </cell>
          <cell r="BL71">
            <v>5.3737314047263396E-2</v>
          </cell>
          <cell r="BM71">
            <v>5.3737314047263396E-2</v>
          </cell>
          <cell r="DG71">
            <v>3.6603313612207402</v>
          </cell>
        </row>
        <row r="72">
          <cell r="S72">
            <v>4.3336269618768182E-5</v>
          </cell>
          <cell r="T72">
            <v>4.2698719075050037E-5</v>
          </cell>
          <cell r="U72">
            <v>4.1829602803292019E-5</v>
          </cell>
          <cell r="V72">
            <v>3.9672337882253672E-5</v>
          </cell>
          <cell r="W72">
            <v>3.8105486557897029E-5</v>
          </cell>
          <cell r="X72">
            <v>7.906515241994944E-5</v>
          </cell>
          <cell r="Y72">
            <v>7.7853526235210059E-5</v>
          </cell>
          <cell r="Z72">
            <v>7.53779899294518E-5</v>
          </cell>
          <cell r="AA72">
            <v>6.6519041967508954E-5</v>
          </cell>
          <cell r="AB72">
            <v>6.1321321708607119E-5</v>
          </cell>
          <cell r="AF72">
            <v>180</v>
          </cell>
          <cell r="AG72">
            <v>67</v>
          </cell>
          <cell r="AH72">
            <v>5.5555555555555558E-3</v>
          </cell>
          <cell r="AI72">
            <v>5.5555555555555558E-3</v>
          </cell>
          <cell r="AJ72">
            <v>5.5555555555555558E-3</v>
          </cell>
          <cell r="AK72">
            <v>5.5555555555555558E-3</v>
          </cell>
          <cell r="AL72">
            <v>5.5555555555555558E-3</v>
          </cell>
          <cell r="AO72">
            <v>6.2561509325159573E-4</v>
          </cell>
          <cell r="AP72">
            <v>67</v>
          </cell>
          <cell r="AQ72">
            <v>1.1682242990654205E-3</v>
          </cell>
          <cell r="AR72">
            <v>1.1682242990654205E-3</v>
          </cell>
          <cell r="AS72">
            <v>1.1682242990654205E-3</v>
          </cell>
          <cell r="AT72">
            <v>1.1682242990654205E-3</v>
          </cell>
          <cell r="AU72">
            <v>1.1682242990654205E-3</v>
          </cell>
          <cell r="BI72">
            <v>5.2683641222807255E-2</v>
          </cell>
          <cell r="BJ72">
            <v>5.2683641222807255E-2</v>
          </cell>
          <cell r="BK72">
            <v>5.2683641222807255E-2</v>
          </cell>
          <cell r="BL72">
            <v>5.2683641222807255E-2</v>
          </cell>
          <cell r="BM72">
            <v>5.2683641222807255E-2</v>
          </cell>
          <cell r="DG72">
            <v>3.5537197681754757</v>
          </cell>
        </row>
        <row r="73">
          <cell r="S73">
            <v>4.2664314760944492E-5</v>
          </cell>
          <cell r="T73">
            <v>4.200156044993852E-5</v>
          </cell>
          <cell r="U73">
            <v>4.1166667651562812E-5</v>
          </cell>
          <cell r="V73">
            <v>3.8961228733595577E-5</v>
          </cell>
          <cell r="W73">
            <v>3.7427946703871295E-5</v>
          </cell>
          <cell r="X73">
            <v>7.7851050590117758E-5</v>
          </cell>
          <cell r="Y73">
            <v>7.6580775257499773E-5</v>
          </cell>
          <cell r="Z73">
            <v>7.3789982575845646E-5</v>
          </cell>
          <cell r="AA73">
            <v>6.4890883318645019E-5</v>
          </cell>
          <cell r="AB73">
            <v>5.9725595930149799E-5</v>
          </cell>
          <cell r="AF73">
            <v>180</v>
          </cell>
          <cell r="AG73">
            <v>68</v>
          </cell>
          <cell r="AH73">
            <v>5.5555555555555558E-3</v>
          </cell>
          <cell r="AI73">
            <v>5.5555555555555558E-3</v>
          </cell>
          <cell r="AJ73">
            <v>5.5555555555555558E-3</v>
          </cell>
          <cell r="AK73">
            <v>5.5555555555555558E-3</v>
          </cell>
          <cell r="AL73">
            <v>5.5555555555555558E-3</v>
          </cell>
          <cell r="AO73">
            <v>6.1162079510703393E-4</v>
          </cell>
          <cell r="AP73">
            <v>68</v>
          </cell>
          <cell r="AQ73">
            <v>1.1574074074074073E-3</v>
          </cell>
          <cell r="AR73">
            <v>1.1574074074074073E-3</v>
          </cell>
          <cell r="AS73">
            <v>1.1574074074074073E-3</v>
          </cell>
          <cell r="AT73">
            <v>1.1574074074074073E-3</v>
          </cell>
          <cell r="AU73">
            <v>1.1574074074074073E-3</v>
          </cell>
          <cell r="BI73">
            <v>5.1650628649811035E-2</v>
          </cell>
          <cell r="BJ73">
            <v>5.1650628649811035E-2</v>
          </cell>
          <cell r="BK73">
            <v>5.1650628649811035E-2</v>
          </cell>
          <cell r="BL73">
            <v>5.1650628649811035E-2</v>
          </cell>
          <cell r="BM73">
            <v>5.1650628649811035E-2</v>
          </cell>
          <cell r="DG73">
            <v>3.4502133671606559</v>
          </cell>
        </row>
        <row r="74">
          <cell r="S74">
            <v>4.2012404629294775E-5</v>
          </cell>
          <cell r="T74">
            <v>4.1318839986200232E-5</v>
          </cell>
          <cell r="U74">
            <v>4.0508582947448565E-5</v>
          </cell>
          <cell r="V74">
            <v>3.8260417158786481E-5</v>
          </cell>
          <cell r="W74">
            <v>3.6756196853791946E-5</v>
          </cell>
          <cell r="X74">
            <v>7.6660449694954425E-5</v>
          </cell>
          <cell r="Y74">
            <v>7.5334417805206306E-5</v>
          </cell>
          <cell r="Z74">
            <v>7.2177225076832277E-5</v>
          </cell>
          <cell r="AA74">
            <v>6.3275130475992579E-5</v>
          </cell>
          <cell r="AB74">
            <v>5.813463908497069E-5</v>
          </cell>
          <cell r="AF74">
            <v>180</v>
          </cell>
          <cell r="AG74">
            <v>69</v>
          </cell>
          <cell r="AH74">
            <v>5.5555555555555558E-3</v>
          </cell>
          <cell r="AI74">
            <v>5.5555555555555558E-3</v>
          </cell>
          <cell r="AJ74">
            <v>5.5555555555555558E-3</v>
          </cell>
          <cell r="AK74">
            <v>5.5555555555555558E-3</v>
          </cell>
          <cell r="AL74">
            <v>5.5555555555555558E-3</v>
          </cell>
          <cell r="AO74">
            <v>6.0106970357036427E-4</v>
          </cell>
          <cell r="AP74">
            <v>69</v>
          </cell>
          <cell r="AQ74">
            <v>1.1467889908256881E-3</v>
          </cell>
          <cell r="AR74">
            <v>1.1467889908256881E-3</v>
          </cell>
          <cell r="AS74">
            <v>1.1467889908256881E-3</v>
          </cell>
          <cell r="AT74">
            <v>1.1467889908256881E-3</v>
          </cell>
          <cell r="AU74">
            <v>1.1467889908256881E-3</v>
          </cell>
          <cell r="BI74">
            <v>5.0637871225304935E-2</v>
          </cell>
          <cell r="BJ74">
            <v>5.0637871225304935E-2</v>
          </cell>
          <cell r="BK74">
            <v>5.0637871225304935E-2</v>
          </cell>
          <cell r="BL74">
            <v>5.0637871225304935E-2</v>
          </cell>
          <cell r="BM74">
            <v>5.0637871225304935E-2</v>
          </cell>
          <cell r="DG74">
            <v>3.3497217156899572</v>
          </cell>
        </row>
        <row r="75">
          <cell r="S75">
            <v>4.1373536456032549E-5</v>
          </cell>
          <cell r="T75">
            <v>4.0715973279876322E-5</v>
          </cell>
          <cell r="U75">
            <v>3.9877967148809089E-5</v>
          </cell>
          <cell r="V75">
            <v>3.7582935476335549E-5</v>
          </cell>
          <cell r="W75">
            <v>3.6086826885222247E-5</v>
          </cell>
          <cell r="X75">
            <v>7.5493637723294085E-5</v>
          </cell>
          <cell r="Y75">
            <v>7.4143904369035658E-5</v>
          </cell>
          <cell r="Z75">
            <v>7.0660942657445515E-5</v>
          </cell>
          <cell r="AA75">
            <v>6.1679214719451167E-5</v>
          </cell>
          <cell r="AB75">
            <v>5.6527582225328316E-5</v>
          </cell>
          <cell r="AF75">
            <v>180</v>
          </cell>
          <cell r="AG75">
            <v>70</v>
          </cell>
          <cell r="AH75">
            <v>5.5555555555555558E-3</v>
          </cell>
          <cell r="AI75">
            <v>5.5555555555555558E-3</v>
          </cell>
          <cell r="AJ75">
            <v>5.5555555555555558E-3</v>
          </cell>
          <cell r="AK75">
            <v>5.5555555555555558E-3</v>
          </cell>
          <cell r="AL75">
            <v>5.5555555555555558E-3</v>
          </cell>
          <cell r="AO75">
            <v>5.8479532163742648E-4</v>
          </cell>
          <cell r="AP75">
            <v>70</v>
          </cell>
          <cell r="AQ75">
            <v>1.1363636363636363E-3</v>
          </cell>
          <cell r="AR75">
            <v>1.1363636363636363E-3</v>
          </cell>
          <cell r="AS75">
            <v>1.1363636363636363E-3</v>
          </cell>
          <cell r="AT75">
            <v>1.1363636363636363E-3</v>
          </cell>
          <cell r="AU75">
            <v>1.1363636363636363E-3</v>
          </cell>
          <cell r="BI75">
            <v>4.9644971789514644E-2</v>
          </cell>
          <cell r="BJ75">
            <v>4.9644971789514644E-2</v>
          </cell>
          <cell r="BK75">
            <v>4.9644971789514644E-2</v>
          </cell>
          <cell r="BL75">
            <v>4.9644971789514644E-2</v>
          </cell>
          <cell r="BM75">
            <v>4.9644971789514644E-2</v>
          </cell>
          <cell r="DG75">
            <v>3.2521570055242304</v>
          </cell>
        </row>
        <row r="76">
          <cell r="S76">
            <v>4.0746857704567274E-5</v>
          </cell>
          <cell r="T76">
            <v>4.0157396393076331E-5</v>
          </cell>
          <cell r="U76">
            <v>3.9259021635909039E-5</v>
          </cell>
          <cell r="V76">
            <v>3.6932098701979259E-5</v>
          </cell>
          <cell r="W76">
            <v>3.5446905202174982E-5</v>
          </cell>
          <cell r="X76">
            <v>7.4349723820056385E-5</v>
          </cell>
          <cell r="Y76">
            <v>7.2967244939896227E-5</v>
          </cell>
          <cell r="Z76">
            <v>6.9168258546291417E-5</v>
          </cell>
          <cell r="AA76">
            <v>6.0085793914573729E-5</v>
          </cell>
          <cell r="AB76">
            <v>5.5031044955784675E-5</v>
          </cell>
          <cell r="AF76">
            <v>180</v>
          </cell>
          <cell r="AG76">
            <v>71</v>
          </cell>
          <cell r="AH76">
            <v>5.5555555555555558E-3</v>
          </cell>
          <cell r="AI76">
            <v>5.5555555555555558E-3</v>
          </cell>
          <cell r="AJ76">
            <v>5.5555555555555558E-3</v>
          </cell>
          <cell r="AK76">
            <v>5.5555555555555558E-3</v>
          </cell>
          <cell r="AL76">
            <v>5.5555555555555558E-3</v>
          </cell>
          <cell r="AO76">
            <v>5.7841097815899988E-4</v>
          </cell>
          <cell r="AP76">
            <v>71</v>
          </cell>
          <cell r="AQ76">
            <v>1.1261261261261261E-3</v>
          </cell>
          <cell r="AR76">
            <v>1.1261261261261261E-3</v>
          </cell>
          <cell r="AS76">
            <v>1.1261261261261261E-3</v>
          </cell>
          <cell r="AT76">
            <v>1.1261261261261261E-3</v>
          </cell>
          <cell r="AU76">
            <v>1.1261261261261261E-3</v>
          </cell>
          <cell r="BI76">
            <v>4.8671540970112392E-2</v>
          </cell>
          <cell r="BJ76">
            <v>4.8671540970112392E-2</v>
          </cell>
          <cell r="BK76">
            <v>4.8671540970112392E-2</v>
          </cell>
          <cell r="BL76">
            <v>4.8671540970112392E-2</v>
          </cell>
          <cell r="BM76">
            <v>4.8671540970112392E-2</v>
          </cell>
          <cell r="DG76">
            <v>3.1574339859458549</v>
          </cell>
        </row>
        <row r="77">
          <cell r="S77">
            <v>4.0128388403755995E-5</v>
          </cell>
          <cell r="T77">
            <v>3.9611718151396895E-5</v>
          </cell>
          <cell r="U77">
            <v>3.8651143282547482E-5</v>
          </cell>
          <cell r="V77">
            <v>3.6288844383675308E-5</v>
          </cell>
          <cell r="W77">
            <v>3.4819362605165478E-5</v>
          </cell>
          <cell r="X77">
            <v>7.3220466942328845E-5</v>
          </cell>
          <cell r="Y77">
            <v>7.1810243727170545E-5</v>
          </cell>
          <cell r="Z77">
            <v>6.7698178840817916E-5</v>
          </cell>
          <cell r="AA77">
            <v>5.8509520906174489E-5</v>
          </cell>
          <cell r="AB77">
            <v>5.3565108804797711E-5</v>
          </cell>
          <cell r="AF77">
            <v>180</v>
          </cell>
          <cell r="AG77">
            <v>72</v>
          </cell>
          <cell r="AH77">
            <v>5.5555555555555558E-3</v>
          </cell>
          <cell r="AI77">
            <v>5.5555555555555558E-3</v>
          </cell>
          <cell r="AJ77">
            <v>5.5555555555555558E-3</v>
          </cell>
          <cell r="AK77">
            <v>5.5555555555555558E-3</v>
          </cell>
          <cell r="AL77">
            <v>5.5555555555555558E-3</v>
          </cell>
          <cell r="AO77">
            <v>5.6022408963585398E-4</v>
          </cell>
          <cell r="AP77">
            <v>72</v>
          </cell>
          <cell r="AQ77">
            <v>1.1160714285714285E-3</v>
          </cell>
          <cell r="AR77">
            <v>1.1160714285714285E-3</v>
          </cell>
          <cell r="AS77">
            <v>1.1160714285714285E-3</v>
          </cell>
          <cell r="AT77">
            <v>1.1160714285714285E-3</v>
          </cell>
          <cell r="AU77">
            <v>1.1160714285714285E-3</v>
          </cell>
          <cell r="BI77">
            <v>4.771719702952195E-2</v>
          </cell>
          <cell r="BJ77">
            <v>4.771719702952195E-2</v>
          </cell>
          <cell r="BK77">
            <v>4.771719702952195E-2</v>
          </cell>
          <cell r="BL77">
            <v>4.771719702952195E-2</v>
          </cell>
          <cell r="BM77">
            <v>4.771719702952195E-2</v>
          </cell>
          <cell r="DG77">
            <v>3.0654698892678205</v>
          </cell>
        </row>
        <row r="78">
          <cell r="S78">
            <v>3.952415996508865E-5</v>
          </cell>
          <cell r="T78">
            <v>3.907861097584327E-5</v>
          </cell>
          <cell r="U78">
            <v>3.8061581984162089E-5</v>
          </cell>
          <cell r="V78">
            <v>3.5661062637954139E-5</v>
          </cell>
          <cell r="W78">
            <v>3.42014709918166E-5</v>
          </cell>
          <cell r="X78">
            <v>7.2118034866706083E-5</v>
          </cell>
          <cell r="Y78">
            <v>7.0683286944831774E-5</v>
          </cell>
          <cell r="Z78">
            <v>6.6282771986793393E-5</v>
          </cell>
          <cell r="AA78">
            <v>5.698038262279584E-5</v>
          </cell>
          <cell r="AB78">
            <v>5.2130574506308612E-5</v>
          </cell>
          <cell r="AF78">
            <v>180</v>
          </cell>
          <cell r="AG78">
            <v>73</v>
          </cell>
          <cell r="AH78">
            <v>5.5555555555555558E-3</v>
          </cell>
          <cell r="AI78">
            <v>5.5555555555555558E-3</v>
          </cell>
          <cell r="AJ78">
            <v>5.5555555555555558E-3</v>
          </cell>
          <cell r="AK78">
            <v>5.5555555555555558E-3</v>
          </cell>
          <cell r="AL78">
            <v>5.5555555555555558E-3</v>
          </cell>
          <cell r="AO78">
            <v>5.5714691321707955E-4</v>
          </cell>
          <cell r="AP78">
            <v>73</v>
          </cell>
          <cell r="AQ78">
            <v>1.1061946902654867E-3</v>
          </cell>
          <cell r="AR78">
            <v>1.1061946902654867E-3</v>
          </cell>
          <cell r="AS78">
            <v>1.1061946902654867E-3</v>
          </cell>
          <cell r="AT78">
            <v>1.1061946902654867E-3</v>
          </cell>
          <cell r="AU78">
            <v>1.1061946902654867E-3</v>
          </cell>
          <cell r="BI78">
            <v>4.6781565715217598E-2</v>
          </cell>
          <cell r="BJ78">
            <v>4.6781565715217598E-2</v>
          </cell>
          <cell r="BK78">
            <v>4.6781565715217598E-2</v>
          </cell>
          <cell r="BL78">
            <v>4.6781565715217598E-2</v>
          </cell>
          <cell r="BM78">
            <v>4.6781565715217598E-2</v>
          </cell>
          <cell r="DG78">
            <v>2.9761843585124468</v>
          </cell>
        </row>
        <row r="79">
          <cell r="S79">
            <v>3.8928514115401161E-5</v>
          </cell>
          <cell r="T79">
            <v>3.8528294299717701E-5</v>
          </cell>
          <cell r="U79">
            <v>3.7477923321394589E-5</v>
          </cell>
          <cell r="V79">
            <v>3.50329826349526E-5</v>
          </cell>
          <cell r="W79">
            <v>3.358462529835887E-5</v>
          </cell>
          <cell r="X79">
            <v>7.1030713104205245E-5</v>
          </cell>
          <cell r="Y79">
            <v>6.9411947087036973E-5</v>
          </cell>
          <cell r="Z79">
            <v>6.4863141404479711E-5</v>
          </cell>
          <cell r="AA79">
            <v>5.5433203972498298E-5</v>
          </cell>
          <cell r="AB79">
            <v>5.0681293923679244E-5</v>
          </cell>
          <cell r="AF79">
            <v>180</v>
          </cell>
          <cell r="AG79">
            <v>74</v>
          </cell>
          <cell r="AH79">
            <v>5.5555555555555558E-3</v>
          </cell>
          <cell r="AI79">
            <v>5.5555555555555558E-3</v>
          </cell>
          <cell r="AJ79">
            <v>5.5555555555555558E-3</v>
          </cell>
          <cell r="AK79">
            <v>5.5555555555555558E-3</v>
          </cell>
          <cell r="AL79">
            <v>5.5555555555555558E-3</v>
          </cell>
          <cell r="AO79">
            <v>5.3547523427041512E-4</v>
          </cell>
          <cell r="AP79">
            <v>74</v>
          </cell>
          <cell r="AQ79">
            <v>1.0964912280701754E-3</v>
          </cell>
          <cell r="AR79">
            <v>1.0964912280701754E-3</v>
          </cell>
          <cell r="AS79">
            <v>1.0964912280701754E-3</v>
          </cell>
          <cell r="AT79">
            <v>1.0964912280701754E-3</v>
          </cell>
          <cell r="AU79">
            <v>1.0964912280701754E-3</v>
          </cell>
          <cell r="BI79">
            <v>4.5864280112958428E-2</v>
          </cell>
          <cell r="BJ79">
            <v>4.5864280112958428E-2</v>
          </cell>
          <cell r="BK79">
            <v>4.5864280112958428E-2</v>
          </cell>
          <cell r="BL79">
            <v>4.5864280112958428E-2</v>
          </cell>
          <cell r="BM79">
            <v>4.5864280112958428E-2</v>
          </cell>
          <cell r="DG79">
            <v>2.8894993771965503</v>
          </cell>
        </row>
        <row r="80">
          <cell r="S80">
            <v>3.8398992461635742E-5</v>
          </cell>
          <cell r="T80">
            <v>3.7972540803377098E-5</v>
          </cell>
          <cell r="U80">
            <v>3.6902178286023877E-5</v>
          </cell>
          <cell r="V80">
            <v>3.4414744332575582E-5</v>
          </cell>
          <cell r="W80">
            <v>3.2974323656849219E-5</v>
          </cell>
          <cell r="X80">
            <v>6.9961756860219818E-5</v>
          </cell>
          <cell r="Y80">
            <v>6.8077914832078532E-5</v>
          </cell>
          <cell r="Z80">
            <v>6.3449758008079721E-5</v>
          </cell>
          <cell r="AA80">
            <v>5.3915828983529081E-5</v>
          </cell>
          <cell r="AB80">
            <v>4.925400987018472E-5</v>
          </cell>
          <cell r="AF80">
            <v>180</v>
          </cell>
          <cell r="AG80">
            <v>75</v>
          </cell>
          <cell r="AH80">
            <v>5.5555555555555558E-3</v>
          </cell>
          <cell r="AI80">
            <v>5.5555555555555558E-3</v>
          </cell>
          <cell r="AJ80">
            <v>5.5555555555555558E-3</v>
          </cell>
          <cell r="AK80">
            <v>5.5555555555555558E-3</v>
          </cell>
          <cell r="AL80">
            <v>5.5555555555555558E-3</v>
          </cell>
          <cell r="AO80">
            <v>5.3547523427041458E-4</v>
          </cell>
          <cell r="AP80">
            <v>75</v>
          </cell>
          <cell r="AQ80">
            <v>1.0869565217391304E-3</v>
          </cell>
          <cell r="AR80">
            <v>1.0869565217391304E-3</v>
          </cell>
          <cell r="AS80">
            <v>1.0869565217391304E-3</v>
          </cell>
          <cell r="AT80">
            <v>1.0869565217391304E-3</v>
          </cell>
          <cell r="AU80">
            <v>1.0869565217391304E-3</v>
          </cell>
          <cell r="BI80">
            <v>4.4964980502900424E-2</v>
          </cell>
          <cell r="BJ80">
            <v>4.4964980502900424E-2</v>
          </cell>
          <cell r="BK80">
            <v>4.4964980502900424E-2</v>
          </cell>
          <cell r="BL80">
            <v>4.4964980502900424E-2</v>
          </cell>
          <cell r="BM80">
            <v>4.4964980502900424E-2</v>
          </cell>
          <cell r="DG80">
            <v>2.8053392011616993</v>
          </cell>
        </row>
        <row r="81">
          <cell r="S81">
            <v>3.7890002102761241E-5</v>
          </cell>
          <cell r="T81">
            <v>3.7423531950005438E-5</v>
          </cell>
          <cell r="U81">
            <v>3.6335721192080492E-5</v>
          </cell>
          <cell r="V81">
            <v>3.3831780713252518E-5</v>
          </cell>
          <cell r="W81">
            <v>3.2382407619430359E-5</v>
          </cell>
          <cell r="X81">
            <v>6.8839353161122792E-5</v>
          </cell>
          <cell r="Y81">
            <v>6.6738463749383157E-5</v>
          </cell>
          <cell r="Z81">
            <v>6.2132505779062357E-5</v>
          </cell>
          <cell r="AA81">
            <v>5.2532953760949055E-5</v>
          </cell>
          <cell r="AB81">
            <v>4.7884567903435511E-5</v>
          </cell>
          <cell r="AF81">
            <v>180</v>
          </cell>
          <cell r="AG81">
            <v>76</v>
          </cell>
          <cell r="AH81">
            <v>5.5555555555555558E-3</v>
          </cell>
          <cell r="AI81">
            <v>5.5555555555555558E-3</v>
          </cell>
          <cell r="AJ81">
            <v>5.5555555555555558E-3</v>
          </cell>
          <cell r="AK81">
            <v>5.5555555555555558E-3</v>
          </cell>
          <cell r="AL81">
            <v>5.5555555555555558E-3</v>
          </cell>
          <cell r="AO81">
            <v>5.1309697935646083E-4</v>
          </cell>
          <cell r="AP81">
            <v>76</v>
          </cell>
          <cell r="AQ81">
            <v>1.0775862068965517E-3</v>
          </cell>
          <cell r="AR81">
            <v>1.0775862068965517E-3</v>
          </cell>
          <cell r="AS81">
            <v>1.0775862068965517E-3</v>
          </cell>
          <cell r="AT81">
            <v>1.0775862068965517E-3</v>
          </cell>
          <cell r="AU81">
            <v>1.0775862068965517E-3</v>
          </cell>
          <cell r="BI81">
            <v>4.4083314218529825E-2</v>
          </cell>
          <cell r="BJ81">
            <v>4.4083314218529825E-2</v>
          </cell>
          <cell r="BK81">
            <v>4.4083314218529825E-2</v>
          </cell>
          <cell r="BL81">
            <v>4.4083314218529825E-2</v>
          </cell>
          <cell r="BM81">
            <v>4.4083314218529825E-2</v>
          </cell>
          <cell r="DG81">
            <v>2.7236302923899993</v>
          </cell>
        </row>
        <row r="82">
          <cell r="S82">
            <v>3.7391888126620994E-5</v>
          </cell>
          <cell r="T82">
            <v>3.6878160689013909E-5</v>
          </cell>
          <cell r="U82">
            <v>3.5775019620569271E-5</v>
          </cell>
          <cell r="V82">
            <v>3.3250024621337428E-5</v>
          </cell>
          <cell r="W82">
            <v>3.1804730406100141E-5</v>
          </cell>
          <cell r="X82">
            <v>6.7730359374752725E-5</v>
          </cell>
          <cell r="Y82">
            <v>6.5391980037743001E-5</v>
          </cell>
          <cell r="Z82">
            <v>6.0833447889236948E-5</v>
          </cell>
          <cell r="AA82">
            <v>5.114434004092786E-5</v>
          </cell>
          <cell r="AB82">
            <v>4.6572687405689886E-5</v>
          </cell>
          <cell r="AF82">
            <v>180</v>
          </cell>
          <cell r="AG82">
            <v>77</v>
          </cell>
          <cell r="AH82">
            <v>5.5555555555555558E-3</v>
          </cell>
          <cell r="AI82">
            <v>5.5555555555555558E-3</v>
          </cell>
          <cell r="AJ82">
            <v>5.5555555555555558E-3</v>
          </cell>
          <cell r="AK82">
            <v>5.5555555555555558E-3</v>
          </cell>
          <cell r="AL82">
            <v>5.5555555555555558E-3</v>
          </cell>
          <cell r="AO82">
            <v>5.1282051282051325E-4</v>
          </cell>
          <cell r="AP82">
            <v>77</v>
          </cell>
          <cell r="AQ82">
            <v>1.0683760683760685E-3</v>
          </cell>
          <cell r="AR82">
            <v>1.0683760683760685E-3</v>
          </cell>
          <cell r="AS82">
            <v>1.0683760683760685E-3</v>
          </cell>
          <cell r="AT82">
            <v>1.0683760683760685E-3</v>
          </cell>
          <cell r="AU82">
            <v>1.0683760683760685E-3</v>
          </cell>
          <cell r="BI82">
            <v>4.3218935508362574E-2</v>
          </cell>
          <cell r="BJ82">
            <v>4.3218935508362574E-2</v>
          </cell>
          <cell r="BK82">
            <v>4.3218935508362574E-2</v>
          </cell>
          <cell r="BL82">
            <v>4.3218935508362574E-2</v>
          </cell>
          <cell r="BM82">
            <v>4.3218935508362574E-2</v>
          </cell>
          <cell r="DG82">
            <v>2.6443012547475719</v>
          </cell>
        </row>
        <row r="83">
          <cell r="S83">
            <v>3.6872743881139042E-5</v>
          </cell>
          <cell r="T83">
            <v>3.6338368978086051E-5</v>
          </cell>
          <cell r="U83">
            <v>3.5219528494676566E-5</v>
          </cell>
          <cell r="V83">
            <v>3.2683278267352783E-5</v>
          </cell>
          <cell r="W83">
            <v>3.1241225326369747E-5</v>
          </cell>
          <cell r="X83">
            <v>6.6477008996284505E-5</v>
          </cell>
          <cell r="Y83">
            <v>6.4039363789894938E-5</v>
          </cell>
          <cell r="Z83">
            <v>5.9542342432444908E-5</v>
          </cell>
          <cell r="AA83">
            <v>4.9807026760446641E-5</v>
          </cell>
          <cell r="AB83">
            <v>4.5304734929000454E-5</v>
          </cell>
          <cell r="AF83">
            <v>180</v>
          </cell>
          <cell r="AG83">
            <v>78</v>
          </cell>
          <cell r="AH83">
            <v>5.5555555555555558E-3</v>
          </cell>
          <cell r="AI83">
            <v>5.5555555555555558E-3</v>
          </cell>
          <cell r="AJ83">
            <v>5.5555555555555558E-3</v>
          </cell>
          <cell r="AK83">
            <v>5.5555555555555558E-3</v>
          </cell>
          <cell r="AL83">
            <v>5.5555555555555558E-3</v>
          </cell>
          <cell r="AO83">
            <v>4.9477164432729353E-4</v>
          </cell>
          <cell r="AP83">
            <v>78</v>
          </cell>
          <cell r="AQ83">
            <v>1.0593220338983051E-3</v>
          </cell>
          <cell r="AR83">
            <v>1.0593220338983051E-3</v>
          </cell>
          <cell r="AS83">
            <v>1.0593220338983051E-3</v>
          </cell>
          <cell r="AT83">
            <v>1.0593220338983051E-3</v>
          </cell>
          <cell r="AU83">
            <v>1.0593220338983051E-3</v>
          </cell>
          <cell r="BI83">
            <v>4.2371505400355468E-2</v>
          </cell>
          <cell r="BJ83">
            <v>4.2371505400355468E-2</v>
          </cell>
          <cell r="BK83">
            <v>4.2371505400355468E-2</v>
          </cell>
          <cell r="BL83">
            <v>4.2371505400355468E-2</v>
          </cell>
          <cell r="BM83">
            <v>4.2371505400355468E-2</v>
          </cell>
          <cell r="DG83">
            <v>2.5672827715995843</v>
          </cell>
        </row>
        <row r="84">
          <cell r="S84">
            <v>3.6346447803067319E-5</v>
          </cell>
          <cell r="T84">
            <v>3.5795632029299982E-5</v>
          </cell>
          <cell r="U84">
            <v>3.4675356116852616E-5</v>
          </cell>
          <cell r="V84">
            <v>3.2129249027666208E-5</v>
          </cell>
          <cell r="W84">
            <v>3.0729702014133189E-5</v>
          </cell>
          <cell r="X84">
            <v>6.514917516450658E-5</v>
          </cell>
          <cell r="Y84">
            <v>6.2649437556853261E-5</v>
          </cell>
          <cell r="Z84">
            <v>5.8275969638685879E-5</v>
          </cell>
          <cell r="AA84">
            <v>4.8516564220924269E-5</v>
          </cell>
          <cell r="AB84">
            <v>4.4216568040478511E-5</v>
          </cell>
          <cell r="AF84">
            <v>180</v>
          </cell>
          <cell r="AG84">
            <v>79</v>
          </cell>
          <cell r="AH84">
            <v>5.5555555555555558E-3</v>
          </cell>
          <cell r="AI84">
            <v>5.5555555555555558E-3</v>
          </cell>
          <cell r="AJ84">
            <v>5.5555555555555558E-3</v>
          </cell>
          <cell r="AK84">
            <v>5.5555555555555558E-3</v>
          </cell>
          <cell r="AL84">
            <v>5.5555555555555558E-3</v>
          </cell>
          <cell r="AO84">
            <v>4.9200492004919968E-4</v>
          </cell>
          <cell r="AP84">
            <v>79</v>
          </cell>
          <cell r="AQ84">
            <v>1.0504201680672268E-3</v>
          </cell>
          <cell r="AR84">
            <v>1.0504201680672268E-3</v>
          </cell>
          <cell r="AS84">
            <v>1.0504201680672268E-3</v>
          </cell>
          <cell r="AT84">
            <v>1.0504201680672268E-3</v>
          </cell>
          <cell r="AU84">
            <v>1.0504201680672268E-3</v>
          </cell>
          <cell r="BI84">
            <v>4.1540691568975947E-2</v>
          </cell>
          <cell r="BJ84">
            <v>4.1540691568975947E-2</v>
          </cell>
          <cell r="BK84">
            <v>4.1540691568975947E-2</v>
          </cell>
          <cell r="BL84">
            <v>4.1540691568975947E-2</v>
          </cell>
          <cell r="BM84">
            <v>4.1540691568975947E-2</v>
          </cell>
          <cell r="DG84">
            <v>2.4925075452423147</v>
          </cell>
        </row>
        <row r="85">
          <cell r="S85">
            <v>3.5824473551260177E-5</v>
          </cell>
          <cell r="T85">
            <v>3.5258993086982135E-5</v>
          </cell>
          <cell r="U85">
            <v>3.413977992774317E-5</v>
          </cell>
          <cell r="V85">
            <v>3.1581879615808808E-5</v>
          </cell>
          <cell r="W85">
            <v>3.0390033204125232E-5</v>
          </cell>
          <cell r="X85">
            <v>6.3819380527174515E-5</v>
          </cell>
          <cell r="Y85">
            <v>6.126316699918141E-5</v>
          </cell>
          <cell r="Z85">
            <v>5.7037612968376431E-5</v>
          </cell>
          <cell r="AA85">
            <v>4.724198815139629E-5</v>
          </cell>
          <cell r="AB85">
            <v>4.3720345062956834E-5</v>
          </cell>
          <cell r="AF85">
            <v>180</v>
          </cell>
          <cell r="AG85">
            <v>80</v>
          </cell>
          <cell r="AH85">
            <v>5.5555555555555558E-3</v>
          </cell>
          <cell r="AI85">
            <v>5.5555555555555558E-3</v>
          </cell>
          <cell r="AJ85">
            <v>5.5555555555555558E-3</v>
          </cell>
          <cell r="AK85">
            <v>5.5555555555555558E-3</v>
          </cell>
          <cell r="AL85">
            <v>5.5555555555555558E-3</v>
          </cell>
          <cell r="AO85">
            <v>4.7772307974465618E-4</v>
          </cell>
          <cell r="AP85">
            <v>80</v>
          </cell>
          <cell r="AQ85">
            <v>1.0416666666666667E-3</v>
          </cell>
          <cell r="AR85">
            <v>1.0416666666666667E-3</v>
          </cell>
          <cell r="AS85">
            <v>1.0416666666666667E-3</v>
          </cell>
          <cell r="AT85">
            <v>1.0416666666666667E-3</v>
          </cell>
          <cell r="AU85">
            <v>1.0416666666666667E-3</v>
          </cell>
          <cell r="BI85">
            <v>4.0726168204878378E-2</v>
          </cell>
          <cell r="BJ85">
            <v>4.0726168204878378E-2</v>
          </cell>
          <cell r="BK85">
            <v>4.0726168204878378E-2</v>
          </cell>
          <cell r="BL85">
            <v>4.0726168204878378E-2</v>
          </cell>
          <cell r="BM85">
            <v>4.0726168204878378E-2</v>
          </cell>
          <cell r="DG85">
            <v>2.4199102380993347</v>
          </cell>
        </row>
        <row r="86">
          <cell r="S86">
            <v>3.5030661934912219E-5</v>
          </cell>
          <cell r="T86">
            <v>3.4457410096881183E-5</v>
          </cell>
          <cell r="U86">
            <v>3.3331836461586698E-5</v>
          </cell>
          <cell r="V86">
            <v>3.0807833624749944E-5</v>
          </cell>
          <cell r="W86">
            <v>2.9823398633393431E-5</v>
          </cell>
          <cell r="X86">
            <v>6.1931797858416312E-5</v>
          </cell>
          <cell r="Y86">
            <v>5.9367703099829886E-5</v>
          </cell>
          <cell r="Z86">
            <v>5.5251445054115215E-5</v>
          </cell>
          <cell r="AA86">
            <v>4.5618589859736748E-5</v>
          </cell>
          <cell r="AB86">
            <v>4.2852111111751116E-5</v>
          </cell>
          <cell r="AF86">
            <v>180</v>
          </cell>
          <cell r="AG86">
            <v>81</v>
          </cell>
          <cell r="AH86">
            <v>5.5555555555555558E-3</v>
          </cell>
          <cell r="AI86">
            <v>5.5555555555555558E-3</v>
          </cell>
          <cell r="AJ86">
            <v>5.5555555555555558E-3</v>
          </cell>
          <cell r="AK86">
            <v>5.5555555555555558E-3</v>
          </cell>
          <cell r="AL86">
            <v>5.5555555555555558E-3</v>
          </cell>
          <cell r="AO86">
            <v>4.728132387706855E-4</v>
          </cell>
          <cell r="AP86">
            <v>81</v>
          </cell>
          <cell r="AQ86">
            <v>1.0330578512396695E-3</v>
          </cell>
          <cell r="AR86">
            <v>1.0330578512396695E-3</v>
          </cell>
          <cell r="AS86">
            <v>1.0330578512396695E-3</v>
          </cell>
          <cell r="AT86">
            <v>1.0330578512396695E-3</v>
          </cell>
          <cell r="AU86">
            <v>1.0330578512396695E-3</v>
          </cell>
          <cell r="BI86">
            <v>3.9927615887135663E-2</v>
          </cell>
          <cell r="BJ86">
            <v>3.9927615887135663E-2</v>
          </cell>
          <cell r="BK86">
            <v>3.9927615887135663E-2</v>
          </cell>
          <cell r="BL86">
            <v>3.9927615887135663E-2</v>
          </cell>
          <cell r="BM86">
            <v>3.9927615887135663E-2</v>
          </cell>
          <cell r="DG86">
            <v>2.349427415630422</v>
          </cell>
        </row>
        <row r="87">
          <cell r="S87">
            <v>3.4258845828509564E-5</v>
          </cell>
          <cell r="T87">
            <v>3.3678646770985549E-5</v>
          </cell>
          <cell r="U87">
            <v>3.2535990816865422E-5</v>
          </cell>
          <cell r="V87">
            <v>3.0051635152629673E-5</v>
          </cell>
          <cell r="W87">
            <v>2.9277854700087226E-5</v>
          </cell>
          <cell r="X87">
            <v>6.0086507477283524E-5</v>
          </cell>
          <cell r="Y87">
            <v>5.7567583052651969E-5</v>
          </cell>
          <cell r="Z87">
            <v>5.3471745965612384E-5</v>
          </cell>
          <cell r="AA87">
            <v>4.402403557798586E-5</v>
          </cell>
          <cell r="AB87">
            <v>4.2018250516330529E-5</v>
          </cell>
          <cell r="AF87">
            <v>180</v>
          </cell>
          <cell r="AG87">
            <v>82</v>
          </cell>
          <cell r="AH87">
            <v>5.5555555555555558E-3</v>
          </cell>
          <cell r="AI87">
            <v>5.5555555555555558E-3</v>
          </cell>
          <cell r="AJ87">
            <v>5.5555555555555558E-3</v>
          </cell>
          <cell r="AK87">
            <v>5.5555555555555558E-3</v>
          </cell>
          <cell r="AL87">
            <v>5.5555555555555558E-3</v>
          </cell>
          <cell r="AO87">
            <v>4.6084666578026544E-4</v>
          </cell>
          <cell r="AP87">
            <v>82</v>
          </cell>
          <cell r="AQ87">
            <v>1.0245901639344263E-3</v>
          </cell>
          <cell r="AR87">
            <v>1.0245901639344263E-3</v>
          </cell>
          <cell r="AS87">
            <v>1.0245901639344263E-3</v>
          </cell>
          <cell r="AT87">
            <v>1.0245901639344263E-3</v>
          </cell>
          <cell r="AU87">
            <v>1.0245901639344263E-3</v>
          </cell>
          <cell r="BI87">
            <v>3.9144721457976137E-2</v>
          </cell>
          <cell r="BJ87">
            <v>3.9144721457976137E-2</v>
          </cell>
          <cell r="BK87">
            <v>3.9144721457976137E-2</v>
          </cell>
          <cell r="BL87">
            <v>3.9144721457976137E-2</v>
          </cell>
          <cell r="BM87">
            <v>3.9144721457976137E-2</v>
          </cell>
          <cell r="DG87">
            <v>2.2809974909033217</v>
          </cell>
        </row>
        <row r="88">
          <cell r="S88">
            <v>3.3513013955511594E-5</v>
          </cell>
          <cell r="T88">
            <v>3.2926301673799923E-5</v>
          </cell>
          <cell r="U88">
            <v>3.1789395183467937E-5</v>
          </cell>
          <cell r="V88">
            <v>2.9319608648733188E-5</v>
          </cell>
          <cell r="W88">
            <v>2.8754836444120414E-5</v>
          </cell>
          <cell r="X88">
            <v>5.8306540917946543E-5</v>
          </cell>
          <cell r="Y88">
            <v>5.5880081309670836E-5</v>
          </cell>
          <cell r="Z88">
            <v>5.1723152079184721E-5</v>
          </cell>
          <cell r="AA88">
            <v>4.2494646924545465E-5</v>
          </cell>
          <cell r="AB88">
            <v>4.1220284684848945E-5</v>
          </cell>
          <cell r="AF88">
            <v>180</v>
          </cell>
          <cell r="AG88">
            <v>83</v>
          </cell>
          <cell r="AH88">
            <v>5.5555555555555558E-3</v>
          </cell>
          <cell r="AI88">
            <v>5.5555555555555558E-3</v>
          </cell>
          <cell r="AJ88">
            <v>5.5555555555555558E-3</v>
          </cell>
          <cell r="AK88">
            <v>5.5555555555555558E-3</v>
          </cell>
          <cell r="AL88">
            <v>5.5555555555555558E-3</v>
          </cell>
          <cell r="AO88">
            <v>4.5351473922902486E-4</v>
          </cell>
          <cell r="AP88">
            <v>83</v>
          </cell>
          <cell r="AQ88">
            <v>1.0162601626016261E-3</v>
          </cell>
          <cell r="AR88">
            <v>1.0162601626016261E-3</v>
          </cell>
          <cell r="AS88">
            <v>1.0162601626016261E-3</v>
          </cell>
          <cell r="AT88">
            <v>1.0162601626016261E-3</v>
          </cell>
          <cell r="AU88">
            <v>1.0162601626016261E-3</v>
          </cell>
          <cell r="BI88">
            <v>3.8377177899976606E-2</v>
          </cell>
          <cell r="BJ88">
            <v>3.8377177899976606E-2</v>
          </cell>
          <cell r="BK88">
            <v>3.8377177899976606E-2</v>
          </cell>
          <cell r="BL88">
            <v>3.8377177899976606E-2</v>
          </cell>
          <cell r="BM88">
            <v>3.8377177899976606E-2</v>
          </cell>
          <cell r="DG88">
            <v>2.2145606707799241</v>
          </cell>
        </row>
        <row r="89">
          <cell r="S89">
            <v>3.0333731565146178E-5</v>
          </cell>
          <cell r="T89">
            <v>2.9797039639982116E-5</v>
          </cell>
          <cell r="U89">
            <v>2.8773658726583812E-5</v>
          </cell>
          <cell r="V89">
            <v>2.657928320535656E-5</v>
          </cell>
          <cell r="W89">
            <v>2.6178983434692726E-5</v>
          </cell>
          <cell r="X89">
            <v>5.1781504560891601E-5</v>
          </cell>
          <cell r="Y89">
            <v>4.9762128745853871E-5</v>
          </cell>
          <cell r="Z89">
            <v>4.6117358522668021E-5</v>
          </cell>
          <cell r="AA89">
            <v>3.8234133854726857E-5</v>
          </cell>
          <cell r="AB89">
            <v>3.7626173795066034E-5</v>
          </cell>
          <cell r="AF89">
            <v>180</v>
          </cell>
          <cell r="AG89">
            <v>84</v>
          </cell>
          <cell r="AH89">
            <v>5.5555555555555558E-3</v>
          </cell>
          <cell r="AI89">
            <v>5.5555555555555558E-3</v>
          </cell>
          <cell r="AJ89">
            <v>5.5555555555555558E-3</v>
          </cell>
          <cell r="AK89">
            <v>5.5555555555555558E-3</v>
          </cell>
          <cell r="AL89">
            <v>5.5555555555555558E-3</v>
          </cell>
          <cell r="AO89">
            <v>4.4473984414449707E-4</v>
          </cell>
          <cell r="AP89">
            <v>84</v>
          </cell>
          <cell r="AQ89">
            <v>1.0080645161290322E-3</v>
          </cell>
          <cell r="AR89">
            <v>1.0080645161290322E-3</v>
          </cell>
          <cell r="AS89">
            <v>1.0080645161290322E-3</v>
          </cell>
          <cell r="AT89">
            <v>1.0080645161290322E-3</v>
          </cell>
          <cell r="AU89">
            <v>1.0080645161290322E-3</v>
          </cell>
          <cell r="BI89">
            <v>3.762468421566334E-2</v>
          </cell>
          <cell r="BJ89">
            <v>3.762468421566334E-2</v>
          </cell>
          <cell r="BK89">
            <v>3.762468421566334E-2</v>
          </cell>
          <cell r="BL89">
            <v>3.762468421566334E-2</v>
          </cell>
          <cell r="BM89">
            <v>3.762468421566334E-2</v>
          </cell>
          <cell r="DG89">
            <v>2.1500589036698292</v>
          </cell>
        </row>
        <row r="90">
          <cell r="S90">
            <v>2.9709609502306291E-5</v>
          </cell>
          <cell r="T90">
            <v>2.9155765313744135E-5</v>
          </cell>
          <cell r="U90">
            <v>2.8139236425497462E-5</v>
          </cell>
          <cell r="V90">
            <v>2.6096862653412308E-5</v>
          </cell>
          <cell r="W90">
            <v>2.5729421390617818E-5</v>
          </cell>
          <cell r="X90">
            <v>5.0358515315444296E-5</v>
          </cell>
          <cell r="Y90">
            <v>4.8356595766469851E-5</v>
          </cell>
          <cell r="Z90">
            <v>4.467339703736573E-5</v>
          </cell>
          <cell r="AA90">
            <v>3.7443034106788005E-5</v>
          </cell>
          <cell r="AB90">
            <v>3.6940719093123706E-5</v>
          </cell>
          <cell r="AF90">
            <v>180</v>
          </cell>
          <cell r="AG90">
            <v>85</v>
          </cell>
          <cell r="AH90">
            <v>5.5555555555555558E-3</v>
          </cell>
          <cell r="AI90">
            <v>5.5555555555555558E-3</v>
          </cell>
          <cell r="AJ90">
            <v>5.5555555555555558E-3</v>
          </cell>
          <cell r="AK90">
            <v>5.5555555555555558E-3</v>
          </cell>
          <cell r="AL90">
            <v>5.5555555555555558E-3</v>
          </cell>
          <cell r="AO90">
            <v>4.3572984749455358E-4</v>
          </cell>
          <cell r="AP90">
            <v>85</v>
          </cell>
          <cell r="AQ90">
            <v>1E-3</v>
          </cell>
          <cell r="AR90">
            <v>1E-3</v>
          </cell>
          <cell r="AS90">
            <v>1E-3</v>
          </cell>
          <cell r="AT90">
            <v>1E-3</v>
          </cell>
          <cell r="AU90">
            <v>1E-3</v>
          </cell>
          <cell r="BI90">
            <v>3.6886945309473861E-2</v>
          </cell>
          <cell r="BJ90">
            <v>3.6886945309473861E-2</v>
          </cell>
          <cell r="BK90">
            <v>3.6886945309473861E-2</v>
          </cell>
          <cell r="BL90">
            <v>3.6886945309473861E-2</v>
          </cell>
          <cell r="BM90">
            <v>3.6886945309473861E-2</v>
          </cell>
          <cell r="DG90">
            <v>2.0874358288056594</v>
          </cell>
        </row>
        <row r="91">
          <cell r="S91">
            <v>2.9107339845318585E-5</v>
          </cell>
          <cell r="T91">
            <v>2.8527108333166856E-5</v>
          </cell>
          <cell r="U91">
            <v>2.7515404675831707E-5</v>
          </cell>
          <cell r="V91">
            <v>2.5656105763189957E-5</v>
          </cell>
          <cell r="W91">
            <v>2.5291302968220653E-5</v>
          </cell>
          <cell r="X91">
            <v>4.9048727581741074E-5</v>
          </cell>
          <cell r="Y91">
            <v>4.696958522305209E-5</v>
          </cell>
          <cell r="Z91">
            <v>4.3241012903783532E-5</v>
          </cell>
          <cell r="AA91">
            <v>3.6772932229795135E-5</v>
          </cell>
          <cell r="AB91">
            <v>3.6274754994872297E-5</v>
          </cell>
          <cell r="AF91">
            <v>180</v>
          </cell>
          <cell r="AG91">
            <v>86</v>
          </cell>
          <cell r="AH91">
            <v>5.5555555555555558E-3</v>
          </cell>
          <cell r="AI91">
            <v>5.5555555555555558E-3</v>
          </cell>
          <cell r="AJ91">
            <v>5.5555555555555558E-3</v>
          </cell>
          <cell r="AK91">
            <v>5.5555555555555558E-3</v>
          </cell>
          <cell r="AL91">
            <v>5.5555555555555558E-3</v>
          </cell>
          <cell r="AO91">
            <v>4.2972819920064327E-4</v>
          </cell>
          <cell r="AP91">
            <v>86</v>
          </cell>
          <cell r="AQ91">
            <v>9.9206349206349201E-4</v>
          </cell>
          <cell r="AR91">
            <v>9.9206349206349201E-4</v>
          </cell>
          <cell r="AS91">
            <v>9.9206349206349201E-4</v>
          </cell>
          <cell r="AT91">
            <v>9.9206349206349201E-4</v>
          </cell>
          <cell r="AU91">
            <v>9.9206349206349201E-4</v>
          </cell>
          <cell r="BI91">
            <v>3.6163671872033197E-2</v>
          </cell>
          <cell r="BJ91">
            <v>3.6163671872033197E-2</v>
          </cell>
          <cell r="BK91">
            <v>3.6163671872033197E-2</v>
          </cell>
          <cell r="BL91">
            <v>3.6163671872033197E-2</v>
          </cell>
          <cell r="BM91">
            <v>3.6163671872033197E-2</v>
          </cell>
          <cell r="DG91">
            <v>2.0266367269957857</v>
          </cell>
        </row>
        <row r="92">
          <cell r="S92">
            <v>2.8534130614386784E-5</v>
          </cell>
          <cell r="T92">
            <v>2.7925344290851031E-5</v>
          </cell>
          <cell r="U92">
            <v>2.6904307751698835E-5</v>
          </cell>
          <cell r="V92">
            <v>2.5226090498848262E-5</v>
          </cell>
          <cell r="W92">
            <v>2.4869872120768938E-5</v>
          </cell>
          <cell r="X92">
            <v>4.7833534316308511E-5</v>
          </cell>
          <cell r="Y92">
            <v>4.565625436894853E-5</v>
          </cell>
          <cell r="Z92">
            <v>4.1839473219935077E-5</v>
          </cell>
          <cell r="AA92">
            <v>3.6121140798979384E-5</v>
          </cell>
          <cell r="AB92">
            <v>3.5635184027034673E-5</v>
          </cell>
          <cell r="AF92">
            <v>180</v>
          </cell>
          <cell r="AG92">
            <v>87</v>
          </cell>
          <cell r="AH92">
            <v>5.5555555555555558E-3</v>
          </cell>
          <cell r="AI92">
            <v>5.5555555555555558E-3</v>
          </cell>
          <cell r="AJ92">
            <v>5.5555555555555558E-3</v>
          </cell>
          <cell r="AK92">
            <v>5.5555555555555558E-3</v>
          </cell>
          <cell r="AL92">
            <v>5.5555555555555558E-3</v>
          </cell>
          <cell r="AO92">
            <v>4.1928721174004169E-4</v>
          </cell>
          <cell r="AP92">
            <v>87</v>
          </cell>
          <cell r="AQ92">
            <v>9.8425196850393699E-4</v>
          </cell>
          <cell r="AR92">
            <v>9.8425196850393699E-4</v>
          </cell>
          <cell r="AS92">
            <v>9.8425196850393699E-4</v>
          </cell>
          <cell r="AT92">
            <v>9.8425196850393699E-4</v>
          </cell>
          <cell r="AU92">
            <v>9.8425196850393699E-4</v>
          </cell>
          <cell r="BI92">
            <v>3.5454580266699211E-2</v>
          </cell>
          <cell r="BJ92">
            <v>3.5454580266699211E-2</v>
          </cell>
          <cell r="BK92">
            <v>3.5454580266699211E-2</v>
          </cell>
          <cell r="BL92">
            <v>3.5454580266699211E-2</v>
          </cell>
          <cell r="BM92">
            <v>3.5454580266699211E-2</v>
          </cell>
          <cell r="DG92">
            <v>1.9676084728114425</v>
          </cell>
        </row>
        <row r="93">
          <cell r="S93">
            <v>2.7989226870206384E-5</v>
          </cell>
          <cell r="T93">
            <v>2.7340742815334032E-5</v>
          </cell>
          <cell r="U93">
            <v>2.6327375449678428E-5</v>
          </cell>
          <cell r="V93">
            <v>2.4810454761183305E-5</v>
          </cell>
          <cell r="W93">
            <v>2.4462621914327536E-5</v>
          </cell>
          <cell r="X93">
            <v>4.6696982447238439E-5</v>
          </cell>
          <cell r="Y93">
            <v>4.4370417997353761E-5</v>
          </cell>
          <cell r="Z93">
            <v>4.0563686243807579E-5</v>
          </cell>
          <cell r="AA93">
            <v>3.5492376469749409E-5</v>
          </cell>
          <cell r="AB93">
            <v>3.5018328095510283E-5</v>
          </cell>
          <cell r="AF93">
            <v>180</v>
          </cell>
          <cell r="AG93">
            <v>88</v>
          </cell>
          <cell r="AH93">
            <v>5.5555555555555558E-3</v>
          </cell>
          <cell r="AI93">
            <v>5.5555555555555558E-3</v>
          </cell>
          <cell r="AJ93">
            <v>5.5555555555555558E-3</v>
          </cell>
          <cell r="AK93">
            <v>5.5555555555555558E-3</v>
          </cell>
          <cell r="AL93">
            <v>5.5555555555555558E-3</v>
          </cell>
          <cell r="AO93">
            <v>4.1570276585312251E-4</v>
          </cell>
          <cell r="AP93">
            <v>88</v>
          </cell>
          <cell r="AQ93">
            <v>9.765625E-4</v>
          </cell>
          <cell r="AR93">
            <v>9.765625E-4</v>
          </cell>
          <cell r="AS93">
            <v>9.765625E-4</v>
          </cell>
          <cell r="AT93">
            <v>9.765625E-4</v>
          </cell>
          <cell r="AU93">
            <v>9.765625E-4</v>
          </cell>
          <cell r="BI93">
            <v>3.4759392418332563E-2</v>
          </cell>
          <cell r="BJ93">
            <v>3.4759392418332563E-2</v>
          </cell>
          <cell r="BK93">
            <v>3.4759392418332563E-2</v>
          </cell>
          <cell r="BL93">
            <v>3.4759392418332563E-2</v>
          </cell>
          <cell r="BM93">
            <v>3.4759392418332563E-2</v>
          </cell>
          <cell r="DG93">
            <v>1.9102994881664488</v>
          </cell>
        </row>
        <row r="94">
          <cell r="S94">
            <v>2.7455521819674185E-5</v>
          </cell>
          <cell r="T94">
            <v>2.6786042393383255E-5</v>
          </cell>
          <cell r="U94">
            <v>2.577808038811311E-5</v>
          </cell>
          <cell r="V94">
            <v>2.4409208509675234E-5</v>
          </cell>
          <cell r="W94">
            <v>2.4068372648049527E-5</v>
          </cell>
          <cell r="X94">
            <v>4.557839647452103E-5</v>
          </cell>
          <cell r="Y94">
            <v>4.3114631648848976E-5</v>
          </cell>
          <cell r="Z94">
            <v>3.9380669146543736E-5</v>
          </cell>
          <cell r="AA94">
            <v>3.4886417328462306E-5</v>
          </cell>
          <cell r="AB94">
            <v>3.4422348638001542E-5</v>
          </cell>
          <cell r="AF94">
            <v>180</v>
          </cell>
          <cell r="AG94">
            <v>89</v>
          </cell>
          <cell r="AH94">
            <v>5.5555555555555558E-3</v>
          </cell>
          <cell r="AI94">
            <v>5.5555555555555558E-3</v>
          </cell>
          <cell r="AJ94">
            <v>5.5555555555555558E-3</v>
          </cell>
          <cell r="AK94">
            <v>5.5555555555555558E-3</v>
          </cell>
          <cell r="AL94">
            <v>5.5555555555555558E-3</v>
          </cell>
          <cell r="AO94">
            <v>4.0404040404040404E-4</v>
          </cell>
          <cell r="AP94">
            <v>89</v>
          </cell>
          <cell r="AQ94">
            <v>9.6899224806201549E-4</v>
          </cell>
          <cell r="AR94">
            <v>9.6899224806201549E-4</v>
          </cell>
          <cell r="AS94">
            <v>9.6899224806201549E-4</v>
          </cell>
          <cell r="AT94">
            <v>9.6899224806201549E-4</v>
          </cell>
          <cell r="AU94">
            <v>9.6899224806201549E-4</v>
          </cell>
          <cell r="BI94">
            <v>3.4077835704247605E-2</v>
          </cell>
          <cell r="BJ94">
            <v>3.4077835704247605E-2</v>
          </cell>
          <cell r="BK94">
            <v>3.4077835704247605E-2</v>
          </cell>
          <cell r="BL94">
            <v>3.4077835704247605E-2</v>
          </cell>
          <cell r="BM94">
            <v>3.4077835704247605E-2</v>
          </cell>
          <cell r="DG94">
            <v>1.8546596972489795</v>
          </cell>
        </row>
        <row r="95">
          <cell r="S95">
            <v>2.6930716158730427E-5</v>
          </cell>
          <cell r="T95">
            <v>2.6250417715049776E-5</v>
          </cell>
          <cell r="U95">
            <v>2.5238199757411239E-5</v>
          </cell>
          <cell r="V95">
            <v>2.4019927499420699E-5</v>
          </cell>
          <cell r="W95">
            <v>2.3682652457075192E-5</v>
          </cell>
          <cell r="X95">
            <v>4.447356139034289E-5</v>
          </cell>
          <cell r="Y95">
            <v>4.1919607637440923E-5</v>
          </cell>
          <cell r="Z95">
            <v>3.8208308982096599E-5</v>
          </cell>
          <cell r="AA95">
            <v>3.4299748554712673E-5</v>
          </cell>
          <cell r="AB95">
            <v>3.3840947546531304E-5</v>
          </cell>
          <cell r="AF95">
            <v>180</v>
          </cell>
          <cell r="AG95">
            <v>90</v>
          </cell>
          <cell r="AH95">
            <v>5.5555555555555558E-3</v>
          </cell>
          <cell r="AI95">
            <v>5.5555555555555558E-3</v>
          </cell>
          <cell r="AJ95">
            <v>5.5555555555555558E-3</v>
          </cell>
          <cell r="AK95">
            <v>5.5555555555555558E-3</v>
          </cell>
          <cell r="AL95">
            <v>5.5555555555555558E-3</v>
          </cell>
          <cell r="AO95">
            <v>4.0244653009220796E-4</v>
          </cell>
          <cell r="AP95">
            <v>90</v>
          </cell>
          <cell r="AQ95">
            <v>9.6153846153846159E-4</v>
          </cell>
          <cell r="AR95">
            <v>9.6153846153846159E-4</v>
          </cell>
          <cell r="AS95">
            <v>9.6153846153846159E-4</v>
          </cell>
          <cell r="AT95">
            <v>9.6153846153846159E-4</v>
          </cell>
          <cell r="AU95">
            <v>9.6153846153846159E-4</v>
          </cell>
          <cell r="BI95">
            <v>3.3409642847301572E-2</v>
          </cell>
          <cell r="BJ95">
            <v>3.3409642847301572E-2</v>
          </cell>
          <cell r="BK95">
            <v>3.3409642847301572E-2</v>
          </cell>
          <cell r="BL95">
            <v>3.3409642847301572E-2</v>
          </cell>
          <cell r="BM95">
            <v>3.3409642847301572E-2</v>
          </cell>
          <cell r="DG95">
            <v>1.8006404827659994</v>
          </cell>
        </row>
        <row r="96">
          <cell r="S96">
            <v>2.2395449155690507E-5</v>
          </cell>
          <cell r="T96">
            <v>2.1812191118534085E-5</v>
          </cell>
          <cell r="U96">
            <v>2.0945335470990671E-5</v>
          </cell>
          <cell r="V96">
            <v>2.0034411233150511E-5</v>
          </cell>
          <cell r="W96">
            <v>1.9735543714229327E-5</v>
          </cell>
          <cell r="X96">
            <v>3.6845476333208503E-5</v>
          </cell>
          <cell r="Y96">
            <v>3.4612223230139228E-5</v>
          </cell>
          <cell r="Z96">
            <v>3.1464778700503936E-5</v>
          </cell>
          <cell r="AA96">
            <v>2.8607326854505307E-5</v>
          </cell>
          <cell r="AB96">
            <v>2.8200789622109419E-5</v>
          </cell>
          <cell r="AF96">
            <v>180</v>
          </cell>
          <cell r="AG96">
            <v>91</v>
          </cell>
          <cell r="AH96">
            <v>5.5555555555555558E-3</v>
          </cell>
          <cell r="AI96">
            <v>5.5555555555555558E-3</v>
          </cell>
          <cell r="AJ96">
            <v>5.5555555555555558E-3</v>
          </cell>
          <cell r="AK96">
            <v>5.5555555555555558E-3</v>
          </cell>
          <cell r="AL96">
            <v>5.5555555555555558E-3</v>
          </cell>
          <cell r="AO96">
            <v>3.887269193391643E-4</v>
          </cell>
          <cell r="AP96">
            <v>91</v>
          </cell>
          <cell r="AQ96">
            <v>9.5419847328244271E-4</v>
          </cell>
          <cell r="AR96">
            <v>9.5419847328244271E-4</v>
          </cell>
          <cell r="AS96">
            <v>9.5419847328244271E-4</v>
          </cell>
          <cell r="AT96">
            <v>9.5419847328244271E-4</v>
          </cell>
          <cell r="AU96">
            <v>9.5419847328244271E-4</v>
          </cell>
          <cell r="BI96">
            <v>3.2754551811079974E-2</v>
          </cell>
          <cell r="BJ96">
            <v>3.2754551811079974E-2</v>
          </cell>
          <cell r="BK96">
            <v>3.2754551811079974E-2</v>
          </cell>
          <cell r="BL96">
            <v>3.2754551811079974E-2</v>
          </cell>
          <cell r="BM96">
            <v>3.2754551811079974E-2</v>
          </cell>
          <cell r="DG96">
            <v>1.7481946434621352</v>
          </cell>
        </row>
        <row r="97">
          <cell r="S97">
            <v>1.9157805005577148E-5</v>
          </cell>
          <cell r="T97">
            <v>1.8641662132076632E-5</v>
          </cell>
          <cell r="U97">
            <v>1.7883897761236928E-5</v>
          </cell>
          <cell r="V97">
            <v>1.7172393659952259E-5</v>
          </cell>
          <cell r="W97">
            <v>1.6916180326482281E-5</v>
          </cell>
          <cell r="X97">
            <v>3.1403314675253225E-5</v>
          </cell>
          <cell r="Y97">
            <v>2.9398170989394144E-5</v>
          </cell>
          <cell r="Z97">
            <v>2.6669231921395681E-5</v>
          </cell>
          <cell r="AA97">
            <v>2.4520621842969938E-5</v>
          </cell>
          <cell r="AB97">
            <v>2.4172105390379503E-5</v>
          </cell>
          <cell r="AF97">
            <v>180</v>
          </cell>
          <cell r="AG97">
            <v>92</v>
          </cell>
          <cell r="AH97">
            <v>5.5555555555555558E-3</v>
          </cell>
          <cell r="AI97">
            <v>5.5555555555555558E-3</v>
          </cell>
          <cell r="AJ97">
            <v>5.5555555555555558E-3</v>
          </cell>
          <cell r="AK97">
            <v>5.5555555555555558E-3</v>
          </cell>
          <cell r="AL97">
            <v>5.5555555555555558E-3</v>
          </cell>
          <cell r="AO97">
            <v>3.8872691933916403E-4</v>
          </cell>
          <cell r="AP97">
            <v>92</v>
          </cell>
          <cell r="AQ97">
            <v>9.46969696969697E-4</v>
          </cell>
          <cell r="AR97">
            <v>9.46969696969697E-4</v>
          </cell>
          <cell r="AS97">
            <v>9.46969696969697E-4</v>
          </cell>
          <cell r="AT97">
            <v>9.46969696969697E-4</v>
          </cell>
          <cell r="AU97">
            <v>9.46969696969697E-4</v>
          </cell>
          <cell r="BI97">
            <v>3.2112305697137231E-2</v>
          </cell>
          <cell r="BJ97">
            <v>3.2112305697137231E-2</v>
          </cell>
          <cell r="BK97">
            <v>3.2112305697137231E-2</v>
          </cell>
          <cell r="BL97">
            <v>3.2112305697137231E-2</v>
          </cell>
          <cell r="BM97">
            <v>3.2112305697137231E-2</v>
          </cell>
          <cell r="DG97">
            <v>1.6972763528758594</v>
          </cell>
        </row>
        <row r="98">
          <cell r="S98">
            <v>1.6725445630124449E-5</v>
          </cell>
          <cell r="T98">
            <v>1.6258901627355851E-5</v>
          </cell>
          <cell r="U98">
            <v>1.5575082869952646E-5</v>
          </cell>
          <cell r="V98">
            <v>1.5025844452458229E-5</v>
          </cell>
          <cell r="W98">
            <v>1.4801657785671995E-5</v>
          </cell>
          <cell r="X98">
            <v>2.7309108148145088E-5</v>
          </cell>
          <cell r="Y98">
            <v>2.5467665988255059E-5</v>
          </cell>
          <cell r="Z98">
            <v>2.305381427523113E-5</v>
          </cell>
          <cell r="AA98">
            <v>2.1455544112598697E-5</v>
          </cell>
          <cell r="AB98">
            <v>2.1150592216582064E-5</v>
          </cell>
          <cell r="AF98">
            <v>180</v>
          </cell>
          <cell r="AG98">
            <v>93</v>
          </cell>
          <cell r="AH98">
            <v>5.5555555555555558E-3</v>
          </cell>
          <cell r="AI98">
            <v>5.5555555555555558E-3</v>
          </cell>
          <cell r="AJ98">
            <v>5.5555555555555558E-3</v>
          </cell>
          <cell r="AK98">
            <v>5.5555555555555558E-3</v>
          </cell>
          <cell r="AL98">
            <v>5.5555555555555558E-3</v>
          </cell>
          <cell r="AO98">
            <v>3.7488579443303426E-4</v>
          </cell>
          <cell r="AP98">
            <v>93</v>
          </cell>
          <cell r="AQ98">
            <v>9.3984962406015032E-4</v>
          </cell>
          <cell r="AR98">
            <v>9.3984962406015032E-4</v>
          </cell>
          <cell r="AS98">
            <v>9.3984962406015032E-4</v>
          </cell>
          <cell r="AT98">
            <v>9.3984962406015032E-4</v>
          </cell>
          <cell r="AU98">
            <v>9.3984962406015032E-4</v>
          </cell>
          <cell r="BI98">
            <v>3.1482652644252186E-2</v>
          </cell>
          <cell r="BJ98">
            <v>3.1482652644252186E-2</v>
          </cell>
          <cell r="BK98">
            <v>3.1482652644252186E-2</v>
          </cell>
          <cell r="BL98">
            <v>3.1482652644252186E-2</v>
          </cell>
          <cell r="BM98">
            <v>3.1482652644252186E-2</v>
          </cell>
          <cell r="DG98">
            <v>1.6478411192969509</v>
          </cell>
        </row>
        <row r="99">
          <cell r="S99">
            <v>1.4841927845629278E-5</v>
          </cell>
          <cell r="T99">
            <v>1.4408610498984116E-5</v>
          </cell>
          <cell r="U99">
            <v>1.3789826920894323E-5</v>
          </cell>
          <cell r="V99">
            <v>1.3356306179962869E-5</v>
          </cell>
          <cell r="W99">
            <v>1.3157029142819551E-5</v>
          </cell>
          <cell r="X99">
            <v>2.415597708235384E-5</v>
          </cell>
          <cell r="Y99">
            <v>2.2449112311297006E-5</v>
          </cell>
          <cell r="Z99">
            <v>2.0288107586035786E-5</v>
          </cell>
          <cell r="AA99">
            <v>1.9071594766754396E-5</v>
          </cell>
          <cell r="AB99">
            <v>1.8800526414739612E-5</v>
          </cell>
          <cell r="AF99">
            <v>180</v>
          </cell>
          <cell r="AG99">
            <v>94</v>
          </cell>
          <cell r="AH99">
            <v>5.5555555555555558E-3</v>
          </cell>
          <cell r="AI99">
            <v>5.5555555555555558E-3</v>
          </cell>
          <cell r="AJ99">
            <v>5.5555555555555558E-3</v>
          </cell>
          <cell r="AK99">
            <v>5.5555555555555558E-3</v>
          </cell>
          <cell r="AL99">
            <v>5.5555555555555558E-3</v>
          </cell>
          <cell r="AO99">
            <v>3.7453183520599274E-4</v>
          </cell>
          <cell r="AP99">
            <v>94</v>
          </cell>
          <cell r="AQ99">
            <v>9.3283582089552237E-4</v>
          </cell>
          <cell r="AR99">
            <v>9.3283582089552237E-4</v>
          </cell>
          <cell r="AS99">
            <v>9.3283582089552237E-4</v>
          </cell>
          <cell r="AT99">
            <v>9.3283582089552237E-4</v>
          </cell>
          <cell r="AU99">
            <v>9.3283582089552237E-4</v>
          </cell>
          <cell r="BI99">
            <v>3.0865345729659006E-2</v>
          </cell>
          <cell r="BJ99">
            <v>3.0865345729659006E-2</v>
          </cell>
          <cell r="BK99">
            <v>3.0865345729659006E-2</v>
          </cell>
          <cell r="BL99">
            <v>3.0865345729659006E-2</v>
          </cell>
          <cell r="BM99">
            <v>3.0865345729659006E-2</v>
          </cell>
          <cell r="DG99">
            <v>1.5998457468902436</v>
          </cell>
        </row>
        <row r="100">
          <cell r="S100">
            <v>1.3328166530582622E-5</v>
          </cell>
          <cell r="T100">
            <v>1.2924928389543831E-5</v>
          </cell>
          <cell r="U100">
            <v>1.2367872456631148E-5</v>
          </cell>
          <cell r="V100">
            <v>1.2020675561966582E-5</v>
          </cell>
          <cell r="W100">
            <v>1.1841326228537596E-5</v>
          </cell>
          <cell r="X100">
            <v>2.1621695460241989E-5</v>
          </cell>
          <cell r="Y100">
            <v>2.0026984196261382E-5</v>
          </cell>
          <cell r="Z100">
            <v>1.810068006225022E-5</v>
          </cell>
          <cell r="AA100">
            <v>1.7164435290078956E-5</v>
          </cell>
          <cell r="AB100">
            <v>1.6920473773265652E-5</v>
          </cell>
          <cell r="AF100">
            <v>180</v>
          </cell>
          <cell r="AG100">
            <v>95</v>
          </cell>
          <cell r="AH100">
            <v>5.5555555555555558E-3</v>
          </cell>
          <cell r="AI100">
            <v>5.5555555555555558E-3</v>
          </cell>
          <cell r="AJ100">
            <v>5.5555555555555558E-3</v>
          </cell>
          <cell r="AK100">
            <v>5.5555555555555558E-3</v>
          </cell>
          <cell r="AL100">
            <v>5.5555555555555558E-3</v>
          </cell>
          <cell r="AO100">
            <v>3.6320180846452683E-4</v>
          </cell>
          <cell r="AP100">
            <v>95</v>
          </cell>
          <cell r="AQ100">
            <v>9.2592592592592596E-4</v>
          </cell>
          <cell r="AR100">
            <v>9.2592592592592596E-4</v>
          </cell>
          <cell r="AS100">
            <v>9.2592592592592596E-4</v>
          </cell>
          <cell r="AT100">
            <v>9.2592592592592596E-4</v>
          </cell>
          <cell r="AU100">
            <v>9.2592592592592596E-4</v>
          </cell>
          <cell r="BI100">
            <v>3.0260142872214714E-2</v>
          </cell>
          <cell r="BJ100">
            <v>3.0260142872214714E-2</v>
          </cell>
          <cell r="BK100">
            <v>3.0260142872214714E-2</v>
          </cell>
          <cell r="BL100">
            <v>3.0260142872214714E-2</v>
          </cell>
          <cell r="BM100">
            <v>3.0260142872214714E-2</v>
          </cell>
          <cell r="DG100">
            <v>1.5532482979516926</v>
          </cell>
        </row>
        <row r="101">
          <cell r="S101">
            <v>1.209003419788972E-5</v>
          </cell>
          <cell r="T101">
            <v>1.1714571989761619E-5</v>
          </cell>
          <cell r="U101">
            <v>1.120217045942885E-5</v>
          </cell>
          <cell r="V101">
            <v>1.0927886874515074E-5</v>
          </cell>
          <cell r="W101">
            <v>1.076484202594327E-5</v>
          </cell>
          <cell r="X101">
            <v>1.9537081485181561E-5</v>
          </cell>
          <cell r="Y101">
            <v>1.8061523261851104E-5</v>
          </cell>
          <cell r="Z101">
            <v>1.6304171426266799E-5</v>
          </cell>
          <cell r="AA101">
            <v>1.5604032081889959E-5</v>
          </cell>
          <cell r="AB101">
            <v>1.5382248884786955E-5</v>
          </cell>
          <cell r="AF101">
            <v>180</v>
          </cell>
          <cell r="AG101">
            <v>96</v>
          </cell>
          <cell r="AH101">
            <v>5.5555555555555558E-3</v>
          </cell>
          <cell r="AI101">
            <v>5.5555555555555558E-3</v>
          </cell>
          <cell r="AJ101">
            <v>5.5555555555555558E-3</v>
          </cell>
          <cell r="AK101">
            <v>5.5555555555555558E-3</v>
          </cell>
          <cell r="AL101">
            <v>5.5555555555555558E-3</v>
          </cell>
          <cell r="AO101">
            <v>3.6133694670280005E-4</v>
          </cell>
          <cell r="AP101">
            <v>96</v>
          </cell>
          <cell r="AQ101">
            <v>9.1911764705882352E-4</v>
          </cell>
          <cell r="AR101">
            <v>9.1911764705882352E-4</v>
          </cell>
          <cell r="AS101">
            <v>9.1911764705882352E-4</v>
          </cell>
          <cell r="AT101">
            <v>9.1911764705882352E-4</v>
          </cell>
          <cell r="AU101">
            <v>9.1911764705882352E-4</v>
          </cell>
          <cell r="BI101">
            <v>2.9666806737465405E-2</v>
          </cell>
          <cell r="BJ101">
            <v>2.9666806737465405E-2</v>
          </cell>
          <cell r="BK101">
            <v>2.9666806737465405E-2</v>
          </cell>
          <cell r="BL101">
            <v>2.9666806737465405E-2</v>
          </cell>
          <cell r="BM101">
            <v>2.9666806737465405E-2</v>
          </cell>
          <cell r="DG101">
            <v>1.5080080562637792</v>
          </cell>
        </row>
        <row r="102">
          <cell r="S102">
            <v>1.1058096519066531E-5</v>
          </cell>
          <cell r="T102">
            <v>1.0706700708222388E-5</v>
          </cell>
          <cell r="U102">
            <v>1.0225175881073563E-5</v>
          </cell>
          <cell r="V102">
            <v>1.0017229634972153E-5</v>
          </cell>
          <cell r="W102">
            <v>9.8677718571146633E-6</v>
          </cell>
          <cell r="X102">
            <v>1.7800031868800942E-5</v>
          </cell>
          <cell r="Y102">
            <v>1.6428012714306156E-5</v>
          </cell>
          <cell r="Z102">
            <v>1.4788588300823573E-5</v>
          </cell>
          <cell r="AA102">
            <v>1.4303696075065797E-5</v>
          </cell>
          <cell r="AB102">
            <v>1.4100394811054709E-5</v>
          </cell>
          <cell r="AF102">
            <v>180</v>
          </cell>
          <cell r="AG102">
            <v>97</v>
          </cell>
          <cell r="AH102">
            <v>5.5555555555555558E-3</v>
          </cell>
          <cell r="AI102">
            <v>5.5555555555555558E-3</v>
          </cell>
          <cell r="AJ102">
            <v>5.5555555555555558E-3</v>
          </cell>
          <cell r="AK102">
            <v>5.5555555555555558E-3</v>
          </cell>
          <cell r="AL102">
            <v>5.5555555555555558E-3</v>
          </cell>
          <cell r="AO102">
            <v>3.5222647796932853E-4</v>
          </cell>
          <cell r="AP102">
            <v>97</v>
          </cell>
          <cell r="AQ102">
            <v>9.1240875912408756E-4</v>
          </cell>
          <cell r="AR102">
            <v>9.1240875912408756E-4</v>
          </cell>
          <cell r="AS102">
            <v>9.1240875912408756E-4</v>
          </cell>
          <cell r="AT102">
            <v>9.1240875912408756E-4</v>
          </cell>
          <cell r="AU102">
            <v>9.1240875912408756E-4</v>
          </cell>
          <cell r="BI102">
            <v>2.9085104644573929E-2</v>
          </cell>
          <cell r="BJ102">
            <v>2.9085104644573929E-2</v>
          </cell>
          <cell r="BK102">
            <v>2.9085104644573929E-2</v>
          </cell>
          <cell r="BL102">
            <v>2.9085104644573929E-2</v>
          </cell>
          <cell r="BM102">
            <v>2.9085104644573929E-2</v>
          </cell>
          <cell r="DG102">
            <v>1.4640854915182322</v>
          </cell>
        </row>
        <row r="103">
          <cell r="S103">
            <v>1.0189444185049829E-5</v>
          </cell>
          <cell r="T103">
            <v>9.8591534946932097E-6</v>
          </cell>
          <cell r="U103">
            <v>9.4075497922285654E-6</v>
          </cell>
          <cell r="V103">
            <v>9.2466735092050627E-6</v>
          </cell>
          <cell r="W103">
            <v>9.1087124834904594E-6</v>
          </cell>
          <cell r="X103">
            <v>1.6350962290757208E-5</v>
          </cell>
          <cell r="Y103">
            <v>1.5068020241544601E-5</v>
          </cell>
          <cell r="Z103">
            <v>1.3540116839516893E-5</v>
          </cell>
          <cell r="AA103">
            <v>1.3203411761599196E-5</v>
          </cell>
          <cell r="AB103">
            <v>1.3015749056358193E-5</v>
          </cell>
          <cell r="AF103">
            <v>180</v>
          </cell>
          <cell r="AG103">
            <v>98</v>
          </cell>
          <cell r="AH103">
            <v>5.5555555555555558E-3</v>
          </cell>
          <cell r="AI103">
            <v>5.5555555555555558E-3</v>
          </cell>
          <cell r="AJ103">
            <v>5.5555555555555558E-3</v>
          </cell>
          <cell r="AK103">
            <v>5.5555555555555558E-3</v>
          </cell>
          <cell r="AL103">
            <v>5.5555555555555558E-3</v>
          </cell>
          <cell r="AO103">
            <v>3.4904013961605597E-4</v>
          </cell>
          <cell r="AP103">
            <v>98</v>
          </cell>
          <cell r="AQ103">
            <v>9.0579710144927537E-4</v>
          </cell>
          <cell r="AR103">
            <v>9.0579710144927537E-4</v>
          </cell>
          <cell r="AS103">
            <v>9.0579710144927537E-4</v>
          </cell>
          <cell r="AT103">
            <v>9.0579710144927537E-4</v>
          </cell>
          <cell r="AU103">
            <v>9.0579710144927537E-4</v>
          </cell>
          <cell r="BI103">
            <v>2.8514808475072477E-2</v>
          </cell>
          <cell r="BJ103">
            <v>2.8514808475072477E-2</v>
          </cell>
          <cell r="BK103">
            <v>2.8514808475072477E-2</v>
          </cell>
          <cell r="BL103">
            <v>2.8514808475072477E-2</v>
          </cell>
          <cell r="BM103">
            <v>2.8514808475072477E-2</v>
          </cell>
          <cell r="DG103">
            <v>1.4214422247749827</v>
          </cell>
        </row>
        <row r="104">
          <cell r="S104">
            <v>9.443748969154309E-6</v>
          </cell>
          <cell r="T104">
            <v>9.1313137298325956E-6</v>
          </cell>
          <cell r="U104">
            <v>8.7071317771514414E-6</v>
          </cell>
          <cell r="V104">
            <v>8.5861968299761295E-6</v>
          </cell>
          <cell r="W104">
            <v>8.4580901632411405E-6</v>
          </cell>
          <cell r="X104">
            <v>1.5104377512415603E-5</v>
          </cell>
          <cell r="Y104">
            <v>1.3897569192097864E-5</v>
          </cell>
          <cell r="Z104">
            <v>1.2472413940920393E-5</v>
          </cell>
          <cell r="AA104">
            <v>1.2260310921484969E-5</v>
          </cell>
          <cell r="AB104">
            <v>1.2086052695189752E-5</v>
          </cell>
          <cell r="AF104">
            <v>180</v>
          </cell>
          <cell r="AG104">
            <v>99</v>
          </cell>
          <cell r="AH104">
            <v>5.5555555555555558E-3</v>
          </cell>
          <cell r="AI104">
            <v>5.5555555555555558E-3</v>
          </cell>
          <cell r="AJ104">
            <v>5.5555555555555558E-3</v>
          </cell>
          <cell r="AK104">
            <v>5.5555555555555558E-3</v>
          </cell>
          <cell r="AL104">
            <v>5.5555555555555558E-3</v>
          </cell>
          <cell r="AO104">
            <v>3.4189692141273881E-4</v>
          </cell>
          <cell r="AP104">
            <v>99</v>
          </cell>
          <cell r="AQ104">
            <v>8.9928057553956839E-4</v>
          </cell>
          <cell r="AR104">
            <v>8.9928057553956839E-4</v>
          </cell>
          <cell r="AS104">
            <v>8.9928057553956839E-4</v>
          </cell>
          <cell r="AT104">
            <v>8.9928057553956839E-4</v>
          </cell>
          <cell r="AU104">
            <v>8.9928057553956839E-4</v>
          </cell>
          <cell r="BI104">
            <v>2.795569458340439E-2</v>
          </cell>
          <cell r="BJ104">
            <v>2.795569458340439E-2</v>
          </cell>
          <cell r="BK104">
            <v>2.795569458340439E-2</v>
          </cell>
          <cell r="BL104">
            <v>2.795569458340439E-2</v>
          </cell>
          <cell r="BM104">
            <v>2.795569458340439E-2</v>
          </cell>
          <cell r="DG104">
            <v>1.3800409949271677</v>
          </cell>
        </row>
        <row r="105">
          <cell r="S105">
            <v>8.7963520413916148E-6</v>
          </cell>
          <cell r="T105">
            <v>8.4995780511858644E-6</v>
          </cell>
          <cell r="U105">
            <v>8.1058625651002085E-6</v>
          </cell>
          <cell r="V105">
            <v>8.0137837079777214E-6</v>
          </cell>
          <cell r="W105">
            <v>7.8942174856917307E-6</v>
          </cell>
          <cell r="X105">
            <v>1.4019574665456582E-5</v>
          </cell>
          <cell r="Y105">
            <v>1.2880200736399573E-5</v>
          </cell>
          <cell r="Z105">
            <v>1.1568049048527965E-5</v>
          </cell>
          <cell r="AA105">
            <v>1.1442956860052638E-5</v>
          </cell>
          <cell r="AB105">
            <v>1.1280315848843767E-5</v>
          </cell>
          <cell r="AF105">
            <v>180</v>
          </cell>
          <cell r="AG105">
            <v>100</v>
          </cell>
          <cell r="AH105">
            <v>5.5555555555555558E-3</v>
          </cell>
          <cell r="AI105">
            <v>5.5555555555555558E-3</v>
          </cell>
          <cell r="AJ105">
            <v>5.5555555555555558E-3</v>
          </cell>
          <cell r="AK105">
            <v>5.5555555555555558E-3</v>
          </cell>
          <cell r="AL105">
            <v>5.5555555555555558E-3</v>
          </cell>
          <cell r="AO105">
            <v>3.3755274261603374E-4</v>
          </cell>
          <cell r="AP105">
            <v>100</v>
          </cell>
          <cell r="AQ105">
            <v>8.9285714285714283E-4</v>
          </cell>
          <cell r="AR105">
            <v>8.9285714285714283E-4</v>
          </cell>
          <cell r="AS105">
            <v>8.9285714285714283E-4</v>
          </cell>
          <cell r="AT105">
            <v>8.9285714285714283E-4</v>
          </cell>
          <cell r="AU105">
            <v>8.9285714285714283E-4</v>
          </cell>
          <cell r="BI105">
            <v>2.7407543709219991E-2</v>
          </cell>
          <cell r="BJ105">
            <v>2.7407543709219991E-2</v>
          </cell>
          <cell r="BK105">
            <v>2.7407543709219991E-2</v>
          </cell>
          <cell r="BL105">
            <v>2.7407543709219991E-2</v>
          </cell>
          <cell r="BM105">
            <v>2.7407543709219991E-2</v>
          </cell>
          <cell r="DG105">
            <v>1.3398456261428813</v>
          </cell>
        </row>
        <row r="106">
          <cell r="S106">
            <v>8.7773408177982091E-6</v>
          </cell>
          <cell r="T106">
            <v>8.4747532566777716E-6</v>
          </cell>
          <cell r="U106">
            <v>8.1058625651002085E-6</v>
          </cell>
          <cell r="V106">
            <v>8.0137837079777214E-6</v>
          </cell>
          <cell r="W106">
            <v>7.8942174856917307E-6</v>
          </cell>
          <cell r="X106">
            <v>1.3937097280822828E-5</v>
          </cell>
          <cell r="Y106">
            <v>1.2782926603944558E-5</v>
          </cell>
          <cell r="Z106">
            <v>1.1568049048527965E-5</v>
          </cell>
          <cell r="AA106">
            <v>1.1442956860052638E-5</v>
          </cell>
          <cell r="AB106">
            <v>1.1280315848843767E-5</v>
          </cell>
          <cell r="AF106">
            <v>180</v>
          </cell>
          <cell r="AG106">
            <v>101</v>
          </cell>
          <cell r="AH106">
            <v>5.5555555555555558E-3</v>
          </cell>
          <cell r="AI106">
            <v>5.5555555555555558E-3</v>
          </cell>
          <cell r="AJ106">
            <v>5.5555555555555558E-3</v>
          </cell>
          <cell r="AK106">
            <v>5.5555555555555558E-3</v>
          </cell>
          <cell r="AL106">
            <v>5.5555555555555558E-3</v>
          </cell>
          <cell r="AO106">
            <v>3.3215752275740971E-4</v>
          </cell>
          <cell r="AP106">
            <v>101</v>
          </cell>
          <cell r="AQ106">
            <v>8.8652482269503544E-4</v>
          </cell>
          <cell r="AR106">
            <v>8.8652482269503544E-4</v>
          </cell>
          <cell r="AS106">
            <v>8.8652482269503544E-4</v>
          </cell>
          <cell r="AT106">
            <v>8.8652482269503544E-4</v>
          </cell>
          <cell r="AU106">
            <v>8.8652482269503544E-4</v>
          </cell>
          <cell r="BI106">
            <v>2.6870140891392148E-2</v>
          </cell>
          <cell r="BJ106">
            <v>2.6870140891392148E-2</v>
          </cell>
          <cell r="BK106">
            <v>2.6870140891392148E-2</v>
          </cell>
          <cell r="BL106">
            <v>2.6870140891392148E-2</v>
          </cell>
          <cell r="BM106">
            <v>2.6870140891392148E-2</v>
          </cell>
          <cell r="DG106">
            <v>1.3008209962552244</v>
          </cell>
        </row>
        <row r="107">
          <cell r="S107">
            <v>8.7570574362013005E-6</v>
          </cell>
          <cell r="T107">
            <v>8.4495041967178203E-6</v>
          </cell>
          <cell r="U107">
            <v>8.1058625651002085E-6</v>
          </cell>
          <cell r="V107">
            <v>8.0137837079777214E-6</v>
          </cell>
          <cell r="W107">
            <v>7.8942174856917307E-6</v>
          </cell>
          <cell r="X107">
            <v>1.3849776521375705E-5</v>
          </cell>
          <cell r="Y107">
            <v>1.2684912650402916E-5</v>
          </cell>
          <cell r="Z107">
            <v>1.1568049048527965E-5</v>
          </cell>
          <cell r="AA107">
            <v>1.1442956860052638E-5</v>
          </cell>
          <cell r="AB107">
            <v>1.1280315848843767E-5</v>
          </cell>
          <cell r="AF107">
            <v>180</v>
          </cell>
          <cell r="AG107">
            <v>102</v>
          </cell>
          <cell r="AH107">
            <v>5.5555555555555558E-3</v>
          </cell>
          <cell r="AI107">
            <v>5.5555555555555558E-3</v>
          </cell>
          <cell r="AJ107">
            <v>5.5555555555555558E-3</v>
          </cell>
          <cell r="AK107">
            <v>5.5555555555555558E-3</v>
          </cell>
          <cell r="AL107">
            <v>5.5555555555555558E-3</v>
          </cell>
          <cell r="AO107">
            <v>3.2679738562091463E-4</v>
          </cell>
          <cell r="AP107">
            <v>102</v>
          </cell>
          <cell r="AQ107">
            <v>8.8028169014084509E-4</v>
          </cell>
          <cell r="AR107">
            <v>8.8028169014084509E-4</v>
          </cell>
          <cell r="AS107">
            <v>8.8028169014084509E-4</v>
          </cell>
          <cell r="AT107">
            <v>8.8028169014084509E-4</v>
          </cell>
          <cell r="AU107">
            <v>8.8028169014084509E-4</v>
          </cell>
          <cell r="BI107">
            <v>2.6343275383717793E-2</v>
          </cell>
          <cell r="BJ107">
            <v>2.6343275383717793E-2</v>
          </cell>
          <cell r="BK107">
            <v>2.6343275383717793E-2</v>
          </cell>
          <cell r="BL107">
            <v>2.6343275383717793E-2</v>
          </cell>
          <cell r="BM107">
            <v>2.6343275383717793E-2</v>
          </cell>
          <cell r="DG107">
            <v>1.2629330060730335</v>
          </cell>
        </row>
        <row r="108">
          <cell r="S108">
            <v>8.7354220679151826E-6</v>
          </cell>
          <cell r="T108">
            <v>8.4228679104120368E-6</v>
          </cell>
          <cell r="U108">
            <v>8.1058625651002085E-6</v>
          </cell>
          <cell r="V108">
            <v>8.0137837079777214E-6</v>
          </cell>
          <cell r="W108">
            <v>7.8942174856917307E-6</v>
          </cell>
          <cell r="X108">
            <v>1.3757395154439125E-5</v>
          </cell>
          <cell r="Y108">
            <v>1.2582507840661653E-5</v>
          </cell>
          <cell r="Z108">
            <v>1.1568049048527965E-5</v>
          </cell>
          <cell r="AA108">
            <v>1.1442956860052638E-5</v>
          </cell>
          <cell r="AB108">
            <v>1.1280315848843767E-5</v>
          </cell>
          <cell r="AF108">
            <v>180</v>
          </cell>
          <cell r="AG108">
            <v>103</v>
          </cell>
          <cell r="AH108">
            <v>5.5555555555555558E-3</v>
          </cell>
          <cell r="AI108">
            <v>5.5555555555555558E-3</v>
          </cell>
          <cell r="AJ108">
            <v>5.5555555555555558E-3</v>
          </cell>
          <cell r="AK108">
            <v>5.5555555555555558E-3</v>
          </cell>
          <cell r="AL108">
            <v>5.5555555555555558E-3</v>
          </cell>
          <cell r="AO108">
            <v>3.229589065325138E-4</v>
          </cell>
          <cell r="AP108">
            <v>103</v>
          </cell>
          <cell r="AQ108">
            <v>8.7412587412587413E-4</v>
          </cell>
          <cell r="AR108">
            <v>8.7412587412587413E-4</v>
          </cell>
          <cell r="AS108">
            <v>8.7412587412587413E-4</v>
          </cell>
          <cell r="AT108">
            <v>8.7412587412587413E-4</v>
          </cell>
          <cell r="AU108">
            <v>8.7412587412587413E-4</v>
          </cell>
          <cell r="BI108">
            <v>2.5826740572272345E-2</v>
          </cell>
          <cell r="BJ108">
            <v>2.5826740572272345E-2</v>
          </cell>
          <cell r="BK108">
            <v>2.5826740572272345E-2</v>
          </cell>
          <cell r="BL108">
            <v>2.5826740572272345E-2</v>
          </cell>
          <cell r="BM108">
            <v>2.5826740572272345E-2</v>
          </cell>
          <cell r="DG108">
            <v>1.2261485495854694</v>
          </cell>
        </row>
        <row r="109">
          <cell r="S109">
            <v>8.7123522312941219E-6</v>
          </cell>
          <cell r="T109">
            <v>8.3932492716466648E-6</v>
          </cell>
          <cell r="U109">
            <v>8.1058625651002085E-6</v>
          </cell>
          <cell r="V109">
            <v>8.0137837079777214E-6</v>
          </cell>
          <cell r="W109">
            <v>7.8942174856917307E-6</v>
          </cell>
          <cell r="X109">
            <v>1.3659741812929832E-5</v>
          </cell>
          <cell r="Y109">
            <v>1.2469817807299096E-5</v>
          </cell>
          <cell r="Z109">
            <v>1.1568049048527965E-5</v>
          </cell>
          <cell r="AA109">
            <v>1.1442956860052638E-5</v>
          </cell>
          <cell r="AB109">
            <v>1.1280315848843767E-5</v>
          </cell>
          <cell r="AF109">
            <v>180</v>
          </cell>
          <cell r="AG109">
            <v>104</v>
          </cell>
          <cell r="AH109">
            <v>5.5555555555555558E-3</v>
          </cell>
          <cell r="AI109">
            <v>5.5555555555555558E-3</v>
          </cell>
          <cell r="AJ109">
            <v>5.5555555555555558E-3</v>
          </cell>
          <cell r="AK109">
            <v>5.5555555555555558E-3</v>
          </cell>
          <cell r="AL109">
            <v>5.5555555555555558E-3</v>
          </cell>
          <cell r="AO109">
            <v>3.1670625494853568E-4</v>
          </cell>
          <cell r="AP109">
            <v>104</v>
          </cell>
          <cell r="AQ109">
            <v>8.6805555555555551E-4</v>
          </cell>
          <cell r="AR109">
            <v>8.6805555555555551E-4</v>
          </cell>
          <cell r="AS109">
            <v>8.6805555555555551E-4</v>
          </cell>
          <cell r="AT109">
            <v>8.6805555555555551E-4</v>
          </cell>
          <cell r="AU109">
            <v>8.6805555555555551E-4</v>
          </cell>
          <cell r="BI109">
            <v>2.5320333894384654E-2</v>
          </cell>
          <cell r="BJ109">
            <v>2.5320333894384654E-2</v>
          </cell>
          <cell r="BK109">
            <v>2.5320333894384654E-2</v>
          </cell>
          <cell r="BL109">
            <v>2.5320333894384654E-2</v>
          </cell>
          <cell r="BM109">
            <v>2.5320333894384654E-2</v>
          </cell>
          <cell r="DG109">
            <v>1.1904354850344363</v>
          </cell>
        </row>
        <row r="110">
          <cell r="S110">
            <v>8.2355640890892273E-6</v>
          </cell>
          <cell r="T110">
            <v>7.9397960133203322E-6</v>
          </cell>
          <cell r="U110">
            <v>7.6898824216977734E-6</v>
          </cell>
          <cell r="V110">
            <v>7.5905937362420489E-6</v>
          </cell>
          <cell r="W110">
            <v>7.4621296918140439E-6</v>
          </cell>
          <cell r="X110">
            <v>1.2836144463484277E-5</v>
          </cell>
          <cell r="Y110">
            <v>1.1755699607223966E-5</v>
          </cell>
          <cell r="Z110">
            <v>1.1001826303166326E-5</v>
          </cell>
          <cell r="AA110">
            <v>1.0866258095362281E-5</v>
          </cell>
          <cell r="AB110">
            <v>1.0690613641223006E-5</v>
          </cell>
          <cell r="AF110">
            <v>180</v>
          </cell>
          <cell r="AG110">
            <v>105</v>
          </cell>
          <cell r="AH110">
            <v>5.5555555555555558E-3</v>
          </cell>
          <cell r="AI110">
            <v>5.5555555555555558E-3</v>
          </cell>
          <cell r="AJ110">
            <v>5.5555555555555558E-3</v>
          </cell>
          <cell r="AK110">
            <v>5.5555555555555558E-3</v>
          </cell>
          <cell r="AL110">
            <v>5.5555555555555558E-3</v>
          </cell>
          <cell r="AO110">
            <v>3.142570822764577E-4</v>
          </cell>
          <cell r="AP110">
            <v>105</v>
          </cell>
          <cell r="AQ110">
            <v>8.6206896551724137E-4</v>
          </cell>
          <cell r="AR110">
            <v>8.6206896551724137E-4</v>
          </cell>
          <cell r="AS110">
            <v>8.6206896551724137E-4</v>
          </cell>
          <cell r="AT110">
            <v>8.6206896551724137E-4</v>
          </cell>
          <cell r="AU110">
            <v>8.6206896551724137E-4</v>
          </cell>
          <cell r="BI110">
            <v>2.4823856759200638E-2</v>
          </cell>
          <cell r="BJ110">
            <v>2.4823856759200638E-2</v>
          </cell>
          <cell r="BK110">
            <v>2.4823856759200638E-2</v>
          </cell>
          <cell r="BL110">
            <v>2.4823856759200638E-2</v>
          </cell>
          <cell r="BM110">
            <v>2.4823856759200638E-2</v>
          </cell>
          <cell r="DG110">
            <v>1.1557626068295497</v>
          </cell>
        </row>
        <row r="111">
          <cell r="S111">
            <v>8.217637132536406E-6</v>
          </cell>
          <cell r="T111">
            <v>7.919788449551077E-6</v>
          </cell>
          <cell r="U111">
            <v>7.6898824216977734E-6</v>
          </cell>
          <cell r="V111">
            <v>7.5905937362420489E-6</v>
          </cell>
          <cell r="W111">
            <v>7.4621296918140439E-6</v>
          </cell>
          <cell r="X111">
            <v>1.2761757889326547E-5</v>
          </cell>
          <cell r="Y111">
            <v>1.1680800682418614E-5</v>
          </cell>
          <cell r="Z111">
            <v>1.1001826303166326E-5</v>
          </cell>
          <cell r="AA111">
            <v>1.0866258095362281E-5</v>
          </cell>
          <cell r="AB111">
            <v>1.0690613641223006E-5</v>
          </cell>
          <cell r="AF111">
            <v>180</v>
          </cell>
          <cell r="AG111">
            <v>106</v>
          </cell>
          <cell r="AH111">
            <v>5.5555555555555558E-3</v>
          </cell>
          <cell r="AI111">
            <v>5.5555555555555558E-3</v>
          </cell>
          <cell r="AJ111">
            <v>5.5555555555555558E-3</v>
          </cell>
          <cell r="AK111">
            <v>5.5555555555555558E-3</v>
          </cell>
          <cell r="AL111">
            <v>5.5555555555555558E-3</v>
          </cell>
          <cell r="AO111">
            <v>3.072196620583719E-4</v>
          </cell>
          <cell r="AP111">
            <v>106</v>
          </cell>
          <cell r="AQ111">
            <v>8.5616438356164379E-4</v>
          </cell>
          <cell r="AR111">
            <v>8.5616438356164379E-4</v>
          </cell>
          <cell r="AS111">
            <v>8.5616438356164379E-4</v>
          </cell>
          <cell r="AT111">
            <v>8.5616438356164379E-4</v>
          </cell>
          <cell r="AU111">
            <v>8.5616438356164379E-4</v>
          </cell>
          <cell r="BI111">
            <v>2.4337114469804549E-2</v>
          </cell>
          <cell r="BJ111">
            <v>2.4337114469804549E-2</v>
          </cell>
          <cell r="BK111">
            <v>2.4337114469804549E-2</v>
          </cell>
          <cell r="BL111">
            <v>2.4337114469804549E-2</v>
          </cell>
          <cell r="BM111">
            <v>2.4337114469804549E-2</v>
          </cell>
          <cell r="DG111">
            <v>1.1220996182811163</v>
          </cell>
        </row>
        <row r="112">
          <cell r="S112">
            <v>8.1985099438535912E-6</v>
          </cell>
          <cell r="T112">
            <v>7.8988099396578255E-6</v>
          </cell>
          <cell r="U112">
            <v>7.6898824216977734E-6</v>
          </cell>
          <cell r="V112">
            <v>7.5905937362420489E-6</v>
          </cell>
          <cell r="W112">
            <v>7.4621296918140439E-6</v>
          </cell>
          <cell r="X112">
            <v>1.2682983618321396E-5</v>
          </cell>
          <cell r="Y112">
            <v>1.1602885655750369E-5</v>
          </cell>
          <cell r="Z112">
            <v>1.1001826303166326E-5</v>
          </cell>
          <cell r="AA112">
            <v>1.0866258095362281E-5</v>
          </cell>
          <cell r="AB112">
            <v>1.0690613641223006E-5</v>
          </cell>
          <cell r="AF112">
            <v>180</v>
          </cell>
          <cell r="AG112">
            <v>107</v>
          </cell>
          <cell r="AH112">
            <v>5.5555555555555558E-3</v>
          </cell>
          <cell r="AI112">
            <v>5.5555555555555558E-3</v>
          </cell>
          <cell r="AJ112">
            <v>5.5555555555555558E-3</v>
          </cell>
          <cell r="AK112">
            <v>5.5555555555555558E-3</v>
          </cell>
          <cell r="AL112">
            <v>5.5555555555555558E-3</v>
          </cell>
          <cell r="AO112">
            <v>3.0601272649664131E-4</v>
          </cell>
          <cell r="AP112">
            <v>107</v>
          </cell>
          <cell r="AQ112">
            <v>8.5034013605442174E-4</v>
          </cell>
          <cell r="AR112">
            <v>8.5034013605442174E-4</v>
          </cell>
          <cell r="AS112">
            <v>8.5034013605442174E-4</v>
          </cell>
          <cell r="AT112">
            <v>8.5034013605442174E-4</v>
          </cell>
          <cell r="AU112">
            <v>8.5034013605442174E-4</v>
          </cell>
          <cell r="BI112">
            <v>2.3859916146867204E-2</v>
          </cell>
          <cell r="BJ112">
            <v>2.3859916146867204E-2</v>
          </cell>
          <cell r="BK112">
            <v>2.3859916146867204E-2</v>
          </cell>
          <cell r="BL112">
            <v>2.3859916146867204E-2</v>
          </cell>
          <cell r="BM112">
            <v>2.3859916146867204E-2</v>
          </cell>
          <cell r="DG112">
            <v>1.0894171051272974</v>
          </cell>
        </row>
        <row r="113">
          <cell r="S113">
            <v>8.182389865509529E-6</v>
          </cell>
          <cell r="T113">
            <v>7.8792580467111288E-6</v>
          </cell>
          <cell r="U113">
            <v>7.6898824216977734E-6</v>
          </cell>
          <cell r="V113">
            <v>7.5905937362420489E-6</v>
          </cell>
          <cell r="W113">
            <v>7.4621296918140439E-6</v>
          </cell>
          <cell r="X113">
            <v>1.2617063952976478E-5</v>
          </cell>
          <cell r="Y113">
            <v>1.1530832714660694E-5</v>
          </cell>
          <cell r="Z113">
            <v>1.1001826303166326E-5</v>
          </cell>
          <cell r="AA113">
            <v>1.0866258095362281E-5</v>
          </cell>
          <cell r="AB113">
            <v>1.0690613641223006E-5</v>
          </cell>
          <cell r="AF113">
            <v>180</v>
          </cell>
          <cell r="AG113">
            <v>108</v>
          </cell>
          <cell r="AH113">
            <v>5.5555555555555558E-3</v>
          </cell>
          <cell r="AI113">
            <v>5.5555555555555558E-3</v>
          </cell>
          <cell r="AJ113">
            <v>5.5555555555555558E-3</v>
          </cell>
          <cell r="AK113">
            <v>5.5555555555555558E-3</v>
          </cell>
          <cell r="AL113">
            <v>5.5555555555555558E-3</v>
          </cell>
          <cell r="AO113">
            <v>2.9828486204325124E-4</v>
          </cell>
          <cell r="AP113">
            <v>108</v>
          </cell>
          <cell r="AQ113">
            <v>8.4459459459459464E-4</v>
          </cell>
          <cell r="AR113">
            <v>8.4459459459459464E-4</v>
          </cell>
          <cell r="AS113">
            <v>8.4459459459459464E-4</v>
          </cell>
          <cell r="AT113">
            <v>8.4459459459459464E-4</v>
          </cell>
          <cell r="AU113">
            <v>8.4459459459459464E-4</v>
          </cell>
          <cell r="BI113">
            <v>2.3392074653791377E-2</v>
          </cell>
          <cell r="BJ113">
            <v>2.3392074653791377E-2</v>
          </cell>
          <cell r="BK113">
            <v>2.3392074653791377E-2</v>
          </cell>
          <cell r="BL113">
            <v>2.3392074653791377E-2</v>
          </cell>
          <cell r="BM113">
            <v>2.3392074653791377E-2</v>
          </cell>
          <cell r="DG113">
            <v>1.0576865098323276</v>
          </cell>
        </row>
        <row r="114">
          <cell r="S114">
            <v>8.1679995059397261E-6</v>
          </cell>
          <cell r="T114">
            <v>7.8616234556873701E-6</v>
          </cell>
          <cell r="U114">
            <v>7.6898824216977734E-6</v>
          </cell>
          <cell r="V114">
            <v>7.5905937362420489E-6</v>
          </cell>
          <cell r="W114">
            <v>7.4621296918140439E-6</v>
          </cell>
          <cell r="X114">
            <v>1.2558577171402894E-5</v>
          </cell>
          <cell r="Y114">
            <v>1.1466306638153044E-5</v>
          </cell>
          <cell r="Z114">
            <v>1.1001826303166326E-5</v>
          </cell>
          <cell r="AA114">
            <v>1.0866258095362281E-5</v>
          </cell>
          <cell r="AB114">
            <v>1.0690613641223006E-5</v>
          </cell>
          <cell r="AF114">
            <v>180</v>
          </cell>
          <cell r="AG114">
            <v>109</v>
          </cell>
          <cell r="AH114">
            <v>5.5555555555555558E-3</v>
          </cell>
          <cell r="AI114">
            <v>5.5555555555555558E-3</v>
          </cell>
          <cell r="AJ114">
            <v>5.5555555555555558E-3</v>
          </cell>
          <cell r="AK114">
            <v>5.5555555555555558E-3</v>
          </cell>
          <cell r="AL114">
            <v>5.5555555555555558E-3</v>
          </cell>
          <cell r="AO114">
            <v>2.9819057696736342E-4</v>
          </cell>
          <cell r="AP114">
            <v>109</v>
          </cell>
          <cell r="AQ114">
            <v>8.3892617449664428E-4</v>
          </cell>
          <cell r="AR114">
            <v>8.3892617449664428E-4</v>
          </cell>
          <cell r="AS114">
            <v>8.3892617449664428E-4</v>
          </cell>
          <cell r="AT114">
            <v>8.3892617449664428E-4</v>
          </cell>
          <cell r="AU114">
            <v>8.3892617449664428E-4</v>
          </cell>
          <cell r="BI114">
            <v>2.293340652332488E-2</v>
          </cell>
          <cell r="BJ114">
            <v>2.293340652332488E-2</v>
          </cell>
          <cell r="BK114">
            <v>2.293340652332488E-2</v>
          </cell>
          <cell r="BL114">
            <v>2.293340652332488E-2</v>
          </cell>
          <cell r="BM114">
            <v>2.293340652332488E-2</v>
          </cell>
          <cell r="DG114">
            <v>1.0268801066333277</v>
          </cell>
        </row>
        <row r="115">
          <cell r="S115">
            <v>8.1526323910958688E-6</v>
          </cell>
          <cell r="T115">
            <v>7.841909204707548E-6</v>
          </cell>
          <cell r="U115">
            <v>7.6898824216977734E-6</v>
          </cell>
          <cell r="V115">
            <v>7.5905937362420489E-6</v>
          </cell>
          <cell r="W115">
            <v>7.4621296918140439E-6</v>
          </cell>
          <cell r="X115">
            <v>1.2496491623070863E-5</v>
          </cell>
          <cell r="Y115">
            <v>1.1394683186711606E-5</v>
          </cell>
          <cell r="Z115">
            <v>1.1001826303166326E-5</v>
          </cell>
          <cell r="AA115">
            <v>1.0866258095362281E-5</v>
          </cell>
          <cell r="AB115">
            <v>1.0690613641223006E-5</v>
          </cell>
          <cell r="AF115">
            <v>180</v>
          </cell>
          <cell r="AG115">
            <v>110</v>
          </cell>
          <cell r="AH115">
            <v>5.5555555555555558E-3</v>
          </cell>
          <cell r="AI115">
            <v>5.5555555555555558E-3</v>
          </cell>
          <cell r="AJ115">
            <v>5.5555555555555558E-3</v>
          </cell>
          <cell r="AK115">
            <v>5.5555555555555558E-3</v>
          </cell>
          <cell r="AL115">
            <v>5.5555555555555558E-3</v>
          </cell>
          <cell r="AO115">
            <v>2.8985507246376849E-4</v>
          </cell>
          <cell r="AP115">
            <v>110</v>
          </cell>
          <cell r="AQ115">
            <v>8.3333333333333339E-4</v>
          </cell>
          <cell r="AR115">
            <v>8.3333333333333339E-4</v>
          </cell>
          <cell r="AS115">
            <v>8.3333333333333339E-4</v>
          </cell>
          <cell r="AT115">
            <v>8.3333333333333339E-4</v>
          </cell>
          <cell r="AU115">
            <v>8.3333333333333339E-4</v>
          </cell>
          <cell r="BI115">
            <v>2.2483731885612628E-2</v>
          </cell>
          <cell r="BJ115">
            <v>2.2483731885612628E-2</v>
          </cell>
          <cell r="BK115">
            <v>2.2483731885612628E-2</v>
          </cell>
          <cell r="BL115">
            <v>2.2483731885612628E-2</v>
          </cell>
          <cell r="BM115">
            <v>2.2483731885612628E-2</v>
          </cell>
          <cell r="DG115">
            <v>0.99697097731391038</v>
          </cell>
        </row>
        <row r="116">
          <cell r="S116">
            <v>8.1362263929499442E-6</v>
          </cell>
          <cell r="T116">
            <v>7.8204481220439614E-6</v>
          </cell>
          <cell r="U116">
            <v>7.6898824216977734E-6</v>
          </cell>
          <cell r="V116">
            <v>7.5905937362420489E-6</v>
          </cell>
          <cell r="W116">
            <v>7.4621296918140439E-6</v>
          </cell>
          <cell r="X116">
            <v>1.2430627919297663E-5</v>
          </cell>
          <cell r="Y116">
            <v>1.1317321258959629E-5</v>
          </cell>
          <cell r="Z116">
            <v>1.1001826303166326E-5</v>
          </cell>
          <cell r="AA116">
            <v>1.0866258095362281E-5</v>
          </cell>
          <cell r="AB116">
            <v>1.0690613641223006E-5</v>
          </cell>
          <cell r="AF116">
            <v>180</v>
          </cell>
          <cell r="AG116">
            <v>111</v>
          </cell>
          <cell r="AH116">
            <v>5.5555555555555558E-3</v>
          </cell>
          <cell r="AI116">
            <v>5.5555555555555558E-3</v>
          </cell>
          <cell r="AJ116">
            <v>5.5555555555555558E-3</v>
          </cell>
          <cell r="AK116">
            <v>5.5555555555555558E-3</v>
          </cell>
          <cell r="AL116">
            <v>5.5555555555555558E-3</v>
          </cell>
          <cell r="AO116">
            <v>2.8985507246376833E-4</v>
          </cell>
          <cell r="AP116">
            <v>111</v>
          </cell>
          <cell r="AQ116">
            <v>8.2781456953642384E-4</v>
          </cell>
          <cell r="AR116">
            <v>8.2781456953642384E-4</v>
          </cell>
          <cell r="AS116">
            <v>8.2781456953642384E-4</v>
          </cell>
          <cell r="AT116">
            <v>8.2781456953642384E-4</v>
          </cell>
          <cell r="AU116">
            <v>8.2781456953642384E-4</v>
          </cell>
          <cell r="BI116">
            <v>2.2042874397659437E-2</v>
          </cell>
          <cell r="BJ116">
            <v>2.2042874397659437E-2</v>
          </cell>
          <cell r="BK116">
            <v>2.2042874397659437E-2</v>
          </cell>
          <cell r="BL116">
            <v>2.2042874397659437E-2</v>
          </cell>
          <cell r="BM116">
            <v>2.2042874397659437E-2</v>
          </cell>
          <cell r="DG116">
            <v>0.96793298768340819</v>
          </cell>
        </row>
        <row r="117">
          <cell r="S117">
            <v>8.1228133530464615E-6</v>
          </cell>
          <cell r="T117">
            <v>7.8034136256186528E-6</v>
          </cell>
          <cell r="U117">
            <v>7.6898824216977734E-6</v>
          </cell>
          <cell r="V117">
            <v>7.5905937362420489E-6</v>
          </cell>
          <cell r="W117">
            <v>7.4621296918140439E-6</v>
          </cell>
          <cell r="X117">
            <v>1.2377098462407119E-5</v>
          </cell>
          <cell r="Y117">
            <v>1.1256362243608572E-5</v>
          </cell>
          <cell r="Z117">
            <v>1.1001826303166326E-5</v>
          </cell>
          <cell r="AA117">
            <v>1.0866258095362281E-5</v>
          </cell>
          <cell r="AB117">
            <v>1.0690613641223006E-5</v>
          </cell>
          <cell r="AF117">
            <v>180</v>
          </cell>
          <cell r="AG117">
            <v>112</v>
          </cell>
          <cell r="AH117">
            <v>5.5555555555555558E-3</v>
          </cell>
          <cell r="AI117">
            <v>5.5555555555555558E-3</v>
          </cell>
          <cell r="AJ117">
            <v>5.5555555555555558E-3</v>
          </cell>
          <cell r="AK117">
            <v>5.5555555555555558E-3</v>
          </cell>
          <cell r="AL117">
            <v>5.5555555555555558E-3</v>
          </cell>
          <cell r="AO117">
            <v>2.8268602388422412E-4</v>
          </cell>
          <cell r="AP117">
            <v>112</v>
          </cell>
          <cell r="AQ117">
            <v>8.2236842105263153E-4</v>
          </cell>
          <cell r="AR117">
            <v>8.2236842105263153E-4</v>
          </cell>
          <cell r="AS117">
            <v>8.2236842105263153E-4</v>
          </cell>
          <cell r="AT117">
            <v>8.2236842105263153E-4</v>
          </cell>
          <cell r="AU117">
            <v>8.2236842105263153E-4</v>
          </cell>
          <cell r="BI117">
            <v>2.1610661174175917E-2</v>
          </cell>
          <cell r="BJ117">
            <v>2.1610661174175917E-2</v>
          </cell>
          <cell r="BK117">
            <v>2.1610661174175917E-2</v>
          </cell>
          <cell r="BL117">
            <v>2.1610661174175917E-2</v>
          </cell>
          <cell r="BM117">
            <v>2.1610661174175917E-2</v>
          </cell>
          <cell r="DG117">
            <v>0.93974076474117307</v>
          </cell>
        </row>
        <row r="118">
          <cell r="S118">
            <v>8.1086602113069492E-6</v>
          </cell>
          <cell r="T118">
            <v>7.7853307167751654E-6</v>
          </cell>
          <cell r="U118">
            <v>7.6898824216977734E-6</v>
          </cell>
          <cell r="V118">
            <v>7.5905937362420489E-6</v>
          </cell>
          <cell r="W118">
            <v>7.4621296918140439E-6</v>
          </cell>
          <cell r="X118">
            <v>1.2320923525429656E-5</v>
          </cell>
          <cell r="Y118">
            <v>1.1192078874757275E-5</v>
          </cell>
          <cell r="Z118">
            <v>1.1001826303166326E-5</v>
          </cell>
          <cell r="AA118">
            <v>1.0866258095362281E-5</v>
          </cell>
          <cell r="AB118">
            <v>1.0690613641223006E-5</v>
          </cell>
          <cell r="AF118">
            <v>180</v>
          </cell>
          <cell r="AG118">
            <v>113</v>
          </cell>
          <cell r="AH118">
            <v>5.5555555555555558E-3</v>
          </cell>
          <cell r="AI118">
            <v>5.5555555555555558E-3</v>
          </cell>
          <cell r="AJ118">
            <v>5.5555555555555558E-3</v>
          </cell>
          <cell r="AK118">
            <v>5.5555555555555558E-3</v>
          </cell>
          <cell r="AL118">
            <v>5.5555555555555558E-3</v>
          </cell>
          <cell r="AO118">
            <v>2.8188865398167729E-4</v>
          </cell>
          <cell r="AP118">
            <v>113</v>
          </cell>
          <cell r="AQ118">
            <v>8.1699346405228761E-4</v>
          </cell>
          <cell r="AR118">
            <v>8.1699346405228761E-4</v>
          </cell>
          <cell r="AS118">
            <v>8.1699346405228761E-4</v>
          </cell>
          <cell r="AT118">
            <v>8.1699346405228761E-4</v>
          </cell>
          <cell r="AU118">
            <v>8.1699346405228761E-4</v>
          </cell>
          <cell r="BI118">
            <v>2.1186922719780312E-2</v>
          </cell>
          <cell r="BJ118">
            <v>2.1186922719780312E-2</v>
          </cell>
          <cell r="BK118">
            <v>2.1186922719780312E-2</v>
          </cell>
          <cell r="BL118">
            <v>2.1186922719780312E-2</v>
          </cell>
          <cell r="BM118">
            <v>2.1186922719780312E-2</v>
          </cell>
          <cell r="DG118">
            <v>0.91236967450599316</v>
          </cell>
        </row>
        <row r="119">
          <cell r="S119">
            <v>8.0935459051248447E-6</v>
          </cell>
          <cell r="T119">
            <v>7.7661006924953369E-6</v>
          </cell>
          <cell r="U119">
            <v>7.6898824216977734E-6</v>
          </cell>
          <cell r="V119">
            <v>7.5905937362420489E-6</v>
          </cell>
          <cell r="W119">
            <v>7.4621296918140439E-6</v>
          </cell>
          <cell r="X119">
            <v>1.2261280102263718E-5</v>
          </cell>
          <cell r="Y119">
            <v>1.1124195670016506E-5</v>
          </cell>
          <cell r="Z119">
            <v>1.1001826303166326E-5</v>
          </cell>
          <cell r="AA119">
            <v>1.0866258095362281E-5</v>
          </cell>
          <cell r="AB119">
            <v>1.0690613641223006E-5</v>
          </cell>
          <cell r="AF119">
            <v>180</v>
          </cell>
          <cell r="AG119">
            <v>114</v>
          </cell>
          <cell r="AH119">
            <v>5.5555555555555558E-3</v>
          </cell>
          <cell r="AI119">
            <v>5.5555555555555558E-3</v>
          </cell>
          <cell r="AJ119">
            <v>5.5555555555555558E-3</v>
          </cell>
          <cell r="AK119">
            <v>5.5555555555555558E-3</v>
          </cell>
          <cell r="AL119">
            <v>5.5555555555555558E-3</v>
          </cell>
          <cell r="AO119">
            <v>2.7593874049716249E-4</v>
          </cell>
          <cell r="AP119">
            <v>114</v>
          </cell>
          <cell r="AQ119">
            <v>8.1168831168831174E-4</v>
          </cell>
          <cell r="AR119">
            <v>8.1168831168831174E-4</v>
          </cell>
          <cell r="AS119">
            <v>8.1168831168831174E-4</v>
          </cell>
          <cell r="AT119">
            <v>8.1168831168831174E-4</v>
          </cell>
          <cell r="AU119">
            <v>8.1168831168831174E-4</v>
          </cell>
          <cell r="BI119">
            <v>2.0771492862529717E-2</v>
          </cell>
          <cell r="BJ119">
            <v>2.0771492862529717E-2</v>
          </cell>
          <cell r="BK119">
            <v>2.0771492862529717E-2</v>
          </cell>
          <cell r="BL119">
            <v>2.0771492862529717E-2</v>
          </cell>
          <cell r="BM119">
            <v>2.0771492862529717E-2</v>
          </cell>
          <cell r="DG119">
            <v>0.88579580049125561</v>
          </cell>
        </row>
        <row r="120">
          <cell r="S120">
            <v>8.0792043800949878E-6</v>
          </cell>
          <cell r="T120">
            <v>7.757530622852134E-6</v>
          </cell>
          <cell r="U120">
            <v>7.6898824216977734E-6</v>
          </cell>
          <cell r="V120">
            <v>7.5905937362420489E-6</v>
          </cell>
          <cell r="W120">
            <v>7.4621296918140439E-6</v>
          </cell>
          <cell r="X120">
            <v>1.2205014209334067E-5</v>
          </cell>
          <cell r="Y120">
            <v>1.1094100157536222E-5</v>
          </cell>
          <cell r="Z120">
            <v>1.1001826303166326E-5</v>
          </cell>
          <cell r="AA120">
            <v>1.0866258095362281E-5</v>
          </cell>
          <cell r="AB120">
            <v>1.0690613641223006E-5</v>
          </cell>
          <cell r="AF120">
            <v>180</v>
          </cell>
          <cell r="AG120">
            <v>115</v>
          </cell>
          <cell r="AH120">
            <v>5.5555555555555558E-3</v>
          </cell>
          <cell r="AI120">
            <v>5.5555555555555558E-3</v>
          </cell>
          <cell r="AJ120">
            <v>5.5555555555555558E-3</v>
          </cell>
          <cell r="AK120">
            <v>5.5555555555555558E-3</v>
          </cell>
          <cell r="AL120">
            <v>5.5555555555555558E-3</v>
          </cell>
          <cell r="AO120">
            <v>2.7434842249657093E-4</v>
          </cell>
          <cell r="AP120">
            <v>115</v>
          </cell>
          <cell r="AQ120">
            <v>8.0645161290322581E-4</v>
          </cell>
          <cell r="AR120">
            <v>8.0645161290322581E-4</v>
          </cell>
          <cell r="AS120">
            <v>8.0645161290322581E-4</v>
          </cell>
          <cell r="AT120">
            <v>8.0645161290322581E-4</v>
          </cell>
          <cell r="AU120">
            <v>8.0645161290322581E-4</v>
          </cell>
          <cell r="BI120">
            <v>2.0364208688754621E-2</v>
          </cell>
          <cell r="BJ120">
            <v>2.0364208688754621E-2</v>
          </cell>
          <cell r="BK120">
            <v>2.0364208688754621E-2</v>
          </cell>
          <cell r="BL120">
            <v>2.0364208688754621E-2</v>
          </cell>
          <cell r="BM120">
            <v>2.0364208688754621E-2</v>
          </cell>
          <cell r="DG120">
            <v>0.85999592280704429</v>
          </cell>
        </row>
        <row r="121">
          <cell r="S121">
            <v>8.065874614734213E-6</v>
          </cell>
          <cell r="T121">
            <v>7.757530622852134E-6</v>
          </cell>
          <cell r="U121">
            <v>7.6898824216977734E-6</v>
          </cell>
          <cell r="V121">
            <v>7.5905937362420489E-6</v>
          </cell>
          <cell r="W121">
            <v>7.4621296918140439E-6</v>
          </cell>
          <cell r="X121">
            <v>1.2153001736864472E-5</v>
          </cell>
          <cell r="Y121">
            <v>1.1094100157536222E-5</v>
          </cell>
          <cell r="Z121">
            <v>1.1001826303166326E-5</v>
          </cell>
          <cell r="AA121">
            <v>1.0866258095362281E-5</v>
          </cell>
          <cell r="AB121">
            <v>1.0690613641223006E-5</v>
          </cell>
          <cell r="AF121">
            <v>180</v>
          </cell>
          <cell r="AG121">
            <v>116</v>
          </cell>
          <cell r="AH121">
            <v>5.5555555555555558E-3</v>
          </cell>
          <cell r="AI121">
            <v>5.5555555555555558E-3</v>
          </cell>
          <cell r="AJ121">
            <v>5.5555555555555558E-3</v>
          </cell>
          <cell r="AK121">
            <v>5.5555555555555558E-3</v>
          </cell>
          <cell r="AL121">
            <v>5.5555555555555558E-3</v>
          </cell>
          <cell r="AO121">
            <v>2.695063800057386E-4</v>
          </cell>
          <cell r="AP121">
            <v>116</v>
          </cell>
          <cell r="AQ121">
            <v>8.0128205128205125E-4</v>
          </cell>
          <cell r="AR121">
            <v>8.0128205128205125E-4</v>
          </cell>
          <cell r="AS121">
            <v>8.0128205128205125E-4</v>
          </cell>
          <cell r="AT121">
            <v>8.0128205128205125E-4</v>
          </cell>
          <cell r="AU121">
            <v>8.0128205128205125E-4</v>
          </cell>
          <cell r="BI121">
            <v>1.9964910479171198E-2</v>
          </cell>
          <cell r="BJ121">
            <v>1.9964910479171198E-2</v>
          </cell>
          <cell r="BK121">
            <v>1.9964910479171198E-2</v>
          </cell>
          <cell r="BL121">
            <v>1.9964910479171198E-2</v>
          </cell>
          <cell r="BM121">
            <v>1.9964910479171198E-2</v>
          </cell>
          <cell r="DG121">
            <v>0.83494749787091671</v>
          </cell>
        </row>
        <row r="122">
          <cell r="S122">
            <v>8.0516368736883434E-6</v>
          </cell>
          <cell r="T122">
            <v>7.757530622852134E-6</v>
          </cell>
          <cell r="U122">
            <v>7.6898824216977734E-6</v>
          </cell>
          <cell r="V122">
            <v>7.5905937362420489E-6</v>
          </cell>
          <cell r="W122">
            <v>7.4621296918140439E-6</v>
          </cell>
          <cell r="X122">
            <v>1.2097746089129527E-5</v>
          </cell>
          <cell r="Y122">
            <v>1.1094100157536222E-5</v>
          </cell>
          <cell r="Z122">
            <v>1.1001826303166326E-5</v>
          </cell>
          <cell r="AA122">
            <v>1.0866258095362281E-5</v>
          </cell>
          <cell r="AB122">
            <v>1.0690613641223006E-5</v>
          </cell>
          <cell r="AF122">
            <v>180</v>
          </cell>
          <cell r="AG122">
            <v>117</v>
          </cell>
          <cell r="AH122">
            <v>5.5555555555555558E-3</v>
          </cell>
          <cell r="AI122">
            <v>5.5555555555555558E-3</v>
          </cell>
          <cell r="AJ122">
            <v>5.5555555555555558E-3</v>
          </cell>
          <cell r="AK122">
            <v>5.5555555555555558E-3</v>
          </cell>
          <cell r="AL122">
            <v>5.5555555555555558E-3</v>
          </cell>
          <cell r="AO122">
            <v>2.6720106880427543E-4</v>
          </cell>
          <cell r="AP122">
            <v>117</v>
          </cell>
          <cell r="AQ122">
            <v>7.9617834394904463E-4</v>
          </cell>
          <cell r="AR122">
            <v>7.9617834394904463E-4</v>
          </cell>
          <cell r="AS122">
            <v>7.9617834394904463E-4</v>
          </cell>
          <cell r="AT122">
            <v>7.9617834394904463E-4</v>
          </cell>
          <cell r="AU122">
            <v>7.9617834394904463E-4</v>
          </cell>
          <cell r="BI122">
            <v>1.9573441646246272E-2</v>
          </cell>
          <cell r="BJ122">
            <v>1.9573441646246272E-2</v>
          </cell>
          <cell r="BK122">
            <v>1.9573441646246272E-2</v>
          </cell>
          <cell r="BL122">
            <v>1.9573441646246272E-2</v>
          </cell>
          <cell r="BM122">
            <v>1.9573441646246272E-2</v>
          </cell>
          <cell r="DG122">
            <v>0.81062863870962787</v>
          </cell>
        </row>
        <row r="123">
          <cell r="S123">
            <v>8.0364329406597162E-6</v>
          </cell>
          <cell r="T123">
            <v>7.757530622852134E-6</v>
          </cell>
          <cell r="U123">
            <v>7.6898824216977734E-6</v>
          </cell>
          <cell r="V123">
            <v>7.5905937362420489E-6</v>
          </cell>
          <cell r="W123">
            <v>7.4621296918140439E-6</v>
          </cell>
          <cell r="X123">
            <v>1.2039079693966728E-5</v>
          </cell>
          <cell r="Y123">
            <v>1.1094100157536222E-5</v>
          </cell>
          <cell r="Z123">
            <v>1.1001826303166326E-5</v>
          </cell>
          <cell r="AA123">
            <v>1.0866258095362281E-5</v>
          </cell>
          <cell r="AB123">
            <v>1.0690613641223006E-5</v>
          </cell>
          <cell r="AF123">
            <v>180</v>
          </cell>
          <cell r="AG123">
            <v>118</v>
          </cell>
          <cell r="AH123">
            <v>5.5555555555555558E-3</v>
          </cell>
          <cell r="AI123">
            <v>5.5555555555555558E-3</v>
          </cell>
          <cell r="AJ123">
            <v>5.5555555555555558E-3</v>
          </cell>
          <cell r="AK123">
            <v>5.5555555555555558E-3</v>
          </cell>
          <cell r="AL123">
            <v>5.5555555555555558E-3</v>
          </cell>
          <cell r="AO123">
            <v>2.6336735238006981E-4</v>
          </cell>
          <cell r="AP123">
            <v>118</v>
          </cell>
          <cell r="AQ123">
            <v>7.911392405063291E-4</v>
          </cell>
          <cell r="AR123">
            <v>7.911392405063291E-4</v>
          </cell>
          <cell r="AS123">
            <v>7.911392405063291E-4</v>
          </cell>
          <cell r="AT123">
            <v>7.911392405063291E-4</v>
          </cell>
          <cell r="AU123">
            <v>7.911392405063291E-4</v>
          </cell>
          <cell r="BI123">
            <v>1.9189648672790462E-2</v>
          </cell>
          <cell r="BJ123">
            <v>1.9189648672790462E-2</v>
          </cell>
          <cell r="BK123">
            <v>1.9189648672790462E-2</v>
          </cell>
          <cell r="BL123">
            <v>1.9189648672790462E-2</v>
          </cell>
          <cell r="BM123">
            <v>1.9189648672790462E-2</v>
          </cell>
          <cell r="DG123">
            <v>0.78701809583459015</v>
          </cell>
        </row>
        <row r="124">
          <cell r="S124">
            <v>8.0240291222137616E-6</v>
          </cell>
          <cell r="T124">
            <v>7.757530622852134E-6</v>
          </cell>
          <cell r="U124">
            <v>7.6898824216977734E-6</v>
          </cell>
          <cell r="V124">
            <v>7.5905937362420489E-6</v>
          </cell>
          <cell r="W124">
            <v>7.4621296918140439E-6</v>
          </cell>
          <cell r="X124">
            <v>1.199147511969996E-5</v>
          </cell>
          <cell r="Y124">
            <v>1.1094100157536222E-5</v>
          </cell>
          <cell r="Z124">
            <v>1.1001826303166326E-5</v>
          </cell>
          <cell r="AA124">
            <v>1.0866258095362281E-5</v>
          </cell>
          <cell r="AB124">
            <v>1.0690613641223006E-5</v>
          </cell>
          <cell r="AF124">
            <v>180</v>
          </cell>
          <cell r="AG124">
            <v>119</v>
          </cell>
          <cell r="AH124">
            <v>5.5555555555555558E-3</v>
          </cell>
          <cell r="AI124">
            <v>5.5555555555555558E-3</v>
          </cell>
          <cell r="AJ124">
            <v>5.5555555555555558E-3</v>
          </cell>
          <cell r="AK124">
            <v>5.5555555555555558E-3</v>
          </cell>
          <cell r="AL124">
            <v>5.5555555555555558E-3</v>
          </cell>
          <cell r="AO124">
            <v>2.6041666666666699E-4</v>
          </cell>
          <cell r="AP124">
            <v>119</v>
          </cell>
          <cell r="AQ124">
            <v>7.8616352201257866E-4</v>
          </cell>
          <cell r="AR124">
            <v>7.8616352201257866E-4</v>
          </cell>
          <cell r="AS124">
            <v>7.8616352201257866E-4</v>
          </cell>
          <cell r="AT124">
            <v>7.8616352201257866E-4</v>
          </cell>
          <cell r="AU124">
            <v>7.8616352201257866E-4</v>
          </cell>
          <cell r="BI124">
            <v>1.8813381051755354E-2</v>
          </cell>
          <cell r="BJ124">
            <v>1.8813381051755354E-2</v>
          </cell>
          <cell r="BK124">
            <v>1.8813381051755354E-2</v>
          </cell>
          <cell r="BL124">
            <v>1.8813381051755354E-2</v>
          </cell>
          <cell r="BM124">
            <v>1.8813381051755354E-2</v>
          </cell>
          <cell r="DG124">
            <v>0.76409523867435936</v>
          </cell>
        </row>
        <row r="125">
          <cell r="S125">
            <v>8.0110362420738714E-6</v>
          </cell>
          <cell r="T125">
            <v>7.757530622852134E-6</v>
          </cell>
          <cell r="U125">
            <v>7.6898824216977734E-6</v>
          </cell>
          <cell r="V125">
            <v>7.5905937362420489E-6</v>
          </cell>
          <cell r="W125">
            <v>7.4621296918140439E-6</v>
          </cell>
          <cell r="X125">
            <v>1.1941855677897802E-5</v>
          </cell>
          <cell r="Y125">
            <v>1.1094100157536222E-5</v>
          </cell>
          <cell r="Z125">
            <v>1.1001826303166326E-5</v>
          </cell>
          <cell r="AA125">
            <v>1.0866258095362281E-5</v>
          </cell>
          <cell r="AB125">
            <v>1.0690613641223006E-5</v>
          </cell>
          <cell r="AF125">
            <v>180</v>
          </cell>
          <cell r="AG125">
            <v>120</v>
          </cell>
          <cell r="AH125">
            <v>5.5555555555555558E-3</v>
          </cell>
          <cell r="AI125">
            <v>5.5555555555555558E-3</v>
          </cell>
          <cell r="AJ125">
            <v>5.5555555555555558E-3</v>
          </cell>
          <cell r="AK125">
            <v>5.5555555555555558E-3</v>
          </cell>
          <cell r="AL125">
            <v>5.5555555555555558E-3</v>
          </cell>
          <cell r="AO125">
            <v>2.5750200292782492E-4</v>
          </cell>
          <cell r="AP125">
            <v>120</v>
          </cell>
          <cell r="AQ125">
            <v>7.8125000000000004E-4</v>
          </cell>
          <cell r="AR125">
            <v>7.8125000000000004E-4</v>
          </cell>
          <cell r="AS125">
            <v>7.8125000000000004E-4</v>
          </cell>
          <cell r="AT125">
            <v>7.8125000000000004E-4</v>
          </cell>
          <cell r="AU125">
            <v>7.8125000000000004E-4</v>
          </cell>
          <cell r="BI125">
            <v>1.8444491227211132E-2</v>
          </cell>
          <cell r="BJ125">
            <v>1.8444491227211132E-2</v>
          </cell>
          <cell r="BK125">
            <v>1.8444491227211132E-2</v>
          </cell>
          <cell r="BL125">
            <v>1.8444491227211132E-2</v>
          </cell>
          <cell r="BM125">
            <v>1.8444491227211132E-2</v>
          </cell>
          <cell r="DG125">
            <v>0.74184003754792172</v>
          </cell>
        </row>
        <row r="126">
          <cell r="S126">
            <v>7.997157452787958E-6</v>
          </cell>
          <cell r="T126">
            <v>7.757530622852134E-6</v>
          </cell>
          <cell r="U126">
            <v>7.6898824216977734E-6</v>
          </cell>
          <cell r="V126">
            <v>7.5905937362420489E-6</v>
          </cell>
          <cell r="W126">
            <v>7.4621296918140439E-6</v>
          </cell>
          <cell r="X126">
            <v>1.1889128771130446E-5</v>
          </cell>
          <cell r="Y126">
            <v>1.1094100157536222E-5</v>
          </cell>
          <cell r="Z126">
            <v>1.1001826303166326E-5</v>
          </cell>
          <cell r="AA126">
            <v>1.0866258095362281E-5</v>
          </cell>
          <cell r="AB126">
            <v>1.0690613641223006E-5</v>
          </cell>
          <cell r="AF126">
            <v>180</v>
          </cell>
          <cell r="AG126">
            <v>121</v>
          </cell>
          <cell r="AH126">
            <v>5.5555555555555558E-3</v>
          </cell>
          <cell r="AI126">
            <v>5.5555555555555558E-3</v>
          </cell>
          <cell r="AJ126">
            <v>5.5555555555555558E-3</v>
          </cell>
          <cell r="AK126">
            <v>5.5555555555555558E-3</v>
          </cell>
          <cell r="AL126">
            <v>5.5555555555555558E-3</v>
          </cell>
          <cell r="AO126">
            <v>2.5396825396825379E-4</v>
          </cell>
          <cell r="AP126">
            <v>121</v>
          </cell>
          <cell r="AQ126">
            <v>7.7639751552795026E-4</v>
          </cell>
          <cell r="AR126">
            <v>7.7639751552795026E-4</v>
          </cell>
          <cell r="AS126">
            <v>7.7639751552795026E-4</v>
          </cell>
          <cell r="AT126">
            <v>7.7639751552795026E-4</v>
          </cell>
          <cell r="AU126">
            <v>7.7639751552795026E-4</v>
          </cell>
          <cell r="BI126">
            <v>1.8082834536481504E-2</v>
          </cell>
          <cell r="BJ126">
            <v>1.8082834536481504E-2</v>
          </cell>
          <cell r="BK126">
            <v>1.8082834536481504E-2</v>
          </cell>
          <cell r="BL126">
            <v>1.8082834536481504E-2</v>
          </cell>
          <cell r="BM126">
            <v>1.8082834536481504E-2</v>
          </cell>
          <cell r="DG126">
            <v>0.72023304616303074</v>
          </cell>
        </row>
        <row r="127">
          <cell r="S127">
            <v>7.9846379821679782E-6</v>
          </cell>
          <cell r="T127">
            <v>7.757530622852134E-6</v>
          </cell>
          <cell r="U127">
            <v>7.6898824216977734E-6</v>
          </cell>
          <cell r="V127">
            <v>7.5905937362420489E-6</v>
          </cell>
          <cell r="W127">
            <v>7.4621296918140439E-6</v>
          </cell>
          <cell r="X127">
            <v>1.1841808593930913E-5</v>
          </cell>
          <cell r="Y127">
            <v>1.1094100157536222E-5</v>
          </cell>
          <cell r="Z127">
            <v>1.1001826303166326E-5</v>
          </cell>
          <cell r="AA127">
            <v>1.0866258095362281E-5</v>
          </cell>
          <cell r="AB127">
            <v>1.0690613641223006E-5</v>
          </cell>
          <cell r="AF127">
            <v>180</v>
          </cell>
          <cell r="AG127">
            <v>122</v>
          </cell>
          <cell r="AH127">
            <v>5.5555555555555558E-3</v>
          </cell>
          <cell r="AI127">
            <v>5.5555555555555558E-3</v>
          </cell>
          <cell r="AJ127">
            <v>5.5555555555555558E-3</v>
          </cell>
          <cell r="AK127">
            <v>5.5555555555555558E-3</v>
          </cell>
          <cell r="AL127">
            <v>5.5555555555555558E-3</v>
          </cell>
          <cell r="AO127">
            <v>2.5189239941656941E-4</v>
          </cell>
          <cell r="AP127">
            <v>122</v>
          </cell>
          <cell r="AQ127">
            <v>7.716049382716049E-4</v>
          </cell>
          <cell r="AR127">
            <v>7.716049382716049E-4</v>
          </cell>
          <cell r="AS127">
            <v>7.716049382716049E-4</v>
          </cell>
          <cell r="AT127">
            <v>7.716049382716049E-4</v>
          </cell>
          <cell r="AU127">
            <v>7.716049382716049E-4</v>
          </cell>
          <cell r="BI127">
            <v>1.7728269153413238E-2</v>
          </cell>
          <cell r="BJ127">
            <v>1.7728269153413238E-2</v>
          </cell>
          <cell r="BK127">
            <v>1.7728269153413238E-2</v>
          </cell>
          <cell r="BL127">
            <v>1.7728269153413238E-2</v>
          </cell>
          <cell r="BM127">
            <v>1.7728269153413238E-2</v>
          </cell>
          <cell r="DG127">
            <v>0.6992553846243017</v>
          </cell>
        </row>
        <row r="128">
          <cell r="S128">
            <v>7.9740443954002743E-6</v>
          </cell>
          <cell r="T128">
            <v>7.757530622852134E-6</v>
          </cell>
          <cell r="U128">
            <v>7.6898824216977734E-6</v>
          </cell>
          <cell r="V128">
            <v>7.5905937362420489E-6</v>
          </cell>
          <cell r="W128">
            <v>7.4621296918140439E-6</v>
          </cell>
          <cell r="X128">
            <v>1.1801946140954187E-5</v>
          </cell>
          <cell r="Y128">
            <v>1.1094100157536222E-5</v>
          </cell>
          <cell r="Z128">
            <v>1.1001826303166326E-5</v>
          </cell>
          <cell r="AA128">
            <v>1.0866258095362281E-5</v>
          </cell>
          <cell r="AB128">
            <v>1.0690613641223006E-5</v>
          </cell>
          <cell r="AF128">
            <v>180</v>
          </cell>
          <cell r="AG128">
            <v>123</v>
          </cell>
          <cell r="AH128">
            <v>5.5555555555555558E-3</v>
          </cell>
          <cell r="AI128">
            <v>5.5555555555555558E-3</v>
          </cell>
          <cell r="AJ128">
            <v>5.5555555555555558E-3</v>
          </cell>
          <cell r="AK128">
            <v>5.5555555555555558E-3</v>
          </cell>
          <cell r="AL128">
            <v>5.5555555555555558E-3</v>
          </cell>
          <cell r="AO128">
            <v>2.478314745972737E-4</v>
          </cell>
          <cell r="AP128">
            <v>123</v>
          </cell>
          <cell r="AQ128">
            <v>7.668711656441718E-4</v>
          </cell>
          <cell r="AR128">
            <v>7.668711656441718E-4</v>
          </cell>
          <cell r="AS128">
            <v>7.668711656441718E-4</v>
          </cell>
          <cell r="AT128">
            <v>7.668711656441718E-4</v>
          </cell>
          <cell r="AU128">
            <v>7.668711656441718E-4</v>
          </cell>
          <cell r="BI128">
            <v>1.7380656032758075E-2</v>
          </cell>
          <cell r="BJ128">
            <v>1.7380656032758075E-2</v>
          </cell>
          <cell r="BK128">
            <v>1.7380656032758075E-2</v>
          </cell>
          <cell r="BL128">
            <v>1.7380656032758075E-2</v>
          </cell>
          <cell r="BM128">
            <v>1.7380656032758075E-2</v>
          </cell>
          <cell r="DG128">
            <v>0.67888872293621516</v>
          </cell>
        </row>
        <row r="129">
          <cell r="S129">
            <v>7.9627216346443349E-6</v>
          </cell>
          <cell r="T129">
            <v>7.757530622852134E-6</v>
          </cell>
          <cell r="U129">
            <v>7.6898824216977734E-6</v>
          </cell>
          <cell r="V129">
            <v>7.5905937362420489E-6</v>
          </cell>
          <cell r="W129">
            <v>7.4621296918140439E-6</v>
          </cell>
          <cell r="X129">
            <v>1.175951950872645E-5</v>
          </cell>
          <cell r="Y129">
            <v>1.1094100157536222E-5</v>
          </cell>
          <cell r="Z129">
            <v>1.1001826303166326E-5</v>
          </cell>
          <cell r="AA129">
            <v>1.0866258095362281E-5</v>
          </cell>
          <cell r="AB129">
            <v>1.0690613641223006E-5</v>
          </cell>
          <cell r="AF129">
            <v>180</v>
          </cell>
          <cell r="AG129">
            <v>124</v>
          </cell>
          <cell r="AH129">
            <v>5.5555555555555558E-3</v>
          </cell>
          <cell r="AI129">
            <v>5.5555555555555558E-3</v>
          </cell>
          <cell r="AJ129">
            <v>5.5555555555555558E-3</v>
          </cell>
          <cell r="AK129">
            <v>5.5555555555555558E-3</v>
          </cell>
          <cell r="AL129">
            <v>5.5555555555555558E-3</v>
          </cell>
          <cell r="AO129">
            <v>2.4652214679067385E-4</v>
          </cell>
          <cell r="AP129">
            <v>124</v>
          </cell>
          <cell r="AQ129">
            <v>7.6219512195121954E-4</v>
          </cell>
          <cell r="AR129">
            <v>7.6219512195121954E-4</v>
          </cell>
          <cell r="AS129">
            <v>7.6219512195121954E-4</v>
          </cell>
          <cell r="AT129">
            <v>7.6219512195121954E-4</v>
          </cell>
          <cell r="AU129">
            <v>7.6219512195121954E-4</v>
          </cell>
          <cell r="BI129">
            <v>1.7039858855645171E-2</v>
          </cell>
          <cell r="BJ129">
            <v>1.7039858855645171E-2</v>
          </cell>
          <cell r="BK129">
            <v>1.7039858855645171E-2</v>
          </cell>
          <cell r="BL129">
            <v>1.7039858855645171E-2</v>
          </cell>
          <cell r="BM129">
            <v>1.7039858855645171E-2</v>
          </cell>
          <cell r="DG129">
            <v>0.65911526498661666</v>
          </cell>
        </row>
        <row r="130">
          <cell r="S130">
            <v>7.9506218461467057E-6</v>
          </cell>
          <cell r="T130">
            <v>7.757530622852134E-6</v>
          </cell>
          <cell r="U130">
            <v>7.6898824216977734E-6</v>
          </cell>
          <cell r="V130">
            <v>7.5905937362420489E-6</v>
          </cell>
          <cell r="W130">
            <v>7.4621296918140439E-6</v>
          </cell>
          <cell r="X130">
            <v>1.1714385134153239E-5</v>
          </cell>
          <cell r="Y130">
            <v>1.1094100157536222E-5</v>
          </cell>
          <cell r="Z130">
            <v>1.1001826303166326E-5</v>
          </cell>
          <cell r="AA130">
            <v>1.0866258095362281E-5</v>
          </cell>
          <cell r="AB130">
            <v>1.0690613641223006E-5</v>
          </cell>
          <cell r="AF130">
            <v>180</v>
          </cell>
          <cell r="AG130">
            <v>125</v>
          </cell>
          <cell r="AH130">
            <v>5.5555555555555558E-3</v>
          </cell>
          <cell r="AI130">
            <v>5.5555555555555558E-3</v>
          </cell>
          <cell r="AJ130">
            <v>5.5555555555555558E-3</v>
          </cell>
          <cell r="AK130">
            <v>5.5555555555555558E-3</v>
          </cell>
          <cell r="AL130">
            <v>5.5555555555555558E-3</v>
          </cell>
          <cell r="AO130">
            <v>2.4198427102238362E-4</v>
          </cell>
          <cell r="AP130">
            <v>125</v>
          </cell>
          <cell r="AQ130">
            <v>7.5757575757575758E-4</v>
          </cell>
          <cell r="AR130">
            <v>7.5757575757575758E-4</v>
          </cell>
          <cell r="AS130">
            <v>7.5757575757575758E-4</v>
          </cell>
          <cell r="AT130">
            <v>7.5757575757575758E-4</v>
          </cell>
          <cell r="AU130">
            <v>7.5757575757575758E-4</v>
          </cell>
          <cell r="BI130">
            <v>1.6705743976122713E-2</v>
          </cell>
          <cell r="BJ130">
            <v>1.6705743976122713E-2</v>
          </cell>
          <cell r="BK130">
            <v>1.6705743976122713E-2</v>
          </cell>
          <cell r="BL130">
            <v>1.6705743976122713E-2</v>
          </cell>
          <cell r="BM130">
            <v>1.6705743976122713E-2</v>
          </cell>
          <cell r="DG130">
            <v>0.63991773299671517</v>
          </cell>
        </row>
        <row r="131">
          <cell r="S131">
            <v>7.940528099223936E-6</v>
          </cell>
          <cell r="T131">
            <v>7.757530622852134E-6</v>
          </cell>
          <cell r="U131">
            <v>7.6898824216977734E-6</v>
          </cell>
          <cell r="V131">
            <v>7.5905937362420489E-6</v>
          </cell>
          <cell r="W131">
            <v>7.4621296918140439E-6</v>
          </cell>
          <cell r="X131">
            <v>1.1676893708245055E-5</v>
          </cell>
          <cell r="Y131">
            <v>1.1094100157536222E-5</v>
          </cell>
          <cell r="Z131">
            <v>1.1001826303166326E-5</v>
          </cell>
          <cell r="AA131">
            <v>1.0866258095362281E-5</v>
          </cell>
          <cell r="AB131">
            <v>1.0690613641223006E-5</v>
          </cell>
          <cell r="AF131">
            <v>180</v>
          </cell>
          <cell r="AG131">
            <v>126</v>
          </cell>
          <cell r="AH131">
            <v>5.5555555555555558E-3</v>
          </cell>
          <cell r="AI131">
            <v>5.5555555555555558E-3</v>
          </cell>
          <cell r="AJ131">
            <v>5.5555555555555558E-3</v>
          </cell>
          <cell r="AK131">
            <v>5.5555555555555558E-3</v>
          </cell>
          <cell r="AL131">
            <v>5.5555555555555558E-3</v>
          </cell>
          <cell r="AO131">
            <v>2.4137622538494884E-4</v>
          </cell>
          <cell r="AP131">
            <v>126</v>
          </cell>
          <cell r="AQ131">
            <v>7.5301204819277112E-4</v>
          </cell>
          <cell r="AR131">
            <v>7.5301204819277112E-4</v>
          </cell>
          <cell r="AS131">
            <v>7.5301204819277112E-4</v>
          </cell>
          <cell r="AT131">
            <v>7.5301204819277112E-4</v>
          </cell>
          <cell r="AU131">
            <v>7.5301204819277112E-4</v>
          </cell>
          <cell r="BI131">
            <v>1.6378180368747757E-2</v>
          </cell>
          <cell r="BJ131">
            <v>1.6378180368747757E-2</v>
          </cell>
          <cell r="BK131">
            <v>1.6378180368747757E-2</v>
          </cell>
          <cell r="BL131">
            <v>1.6378180368747757E-2</v>
          </cell>
          <cell r="BM131">
            <v>1.6378180368747757E-2</v>
          </cell>
          <cell r="DG131">
            <v>0.62127935242399523</v>
          </cell>
        </row>
        <row r="132">
          <cell r="S132">
            <v>7.929800642776998E-6</v>
          </cell>
          <cell r="T132">
            <v>7.757530622852134E-6</v>
          </cell>
          <cell r="U132">
            <v>7.6898824216977734E-6</v>
          </cell>
          <cell r="V132">
            <v>7.5905937362420489E-6</v>
          </cell>
          <cell r="W132">
            <v>7.4621296918140439E-6</v>
          </cell>
          <cell r="X132">
            <v>1.1637207062120085E-5</v>
          </cell>
          <cell r="Y132">
            <v>1.1094100157536222E-5</v>
          </cell>
          <cell r="Z132">
            <v>1.1001826303166326E-5</v>
          </cell>
          <cell r="AA132">
            <v>1.0866258095362281E-5</v>
          </cell>
          <cell r="AB132">
            <v>1.0690613641223006E-5</v>
          </cell>
          <cell r="AF132">
            <v>180</v>
          </cell>
          <cell r="AG132">
            <v>127</v>
          </cell>
          <cell r="AH132">
            <v>5.5555555555555558E-3</v>
          </cell>
          <cell r="AI132">
            <v>5.5555555555555558E-3</v>
          </cell>
          <cell r="AJ132">
            <v>5.5555555555555558E-3</v>
          </cell>
          <cell r="AK132">
            <v>5.5555555555555558E-3</v>
          </cell>
          <cell r="AL132">
            <v>5.5555555555555558E-3</v>
          </cell>
          <cell r="AO132">
            <v>2.3640661938534267E-4</v>
          </cell>
          <cell r="AP132">
            <v>127</v>
          </cell>
          <cell r="AQ132">
            <v>7.4850299401197609E-4</v>
          </cell>
          <cell r="AR132">
            <v>7.4850299401197609E-4</v>
          </cell>
          <cell r="AS132">
            <v>7.4850299401197609E-4</v>
          </cell>
          <cell r="AT132">
            <v>7.4850299401197609E-4</v>
          </cell>
          <cell r="AU132">
            <v>7.4850299401197609E-4</v>
          </cell>
          <cell r="BI132">
            <v>1.6057039577203686E-2</v>
          </cell>
          <cell r="BJ132">
            <v>1.6057039577203686E-2</v>
          </cell>
          <cell r="BK132">
            <v>1.6057039577203686E-2</v>
          </cell>
          <cell r="BL132">
            <v>1.6057039577203686E-2</v>
          </cell>
          <cell r="BM132">
            <v>1.6057039577203686E-2</v>
          </cell>
          <cell r="DG132">
            <v>0.60318383730484981</v>
          </cell>
        </row>
        <row r="133">
          <cell r="S133">
            <v>7.9183353733578515E-6</v>
          </cell>
          <cell r="T133">
            <v>7.757530622852134E-6</v>
          </cell>
          <cell r="U133">
            <v>7.6898824216977734E-6</v>
          </cell>
          <cell r="V133">
            <v>7.5905937362420489E-6</v>
          </cell>
          <cell r="W133">
            <v>7.4621296918140439E-6</v>
          </cell>
          <cell r="X133">
            <v>1.1594970387774534E-5</v>
          </cell>
          <cell r="Y133">
            <v>1.1094100157536222E-5</v>
          </cell>
          <cell r="Z133">
            <v>1.1001826303166326E-5</v>
          </cell>
          <cell r="AA133">
            <v>1.0866258095362281E-5</v>
          </cell>
          <cell r="AB133">
            <v>1.0690613641223006E-5</v>
          </cell>
          <cell r="AF133">
            <v>180</v>
          </cell>
          <cell r="AG133">
            <v>128</v>
          </cell>
          <cell r="AH133">
            <v>5.5555555555555558E-3</v>
          </cell>
          <cell r="AI133">
            <v>5.5555555555555558E-3</v>
          </cell>
          <cell r="AJ133">
            <v>5.5555555555555558E-3</v>
          </cell>
          <cell r="AK133">
            <v>5.5555555555555558E-3</v>
          </cell>
          <cell r="AL133">
            <v>5.5555555555555558E-3</v>
          </cell>
          <cell r="AO133">
            <v>2.3640661938534262E-4</v>
          </cell>
          <cell r="AP133">
            <v>128</v>
          </cell>
          <cell r="AQ133">
            <v>7.4404761904761901E-4</v>
          </cell>
          <cell r="AR133">
            <v>7.4404761904761901E-4</v>
          </cell>
          <cell r="AS133">
            <v>7.4404761904761901E-4</v>
          </cell>
          <cell r="AT133">
            <v>7.4404761904761901E-4</v>
          </cell>
          <cell r="AU133">
            <v>7.4404761904761901E-4</v>
          </cell>
          <cell r="BI133">
            <v>1.5742195663925179E-2</v>
          </cell>
          <cell r="BJ133">
            <v>1.5742195663925179E-2</v>
          </cell>
          <cell r="BK133">
            <v>1.5742195663925179E-2</v>
          </cell>
          <cell r="BL133">
            <v>1.5742195663925179E-2</v>
          </cell>
          <cell r="BM133">
            <v>1.5742195663925179E-2</v>
          </cell>
          <cell r="DG133">
            <v>0.58561537602412594</v>
          </cell>
        </row>
        <row r="134">
          <cell r="S134">
            <v>7.9074035868764046E-6</v>
          </cell>
          <cell r="T134">
            <v>7.757530622852134E-6</v>
          </cell>
          <cell r="U134">
            <v>7.6898824216977734E-6</v>
          </cell>
          <cell r="V134">
            <v>7.5905937362420489E-6</v>
          </cell>
          <cell r="W134">
            <v>7.4621296918140439E-6</v>
          </cell>
          <cell r="X134">
            <v>1.1554870673130305E-5</v>
          </cell>
          <cell r="Y134">
            <v>1.1094100157536222E-5</v>
          </cell>
          <cell r="Z134">
            <v>1.1001826303166326E-5</v>
          </cell>
          <cell r="AA134">
            <v>1.0866258095362281E-5</v>
          </cell>
          <cell r="AB134">
            <v>1.0690613641223006E-5</v>
          </cell>
          <cell r="AF134">
            <v>180</v>
          </cell>
          <cell r="AG134">
            <v>129</v>
          </cell>
          <cell r="AH134">
            <v>5.5555555555555558E-3</v>
          </cell>
          <cell r="AI134">
            <v>5.5555555555555558E-3</v>
          </cell>
          <cell r="AJ134">
            <v>5.5555555555555558E-3</v>
          </cell>
          <cell r="AK134">
            <v>5.5555555555555558E-3</v>
          </cell>
          <cell r="AL134">
            <v>5.5555555555555558E-3</v>
          </cell>
          <cell r="AO134">
            <v>2.3111081466480513E-4</v>
          </cell>
          <cell r="AP134">
            <v>129</v>
          </cell>
          <cell r="AQ134">
            <v>7.3964497041420117E-4</v>
          </cell>
          <cell r="AR134">
            <v>7.3964497041420117E-4</v>
          </cell>
          <cell r="AS134">
            <v>7.3964497041420117E-4</v>
          </cell>
          <cell r="AT134">
            <v>7.3964497041420117E-4</v>
          </cell>
          <cell r="AU134">
            <v>7.3964497041420117E-4</v>
          </cell>
          <cell r="BI134">
            <v>1.543352516071096E-2</v>
          </cell>
          <cell r="BJ134">
            <v>1.543352516071096E-2</v>
          </cell>
          <cell r="BK134">
            <v>1.543352516071096E-2</v>
          </cell>
          <cell r="BL134">
            <v>1.543352516071096E-2</v>
          </cell>
          <cell r="BM134">
            <v>1.543352516071096E-2</v>
          </cell>
          <cell r="DG134">
            <v>0.56855861749915149</v>
          </cell>
        </row>
        <row r="135">
          <cell r="S135">
            <v>7.8975566458032572E-6</v>
          </cell>
          <cell r="T135">
            <v>7.757530622852134E-6</v>
          </cell>
          <cell r="U135">
            <v>7.6898824216977734E-6</v>
          </cell>
          <cell r="V135">
            <v>7.5905937362420489E-6</v>
          </cell>
          <cell r="W135">
            <v>7.4621296918140439E-6</v>
          </cell>
          <cell r="X135">
            <v>1.1518892946202137E-5</v>
          </cell>
          <cell r="Y135">
            <v>1.1094100157536222E-5</v>
          </cell>
          <cell r="Z135">
            <v>1.1001826303166326E-5</v>
          </cell>
          <cell r="AA135">
            <v>1.0866258095362281E-5</v>
          </cell>
          <cell r="AB135">
            <v>1.0690613641223006E-5</v>
          </cell>
          <cell r="AF135">
            <v>180</v>
          </cell>
          <cell r="AG135">
            <v>130</v>
          </cell>
          <cell r="AH135">
            <v>5.5555555555555558E-3</v>
          </cell>
          <cell r="AI135">
            <v>5.5555555555555558E-3</v>
          </cell>
          <cell r="AJ135">
            <v>5.5555555555555558E-3</v>
          </cell>
          <cell r="AK135">
            <v>5.5555555555555558E-3</v>
          </cell>
          <cell r="AL135">
            <v>5.5555555555555558E-3</v>
          </cell>
          <cell r="AO135">
            <v>2.3108030040439062E-4</v>
          </cell>
          <cell r="AP135">
            <v>130</v>
          </cell>
          <cell r="AQ135">
            <v>7.3529411764705881E-4</v>
          </cell>
          <cell r="AR135">
            <v>7.3529411764705881E-4</v>
          </cell>
          <cell r="AS135">
            <v>7.3529411764705881E-4</v>
          </cell>
          <cell r="AT135">
            <v>7.3529411764705881E-4</v>
          </cell>
          <cell r="AU135">
            <v>7.3529411764705881E-4</v>
          </cell>
          <cell r="BI135">
            <v>1.5130907020304861E-2</v>
          </cell>
          <cell r="BJ135">
            <v>1.5130907020304861E-2</v>
          </cell>
          <cell r="BK135">
            <v>1.5130907020304861E-2</v>
          </cell>
          <cell r="BL135">
            <v>1.5130907020304861E-2</v>
          </cell>
          <cell r="BM135">
            <v>1.5130907020304861E-2</v>
          </cell>
          <cell r="DG135">
            <v>0.55199865776616641</v>
          </cell>
        </row>
        <row r="136">
          <cell r="S136">
            <v>7.508610285255108E-6</v>
          </cell>
          <cell r="T136">
            <v>7.3859880420853611E-6</v>
          </cell>
          <cell r="U136">
            <v>7.3145130911498064E-6</v>
          </cell>
          <cell r="V136">
            <v>7.2098573169236979E-6</v>
          </cell>
          <cell r="W136">
            <v>7.074887686157982E-6</v>
          </cell>
          <cell r="X136">
            <v>1.094527720924496E-5</v>
          </cell>
          <cell r="Y136">
            <v>1.058637956405289E-5</v>
          </cell>
          <cell r="Z136">
            <v>1.0488446975656315E-5</v>
          </cell>
          <cell r="AA136">
            <v>1.0344898930337451E-5</v>
          </cell>
          <cell r="AB136">
            <v>1.0159504216194249E-5</v>
          </cell>
          <cell r="AF136">
            <v>180</v>
          </cell>
          <cell r="AG136">
            <v>131</v>
          </cell>
          <cell r="AH136">
            <v>5.5555555555555558E-3</v>
          </cell>
          <cell r="AI136">
            <v>5.5555555555555558E-3</v>
          </cell>
          <cell r="AJ136">
            <v>5.5555555555555558E-3</v>
          </cell>
          <cell r="AK136">
            <v>5.5555555555555558E-3</v>
          </cell>
          <cell r="AL136">
            <v>5.5555555555555558E-3</v>
          </cell>
          <cell r="AO136">
            <v>2.265445521331975E-4</v>
          </cell>
          <cell r="AP136">
            <v>131</v>
          </cell>
          <cell r="AQ136">
            <v>7.3099415204678359E-4</v>
          </cell>
          <cell r="AR136">
            <v>7.3099415204678359E-4</v>
          </cell>
          <cell r="AS136">
            <v>7.3099415204678359E-4</v>
          </cell>
          <cell r="AT136">
            <v>7.3099415204678359E-4</v>
          </cell>
          <cell r="AU136">
            <v>7.3099415204678359E-4</v>
          </cell>
          <cell r="BI136">
            <v>1.4834222568926334E-2</v>
          </cell>
          <cell r="BJ136">
            <v>1.4834222568926334E-2</v>
          </cell>
          <cell r="BK136">
            <v>1.4834222568926334E-2</v>
          </cell>
          <cell r="BL136">
            <v>1.4834222568926334E-2</v>
          </cell>
          <cell r="BM136">
            <v>1.4834222568926334E-2</v>
          </cell>
          <cell r="DG136">
            <v>0.53592102695744315</v>
          </cell>
        </row>
        <row r="137">
          <cell r="S137">
            <v>7.4984124129370588E-6</v>
          </cell>
          <cell r="T137">
            <v>7.3859880420853611E-6</v>
          </cell>
          <cell r="U137">
            <v>7.3145130911498064E-6</v>
          </cell>
          <cell r="V137">
            <v>7.2098573169236979E-6</v>
          </cell>
          <cell r="W137">
            <v>7.074887686157982E-6</v>
          </cell>
          <cell r="X137">
            <v>1.0908205384702197E-5</v>
          </cell>
          <cell r="Y137">
            <v>1.058637956405289E-5</v>
          </cell>
          <cell r="Z137">
            <v>1.0488446975656315E-5</v>
          </cell>
          <cell r="AA137">
            <v>1.0344898930337451E-5</v>
          </cell>
          <cell r="AB137">
            <v>1.0159504216194249E-5</v>
          </cell>
          <cell r="AF137">
            <v>180</v>
          </cell>
          <cell r="AG137">
            <v>132</v>
          </cell>
          <cell r="AH137">
            <v>5.5555555555555558E-3</v>
          </cell>
          <cell r="AI137">
            <v>5.5555555555555558E-3</v>
          </cell>
          <cell r="AJ137">
            <v>5.5555555555555558E-3</v>
          </cell>
          <cell r="AK137">
            <v>5.5555555555555558E-3</v>
          </cell>
          <cell r="AL137">
            <v>5.5555555555555558E-3</v>
          </cell>
          <cell r="AO137">
            <v>2.2598870056497194E-4</v>
          </cell>
          <cell r="AP137">
            <v>132</v>
          </cell>
          <cell r="AQ137">
            <v>7.2674418604651162E-4</v>
          </cell>
          <cell r="AR137">
            <v>7.2674418604651162E-4</v>
          </cell>
          <cell r="AS137">
            <v>7.2674418604651162E-4</v>
          </cell>
          <cell r="AT137">
            <v>7.2674418604651162E-4</v>
          </cell>
          <cell r="AU137">
            <v>7.2674418604651162E-4</v>
          </cell>
          <cell r="BI137">
            <v>1.4543355459731701E-2</v>
          </cell>
          <cell r="BJ137">
            <v>1.4543355459731701E-2</v>
          </cell>
          <cell r="BK137">
            <v>1.4543355459731701E-2</v>
          </cell>
          <cell r="BL137">
            <v>1.4543355459731701E-2</v>
          </cell>
          <cell r="BM137">
            <v>1.4543355459731701E-2</v>
          </cell>
          <cell r="DG137">
            <v>0.52031167665771172</v>
          </cell>
        </row>
        <row r="138">
          <cell r="S138">
            <v>7.4900941707816034E-6</v>
          </cell>
          <cell r="T138">
            <v>7.3859880420853611E-6</v>
          </cell>
          <cell r="U138">
            <v>7.3145130911498064E-6</v>
          </cell>
          <cell r="V138">
            <v>7.2098573169236979E-6</v>
          </cell>
          <cell r="W138">
            <v>7.074887686157982E-6</v>
          </cell>
          <cell r="X138">
            <v>1.0878077847381614E-5</v>
          </cell>
          <cell r="Y138">
            <v>1.058637956405289E-5</v>
          </cell>
          <cell r="Z138">
            <v>1.0488446975656315E-5</v>
          </cell>
          <cell r="AA138">
            <v>1.0344898930337451E-5</v>
          </cell>
          <cell r="AB138">
            <v>1.0159504216194249E-5</v>
          </cell>
          <cell r="AF138">
            <v>180</v>
          </cell>
          <cell r="AG138">
            <v>133</v>
          </cell>
          <cell r="AH138">
            <v>5.5555555555555558E-3</v>
          </cell>
          <cell r="AI138">
            <v>5.5555555555555558E-3</v>
          </cell>
          <cell r="AJ138">
            <v>5.5555555555555558E-3</v>
          </cell>
          <cell r="AK138">
            <v>5.5555555555555558E-3</v>
          </cell>
          <cell r="AL138">
            <v>5.5555555555555558E-3</v>
          </cell>
          <cell r="AO138">
            <v>2.2215529717235045E-4</v>
          </cell>
          <cell r="AP138">
            <v>133</v>
          </cell>
          <cell r="AQ138">
            <v>7.2254335260115603E-4</v>
          </cell>
          <cell r="AR138">
            <v>7.2254335260115603E-4</v>
          </cell>
          <cell r="AS138">
            <v>7.2254335260115603E-4</v>
          </cell>
          <cell r="AT138">
            <v>7.2254335260115603E-4</v>
          </cell>
          <cell r="AU138">
            <v>7.2254335260115603E-4</v>
          </cell>
          <cell r="BI138">
            <v>1.425819162718794E-2</v>
          </cell>
          <cell r="BJ138">
            <v>1.425819162718794E-2</v>
          </cell>
          <cell r="BK138">
            <v>1.425819162718794E-2</v>
          </cell>
          <cell r="BL138">
            <v>1.425819162718794E-2</v>
          </cell>
          <cell r="BM138">
            <v>1.425819162718794E-2</v>
          </cell>
          <cell r="DG138">
            <v>0.50515696762884632</v>
          </cell>
        </row>
        <row r="139">
          <cell r="S139">
            <v>7.4814241895024909E-6</v>
          </cell>
          <cell r="T139">
            <v>7.3859880420853611E-6</v>
          </cell>
          <cell r="U139">
            <v>7.3145130911498064E-6</v>
          </cell>
          <cell r="V139">
            <v>7.2098573169236979E-6</v>
          </cell>
          <cell r="W139">
            <v>7.074887686157982E-6</v>
          </cell>
          <cell r="X139">
            <v>1.0846782275399824E-5</v>
          </cell>
          <cell r="Y139">
            <v>1.058637956405289E-5</v>
          </cell>
          <cell r="Z139">
            <v>1.0488446975656315E-5</v>
          </cell>
          <cell r="AA139">
            <v>1.0344898930337451E-5</v>
          </cell>
          <cell r="AB139">
            <v>1.0159504216194249E-5</v>
          </cell>
          <cell r="AF139">
            <v>180</v>
          </cell>
          <cell r="AG139">
            <v>134</v>
          </cell>
          <cell r="AH139">
            <v>5.5555555555555558E-3</v>
          </cell>
          <cell r="AI139">
            <v>5.5555555555555558E-3</v>
          </cell>
          <cell r="AJ139">
            <v>5.5555555555555558E-3</v>
          </cell>
          <cell r="AK139">
            <v>5.5555555555555558E-3</v>
          </cell>
          <cell r="AL139">
            <v>5.5555555555555558E-3</v>
          </cell>
          <cell r="AO139">
            <v>2.2111663902708717E-4</v>
          </cell>
          <cell r="AP139">
            <v>134</v>
          </cell>
          <cell r="AQ139">
            <v>7.1839080459770114E-4</v>
          </cell>
          <cell r="AR139">
            <v>7.1839080459770114E-4</v>
          </cell>
          <cell r="AS139">
            <v>7.1839080459770114E-4</v>
          </cell>
          <cell r="AT139">
            <v>7.1839080459770114E-4</v>
          </cell>
          <cell r="AU139">
            <v>7.1839080459770114E-4</v>
          </cell>
          <cell r="BI139">
            <v>1.3978619242341119E-2</v>
          </cell>
          <cell r="BJ139">
            <v>1.3978619242341119E-2</v>
          </cell>
          <cell r="BK139">
            <v>1.3978619242341119E-2</v>
          </cell>
          <cell r="BL139">
            <v>1.3978619242341119E-2</v>
          </cell>
          <cell r="BM139">
            <v>1.3978619242341119E-2</v>
          </cell>
          <cell r="DG139">
            <v>0.49044365789208383</v>
          </cell>
        </row>
        <row r="140">
          <cell r="S140">
            <v>7.4721541900947418E-6</v>
          </cell>
          <cell r="T140">
            <v>7.3859880420853611E-6</v>
          </cell>
          <cell r="U140">
            <v>7.3145130911498064E-6</v>
          </cell>
          <cell r="V140">
            <v>7.2098573169236979E-6</v>
          </cell>
          <cell r="W140">
            <v>7.074887686157982E-6</v>
          </cell>
          <cell r="X140">
            <v>1.081343981852559E-5</v>
          </cell>
          <cell r="Y140">
            <v>1.058637956405289E-5</v>
          </cell>
          <cell r="Z140">
            <v>1.0488446975656315E-5</v>
          </cell>
          <cell r="AA140">
            <v>1.0344898930337451E-5</v>
          </cell>
          <cell r="AB140">
            <v>1.0159504216194249E-5</v>
          </cell>
          <cell r="AF140">
            <v>180</v>
          </cell>
          <cell r="AG140">
            <v>135</v>
          </cell>
          <cell r="AH140">
            <v>5.5555555555555558E-3</v>
          </cell>
          <cell r="AI140">
            <v>5.5555555555555558E-3</v>
          </cell>
          <cell r="AJ140">
            <v>5.5555555555555558E-3</v>
          </cell>
          <cell r="AK140">
            <v>5.5555555555555558E-3</v>
          </cell>
          <cell r="AL140">
            <v>5.5555555555555558E-3</v>
          </cell>
          <cell r="AO140">
            <v>2.179329444872201E-4</v>
          </cell>
          <cell r="AP140">
            <v>135</v>
          </cell>
          <cell r="AQ140">
            <v>7.1428571428571429E-4</v>
          </cell>
          <cell r="AR140">
            <v>7.1428571428571429E-4</v>
          </cell>
          <cell r="AS140">
            <v>7.1428571428571429E-4</v>
          </cell>
          <cell r="AT140">
            <v>7.1428571428571429E-4</v>
          </cell>
          <cell r="AU140">
            <v>7.1428571428571429E-4</v>
          </cell>
          <cell r="BI140">
            <v>1.3704528668961881E-2</v>
          </cell>
          <cell r="BJ140">
            <v>1.3704528668961881E-2</v>
          </cell>
          <cell r="BK140">
            <v>1.3704528668961881E-2</v>
          </cell>
          <cell r="BL140">
            <v>1.3704528668961881E-2</v>
          </cell>
          <cell r="BM140">
            <v>1.3704528668961881E-2</v>
          </cell>
          <cell r="DG140">
            <v>0.47615889115736293</v>
          </cell>
        </row>
        <row r="141">
          <cell r="S141">
            <v>7.463233187423515E-6</v>
          </cell>
          <cell r="T141">
            <v>7.3859880420853611E-6</v>
          </cell>
          <cell r="U141">
            <v>7.3145130911498064E-6</v>
          </cell>
          <cell r="V141">
            <v>7.2098573169236979E-6</v>
          </cell>
          <cell r="W141">
            <v>7.074887686157982E-6</v>
          </cell>
          <cell r="X141">
            <v>1.07814681126247E-5</v>
          </cell>
          <cell r="Y141">
            <v>1.058637956405289E-5</v>
          </cell>
          <cell r="Z141">
            <v>1.0488446975656315E-5</v>
          </cell>
          <cell r="AA141">
            <v>1.0344898930337451E-5</v>
          </cell>
          <cell r="AB141">
            <v>1.0159504216194249E-5</v>
          </cell>
          <cell r="AF141">
            <v>180</v>
          </cell>
          <cell r="AG141">
            <v>136</v>
          </cell>
          <cell r="AH141">
            <v>5.5555555555555558E-3</v>
          </cell>
          <cell r="AI141">
            <v>5.5555555555555558E-3</v>
          </cell>
          <cell r="AJ141">
            <v>5.5555555555555558E-3</v>
          </cell>
          <cell r="AK141">
            <v>5.5555555555555558E-3</v>
          </cell>
          <cell r="AL141">
            <v>5.5555555555555558E-3</v>
          </cell>
          <cell r="AO141">
            <v>2.1645021645021648E-4</v>
          </cell>
          <cell r="AP141">
            <v>136</v>
          </cell>
          <cell r="AQ141">
            <v>7.1022727272727275E-4</v>
          </cell>
          <cell r="AR141">
            <v>7.1022727272727275E-4</v>
          </cell>
          <cell r="AS141">
            <v>7.1022727272727275E-4</v>
          </cell>
          <cell r="AT141">
            <v>7.1022727272727275E-4</v>
          </cell>
          <cell r="AU141">
            <v>7.1022727272727275E-4</v>
          </cell>
          <cell r="BI141">
            <v>1.3435812420550863E-2</v>
          </cell>
          <cell r="BJ141">
            <v>1.3435812420550863E-2</v>
          </cell>
          <cell r="BK141">
            <v>1.3435812420550863E-2</v>
          </cell>
          <cell r="BL141">
            <v>1.3435812420550863E-2</v>
          </cell>
          <cell r="BM141">
            <v>1.3435812420550863E-2</v>
          </cell>
          <cell r="DG141">
            <v>0.46229018558967272</v>
          </cell>
        </row>
        <row r="142">
          <cell r="S142">
            <v>7.4549781429773899E-6</v>
          </cell>
          <cell r="T142">
            <v>7.3859880420853611E-6</v>
          </cell>
          <cell r="U142">
            <v>7.3145130911498064E-6</v>
          </cell>
          <cell r="V142">
            <v>7.2098573169236979E-6</v>
          </cell>
          <cell r="W142">
            <v>7.074887686157982E-6</v>
          </cell>
          <cell r="X142">
            <v>1.0751983479562877E-5</v>
          </cell>
          <cell r="Y142">
            <v>1.058637956405289E-5</v>
          </cell>
          <cell r="Z142">
            <v>1.0488446975656315E-5</v>
          </cell>
          <cell r="AA142">
            <v>1.0344898930337451E-5</v>
          </cell>
          <cell r="AB142">
            <v>1.0159504216194249E-5</v>
          </cell>
          <cell r="AF142">
            <v>180</v>
          </cell>
          <cell r="AG142">
            <v>137</v>
          </cell>
          <cell r="AH142">
            <v>5.5555555555555558E-3</v>
          </cell>
          <cell r="AI142">
            <v>5.5555555555555558E-3</v>
          </cell>
          <cell r="AJ142">
            <v>5.5555555555555558E-3</v>
          </cell>
          <cell r="AK142">
            <v>5.5555555555555558E-3</v>
          </cell>
          <cell r="AL142">
            <v>5.5555555555555558E-3</v>
          </cell>
          <cell r="AO142">
            <v>2.1386814478794897E-4</v>
          </cell>
          <cell r="AP142">
            <v>137</v>
          </cell>
          <cell r="AQ142">
            <v>7.0621468926553672E-4</v>
          </cell>
          <cell r="AR142">
            <v>7.0621468926553672E-4</v>
          </cell>
          <cell r="AS142">
            <v>7.0621468926553672E-4</v>
          </cell>
          <cell r="AT142">
            <v>7.0621468926553672E-4</v>
          </cell>
          <cell r="AU142">
            <v>7.0621468926553672E-4</v>
          </cell>
          <cell r="BI142">
            <v>1.317236511818712E-2</v>
          </cell>
          <cell r="BJ142">
            <v>1.317236511818712E-2</v>
          </cell>
          <cell r="BK142">
            <v>1.317236511818712E-2</v>
          </cell>
          <cell r="BL142">
            <v>1.317236511818712E-2</v>
          </cell>
          <cell r="BM142">
            <v>1.317236511818712E-2</v>
          </cell>
          <cell r="DG142">
            <v>0.44882542290259486</v>
          </cell>
        </row>
        <row r="143">
          <cell r="S143">
            <v>7.4461508562246488E-6</v>
          </cell>
          <cell r="T143">
            <v>7.3859880420853611E-6</v>
          </cell>
          <cell r="U143">
            <v>7.3145130911498064E-6</v>
          </cell>
          <cell r="V143">
            <v>7.2098573169236979E-6</v>
          </cell>
          <cell r="W143">
            <v>7.074887686157982E-6</v>
          </cell>
          <cell r="X143">
            <v>1.0720561152651894E-5</v>
          </cell>
          <cell r="Y143">
            <v>1.058637956405289E-5</v>
          </cell>
          <cell r="Z143">
            <v>1.0488446975656315E-5</v>
          </cell>
          <cell r="AA143">
            <v>1.0344898930337451E-5</v>
          </cell>
          <cell r="AB143">
            <v>1.0159504216194249E-5</v>
          </cell>
          <cell r="AF143">
            <v>180</v>
          </cell>
          <cell r="AG143">
            <v>138</v>
          </cell>
          <cell r="AH143">
            <v>5.5555555555555558E-3</v>
          </cell>
          <cell r="AI143">
            <v>5.5555555555555558E-3</v>
          </cell>
          <cell r="AJ143">
            <v>5.5555555555555558E-3</v>
          </cell>
          <cell r="AK143">
            <v>5.5555555555555558E-3</v>
          </cell>
          <cell r="AL143">
            <v>5.5555555555555558E-3</v>
          </cell>
          <cell r="AO143">
            <v>2.1197668256491776E-4</v>
          </cell>
          <cell r="AP143">
            <v>138</v>
          </cell>
          <cell r="AQ143">
            <v>7.0224719101123594E-4</v>
          </cell>
          <cell r="AR143">
            <v>7.0224719101123594E-4</v>
          </cell>
          <cell r="AS143">
            <v>7.0224719101123594E-4</v>
          </cell>
          <cell r="AT143">
            <v>7.0224719101123594E-4</v>
          </cell>
          <cell r="AU143">
            <v>7.0224719101123594E-4</v>
          </cell>
          <cell r="BI143">
            <v>1.2914083449203058E-2</v>
          </cell>
          <cell r="BJ143">
            <v>1.2914083449203058E-2</v>
          </cell>
          <cell r="BK143">
            <v>1.2914083449203058E-2</v>
          </cell>
          <cell r="BL143">
            <v>1.2914083449203058E-2</v>
          </cell>
          <cell r="BM143">
            <v>1.2914083449203058E-2</v>
          </cell>
          <cell r="DG143">
            <v>0.43575283776950952</v>
          </cell>
        </row>
        <row r="144">
          <cell r="S144">
            <v>7.4367131839567156E-6</v>
          </cell>
          <cell r="T144">
            <v>7.3859880420853611E-6</v>
          </cell>
          <cell r="U144">
            <v>7.3145130911498064E-6</v>
          </cell>
          <cell r="V144">
            <v>7.2098573169236979E-6</v>
          </cell>
          <cell r="W144">
            <v>7.074887686157982E-6</v>
          </cell>
          <cell r="X144">
            <v>1.0687086807423862E-5</v>
          </cell>
          <cell r="Y144">
            <v>1.058637956405289E-5</v>
          </cell>
          <cell r="Z144">
            <v>1.0488446975656315E-5</v>
          </cell>
          <cell r="AA144">
            <v>1.0344898930337451E-5</v>
          </cell>
          <cell r="AB144">
            <v>1.0159504216194249E-5</v>
          </cell>
          <cell r="AF144">
            <v>180</v>
          </cell>
          <cell r="AG144">
            <v>139</v>
          </cell>
          <cell r="AH144">
            <v>5.5555555555555558E-3</v>
          </cell>
          <cell r="AI144">
            <v>5.5555555555555558E-3</v>
          </cell>
          <cell r="AJ144">
            <v>5.5555555555555558E-3</v>
          </cell>
          <cell r="AK144">
            <v>5.5555555555555558E-3</v>
          </cell>
          <cell r="AL144">
            <v>5.5555555555555558E-3</v>
          </cell>
          <cell r="AO144">
            <v>2.0995223523469973E-4</v>
          </cell>
          <cell r="AP144">
            <v>139</v>
          </cell>
          <cell r="AQ144">
            <v>6.9832402234636874E-4</v>
          </cell>
          <cell r="AR144">
            <v>6.9832402234636874E-4</v>
          </cell>
          <cell r="AS144">
            <v>6.9832402234636874E-4</v>
          </cell>
          <cell r="AT144">
            <v>6.9832402234636874E-4</v>
          </cell>
          <cell r="AU144">
            <v>6.9832402234636874E-4</v>
          </cell>
          <cell r="BI144">
            <v>1.2660866126669664E-2</v>
          </cell>
          <cell r="BJ144">
            <v>1.2660866126669664E-2</v>
          </cell>
          <cell r="BK144">
            <v>1.2660866126669664E-2</v>
          </cell>
          <cell r="BL144">
            <v>1.2660866126669664E-2</v>
          </cell>
          <cell r="BM144">
            <v>1.2660866126669664E-2</v>
          </cell>
          <cell r="DG144">
            <v>0.42306100754321313</v>
          </cell>
        </row>
        <row r="145">
          <cell r="S145">
            <v>7.4289501343979531E-6</v>
          </cell>
          <cell r="T145">
            <v>7.3859880420853611E-6</v>
          </cell>
          <cell r="U145">
            <v>7.3145130911498064E-6</v>
          </cell>
          <cell r="V145">
            <v>7.2098573169236979E-6</v>
          </cell>
          <cell r="W145">
            <v>7.074887686157982E-6</v>
          </cell>
          <cell r="X145">
            <v>1.0659645223382045E-5</v>
          </cell>
          <cell r="Y145">
            <v>1.058637956405289E-5</v>
          </cell>
          <cell r="Z145">
            <v>1.0488446975656315E-5</v>
          </cell>
          <cell r="AA145">
            <v>1.0344898930337451E-5</v>
          </cell>
          <cell r="AB145">
            <v>1.0159504216194249E-5</v>
          </cell>
          <cell r="AF145">
            <v>180</v>
          </cell>
          <cell r="AG145">
            <v>140</v>
          </cell>
          <cell r="AH145">
            <v>5.5555555555555558E-3</v>
          </cell>
          <cell r="AI145">
            <v>5.5555555555555558E-3</v>
          </cell>
          <cell r="AJ145">
            <v>5.5555555555555558E-3</v>
          </cell>
          <cell r="AK145">
            <v>5.5555555555555558E-3</v>
          </cell>
          <cell r="AL145">
            <v>5.5555555555555558E-3</v>
          </cell>
          <cell r="AO145">
            <v>2.0768431983385252E-4</v>
          </cell>
          <cell r="AP145">
            <v>140</v>
          </cell>
          <cell r="AQ145">
            <v>6.9444444444444447E-4</v>
          </cell>
          <cell r="AR145">
            <v>6.9444444444444447E-4</v>
          </cell>
          <cell r="AS145">
            <v>6.9444444444444447E-4</v>
          </cell>
          <cell r="AT145">
            <v>6.9444444444444447E-4</v>
          </cell>
          <cell r="AU145">
            <v>6.9444444444444447E-4</v>
          </cell>
          <cell r="BI145">
            <v>1.2412613849676141E-2</v>
          </cell>
          <cell r="BJ145">
            <v>1.2412613849676141E-2</v>
          </cell>
          <cell r="BK145">
            <v>1.2412613849676141E-2</v>
          </cell>
          <cell r="BL145">
            <v>1.2412613849676141E-2</v>
          </cell>
          <cell r="BM145">
            <v>1.2412613849676141E-2</v>
          </cell>
          <cell r="DG145">
            <v>0.41073884227496416</v>
          </cell>
        </row>
        <row r="146">
          <cell r="S146">
            <v>7.4222519112298668E-6</v>
          </cell>
          <cell r="T146">
            <v>7.3859880420853611E-6</v>
          </cell>
          <cell r="U146">
            <v>7.3145130911498064E-6</v>
          </cell>
          <cell r="V146">
            <v>7.2098573169236979E-6</v>
          </cell>
          <cell r="W146">
            <v>7.074887686157982E-6</v>
          </cell>
          <cell r="X146">
            <v>1.0636034886194427E-5</v>
          </cell>
          <cell r="Y146">
            <v>1.058637956405289E-5</v>
          </cell>
          <cell r="Z146">
            <v>1.0488446975656315E-5</v>
          </cell>
          <cell r="AA146">
            <v>1.0344898930337451E-5</v>
          </cell>
          <cell r="AB146">
            <v>1.0159504216194249E-5</v>
          </cell>
          <cell r="AF146">
            <v>180</v>
          </cell>
          <cell r="AG146">
            <v>141</v>
          </cell>
          <cell r="AH146">
            <v>5.5555555555555558E-3</v>
          </cell>
          <cell r="AI146">
            <v>5.5555555555555558E-3</v>
          </cell>
          <cell r="AJ146">
            <v>5.5555555555555558E-3</v>
          </cell>
          <cell r="AK146">
            <v>5.5555555555555558E-3</v>
          </cell>
          <cell r="AL146">
            <v>5.5555555555555558E-3</v>
          </cell>
          <cell r="AO146">
            <v>2.0617717744340506E-4</v>
          </cell>
          <cell r="AP146">
            <v>141</v>
          </cell>
          <cell r="AQ146">
            <v>6.9060773480662981E-4</v>
          </cell>
          <cell r="AR146">
            <v>6.9060773480662981E-4</v>
          </cell>
          <cell r="AS146">
            <v>6.9060773480662981E-4</v>
          </cell>
          <cell r="AT146">
            <v>6.9060773480662981E-4</v>
          </cell>
          <cell r="AU146">
            <v>6.9060773480662981E-4</v>
          </cell>
          <cell r="BI146">
            <v>1.2169229264388374E-2</v>
          </cell>
          <cell r="BJ146">
            <v>1.2169229264388374E-2</v>
          </cell>
          <cell r="BK146">
            <v>1.2169229264388374E-2</v>
          </cell>
          <cell r="BL146">
            <v>1.2169229264388374E-2</v>
          </cell>
          <cell r="BM146">
            <v>1.2169229264388374E-2</v>
          </cell>
          <cell r="DG146">
            <v>0.39877557502423705</v>
          </cell>
        </row>
        <row r="147">
          <cell r="S147">
            <v>7.4222519112298668E-6</v>
          </cell>
          <cell r="T147">
            <v>7.3859880420853611E-6</v>
          </cell>
          <cell r="U147">
            <v>7.3145130911498064E-6</v>
          </cell>
          <cell r="V147">
            <v>7.2098573169236979E-6</v>
          </cell>
          <cell r="W147">
            <v>7.074887686157982E-6</v>
          </cell>
          <cell r="X147">
            <v>1.0636034886194427E-5</v>
          </cell>
          <cell r="Y147">
            <v>1.058637956405289E-5</v>
          </cell>
          <cell r="Z147">
            <v>1.0488446975656315E-5</v>
          </cell>
          <cell r="AA147">
            <v>1.0344898930337451E-5</v>
          </cell>
          <cell r="AB147">
            <v>1.0159504216194249E-5</v>
          </cell>
          <cell r="AF147">
            <v>180</v>
          </cell>
          <cell r="AG147">
            <v>142</v>
          </cell>
          <cell r="AH147">
            <v>5.5555555555555558E-3</v>
          </cell>
          <cell r="AI147">
            <v>5.5555555555555558E-3</v>
          </cell>
          <cell r="AJ147">
            <v>5.5555555555555558E-3</v>
          </cell>
          <cell r="AK147">
            <v>5.5555555555555558E-3</v>
          </cell>
          <cell r="AL147">
            <v>5.5555555555555558E-3</v>
          </cell>
          <cell r="AO147">
            <v>2.0356234096692149E-4</v>
          </cell>
          <cell r="AP147">
            <v>142</v>
          </cell>
          <cell r="AQ147">
            <v>6.8681318681318687E-4</v>
          </cell>
          <cell r="AR147">
            <v>6.8681318681318687E-4</v>
          </cell>
          <cell r="AS147">
            <v>6.8681318681318687E-4</v>
          </cell>
          <cell r="AT147">
            <v>6.8681318681318687E-4</v>
          </cell>
          <cell r="AU147">
            <v>6.8681318681318687E-4</v>
          </cell>
          <cell r="BI147">
            <v>1.1930616925870954E-2</v>
          </cell>
          <cell r="BJ147">
            <v>1.1930616925870954E-2</v>
          </cell>
          <cell r="BK147">
            <v>1.1930616925870954E-2</v>
          </cell>
          <cell r="BL147">
            <v>1.1930616925870954E-2</v>
          </cell>
          <cell r="BM147">
            <v>1.1930616925870954E-2</v>
          </cell>
          <cell r="DG147">
            <v>0.38716075245071557</v>
          </cell>
        </row>
        <row r="148">
          <cell r="S148">
            <v>7.4222519112298668E-6</v>
          </cell>
          <cell r="T148">
            <v>7.3859880420853611E-6</v>
          </cell>
          <cell r="U148">
            <v>7.3145130911498064E-6</v>
          </cell>
          <cell r="V148">
            <v>7.2098573169236979E-6</v>
          </cell>
          <cell r="W148">
            <v>7.074887686157982E-6</v>
          </cell>
          <cell r="X148">
            <v>1.0636034886194427E-5</v>
          </cell>
          <cell r="Y148">
            <v>1.058637956405289E-5</v>
          </cell>
          <cell r="Z148">
            <v>1.0488446975656315E-5</v>
          </cell>
          <cell r="AA148">
            <v>1.0344898930337451E-5</v>
          </cell>
          <cell r="AB148">
            <v>1.0159504216194249E-5</v>
          </cell>
          <cell r="AF148">
            <v>180</v>
          </cell>
          <cell r="AG148">
            <v>143</v>
          </cell>
          <cell r="AH148">
            <v>5.5555555555555558E-3</v>
          </cell>
          <cell r="AI148">
            <v>5.5555555555555558E-3</v>
          </cell>
          <cell r="AJ148">
            <v>5.5555555555555558E-3</v>
          </cell>
          <cell r="AK148">
            <v>5.5555555555555558E-3</v>
          </cell>
          <cell r="AL148">
            <v>5.5555555555555558E-3</v>
          </cell>
          <cell r="AO148">
            <v>2.0253550210792547E-4</v>
          </cell>
          <cell r="AP148">
            <v>143</v>
          </cell>
          <cell r="AQ148">
            <v>6.8306010928961749E-4</v>
          </cell>
          <cell r="AR148">
            <v>6.8306010928961749E-4</v>
          </cell>
          <cell r="AS148">
            <v>6.8306010928961749E-4</v>
          </cell>
          <cell r="AT148">
            <v>6.8306010928961749E-4</v>
          </cell>
          <cell r="AU148">
            <v>6.8306010928961749E-4</v>
          </cell>
          <cell r="BI148">
            <v>1.1696683260657799E-2</v>
          </cell>
          <cell r="BJ148">
            <v>1.1696683260657799E-2</v>
          </cell>
          <cell r="BK148">
            <v>1.1696683260657799E-2</v>
          </cell>
          <cell r="BL148">
            <v>1.1696683260657799E-2</v>
          </cell>
          <cell r="BM148">
            <v>1.1696683260657799E-2</v>
          </cell>
          <cell r="DG148">
            <v>0.37588422568030633</v>
          </cell>
        </row>
        <row r="149">
          <cell r="S149">
            <v>7.4222519112298668E-6</v>
          </cell>
          <cell r="T149">
            <v>7.3859880420853611E-6</v>
          </cell>
          <cell r="U149">
            <v>7.3145130911498064E-6</v>
          </cell>
          <cell r="V149">
            <v>7.2098573169236979E-6</v>
          </cell>
          <cell r="W149">
            <v>7.074887686157982E-6</v>
          </cell>
          <cell r="X149">
            <v>1.0636034886194427E-5</v>
          </cell>
          <cell r="Y149">
            <v>1.058637956405289E-5</v>
          </cell>
          <cell r="Z149">
            <v>1.0488446975656315E-5</v>
          </cell>
          <cell r="AA149">
            <v>1.0344898930337451E-5</v>
          </cell>
          <cell r="AB149">
            <v>1.0159504216194249E-5</v>
          </cell>
          <cell r="AF149">
            <v>180</v>
          </cell>
          <cell r="AG149">
            <v>144</v>
          </cell>
          <cell r="AH149">
            <v>5.5555555555555558E-3</v>
          </cell>
          <cell r="AI149">
            <v>5.5555555555555558E-3</v>
          </cell>
          <cell r="AJ149">
            <v>5.5555555555555558E-3</v>
          </cell>
          <cell r="AK149">
            <v>5.5555555555555558E-3</v>
          </cell>
          <cell r="AL149">
            <v>5.5555555555555558E-3</v>
          </cell>
          <cell r="AO149">
            <v>1.9960079840319338E-4</v>
          </cell>
          <cell r="AP149">
            <v>144</v>
          </cell>
          <cell r="AQ149">
            <v>6.793478260869565E-4</v>
          </cell>
          <cell r="AR149">
            <v>6.793478260869565E-4</v>
          </cell>
          <cell r="AS149">
            <v>6.793478260869565E-4</v>
          </cell>
          <cell r="AT149">
            <v>6.793478260869565E-4</v>
          </cell>
          <cell r="AU149">
            <v>6.793478260869565E-4</v>
          </cell>
          <cell r="BI149">
            <v>1.1467336530056665E-2</v>
          </cell>
          <cell r="BJ149">
            <v>1.1467336530056665E-2</v>
          </cell>
          <cell r="BK149">
            <v>1.1467336530056665E-2</v>
          </cell>
          <cell r="BL149">
            <v>1.1467336530056665E-2</v>
          </cell>
          <cell r="BM149">
            <v>1.1467336530056665E-2</v>
          </cell>
          <cell r="DG149">
            <v>0.36493614143719066</v>
          </cell>
        </row>
        <row r="150">
          <cell r="S150">
            <v>7.4222519112298668E-6</v>
          </cell>
          <cell r="T150">
            <v>7.3859880420853611E-6</v>
          </cell>
          <cell r="U150">
            <v>7.3145130911498064E-6</v>
          </cell>
          <cell r="V150">
            <v>7.2098573169236979E-6</v>
          </cell>
          <cell r="W150">
            <v>7.074887686157982E-6</v>
          </cell>
          <cell r="X150">
            <v>1.0636034886194427E-5</v>
          </cell>
          <cell r="Y150">
            <v>1.058637956405289E-5</v>
          </cell>
          <cell r="Z150">
            <v>1.0488446975656315E-5</v>
          </cell>
          <cell r="AA150">
            <v>1.0344898930337451E-5</v>
          </cell>
          <cell r="AB150">
            <v>1.0159504216194249E-5</v>
          </cell>
          <cell r="AF150">
            <v>180</v>
          </cell>
          <cell r="AG150">
            <v>145</v>
          </cell>
          <cell r="AH150">
            <v>5.5555555555555558E-3</v>
          </cell>
          <cell r="AI150">
            <v>5.5555555555555558E-3</v>
          </cell>
          <cell r="AJ150">
            <v>5.5555555555555558E-3</v>
          </cell>
          <cell r="AK150">
            <v>5.5555555555555558E-3</v>
          </cell>
          <cell r="AL150">
            <v>5.5555555555555558E-3</v>
          </cell>
          <cell r="AO150">
            <v>1.9902025942692211E-4</v>
          </cell>
          <cell r="AP150">
            <v>145</v>
          </cell>
          <cell r="AQ150">
            <v>6.7567567567567571E-4</v>
          </cell>
          <cell r="AR150">
            <v>6.7567567567567571E-4</v>
          </cell>
          <cell r="AS150">
            <v>6.7567567567567571E-4</v>
          </cell>
          <cell r="AT150">
            <v>6.7567567567567571E-4</v>
          </cell>
          <cell r="AU150">
            <v>6.7567567567567571E-4</v>
          </cell>
          <cell r="BI150">
            <v>1.1242486794173201E-2</v>
          </cell>
          <cell r="BJ150">
            <v>1.1242486794173201E-2</v>
          </cell>
          <cell r="BK150">
            <v>1.1242486794173201E-2</v>
          </cell>
          <cell r="BL150">
            <v>1.1242486794173201E-2</v>
          </cell>
          <cell r="BM150">
            <v>1.1242486794173201E-2</v>
          </cell>
          <cell r="DG150">
            <v>0.35430693343416564</v>
          </cell>
        </row>
        <row r="151">
          <cell r="S151">
            <v>7.4222519112298668E-6</v>
          </cell>
          <cell r="T151">
            <v>7.3859880420853611E-6</v>
          </cell>
          <cell r="U151">
            <v>7.3145130911498064E-6</v>
          </cell>
          <cell r="V151">
            <v>7.2098573169236979E-6</v>
          </cell>
          <cell r="W151">
            <v>7.074887686157982E-6</v>
          </cell>
          <cell r="X151">
            <v>1.0636034886194427E-5</v>
          </cell>
          <cell r="Y151">
            <v>1.058637956405289E-5</v>
          </cell>
          <cell r="Z151">
            <v>1.0488446975656315E-5</v>
          </cell>
          <cell r="AA151">
            <v>1.0344898930337451E-5</v>
          </cell>
          <cell r="AB151">
            <v>1.0159504216194249E-5</v>
          </cell>
          <cell r="AF151">
            <v>180</v>
          </cell>
          <cell r="AG151">
            <v>146</v>
          </cell>
          <cell r="AH151">
            <v>5.5555555555555558E-3</v>
          </cell>
          <cell r="AI151">
            <v>5.5555555555555558E-3</v>
          </cell>
          <cell r="AJ151">
            <v>5.5555555555555558E-3</v>
          </cell>
          <cell r="AK151">
            <v>5.5555555555555558E-3</v>
          </cell>
          <cell r="AL151">
            <v>5.5555555555555558E-3</v>
          </cell>
          <cell r="AO151">
            <v>1.9579050416054832E-4</v>
          </cell>
          <cell r="AP151">
            <v>146</v>
          </cell>
          <cell r="AQ151">
            <v>6.7204301075268823E-4</v>
          </cell>
          <cell r="AR151">
            <v>6.7204301075268823E-4</v>
          </cell>
          <cell r="AS151">
            <v>6.7204301075268823E-4</v>
          </cell>
          <cell r="AT151">
            <v>6.7204301075268823E-4</v>
          </cell>
          <cell r="AU151">
            <v>6.7204301075268823E-4</v>
          </cell>
          <cell r="BI151">
            <v>1.1022045876640393E-2</v>
          </cell>
          <cell r="BJ151">
            <v>1.1022045876640393E-2</v>
          </cell>
          <cell r="BK151">
            <v>1.1022045876640393E-2</v>
          </cell>
          <cell r="BL151">
            <v>1.1022045876640393E-2</v>
          </cell>
          <cell r="BM151">
            <v>1.1022045876640393E-2</v>
          </cell>
          <cell r="DG151">
            <v>0.34398731401375304</v>
          </cell>
        </row>
        <row r="152">
          <cell r="S152">
            <v>7.4222519112298668E-6</v>
          </cell>
          <cell r="T152">
            <v>7.3859880420853611E-6</v>
          </cell>
          <cell r="U152">
            <v>7.3145130911498064E-6</v>
          </cell>
          <cell r="V152">
            <v>7.2098573169236979E-6</v>
          </cell>
          <cell r="W152">
            <v>7.074887686157982E-6</v>
          </cell>
          <cell r="X152">
            <v>1.0636034886194427E-5</v>
          </cell>
          <cell r="Y152">
            <v>1.058637956405289E-5</v>
          </cell>
          <cell r="Z152">
            <v>1.0488446975656315E-5</v>
          </cell>
          <cell r="AA152">
            <v>1.0344898930337451E-5</v>
          </cell>
          <cell r="AB152">
            <v>1.0159504216194249E-5</v>
          </cell>
          <cell r="AF152">
            <v>180</v>
          </cell>
          <cell r="AG152">
            <v>147</v>
          </cell>
          <cell r="AH152">
            <v>5.5555555555555558E-3</v>
          </cell>
          <cell r="AI152">
            <v>5.5555555555555558E-3</v>
          </cell>
          <cell r="AJ152">
            <v>5.5555555555555558E-3</v>
          </cell>
          <cell r="AK152">
            <v>5.5555555555555558E-3</v>
          </cell>
          <cell r="AL152">
            <v>5.5555555555555558E-3</v>
          </cell>
          <cell r="AO152">
            <v>1.9562497463591221E-4</v>
          </cell>
          <cell r="AP152">
            <v>147</v>
          </cell>
          <cell r="AQ152">
            <v>6.6844919786096253E-4</v>
          </cell>
          <cell r="AR152">
            <v>6.6844919786096253E-4</v>
          </cell>
          <cell r="AS152">
            <v>6.6844919786096253E-4</v>
          </cell>
          <cell r="AT152">
            <v>6.6844919786096253E-4</v>
          </cell>
          <cell r="AU152">
            <v>6.6844919786096253E-4</v>
          </cell>
          <cell r="BI152">
            <v>1.0805927330039601E-2</v>
          </cell>
          <cell r="BJ152">
            <v>1.0805927330039601E-2</v>
          </cell>
          <cell r="BK152">
            <v>1.0805927330039601E-2</v>
          </cell>
          <cell r="BL152">
            <v>1.0805927330039601E-2</v>
          </cell>
          <cell r="BM152">
            <v>1.0805927330039601E-2</v>
          </cell>
          <cell r="DG152">
            <v>0.33396826603276991</v>
          </cell>
        </row>
        <row r="153">
          <cell r="S153">
            <v>7.4222519112298668E-6</v>
          </cell>
          <cell r="T153">
            <v>7.3859880420853611E-6</v>
          </cell>
          <cell r="U153">
            <v>7.3145130911498064E-6</v>
          </cell>
          <cell r="V153">
            <v>7.2098573169236979E-6</v>
          </cell>
          <cell r="W153">
            <v>7.074887686157982E-6</v>
          </cell>
          <cell r="X153">
            <v>1.0636034886194427E-5</v>
          </cell>
          <cell r="Y153">
            <v>1.058637956405289E-5</v>
          </cell>
          <cell r="Z153">
            <v>1.0488446975656315E-5</v>
          </cell>
          <cell r="AA153">
            <v>1.0344898930337451E-5</v>
          </cell>
          <cell r="AB153">
            <v>1.0159504216194249E-5</v>
          </cell>
          <cell r="AF153">
            <v>180</v>
          </cell>
          <cell r="AG153">
            <v>148</v>
          </cell>
          <cell r="AH153">
            <v>5.5555555555555558E-3</v>
          </cell>
          <cell r="AI153">
            <v>5.5555555555555558E-3</v>
          </cell>
          <cell r="AJ153">
            <v>5.5555555555555558E-3</v>
          </cell>
          <cell r="AK153">
            <v>5.5555555555555558E-3</v>
          </cell>
          <cell r="AL153">
            <v>5.5555555555555558E-3</v>
          </cell>
          <cell r="AO153">
            <v>1.9212295869356385E-4</v>
          </cell>
          <cell r="AP153">
            <v>148</v>
          </cell>
          <cell r="AQ153">
            <v>6.6489361702127658E-4</v>
          </cell>
          <cell r="AR153">
            <v>6.6489361702127658E-4</v>
          </cell>
          <cell r="AS153">
            <v>6.6489361702127658E-4</v>
          </cell>
          <cell r="AT153">
            <v>6.6489361702127658E-4</v>
          </cell>
          <cell r="AU153">
            <v>6.6489361702127658E-4</v>
          </cell>
          <cell r="BI153">
            <v>1.0594046401999608E-2</v>
          </cell>
          <cell r="BJ153">
            <v>1.0594046401999608E-2</v>
          </cell>
          <cell r="BK153">
            <v>1.0594046401999608E-2</v>
          </cell>
          <cell r="BL153">
            <v>1.0594046401999608E-2</v>
          </cell>
          <cell r="BM153">
            <v>1.0594046401999608E-2</v>
          </cell>
          <cell r="DG153">
            <v>0.32424103498327178</v>
          </cell>
        </row>
        <row r="154">
          <cell r="S154">
            <v>7.4222519112298668E-6</v>
          </cell>
          <cell r="T154">
            <v>7.3859880420853611E-6</v>
          </cell>
          <cell r="U154">
            <v>7.3145130911498064E-6</v>
          </cell>
          <cell r="V154">
            <v>7.2098573169236979E-6</v>
          </cell>
          <cell r="W154">
            <v>7.074887686157982E-6</v>
          </cell>
          <cell r="X154">
            <v>1.0636034886194427E-5</v>
          </cell>
          <cell r="Y154">
            <v>1.058637956405289E-5</v>
          </cell>
          <cell r="Z154">
            <v>1.0488446975656315E-5</v>
          </cell>
          <cell r="AA154">
            <v>1.0344898930337451E-5</v>
          </cell>
          <cell r="AB154">
            <v>1.0159504216194249E-5</v>
          </cell>
          <cell r="AF154">
            <v>180</v>
          </cell>
          <cell r="AG154">
            <v>149</v>
          </cell>
          <cell r="AH154">
            <v>5.5555555555555558E-3</v>
          </cell>
          <cell r="AI154">
            <v>5.5555555555555558E-3</v>
          </cell>
          <cell r="AJ154">
            <v>5.5555555555555558E-3</v>
          </cell>
          <cell r="AK154">
            <v>5.5555555555555558E-3</v>
          </cell>
          <cell r="AL154">
            <v>5.5555555555555558E-3</v>
          </cell>
          <cell r="AO154">
            <v>1.9212295869356385E-4</v>
          </cell>
          <cell r="AP154">
            <v>149</v>
          </cell>
          <cell r="AQ154">
            <v>6.6137566137566134E-4</v>
          </cell>
          <cell r="AR154">
            <v>6.6137566137566134E-4</v>
          </cell>
          <cell r="AS154">
            <v>6.6137566137566134E-4</v>
          </cell>
          <cell r="AT154">
            <v>6.6137566137566134E-4</v>
          </cell>
          <cell r="AU154">
            <v>6.6137566137566134E-4</v>
          </cell>
          <cell r="BI154">
            <v>1.03863200019604E-2</v>
          </cell>
          <cell r="BJ154">
            <v>1.03863200019604E-2</v>
          </cell>
          <cell r="BK154">
            <v>1.03863200019604E-2</v>
          </cell>
          <cell r="BL154">
            <v>1.03863200019604E-2</v>
          </cell>
          <cell r="BM154">
            <v>1.03863200019604E-2</v>
          </cell>
          <cell r="DG154">
            <v>0.31479712134298227</v>
          </cell>
        </row>
        <row r="155">
          <cell r="S155">
            <v>7.2503172013775606E-6</v>
          </cell>
          <cell r="T155">
            <v>7.213250741612343E-6</v>
          </cell>
          <cell r="U155">
            <v>7.1402433037905764E-6</v>
          </cell>
          <cell r="V155">
            <v>7.0334616940092486E-6</v>
          </cell>
          <cell r="W155">
            <v>6.8959572450650804E-6</v>
          </cell>
          <cell r="X155">
            <v>1.0400416016640667E-5</v>
          </cell>
          <cell r="Y155">
            <v>1.0349556262775234E-5</v>
          </cell>
          <cell r="Z155">
            <v>1.0249314577087659E-5</v>
          </cell>
          <cell r="AA155">
            <v>1.0102540789008437E-5</v>
          </cell>
          <cell r="AB155">
            <v>9.9132589838909529E-6</v>
          </cell>
          <cell r="AF155">
            <v>180</v>
          </cell>
          <cell r="AG155">
            <v>150</v>
          </cell>
          <cell r="AH155">
            <v>5.5555555555555558E-3</v>
          </cell>
          <cell r="AI155">
            <v>5.5555555555555558E-3</v>
          </cell>
          <cell r="AJ155">
            <v>5.5555555555555558E-3</v>
          </cell>
          <cell r="AK155">
            <v>5.5555555555555558E-3</v>
          </cell>
          <cell r="AL155">
            <v>5.5555555555555558E-3</v>
          </cell>
          <cell r="AO155">
            <v>1.8878864015660831E-4</v>
          </cell>
          <cell r="AP155">
            <v>150</v>
          </cell>
          <cell r="AQ155">
            <v>6.5789473684210525E-4</v>
          </cell>
          <cell r="AR155">
            <v>6.5789473684210525E-4</v>
          </cell>
          <cell r="AS155">
            <v>6.5789473684210525E-4</v>
          </cell>
          <cell r="AT155">
            <v>6.5789473684210525E-4</v>
          </cell>
          <cell r="AU155">
            <v>6.5789473684210525E-4</v>
          </cell>
          <cell r="BI155">
            <v>1.0182666668588627E-2</v>
          </cell>
          <cell r="BJ155">
            <v>1.0182666668588627E-2</v>
          </cell>
          <cell r="BK155">
            <v>1.0182666668588627E-2</v>
          </cell>
          <cell r="BL155">
            <v>1.0182666668588627E-2</v>
          </cell>
          <cell r="BM155">
            <v>1.0182666668588627E-2</v>
          </cell>
          <cell r="DG155">
            <v>0.30562827314852647</v>
          </cell>
        </row>
        <row r="156">
          <cell r="S156">
            <v>7.2503172013775606E-6</v>
          </cell>
          <cell r="T156">
            <v>7.213250741612343E-6</v>
          </cell>
          <cell r="U156">
            <v>7.1402433037905764E-6</v>
          </cell>
          <cell r="V156">
            <v>7.0334616940092486E-6</v>
          </cell>
          <cell r="W156">
            <v>6.8959572450650804E-6</v>
          </cell>
          <cell r="X156">
            <v>1.0400416016640667E-5</v>
          </cell>
          <cell r="Y156">
            <v>1.0349556262775234E-5</v>
          </cell>
          <cell r="Z156">
            <v>1.0249314577087659E-5</v>
          </cell>
          <cell r="AA156">
            <v>1.0102540789008437E-5</v>
          </cell>
          <cell r="AB156">
            <v>9.9132589838909529E-6</v>
          </cell>
          <cell r="AF156">
            <v>180</v>
          </cell>
          <cell r="AG156">
            <v>151</v>
          </cell>
          <cell r="AH156">
            <v>5.5555555555555558E-3</v>
          </cell>
          <cell r="AI156">
            <v>5.5555555555555558E-3</v>
          </cell>
          <cell r="AJ156">
            <v>5.5555555555555558E-3</v>
          </cell>
          <cell r="AK156">
            <v>5.5555555555555558E-3</v>
          </cell>
          <cell r="AL156">
            <v>5.5555555555555558E-3</v>
          </cell>
          <cell r="AO156">
            <v>1.8859028760018846E-4</v>
          </cell>
          <cell r="AP156">
            <v>151</v>
          </cell>
          <cell r="AQ156">
            <v>6.5445026178010475E-4</v>
          </cell>
          <cell r="AR156">
            <v>6.5445026178010475E-4</v>
          </cell>
          <cell r="AS156">
            <v>6.5445026178010475E-4</v>
          </cell>
          <cell r="AT156">
            <v>6.5445026178010475E-4</v>
          </cell>
          <cell r="AU156">
            <v>6.5445026178010475E-4</v>
          </cell>
          <cell r="BI156">
            <v>9.9830065378319881E-3</v>
          </cell>
          <cell r="BJ156">
            <v>9.9830065378319881E-3</v>
          </cell>
          <cell r="BK156">
            <v>9.9830065378319881E-3</v>
          </cell>
          <cell r="BL156">
            <v>9.9830065378319881E-3</v>
          </cell>
          <cell r="BM156">
            <v>9.9830065378319881E-3</v>
          </cell>
          <cell r="DG156">
            <v>0.2967264787849771</v>
          </cell>
        </row>
        <row r="157">
          <cell r="S157">
            <v>7.2503172013775606E-6</v>
          </cell>
          <cell r="T157">
            <v>7.213250741612343E-6</v>
          </cell>
          <cell r="U157">
            <v>7.1402433037905764E-6</v>
          </cell>
          <cell r="V157">
            <v>7.0334616940092486E-6</v>
          </cell>
          <cell r="W157">
            <v>6.8959572450650804E-6</v>
          </cell>
          <cell r="X157">
            <v>1.0400416016640667E-5</v>
          </cell>
          <cell r="Y157">
            <v>1.0349556262775234E-5</v>
          </cell>
          <cell r="Z157">
            <v>1.0249314577087659E-5</v>
          </cell>
          <cell r="AA157">
            <v>1.0102540789008437E-5</v>
          </cell>
          <cell r="AB157">
            <v>9.9132589838909529E-6</v>
          </cell>
          <cell r="AF157">
            <v>180</v>
          </cell>
          <cell r="AG157">
            <v>152</v>
          </cell>
          <cell r="AH157">
            <v>5.5555555555555558E-3</v>
          </cell>
          <cell r="AI157">
            <v>5.5555555555555558E-3</v>
          </cell>
          <cell r="AJ157">
            <v>5.5555555555555558E-3</v>
          </cell>
          <cell r="AK157">
            <v>5.5555555555555558E-3</v>
          </cell>
          <cell r="AL157">
            <v>5.5555555555555558E-3</v>
          </cell>
          <cell r="AO157">
            <v>1.8570705250781452E-4</v>
          </cell>
          <cell r="AP157">
            <v>152</v>
          </cell>
          <cell r="AQ157">
            <v>6.5104166666666663E-4</v>
          </cell>
          <cell r="AR157">
            <v>6.5104166666666663E-4</v>
          </cell>
          <cell r="AS157">
            <v>6.5104166666666663E-4</v>
          </cell>
          <cell r="AT157">
            <v>6.5104166666666663E-4</v>
          </cell>
          <cell r="AU157">
            <v>6.5104166666666663E-4</v>
          </cell>
          <cell r="BI157">
            <v>9.7872613115999874E-3</v>
          </cell>
          <cell r="BJ157">
            <v>9.7872613115999874E-3</v>
          </cell>
          <cell r="BK157">
            <v>9.7872613115999874E-3</v>
          </cell>
          <cell r="BL157">
            <v>9.7872613115999874E-3</v>
          </cell>
          <cell r="BM157">
            <v>9.7872613115999874E-3</v>
          </cell>
          <cell r="DG157">
            <v>0.28808395998541469</v>
          </cell>
        </row>
        <row r="158">
          <cell r="S158">
            <v>7.2503172013775606E-6</v>
          </cell>
          <cell r="T158">
            <v>7.213250741612343E-6</v>
          </cell>
          <cell r="U158">
            <v>7.1402433037905764E-6</v>
          </cell>
          <cell r="V158">
            <v>7.0334616940092486E-6</v>
          </cell>
          <cell r="W158">
            <v>6.8959572450650804E-6</v>
          </cell>
          <cell r="X158">
            <v>1.0400416016640667E-5</v>
          </cell>
          <cell r="Y158">
            <v>1.0349556262775234E-5</v>
          </cell>
          <cell r="Z158">
            <v>1.0249314577087659E-5</v>
          </cell>
          <cell r="AA158">
            <v>1.0102540789008437E-5</v>
          </cell>
          <cell r="AB158">
            <v>9.9132589838909529E-6</v>
          </cell>
          <cell r="AF158">
            <v>180</v>
          </cell>
          <cell r="AG158">
            <v>153</v>
          </cell>
          <cell r="AH158">
            <v>5.5555555555555558E-3</v>
          </cell>
          <cell r="AI158">
            <v>5.5555555555555558E-3</v>
          </cell>
          <cell r="AJ158">
            <v>5.5555555555555558E-3</v>
          </cell>
          <cell r="AK158">
            <v>5.5555555555555558E-3</v>
          </cell>
          <cell r="AL158">
            <v>5.5555555555555558E-3</v>
          </cell>
          <cell r="AO158">
            <v>1.8518518518518518E-4</v>
          </cell>
          <cell r="AP158">
            <v>153</v>
          </cell>
          <cell r="AQ158">
            <v>6.4766839378238344E-4</v>
          </cell>
          <cell r="AR158">
            <v>6.4766839378238344E-4</v>
          </cell>
          <cell r="AS158">
            <v>6.4766839378238344E-4</v>
          </cell>
          <cell r="AT158">
            <v>6.4766839378238344E-4</v>
          </cell>
          <cell r="AU158">
            <v>6.4766839378238344E-4</v>
          </cell>
          <cell r="BI158">
            <v>9.5953542270588114E-3</v>
          </cell>
          <cell r="BJ158">
            <v>9.5953542270588114E-3</v>
          </cell>
          <cell r="BK158">
            <v>9.5953542270588114E-3</v>
          </cell>
          <cell r="BL158">
            <v>9.5953542270588114E-3</v>
          </cell>
          <cell r="BM158">
            <v>9.5953542270588114E-3</v>
          </cell>
          <cell r="DG158">
            <v>0.27969316503438318</v>
          </cell>
        </row>
        <row r="159">
          <cell r="S159">
            <v>7.2503172013775606E-6</v>
          </cell>
          <cell r="T159">
            <v>7.213250741612343E-6</v>
          </cell>
          <cell r="U159">
            <v>7.1402433037905764E-6</v>
          </cell>
          <cell r="V159">
            <v>7.0334616940092486E-6</v>
          </cell>
          <cell r="W159">
            <v>6.8959572450650804E-6</v>
          </cell>
          <cell r="X159">
            <v>1.0400416016640667E-5</v>
          </cell>
          <cell r="Y159">
            <v>1.0349556262775234E-5</v>
          </cell>
          <cell r="Z159">
            <v>1.0249314577087659E-5</v>
          </cell>
          <cell r="AA159">
            <v>1.0102540789008437E-5</v>
          </cell>
          <cell r="AB159">
            <v>9.9132589838909529E-6</v>
          </cell>
          <cell r="AF159">
            <v>180</v>
          </cell>
          <cell r="AG159">
            <v>154</v>
          </cell>
          <cell r="AH159">
            <v>5.5555555555555558E-3</v>
          </cell>
          <cell r="AI159">
            <v>5.5555555555555558E-3</v>
          </cell>
          <cell r="AJ159">
            <v>5.5555555555555558E-3</v>
          </cell>
          <cell r="AK159">
            <v>5.5555555555555558E-3</v>
          </cell>
          <cell r="AL159">
            <v>5.5555555555555558E-3</v>
          </cell>
          <cell r="AO159">
            <v>1.8272445921100434E-4</v>
          </cell>
          <cell r="AP159">
            <v>154</v>
          </cell>
          <cell r="AQ159">
            <v>6.4432989690721648E-4</v>
          </cell>
          <cell r="AR159">
            <v>6.4432989690721648E-4</v>
          </cell>
          <cell r="AS159">
            <v>6.4432989690721648E-4</v>
          </cell>
          <cell r="AT159">
            <v>6.4432989690721648E-4</v>
          </cell>
          <cell r="AU159">
            <v>6.4432989690721648E-4</v>
          </cell>
          <cell r="BI159">
            <v>9.4072100265282458E-3</v>
          </cell>
          <cell r="BJ159">
            <v>9.4072100265282458E-3</v>
          </cell>
          <cell r="BK159">
            <v>9.4072100265282458E-3</v>
          </cell>
          <cell r="BL159">
            <v>9.4072100265282458E-3</v>
          </cell>
          <cell r="BM159">
            <v>9.4072100265282458E-3</v>
          </cell>
          <cell r="DG159">
            <v>0.27154676216930407</v>
          </cell>
        </row>
        <row r="160">
          <cell r="S160">
            <v>7.2503172013775606E-6</v>
          </cell>
          <cell r="T160">
            <v>7.213250741612343E-6</v>
          </cell>
          <cell r="U160">
            <v>7.1402433037905764E-6</v>
          </cell>
          <cell r="V160">
            <v>7.0334616940092486E-6</v>
          </cell>
          <cell r="W160">
            <v>6.8959572450650804E-6</v>
          </cell>
          <cell r="X160">
            <v>1.0400416016640667E-5</v>
          </cell>
          <cell r="Y160">
            <v>1.0349556262775234E-5</v>
          </cell>
          <cell r="Z160">
            <v>1.0249314577087659E-5</v>
          </cell>
          <cell r="AA160">
            <v>1.0102540789008437E-5</v>
          </cell>
          <cell r="AB160">
            <v>9.9132589838909529E-6</v>
          </cell>
          <cell r="AF160">
            <v>180</v>
          </cell>
          <cell r="AG160">
            <v>155</v>
          </cell>
          <cell r="AH160">
            <v>5.5555555555555558E-3</v>
          </cell>
          <cell r="AI160">
            <v>5.5555555555555558E-3</v>
          </cell>
          <cell r="AJ160">
            <v>5.5555555555555558E-3</v>
          </cell>
          <cell r="AK160">
            <v>5.5555555555555558E-3</v>
          </cell>
          <cell r="AL160">
            <v>5.5555555555555558E-3</v>
          </cell>
          <cell r="AO160">
            <v>1.8190086402910432E-4</v>
          </cell>
          <cell r="AP160">
            <v>155</v>
          </cell>
          <cell r="AQ160">
            <v>6.4102564102564103E-4</v>
          </cell>
          <cell r="AR160">
            <v>6.4102564102564103E-4</v>
          </cell>
          <cell r="AS160">
            <v>6.4102564102564103E-4</v>
          </cell>
          <cell r="AT160">
            <v>6.4102564102564103E-4</v>
          </cell>
          <cell r="AU160">
            <v>6.4102564102564103E-4</v>
          </cell>
          <cell r="BI160">
            <v>9.2227549279688681E-3</v>
          </cell>
          <cell r="BJ160">
            <v>9.2227549279688681E-3</v>
          </cell>
          <cell r="BK160">
            <v>9.2227549279688681E-3</v>
          </cell>
          <cell r="BL160">
            <v>9.2227549279688681E-3</v>
          </cell>
          <cell r="BM160">
            <v>9.2227549279688681E-3</v>
          </cell>
          <cell r="DG160">
            <v>0.26363763317408162</v>
          </cell>
        </row>
        <row r="161">
          <cell r="S161">
            <v>7.2503172013775606E-6</v>
          </cell>
          <cell r="T161">
            <v>7.213250741612343E-6</v>
          </cell>
          <cell r="U161">
            <v>7.1402433037905764E-6</v>
          </cell>
          <cell r="V161">
            <v>7.0334616940092486E-6</v>
          </cell>
          <cell r="W161">
            <v>6.8959572450650804E-6</v>
          </cell>
          <cell r="X161">
            <v>1.0400416016640667E-5</v>
          </cell>
          <cell r="Y161">
            <v>1.0349556262775234E-5</v>
          </cell>
          <cell r="Z161">
            <v>1.0249314577087659E-5</v>
          </cell>
          <cell r="AA161">
            <v>1.0102540789008437E-5</v>
          </cell>
          <cell r="AB161">
            <v>9.9132589838909529E-6</v>
          </cell>
          <cell r="AF161">
            <v>180</v>
          </cell>
          <cell r="AG161">
            <v>156</v>
          </cell>
          <cell r="AH161">
            <v>5.5555555555555558E-3</v>
          </cell>
          <cell r="AI161">
            <v>5.5555555555555558E-3</v>
          </cell>
          <cell r="AJ161">
            <v>5.5555555555555558E-3</v>
          </cell>
          <cell r="AK161">
            <v>5.5555555555555558E-3</v>
          </cell>
          <cell r="AL161">
            <v>5.5555555555555558E-3</v>
          </cell>
          <cell r="AO161">
            <v>5.1581427190181179E-4</v>
          </cell>
          <cell r="AP161">
            <v>156</v>
          </cell>
          <cell r="AQ161">
            <v>6.3775510204081628E-4</v>
          </cell>
          <cell r="AR161">
            <v>6.3775510204081628E-4</v>
          </cell>
          <cell r="AS161">
            <v>6.3775510204081628E-4</v>
          </cell>
          <cell r="AT161">
            <v>6.3775510204081628E-4</v>
          </cell>
          <cell r="AU161">
            <v>6.3775510204081628E-4</v>
          </cell>
          <cell r="BI161">
            <v>9.0419165960479095E-3</v>
          </cell>
          <cell r="BJ161">
            <v>9.0419165960479095E-3</v>
          </cell>
          <cell r="BK161">
            <v>9.0419165960479095E-3</v>
          </cell>
          <cell r="BL161">
            <v>9.0419165960479095E-3</v>
          </cell>
          <cell r="BM161">
            <v>9.0419165960479095E-3</v>
          </cell>
          <cell r="DG161">
            <v>0.25595886715930255</v>
          </cell>
        </row>
        <row r="162">
          <cell r="S162">
            <v>7.2503172013775606E-6</v>
          </cell>
          <cell r="T162">
            <v>7.213250741612343E-6</v>
          </cell>
          <cell r="U162">
            <v>7.1402433037905764E-6</v>
          </cell>
          <cell r="V162">
            <v>7.0334616940092486E-6</v>
          </cell>
          <cell r="W162">
            <v>6.8959572450650804E-6</v>
          </cell>
          <cell r="X162">
            <v>1.0400416016640667E-5</v>
          </cell>
          <cell r="Y162">
            <v>1.0349556262775234E-5</v>
          </cell>
          <cell r="Z162">
            <v>1.0249314577087659E-5</v>
          </cell>
          <cell r="AA162">
            <v>1.0102540789008437E-5</v>
          </cell>
          <cell r="AB162">
            <v>9.9132589838909529E-6</v>
          </cell>
          <cell r="AF162">
            <v>180</v>
          </cell>
          <cell r="AG162">
            <v>157</v>
          </cell>
          <cell r="AH162">
            <v>5.5555555555555558E-3</v>
          </cell>
          <cell r="AI162">
            <v>5.5555555555555558E-3</v>
          </cell>
          <cell r="AJ162">
            <v>5.5555555555555558E-3</v>
          </cell>
          <cell r="AK162">
            <v>5.5555555555555558E-3</v>
          </cell>
          <cell r="AL162">
            <v>5.5555555555555558E-3</v>
          </cell>
          <cell r="AO162">
            <v>6.3775510204081628E-4</v>
          </cell>
          <cell r="AP162">
            <v>157</v>
          </cell>
          <cell r="AQ162">
            <v>6.3451776649746188E-4</v>
          </cell>
          <cell r="AR162">
            <v>6.3451776649746188E-4</v>
          </cell>
          <cell r="AS162">
            <v>6.3451776649746188E-4</v>
          </cell>
          <cell r="AT162">
            <v>6.3451776649746188E-4</v>
          </cell>
          <cell r="AU162">
            <v>6.3451776649746188E-4</v>
          </cell>
          <cell r="BI162">
            <v>8.8646241137724617E-3</v>
          </cell>
          <cell r="BJ162">
            <v>8.8646241137724617E-3</v>
          </cell>
          <cell r="BK162">
            <v>8.8646241137724617E-3</v>
          </cell>
          <cell r="BL162">
            <v>8.8646241137724617E-3</v>
          </cell>
          <cell r="BM162">
            <v>8.8646241137724617E-3</v>
          </cell>
          <cell r="DG162">
            <v>0.24850375452359469</v>
          </cell>
        </row>
        <row r="163">
          <cell r="S163">
            <v>7.2503172013775606E-6</v>
          </cell>
          <cell r="T163">
            <v>7.213250741612343E-6</v>
          </cell>
          <cell r="U163">
            <v>7.1402433037905764E-6</v>
          </cell>
          <cell r="V163">
            <v>7.0334616940092486E-6</v>
          </cell>
          <cell r="W163">
            <v>6.8959572450650804E-6</v>
          </cell>
          <cell r="X163">
            <v>1.0400416016640667E-5</v>
          </cell>
          <cell r="Y163">
            <v>1.0349556262775234E-5</v>
          </cell>
          <cell r="Z163">
            <v>1.0249314577087659E-5</v>
          </cell>
          <cell r="AA163">
            <v>1.0102540789008437E-5</v>
          </cell>
          <cell r="AB163">
            <v>9.9132589838909529E-6</v>
          </cell>
          <cell r="AF163">
            <v>180</v>
          </cell>
          <cell r="AG163">
            <v>158</v>
          </cell>
          <cell r="AH163">
            <v>5.5555555555555558E-3</v>
          </cell>
          <cell r="AI163">
            <v>5.5555555555555558E-3</v>
          </cell>
          <cell r="AJ163">
            <v>5.5555555555555558E-3</v>
          </cell>
          <cell r="AK163">
            <v>5.5555555555555558E-3</v>
          </cell>
          <cell r="AL163">
            <v>5.5555555555555558E-3</v>
          </cell>
          <cell r="AO163">
            <v>6.3451776649746188E-4</v>
          </cell>
          <cell r="AP163">
            <v>158</v>
          </cell>
          <cell r="AQ163">
            <v>6.3131313131313137E-4</v>
          </cell>
          <cell r="AR163">
            <v>6.3131313131313137E-4</v>
          </cell>
          <cell r="AS163">
            <v>6.3131313131313137E-4</v>
          </cell>
          <cell r="AT163">
            <v>6.3131313131313137E-4</v>
          </cell>
          <cell r="AU163">
            <v>6.3131313131313137E-4</v>
          </cell>
          <cell r="BI163">
            <v>8.6908079546788829E-3</v>
          </cell>
          <cell r="BJ163">
            <v>8.6908079546788829E-3</v>
          </cell>
          <cell r="BK163">
            <v>8.6908079546788829E-3</v>
          </cell>
          <cell r="BL163">
            <v>8.6908079546788829E-3</v>
          </cell>
          <cell r="BM163">
            <v>8.6908079546788829E-3</v>
          </cell>
          <cell r="DG163">
            <v>0.24126578109086863</v>
          </cell>
        </row>
        <row r="164">
          <cell r="S164">
            <v>7.2503172013775606E-6</v>
          </cell>
          <cell r="T164">
            <v>7.213250741612343E-6</v>
          </cell>
          <cell r="U164">
            <v>7.1402433037905764E-6</v>
          </cell>
          <cell r="V164">
            <v>7.0334616940092486E-6</v>
          </cell>
          <cell r="W164">
            <v>6.8959572450650804E-6</v>
          </cell>
          <cell r="X164">
            <v>1.0400416016640667E-5</v>
          </cell>
          <cell r="Y164">
            <v>1.0349556262775234E-5</v>
          </cell>
          <cell r="Z164">
            <v>1.0249314577087659E-5</v>
          </cell>
          <cell r="AA164">
            <v>1.0102540789008437E-5</v>
          </cell>
          <cell r="AB164">
            <v>9.9132589838909529E-6</v>
          </cell>
          <cell r="AF164">
            <v>180</v>
          </cell>
          <cell r="AG164">
            <v>159</v>
          </cell>
          <cell r="AH164">
            <v>5.5555555555555558E-3</v>
          </cell>
          <cell r="AI164">
            <v>5.5555555555555558E-3</v>
          </cell>
          <cell r="AJ164">
            <v>5.5555555555555558E-3</v>
          </cell>
          <cell r="AK164">
            <v>5.5555555555555558E-3</v>
          </cell>
          <cell r="AL164">
            <v>5.5555555555555558E-3</v>
          </cell>
          <cell r="AO164">
            <v>6.3131313131313137E-4</v>
          </cell>
          <cell r="AP164">
            <v>159</v>
          </cell>
          <cell r="AQ164">
            <v>6.2814070351758795E-4</v>
          </cell>
          <cell r="AR164">
            <v>6.2814070351758795E-4</v>
          </cell>
          <cell r="AS164">
            <v>6.2814070351758795E-4</v>
          </cell>
          <cell r="AT164">
            <v>6.2814070351758795E-4</v>
          </cell>
          <cell r="AU164">
            <v>6.2814070351758795E-4</v>
          </cell>
          <cell r="BI164">
            <v>8.5203999555675328E-3</v>
          </cell>
          <cell r="BJ164">
            <v>8.5203999555675328E-3</v>
          </cell>
          <cell r="BK164">
            <v>8.5203999555675328E-3</v>
          </cell>
          <cell r="BL164">
            <v>8.5203999555675328E-3</v>
          </cell>
          <cell r="BM164">
            <v>8.5203999555675328E-3</v>
          </cell>
          <cell r="DG164">
            <v>0.23423862241831908</v>
          </cell>
        </row>
        <row r="165">
          <cell r="S165">
            <v>7.2503172013775606E-6</v>
          </cell>
          <cell r="T165">
            <v>7.213250741612343E-6</v>
          </cell>
          <cell r="U165">
            <v>7.1402433037905764E-6</v>
          </cell>
          <cell r="V165">
            <v>7.0334616940092486E-6</v>
          </cell>
          <cell r="W165">
            <v>6.8959572450650804E-6</v>
          </cell>
          <cell r="X165">
            <v>1.0400416016640667E-5</v>
          </cell>
          <cell r="Y165">
            <v>1.0349556262775234E-5</v>
          </cell>
          <cell r="Z165">
            <v>1.0249314577087659E-5</v>
          </cell>
          <cell r="AA165">
            <v>1.0102540789008437E-5</v>
          </cell>
          <cell r="AB165">
            <v>9.9132589838909529E-6</v>
          </cell>
          <cell r="AF165">
            <v>180</v>
          </cell>
          <cell r="AG165">
            <v>160</v>
          </cell>
          <cell r="AH165">
            <v>5.5555555555555558E-3</v>
          </cell>
          <cell r="AI165">
            <v>5.5555555555555558E-3</v>
          </cell>
          <cell r="AJ165">
            <v>5.5555555555555558E-3</v>
          </cell>
          <cell r="AK165">
            <v>5.5555555555555558E-3</v>
          </cell>
          <cell r="AL165">
            <v>5.5555555555555558E-3</v>
          </cell>
          <cell r="AO165">
            <v>6.2814070351758795E-4</v>
          </cell>
          <cell r="AP165">
            <v>160</v>
          </cell>
          <cell r="AQ165">
            <v>6.2500000000000001E-4</v>
          </cell>
          <cell r="AR165">
            <v>6.2500000000000001E-4</v>
          </cell>
          <cell r="AS165">
            <v>6.2500000000000001E-4</v>
          </cell>
          <cell r="AT165">
            <v>6.2500000000000001E-4</v>
          </cell>
          <cell r="AU165">
            <v>6.2500000000000001E-4</v>
          </cell>
          <cell r="BI165">
            <v>8.353333289772091E-3</v>
          </cell>
          <cell r="BJ165">
            <v>8.353333289772091E-3</v>
          </cell>
          <cell r="BK165">
            <v>8.353333289772091E-3</v>
          </cell>
          <cell r="BL165">
            <v>8.353333289772091E-3</v>
          </cell>
          <cell r="BM165">
            <v>8.353333289772091E-3</v>
          </cell>
          <cell r="DG165">
            <v>0.2274161382702127</v>
          </cell>
        </row>
      </sheetData>
      <sheetData sheetId="10" refreshError="1"/>
      <sheetData sheetId="11" refreshError="1"/>
      <sheetData sheetId="12">
        <row r="64">
          <cell r="BF64">
            <v>2673294</v>
          </cell>
          <cell r="BG64">
            <v>2833296</v>
          </cell>
          <cell r="BH64">
            <v>3115266</v>
          </cell>
          <cell r="BI64">
            <v>3799488</v>
          </cell>
          <cell r="BJ64">
            <v>4178838</v>
          </cell>
        </row>
        <row r="65">
          <cell r="BF65">
            <v>2855010</v>
          </cell>
          <cell r="BG65">
            <v>3060660</v>
          </cell>
          <cell r="BH65">
            <v>3368904</v>
          </cell>
          <cell r="BI65">
            <v>4100670</v>
          </cell>
          <cell r="BJ65">
            <v>4487586</v>
          </cell>
        </row>
        <row r="66">
          <cell r="BF66">
            <v>3047298</v>
          </cell>
          <cell r="BG66">
            <v>3297498</v>
          </cell>
          <cell r="BH66">
            <v>3637422</v>
          </cell>
          <cell r="BI66">
            <v>4418736</v>
          </cell>
          <cell r="BJ66">
            <v>4813566</v>
          </cell>
        </row>
        <row r="67">
          <cell r="BF67">
            <v>3248862</v>
          </cell>
          <cell r="BG67">
            <v>3547368</v>
          </cell>
          <cell r="BH67">
            <v>3920274</v>
          </cell>
          <cell r="BI67">
            <v>4755456</v>
          </cell>
          <cell r="BJ67">
            <v>5155530</v>
          </cell>
        </row>
        <row r="68">
          <cell r="BF68">
            <v>3461508</v>
          </cell>
          <cell r="BG68">
            <v>3809646</v>
          </cell>
          <cell r="BH68">
            <v>4220718</v>
          </cell>
          <cell r="BI68">
            <v>5110422</v>
          </cell>
          <cell r="BJ68">
            <v>5513706</v>
          </cell>
        </row>
        <row r="69">
          <cell r="BF69">
            <v>3685164</v>
          </cell>
          <cell r="BG69">
            <v>4088886</v>
          </cell>
          <cell r="BH69">
            <v>4542276</v>
          </cell>
          <cell r="BI69">
            <v>5477730</v>
          </cell>
          <cell r="BJ69">
            <v>5880936</v>
          </cell>
        </row>
        <row r="70">
          <cell r="BF70">
            <v>3897204</v>
          </cell>
          <cell r="BG70">
            <v>4364706</v>
          </cell>
          <cell r="BH70">
            <v>4872480</v>
          </cell>
          <cell r="BI70">
            <v>5848440</v>
          </cell>
          <cell r="BJ70">
            <v>6269262</v>
          </cell>
        </row>
        <row r="71">
          <cell r="BF71">
            <v>4116558</v>
          </cell>
          <cell r="BG71">
            <v>4653282</v>
          </cell>
          <cell r="BH71">
            <v>5214540</v>
          </cell>
          <cell r="BI71">
            <v>6242808</v>
          </cell>
          <cell r="BJ71">
            <v>6685326</v>
          </cell>
        </row>
        <row r="72">
          <cell r="BF72">
            <v>4343016</v>
          </cell>
          <cell r="BG72">
            <v>4954650</v>
          </cell>
          <cell r="BH72">
            <v>5571882</v>
          </cell>
          <cell r="BI72">
            <v>6674442</v>
          </cell>
          <cell r="BJ72">
            <v>7132548</v>
          </cell>
        </row>
        <row r="73">
          <cell r="BF73">
            <v>4578750</v>
          </cell>
          <cell r="BG73">
            <v>5269428</v>
          </cell>
          <cell r="BH73">
            <v>5960226</v>
          </cell>
          <cell r="BI73">
            <v>7123656</v>
          </cell>
          <cell r="BJ73">
            <v>7604436</v>
          </cell>
        </row>
        <row r="74">
          <cell r="BF74">
            <v>4831320</v>
          </cell>
          <cell r="BG74">
            <v>5613006</v>
          </cell>
          <cell r="BH74">
            <v>6350298</v>
          </cell>
          <cell r="BI74">
            <v>7578774</v>
          </cell>
          <cell r="BJ74">
            <v>8106444</v>
          </cell>
        </row>
        <row r="75">
          <cell r="BF75">
            <v>5116296</v>
          </cell>
          <cell r="BG75">
            <v>5944506</v>
          </cell>
          <cell r="BH75">
            <v>6699006</v>
          </cell>
          <cell r="BI75">
            <v>8023080</v>
          </cell>
          <cell r="BJ75">
            <v>8602488</v>
          </cell>
        </row>
        <row r="76">
          <cell r="BF76">
            <v>5424306</v>
          </cell>
          <cell r="BG76">
            <v>6291930</v>
          </cell>
          <cell r="BH76">
            <v>7062402</v>
          </cell>
          <cell r="BI76">
            <v>8494608</v>
          </cell>
          <cell r="BJ76">
            <v>9139560</v>
          </cell>
        </row>
        <row r="77">
          <cell r="BF77">
            <v>5755602</v>
          </cell>
          <cell r="BG77">
            <v>6650886</v>
          </cell>
          <cell r="BH77">
            <v>7457790</v>
          </cell>
          <cell r="BI77">
            <v>9063222</v>
          </cell>
          <cell r="BJ77">
            <v>9748110</v>
          </cell>
        </row>
        <row r="78">
          <cell r="BF78">
            <v>6107268</v>
          </cell>
          <cell r="BG78">
            <v>7029636</v>
          </cell>
          <cell r="BH78">
            <v>7881696</v>
          </cell>
          <cell r="BI78">
            <v>9669342</v>
          </cell>
          <cell r="BJ78">
            <v>10430796</v>
          </cell>
        </row>
        <row r="79">
          <cell r="BF79">
            <v>6479832</v>
          </cell>
          <cell r="BG79">
            <v>7450092</v>
          </cell>
          <cell r="BH79">
            <v>8333538</v>
          </cell>
          <cell r="BI79">
            <v>10304964</v>
          </cell>
          <cell r="BJ79">
            <v>11149914</v>
          </cell>
        </row>
        <row r="80">
          <cell r="BF80">
            <v>6900798</v>
          </cell>
          <cell r="BG80">
            <v>7898868</v>
          </cell>
          <cell r="BH80">
            <v>8832876</v>
          </cell>
          <cell r="BI80">
            <v>10967694</v>
          </cell>
          <cell r="BJ80">
            <v>11943750</v>
          </cell>
        </row>
        <row r="81">
          <cell r="BF81">
            <v>7346616</v>
          </cell>
          <cell r="BG81">
            <v>8370102</v>
          </cell>
          <cell r="BH81">
            <v>9366564</v>
          </cell>
          <cell r="BI81">
            <v>11651286</v>
          </cell>
          <cell r="BJ81">
            <v>12767796</v>
          </cell>
        </row>
        <row r="82">
          <cell r="BF82">
            <v>7749738</v>
          </cell>
          <cell r="BG82">
            <v>8820960</v>
          </cell>
          <cell r="BH82">
            <v>9901866</v>
          </cell>
          <cell r="BI82">
            <v>12375630</v>
          </cell>
          <cell r="BJ82">
            <v>13586334</v>
          </cell>
        </row>
        <row r="83">
          <cell r="BF83">
            <v>8159304</v>
          </cell>
          <cell r="BG83">
            <v>9333510</v>
          </cell>
          <cell r="BH83">
            <v>10451232</v>
          </cell>
          <cell r="BI83">
            <v>13115316</v>
          </cell>
          <cell r="BJ83">
            <v>14448732</v>
          </cell>
        </row>
        <row r="84">
          <cell r="BF84">
            <v>8585118</v>
          </cell>
          <cell r="BG84">
            <v>9889398</v>
          </cell>
          <cell r="BH84">
            <v>11015052</v>
          </cell>
          <cell r="BI84">
            <v>13866504</v>
          </cell>
          <cell r="BJ84">
            <v>15373530</v>
          </cell>
        </row>
        <row r="85">
          <cell r="BF85">
            <v>9032556</v>
          </cell>
          <cell r="BG85">
            <v>10518918</v>
          </cell>
          <cell r="BH85">
            <v>11618916</v>
          </cell>
          <cell r="BI85">
            <v>14841774</v>
          </cell>
          <cell r="BJ85">
            <v>16557330</v>
          </cell>
        </row>
        <row r="86">
          <cell r="BF86">
            <v>9551280</v>
          </cell>
          <cell r="BG86">
            <v>11130006</v>
          </cell>
          <cell r="BH86">
            <v>12251100</v>
          </cell>
          <cell r="BI86">
            <v>15866520</v>
          </cell>
          <cell r="BJ86">
            <v>17776638</v>
          </cell>
        </row>
        <row r="87">
          <cell r="BF87">
            <v>10067082</v>
          </cell>
          <cell r="BG87">
            <v>11705016</v>
          </cell>
          <cell r="BH87">
            <v>12941712</v>
          </cell>
          <cell r="BI87">
            <v>16870758</v>
          </cell>
          <cell r="BJ87">
            <v>18872622</v>
          </cell>
        </row>
        <row r="88">
          <cell r="BF88">
            <v>10589772</v>
          </cell>
          <cell r="BG88">
            <v>12304122</v>
          </cell>
          <cell r="BH88">
            <v>13668792</v>
          </cell>
          <cell r="BI88">
            <v>17894034</v>
          </cell>
          <cell r="BJ88">
            <v>20018514</v>
          </cell>
        </row>
        <row r="89">
          <cell r="BF89">
            <v>11070060</v>
          </cell>
          <cell r="BG89">
            <v>12962562</v>
          </cell>
          <cell r="BH89">
            <v>14440398</v>
          </cell>
          <cell r="BI89">
            <v>18858894</v>
          </cell>
          <cell r="BJ89">
            <v>21184506</v>
          </cell>
        </row>
        <row r="90">
          <cell r="BF90">
            <v>11620392</v>
          </cell>
          <cell r="BG90">
            <v>13692966</v>
          </cell>
          <cell r="BH90">
            <v>15263070</v>
          </cell>
          <cell r="BI90">
            <v>19946130</v>
          </cell>
          <cell r="BJ90">
            <v>22195416</v>
          </cell>
        </row>
        <row r="91">
          <cell r="BF91">
            <v>12210270</v>
          </cell>
          <cell r="BG91">
            <v>14431140</v>
          </cell>
          <cell r="BH91">
            <v>16199406</v>
          </cell>
          <cell r="BI91">
            <v>21050274</v>
          </cell>
          <cell r="BJ91">
            <v>23265480</v>
          </cell>
        </row>
        <row r="92">
          <cell r="BF92">
            <v>12711492</v>
          </cell>
          <cell r="BG92">
            <v>15162282</v>
          </cell>
          <cell r="BH92">
            <v>17213202</v>
          </cell>
          <cell r="BI92">
            <v>22183902</v>
          </cell>
          <cell r="BJ92">
            <v>24325464</v>
          </cell>
        </row>
        <row r="93">
          <cell r="BF93">
            <v>13209786</v>
          </cell>
          <cell r="BG93">
            <v>15922956</v>
          </cell>
          <cell r="BH93">
            <v>18263388</v>
          </cell>
          <cell r="BI93">
            <v>23358312</v>
          </cell>
          <cell r="BJ93">
            <v>25383312</v>
          </cell>
        </row>
        <row r="94">
          <cell r="BF94">
            <v>13730598</v>
          </cell>
          <cell r="BG94">
            <v>16711368</v>
          </cell>
          <cell r="BH94">
            <v>19435230</v>
          </cell>
          <cell r="BI94">
            <v>24530754</v>
          </cell>
          <cell r="BJ94">
            <v>26496420</v>
          </cell>
        </row>
        <row r="95">
          <cell r="BF95">
            <v>14279574</v>
          </cell>
          <cell r="BG95">
            <v>17621064</v>
          </cell>
          <cell r="BH95">
            <v>20433264</v>
          </cell>
          <cell r="BI95">
            <v>25646376</v>
          </cell>
          <cell r="BJ95">
            <v>27645096</v>
          </cell>
        </row>
        <row r="96">
          <cell r="BF96">
            <v>14905848</v>
          </cell>
          <cell r="BG96">
            <v>18521040</v>
          </cell>
          <cell r="BH96">
            <v>21376542</v>
          </cell>
          <cell r="BI96">
            <v>26844876</v>
          </cell>
          <cell r="BJ96">
            <v>28834728</v>
          </cell>
        </row>
        <row r="97">
          <cell r="BF97">
            <v>15521562</v>
          </cell>
          <cell r="BG97">
            <v>19447848</v>
          </cell>
          <cell r="BH97">
            <v>22384092</v>
          </cell>
          <cell r="BI97">
            <v>28139034</v>
          </cell>
          <cell r="BJ97">
            <v>30055830</v>
          </cell>
        </row>
        <row r="98">
          <cell r="BF98">
            <v>16137900</v>
          </cell>
          <cell r="BG98">
            <v>20323386</v>
          </cell>
          <cell r="BH98">
            <v>23501910</v>
          </cell>
          <cell r="BI98">
            <v>29479620</v>
          </cell>
          <cell r="BJ98">
            <v>31307322</v>
          </cell>
        </row>
        <row r="99">
          <cell r="BF99">
            <v>16790994</v>
          </cell>
          <cell r="BG99">
            <v>21251886</v>
          </cell>
          <cell r="BH99">
            <v>24624138</v>
          </cell>
          <cell r="BI99">
            <v>30713328</v>
          </cell>
          <cell r="BJ99">
            <v>32383356</v>
          </cell>
        </row>
        <row r="100">
          <cell r="BF100">
            <v>17494338</v>
          </cell>
          <cell r="BG100">
            <v>22346790</v>
          </cell>
          <cell r="BH100">
            <v>25704666</v>
          </cell>
          <cell r="BI100">
            <v>31904172</v>
          </cell>
          <cell r="BJ100">
            <v>33480654</v>
          </cell>
        </row>
        <row r="101">
          <cell r="BF101">
            <v>18330234</v>
          </cell>
          <cell r="BG101">
            <v>23309400</v>
          </cell>
          <cell r="BH101">
            <v>26768286</v>
          </cell>
          <cell r="BI101">
            <v>33126024</v>
          </cell>
          <cell r="BJ101">
            <v>34634418</v>
          </cell>
        </row>
        <row r="102">
          <cell r="BF102">
            <v>19087248</v>
          </cell>
          <cell r="BG102">
            <v>24215544</v>
          </cell>
          <cell r="BH102">
            <v>27831810</v>
          </cell>
          <cell r="BI102">
            <v>34348854</v>
          </cell>
          <cell r="BJ102">
            <v>35819406</v>
          </cell>
        </row>
        <row r="103">
          <cell r="BF103">
            <v>19824708</v>
          </cell>
          <cell r="BG103">
            <v>25047012</v>
          </cell>
          <cell r="BH103">
            <v>28925640</v>
          </cell>
          <cell r="BI103">
            <v>35600952</v>
          </cell>
          <cell r="BJ103">
            <v>37009260</v>
          </cell>
        </row>
        <row r="104">
          <cell r="BF104">
            <v>20580660</v>
          </cell>
          <cell r="BG104">
            <v>25880454</v>
          </cell>
          <cell r="BH104">
            <v>30048066</v>
          </cell>
          <cell r="BI104">
            <v>36868446</v>
          </cell>
          <cell r="BJ104">
            <v>38228802</v>
          </cell>
        </row>
        <row r="105">
          <cell r="BF105">
            <v>21402186</v>
          </cell>
          <cell r="BG105">
            <v>26784036</v>
          </cell>
          <cell r="BH105">
            <v>31073868</v>
          </cell>
          <cell r="BI105">
            <v>37781832</v>
          </cell>
          <cell r="BJ105">
            <v>39115530</v>
          </cell>
        </row>
        <row r="106">
          <cell r="BF106">
            <v>22216464</v>
          </cell>
          <cell r="BG106">
            <v>27711084</v>
          </cell>
          <cell r="BH106">
            <v>32113032</v>
          </cell>
          <cell r="BI106">
            <v>38723994</v>
          </cell>
          <cell r="BJ106">
            <v>40027026</v>
          </cell>
        </row>
        <row r="107">
          <cell r="BF107">
            <v>23055606</v>
          </cell>
          <cell r="BG107">
            <v>28664076</v>
          </cell>
          <cell r="BH107">
            <v>33197370</v>
          </cell>
          <cell r="BI107">
            <v>39701532</v>
          </cell>
          <cell r="BJ107">
            <v>40995714</v>
          </cell>
        </row>
        <row r="108">
          <cell r="BF108">
            <v>23917386</v>
          </cell>
          <cell r="BG108">
            <v>29583930</v>
          </cell>
          <cell r="BH108">
            <v>34329012</v>
          </cell>
          <cell r="BI108">
            <v>40732938</v>
          </cell>
          <cell r="BJ108">
            <v>42040824</v>
          </cell>
        </row>
        <row r="109">
          <cell r="BF109">
            <v>24738678</v>
          </cell>
          <cell r="BG109">
            <v>30513312</v>
          </cell>
          <cell r="BH109">
            <v>35502138</v>
          </cell>
          <cell r="BI109">
            <v>41774250</v>
          </cell>
          <cell r="BJ109">
            <v>43128846</v>
          </cell>
        </row>
        <row r="110">
          <cell r="BF110">
            <v>25578666</v>
          </cell>
          <cell r="BG110">
            <v>31501242</v>
          </cell>
          <cell r="BH110">
            <v>36578010</v>
          </cell>
          <cell r="BI110">
            <v>42872874</v>
          </cell>
          <cell r="BJ110">
            <v>44138472</v>
          </cell>
        </row>
        <row r="111">
          <cell r="BF111">
            <v>26451780</v>
          </cell>
          <cell r="BG111">
            <v>32504616</v>
          </cell>
          <cell r="BH111">
            <v>37603110</v>
          </cell>
          <cell r="BI111">
            <v>43931376</v>
          </cell>
          <cell r="BJ111">
            <v>45140322</v>
          </cell>
        </row>
        <row r="112">
          <cell r="BF112">
            <v>27282672</v>
          </cell>
          <cell r="BG112">
            <v>33532422</v>
          </cell>
          <cell r="BH112">
            <v>38595042</v>
          </cell>
          <cell r="BI112">
            <v>44928306</v>
          </cell>
          <cell r="BJ112">
            <v>46143978</v>
          </cell>
        </row>
        <row r="113">
          <cell r="BF113">
            <v>28088160</v>
          </cell>
          <cell r="BG113">
            <v>34560978</v>
          </cell>
          <cell r="BH113">
            <v>39619176</v>
          </cell>
          <cell r="BI113">
            <v>45934956</v>
          </cell>
          <cell r="BJ113">
            <v>47174412</v>
          </cell>
        </row>
        <row r="114">
          <cell r="BF114">
            <v>28899660</v>
          </cell>
          <cell r="BG114">
            <v>35622468</v>
          </cell>
          <cell r="BH114">
            <v>40671372</v>
          </cell>
          <cell r="BI114">
            <v>46981776</v>
          </cell>
          <cell r="BJ114">
            <v>48299988</v>
          </cell>
        </row>
        <row r="115">
          <cell r="BF115">
            <v>29832252</v>
          </cell>
          <cell r="BG115">
            <v>36672396</v>
          </cell>
          <cell r="BH115">
            <v>41756442</v>
          </cell>
          <cell r="BI115">
            <v>47974296</v>
          </cell>
          <cell r="BJ115">
            <v>49417590</v>
          </cell>
        </row>
        <row r="116">
          <cell r="BF116">
            <v>30783354</v>
          </cell>
          <cell r="BG116">
            <v>37746588</v>
          </cell>
          <cell r="BH116">
            <v>42914430</v>
          </cell>
          <cell r="BI116">
            <v>49009530</v>
          </cell>
          <cell r="BJ116">
            <v>50528982</v>
          </cell>
        </row>
        <row r="117">
          <cell r="BF117">
            <v>31764828</v>
          </cell>
          <cell r="BG117">
            <v>38894664</v>
          </cell>
          <cell r="BH117">
            <v>44130450</v>
          </cell>
          <cell r="BI117">
            <v>50049072</v>
          </cell>
          <cell r="BJ117">
            <v>51666240</v>
          </cell>
        </row>
        <row r="118">
          <cell r="BF118">
            <v>32818512</v>
          </cell>
          <cell r="BG118">
            <v>40096254</v>
          </cell>
          <cell r="BH118">
            <v>45357378</v>
          </cell>
          <cell r="BI118">
            <v>51104160</v>
          </cell>
          <cell r="BJ118">
            <v>52829544</v>
          </cell>
        </row>
        <row r="119">
          <cell r="BF119">
            <v>33901584</v>
          </cell>
          <cell r="BG119">
            <v>41304696</v>
          </cell>
          <cell r="BH119">
            <v>46604286</v>
          </cell>
          <cell r="BI119">
            <v>52195860</v>
          </cell>
          <cell r="BJ119">
            <v>54026616</v>
          </cell>
        </row>
        <row r="120">
          <cell r="BF120">
            <v>34990368</v>
          </cell>
          <cell r="BG120">
            <v>42385992</v>
          </cell>
          <cell r="BH120">
            <v>47892708</v>
          </cell>
          <cell r="BI120">
            <v>53335218</v>
          </cell>
          <cell r="BJ120">
            <v>55240440</v>
          </cell>
        </row>
        <row r="121">
          <cell r="BF121">
            <v>36089166</v>
          </cell>
          <cell r="BG121">
            <v>43479444</v>
          </cell>
          <cell r="BH121">
            <v>49146684</v>
          </cell>
          <cell r="BI121">
            <v>54444894</v>
          </cell>
          <cell r="BJ121">
            <v>56438838</v>
          </cell>
        </row>
        <row r="122">
          <cell r="BF122">
            <v>37213158</v>
          </cell>
          <cell r="BG122">
            <v>44579034</v>
          </cell>
          <cell r="BH122">
            <v>50435856</v>
          </cell>
          <cell r="BI122">
            <v>55569816</v>
          </cell>
          <cell r="BJ122">
            <v>57643500</v>
          </cell>
        </row>
        <row r="123">
          <cell r="BF123">
            <v>38364876</v>
          </cell>
          <cell r="BG123">
            <v>45707940</v>
          </cell>
          <cell r="BH123">
            <v>51745218</v>
          </cell>
          <cell r="BI123">
            <v>56720106</v>
          </cell>
          <cell r="BJ123">
            <v>58849038</v>
          </cell>
        </row>
        <row r="124">
          <cell r="BF124">
            <v>39547812</v>
          </cell>
          <cell r="BG124">
            <v>46856412</v>
          </cell>
          <cell r="BH124">
            <v>53085480</v>
          </cell>
          <cell r="BI124">
            <v>57863352</v>
          </cell>
          <cell r="BJ124">
            <v>60086208</v>
          </cell>
        </row>
        <row r="125">
          <cell r="BF125">
            <v>40600698</v>
          </cell>
          <cell r="BG125">
            <v>47970018</v>
          </cell>
          <cell r="BH125">
            <v>54345798</v>
          </cell>
          <cell r="BI125">
            <v>59038896</v>
          </cell>
          <cell r="BJ125">
            <v>61339074</v>
          </cell>
        </row>
        <row r="126">
          <cell r="BF126">
            <v>41676744</v>
          </cell>
          <cell r="BG126">
            <v>49094226</v>
          </cell>
          <cell r="BH126">
            <v>55652190</v>
          </cell>
          <cell r="BI126">
            <v>60230808</v>
          </cell>
          <cell r="BJ126">
            <v>62611626</v>
          </cell>
        </row>
        <row r="127">
          <cell r="BF127">
            <v>42740250</v>
          </cell>
          <cell r="BG127">
            <v>50264244</v>
          </cell>
          <cell r="BH127">
            <v>56986002</v>
          </cell>
          <cell r="BI127">
            <v>61465998</v>
          </cell>
          <cell r="BJ127">
            <v>63887886</v>
          </cell>
        </row>
        <row r="128">
          <cell r="BF128">
            <v>43821882</v>
          </cell>
          <cell r="BG128">
            <v>51455280</v>
          </cell>
          <cell r="BH128">
            <v>58349652</v>
          </cell>
          <cell r="BI128">
            <v>62670150</v>
          </cell>
          <cell r="BJ128">
            <v>65179242</v>
          </cell>
        </row>
        <row r="129">
          <cell r="BF129">
            <v>44920296</v>
          </cell>
          <cell r="BG129">
            <v>52656630</v>
          </cell>
          <cell r="BH129">
            <v>59694630</v>
          </cell>
          <cell r="BI129">
            <v>63891624</v>
          </cell>
          <cell r="BJ129">
            <v>66537216</v>
          </cell>
        </row>
        <row r="130">
          <cell r="BF130">
            <v>46041864</v>
          </cell>
          <cell r="BG130">
            <v>53774418</v>
          </cell>
          <cell r="BH130">
            <v>60995424</v>
          </cell>
          <cell r="BI130">
            <v>65113290</v>
          </cell>
          <cell r="BJ130">
            <v>67874172</v>
          </cell>
        </row>
        <row r="131">
          <cell r="BF131">
            <v>47178072</v>
          </cell>
          <cell r="BG131">
            <v>54923934</v>
          </cell>
          <cell r="BH131">
            <v>62375328</v>
          </cell>
          <cell r="BI131">
            <v>66375264</v>
          </cell>
          <cell r="BJ131">
            <v>69233886</v>
          </cell>
        </row>
        <row r="132">
          <cell r="BF132">
            <v>48350964</v>
          </cell>
          <cell r="BG132">
            <v>56061006</v>
          </cell>
          <cell r="BH132">
            <v>63808512</v>
          </cell>
          <cell r="BI132">
            <v>67662288</v>
          </cell>
          <cell r="BJ132">
            <v>70628184</v>
          </cell>
        </row>
        <row r="133">
          <cell r="BF133">
            <v>49539978</v>
          </cell>
          <cell r="BG133">
            <v>57241452</v>
          </cell>
          <cell r="BH133">
            <v>65293320</v>
          </cell>
          <cell r="BI133">
            <v>69002142</v>
          </cell>
          <cell r="BJ133">
            <v>72070218</v>
          </cell>
        </row>
        <row r="134">
          <cell r="BF134">
            <v>50766474</v>
          </cell>
          <cell r="BG134">
            <v>58442070</v>
          </cell>
          <cell r="BH134">
            <v>66815826</v>
          </cell>
          <cell r="BI134">
            <v>70369488</v>
          </cell>
          <cell r="BJ134">
            <v>73539648</v>
          </cell>
        </row>
        <row r="135">
          <cell r="BF135">
            <v>51973482</v>
          </cell>
          <cell r="BG135">
            <v>59752902</v>
          </cell>
          <cell r="BH135">
            <v>68153892</v>
          </cell>
          <cell r="BI135">
            <v>71756382</v>
          </cell>
          <cell r="BJ135">
            <v>74965218</v>
          </cell>
        </row>
        <row r="136">
          <cell r="BF136">
            <v>53214954</v>
          </cell>
          <cell r="BG136">
            <v>61087668</v>
          </cell>
          <cell r="BH136">
            <v>69520566</v>
          </cell>
          <cell r="BI136">
            <v>73105338</v>
          </cell>
          <cell r="BJ136">
            <v>76321632</v>
          </cell>
        </row>
        <row r="137">
          <cell r="BF137">
            <v>54474174</v>
          </cell>
          <cell r="BG137">
            <v>62453040</v>
          </cell>
          <cell r="BH137">
            <v>70841760</v>
          </cell>
          <cell r="BI137">
            <v>74376972</v>
          </cell>
          <cell r="BJ137">
            <v>77702688</v>
          </cell>
        </row>
        <row r="138">
          <cell r="BF138">
            <v>55766112</v>
          </cell>
          <cell r="BG138">
            <v>63776094</v>
          </cell>
          <cell r="BH138">
            <v>72101994</v>
          </cell>
          <cell r="BI138">
            <v>75680730</v>
          </cell>
          <cell r="BJ138">
            <v>79097808</v>
          </cell>
        </row>
        <row r="139">
          <cell r="BF139">
            <v>57011634</v>
          </cell>
          <cell r="BG139">
            <v>65074200</v>
          </cell>
          <cell r="BH139">
            <v>73406178</v>
          </cell>
          <cell r="BI139">
            <v>77006880</v>
          </cell>
          <cell r="BJ139">
            <v>80530200</v>
          </cell>
        </row>
        <row r="140">
          <cell r="BF140">
            <v>58198572</v>
          </cell>
          <cell r="BG140">
            <v>66466938</v>
          </cell>
          <cell r="BH140">
            <v>74799696</v>
          </cell>
          <cell r="BI140">
            <v>78440736</v>
          </cell>
          <cell r="BJ140">
            <v>81863712</v>
          </cell>
        </row>
        <row r="141">
          <cell r="BF141">
            <v>59404620</v>
          </cell>
          <cell r="BG141">
            <v>67881606</v>
          </cell>
          <cell r="BH141">
            <v>76222008</v>
          </cell>
          <cell r="BI141">
            <v>79841742</v>
          </cell>
          <cell r="BJ141">
            <v>83220402</v>
          </cell>
        </row>
        <row r="142">
          <cell r="BF142">
            <v>60633204</v>
          </cell>
          <cell r="BG142">
            <v>69360582</v>
          </cell>
          <cell r="BH142">
            <v>77663928</v>
          </cell>
          <cell r="BI142">
            <v>81270810</v>
          </cell>
          <cell r="BJ142">
            <v>84552654</v>
          </cell>
        </row>
        <row r="143">
          <cell r="BF143">
            <v>61882524</v>
          </cell>
          <cell r="BG143">
            <v>70946808</v>
          </cell>
          <cell r="BH143">
            <v>79137438</v>
          </cell>
          <cell r="BI143">
            <v>82680498</v>
          </cell>
          <cell r="BJ143">
            <v>85926696</v>
          </cell>
        </row>
        <row r="144">
          <cell r="BF144">
            <v>63149328</v>
          </cell>
          <cell r="BG144">
            <v>72567030</v>
          </cell>
          <cell r="BH144">
            <v>80597964</v>
          </cell>
          <cell r="BI144">
            <v>84129150</v>
          </cell>
          <cell r="BJ144">
            <v>87386412</v>
          </cell>
        </row>
        <row r="145">
          <cell r="BF145">
            <v>64420158</v>
          </cell>
          <cell r="BG145">
            <v>74160348</v>
          </cell>
          <cell r="BH145">
            <v>82109976</v>
          </cell>
          <cell r="BI145">
            <v>85692858</v>
          </cell>
          <cell r="BJ145">
            <v>88913682</v>
          </cell>
        </row>
        <row r="146">
          <cell r="BF146">
            <v>65707284</v>
          </cell>
          <cell r="BG146">
            <v>75811194</v>
          </cell>
          <cell r="BH146">
            <v>83719572</v>
          </cell>
          <cell r="BI146">
            <v>87313890</v>
          </cell>
          <cell r="BJ146">
            <v>90479166</v>
          </cell>
        </row>
        <row r="147">
          <cell r="BF147">
            <v>67040634</v>
          </cell>
          <cell r="BG147">
            <v>77499408</v>
          </cell>
          <cell r="BH147">
            <v>85368666</v>
          </cell>
          <cell r="BI147">
            <v>88958466</v>
          </cell>
          <cell r="BJ147">
            <v>92083572</v>
          </cell>
        </row>
        <row r="148">
          <cell r="BF148">
            <v>68417574</v>
          </cell>
          <cell r="BG148">
            <v>79257930</v>
          </cell>
          <cell r="BH148">
            <v>87036006</v>
          </cell>
          <cell r="BI148">
            <v>90639408</v>
          </cell>
          <cell r="BJ148">
            <v>93679314</v>
          </cell>
        </row>
        <row r="149">
          <cell r="BF149">
            <v>69830490</v>
          </cell>
          <cell r="BG149">
            <v>81042924</v>
          </cell>
          <cell r="BH149">
            <v>88746306</v>
          </cell>
          <cell r="BI149">
            <v>92321166</v>
          </cell>
          <cell r="BJ149">
            <v>95291364</v>
          </cell>
        </row>
        <row r="150">
          <cell r="BF150">
            <v>71255676</v>
          </cell>
          <cell r="BG150">
            <v>82873914</v>
          </cell>
          <cell r="BH150">
            <v>90452760</v>
          </cell>
          <cell r="BI150">
            <v>94017564</v>
          </cell>
          <cell r="BJ150">
            <v>96949146</v>
          </cell>
        </row>
        <row r="151">
          <cell r="BF151">
            <v>72721218</v>
          </cell>
          <cell r="BG151">
            <v>84711690</v>
          </cell>
          <cell r="BH151">
            <v>92186454</v>
          </cell>
          <cell r="BI151">
            <v>95826414</v>
          </cell>
          <cell r="BJ151">
            <v>98668536</v>
          </cell>
        </row>
        <row r="152">
          <cell r="BF152">
            <v>74195586</v>
          </cell>
          <cell r="BG152">
            <v>86611704</v>
          </cell>
          <cell r="BH152">
            <v>94073736</v>
          </cell>
          <cell r="BI152">
            <v>97803054</v>
          </cell>
          <cell r="BJ152">
            <v>100417656</v>
          </cell>
        </row>
        <row r="153">
          <cell r="BF153">
            <v>75713502</v>
          </cell>
          <cell r="BG153">
            <v>88665162</v>
          </cell>
          <cell r="BH153">
            <v>96084738</v>
          </cell>
          <cell r="BI153">
            <v>99811896</v>
          </cell>
          <cell r="BJ153">
            <v>102238158</v>
          </cell>
        </row>
        <row r="154">
          <cell r="BF154">
            <v>77396742</v>
          </cell>
          <cell r="BG154">
            <v>90754704</v>
          </cell>
          <cell r="BH154">
            <v>98128170</v>
          </cell>
          <cell r="BI154">
            <v>101911296</v>
          </cell>
          <cell r="BJ154">
            <v>104341458</v>
          </cell>
        </row>
        <row r="155">
          <cell r="BF155">
            <v>79095690</v>
          </cell>
          <cell r="BG155">
            <v>92617986</v>
          </cell>
          <cell r="BH155">
            <v>100036746</v>
          </cell>
          <cell r="BI155">
            <v>104115480</v>
          </cell>
          <cell r="BJ155">
            <v>106442646</v>
          </cell>
        </row>
        <row r="156">
          <cell r="BF156">
            <v>80813028</v>
          </cell>
          <cell r="BG156">
            <v>94514604</v>
          </cell>
          <cell r="BH156">
            <v>102110340</v>
          </cell>
          <cell r="BI156">
            <v>106356132</v>
          </cell>
          <cell r="BJ156">
            <v>107490516</v>
          </cell>
        </row>
        <row r="157">
          <cell r="BF157">
            <v>82641936</v>
          </cell>
          <cell r="BG157">
            <v>96557688</v>
          </cell>
          <cell r="BH157">
            <v>104244660</v>
          </cell>
          <cell r="BI157">
            <v>107451630</v>
          </cell>
          <cell r="BJ157">
            <v>108231450</v>
          </cell>
        </row>
        <row r="158">
          <cell r="BF158">
            <v>84496776</v>
          </cell>
          <cell r="BG158">
            <v>98634900</v>
          </cell>
          <cell r="BH158">
            <v>105293808</v>
          </cell>
          <cell r="BI158">
            <v>108189798</v>
          </cell>
          <cell r="BJ158">
            <v>108435876</v>
          </cell>
        </row>
        <row r="159">
          <cell r="BF159">
            <v>86395872</v>
          </cell>
          <cell r="BG159">
            <v>100136322</v>
          </cell>
          <cell r="BH159">
            <v>106006164</v>
          </cell>
          <cell r="BI159">
            <v>108419316</v>
          </cell>
          <cell r="BJ159">
            <v>108592854</v>
          </cell>
        </row>
        <row r="160">
          <cell r="BF160">
            <v>87665862</v>
          </cell>
          <cell r="BG160">
            <v>101166864</v>
          </cell>
          <cell r="BH160">
            <v>106236204</v>
          </cell>
          <cell r="BI160">
            <v>108575268</v>
          </cell>
          <cell r="BJ160">
            <v>108749790</v>
          </cell>
        </row>
        <row r="161">
          <cell r="BF161">
            <v>88576434</v>
          </cell>
          <cell r="BG161">
            <v>101983752</v>
          </cell>
          <cell r="BH161">
            <v>106381254</v>
          </cell>
          <cell r="BI161">
            <v>108731178</v>
          </cell>
          <cell r="BJ161">
            <v>108906690</v>
          </cell>
        </row>
        <row r="162">
          <cell r="BF162">
            <v>89193900</v>
          </cell>
          <cell r="BG162">
            <v>102499566</v>
          </cell>
          <cell r="BH162">
            <v>106526292</v>
          </cell>
          <cell r="BI162">
            <v>108887064</v>
          </cell>
          <cell r="BJ162">
            <v>109063566</v>
          </cell>
        </row>
        <row r="163">
          <cell r="BF163">
            <v>89650110</v>
          </cell>
          <cell r="BG163">
            <v>102856722</v>
          </cell>
          <cell r="BH163">
            <v>106671306</v>
          </cell>
          <cell r="BI163">
            <v>109042908</v>
          </cell>
          <cell r="BJ163">
            <v>109220406</v>
          </cell>
        </row>
        <row r="164">
          <cell r="BF164">
            <v>90106854</v>
          </cell>
          <cell r="BG164">
            <v>103214268</v>
          </cell>
          <cell r="BH164">
            <v>106816266</v>
          </cell>
          <cell r="BI164">
            <v>109198698</v>
          </cell>
          <cell r="BJ164">
            <v>109377174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>
        <row r="12">
          <cell r="H12">
            <v>12</v>
          </cell>
          <cell r="I12">
            <v>6</v>
          </cell>
          <cell r="J12">
            <v>0</v>
          </cell>
          <cell r="K12">
            <v>0</v>
          </cell>
          <cell r="L12">
            <v>0</v>
          </cell>
          <cell r="M12">
            <v>12</v>
          </cell>
          <cell r="N12">
            <v>6</v>
          </cell>
          <cell r="O12">
            <v>0</v>
          </cell>
          <cell r="P12">
            <v>0</v>
          </cell>
          <cell r="Q12">
            <v>0</v>
          </cell>
        </row>
        <row r="13">
          <cell r="H13">
            <v>0</v>
          </cell>
          <cell r="I13">
            <v>13</v>
          </cell>
          <cell r="J13">
            <v>5</v>
          </cell>
          <cell r="K13">
            <v>0</v>
          </cell>
          <cell r="L13">
            <v>0</v>
          </cell>
          <cell r="M13">
            <v>0</v>
          </cell>
          <cell r="N13">
            <v>28</v>
          </cell>
          <cell r="O13">
            <v>5</v>
          </cell>
          <cell r="P13">
            <v>0</v>
          </cell>
          <cell r="Q13">
            <v>0</v>
          </cell>
        </row>
        <row r="14">
          <cell r="H14">
            <v>0</v>
          </cell>
          <cell r="I14">
            <v>0</v>
          </cell>
          <cell r="J14">
            <v>16</v>
          </cell>
          <cell r="K14">
            <v>2</v>
          </cell>
          <cell r="L14">
            <v>0</v>
          </cell>
          <cell r="M14">
            <v>0</v>
          </cell>
          <cell r="N14">
            <v>3</v>
          </cell>
          <cell r="O14">
            <v>36</v>
          </cell>
          <cell r="P14">
            <v>2</v>
          </cell>
          <cell r="Q14">
            <v>0</v>
          </cell>
        </row>
        <row r="15">
          <cell r="H15">
            <v>0</v>
          </cell>
          <cell r="I15">
            <v>0</v>
          </cell>
          <cell r="J15">
            <v>0</v>
          </cell>
          <cell r="K15">
            <v>16</v>
          </cell>
          <cell r="L15">
            <v>0</v>
          </cell>
          <cell r="M15">
            <v>0</v>
          </cell>
          <cell r="N15">
            <v>3</v>
          </cell>
          <cell r="O15">
            <v>10</v>
          </cell>
          <cell r="P15">
            <v>32.5</v>
          </cell>
          <cell r="Q15">
            <v>0</v>
          </cell>
        </row>
        <row r="16">
          <cell r="H16">
            <v>0</v>
          </cell>
          <cell r="I16">
            <v>0</v>
          </cell>
          <cell r="J16">
            <v>0</v>
          </cell>
          <cell r="K16">
            <v>14</v>
          </cell>
          <cell r="L16">
            <v>2</v>
          </cell>
          <cell r="M16">
            <v>0</v>
          </cell>
          <cell r="N16">
            <v>0</v>
          </cell>
          <cell r="O16">
            <v>10</v>
          </cell>
          <cell r="P16">
            <v>47</v>
          </cell>
          <cell r="Q16">
            <v>2</v>
          </cell>
        </row>
        <row r="17">
          <cell r="H17">
            <v>0</v>
          </cell>
          <cell r="I17">
            <v>0</v>
          </cell>
          <cell r="J17">
            <v>0</v>
          </cell>
          <cell r="K17">
            <v>12</v>
          </cell>
          <cell r="L17">
            <v>6</v>
          </cell>
          <cell r="M17">
            <v>0</v>
          </cell>
          <cell r="N17">
            <v>0</v>
          </cell>
          <cell r="O17">
            <v>0</v>
          </cell>
          <cell r="P17">
            <v>61.5</v>
          </cell>
          <cell r="Q17">
            <v>16</v>
          </cell>
        </row>
        <row r="18">
          <cell r="H18">
            <v>0</v>
          </cell>
          <cell r="I18">
            <v>0</v>
          </cell>
          <cell r="J18">
            <v>0</v>
          </cell>
          <cell r="K18">
            <v>6</v>
          </cell>
          <cell r="L18">
            <v>12</v>
          </cell>
          <cell r="M18">
            <v>0</v>
          </cell>
          <cell r="N18">
            <v>0</v>
          </cell>
          <cell r="O18">
            <v>0</v>
          </cell>
          <cell r="P18">
            <v>39</v>
          </cell>
          <cell r="Q18">
            <v>52</v>
          </cell>
        </row>
        <row r="19"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18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78</v>
          </cell>
        </row>
        <row r="20"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18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98</v>
          </cell>
        </row>
        <row r="21"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18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118</v>
          </cell>
        </row>
        <row r="22"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18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138</v>
          </cell>
        </row>
        <row r="23"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18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158</v>
          </cell>
        </row>
        <row r="24"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18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178</v>
          </cell>
        </row>
        <row r="25"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18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198</v>
          </cell>
        </row>
        <row r="26"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18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218</v>
          </cell>
        </row>
        <row r="27"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18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238</v>
          </cell>
        </row>
        <row r="41">
          <cell r="H41">
            <v>12</v>
          </cell>
          <cell r="I41">
            <v>6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-5</v>
          </cell>
          <cell r="P41">
            <v>-5.5</v>
          </cell>
          <cell r="Q41">
            <v>-10</v>
          </cell>
        </row>
        <row r="42">
          <cell r="H42">
            <v>0</v>
          </cell>
          <cell r="I42">
            <v>13</v>
          </cell>
          <cell r="J42">
            <v>5</v>
          </cell>
          <cell r="K42">
            <v>0</v>
          </cell>
          <cell r="L42">
            <v>0</v>
          </cell>
          <cell r="M42">
            <v>-1</v>
          </cell>
          <cell r="N42">
            <v>-2</v>
          </cell>
          <cell r="O42">
            <v>0</v>
          </cell>
          <cell r="P42">
            <v>-5.5</v>
          </cell>
          <cell r="Q42">
            <v>-10</v>
          </cell>
        </row>
        <row r="43">
          <cell r="H43">
            <v>0</v>
          </cell>
          <cell r="I43">
            <v>0</v>
          </cell>
          <cell r="J43">
            <v>16</v>
          </cell>
          <cell r="K43">
            <v>2</v>
          </cell>
          <cell r="L43">
            <v>0</v>
          </cell>
          <cell r="M43">
            <v>-1</v>
          </cell>
          <cell r="N43">
            <v>-3</v>
          </cell>
          <cell r="O43">
            <v>-4</v>
          </cell>
          <cell r="P43">
            <v>-3.5</v>
          </cell>
          <cell r="Q43">
            <v>-10</v>
          </cell>
        </row>
        <row r="44">
          <cell r="H44">
            <v>0</v>
          </cell>
          <cell r="I44">
            <v>0</v>
          </cell>
          <cell r="J44">
            <v>0</v>
          </cell>
          <cell r="K44">
            <v>16</v>
          </cell>
          <cell r="L44">
            <v>0</v>
          </cell>
          <cell r="M44">
            <v>-1</v>
          </cell>
          <cell r="N44">
            <v>-3</v>
          </cell>
          <cell r="O44">
            <v>-5</v>
          </cell>
          <cell r="P44">
            <v>-0.5</v>
          </cell>
          <cell r="Q44">
            <v>-10</v>
          </cell>
        </row>
        <row r="45">
          <cell r="H45">
            <v>0</v>
          </cell>
          <cell r="I45">
            <v>0</v>
          </cell>
          <cell r="J45">
            <v>0</v>
          </cell>
          <cell r="K45">
            <v>14</v>
          </cell>
          <cell r="L45">
            <v>2</v>
          </cell>
          <cell r="M45">
            <v>-1</v>
          </cell>
          <cell r="N45">
            <v>-3</v>
          </cell>
          <cell r="O45">
            <v>-5</v>
          </cell>
          <cell r="P45">
            <v>-2.5</v>
          </cell>
          <cell r="Q45">
            <v>-8</v>
          </cell>
        </row>
        <row r="46">
          <cell r="H46">
            <v>0</v>
          </cell>
          <cell r="I46">
            <v>0</v>
          </cell>
          <cell r="J46">
            <v>0</v>
          </cell>
          <cell r="K46">
            <v>12</v>
          </cell>
          <cell r="L46">
            <v>6</v>
          </cell>
          <cell r="M46">
            <v>-1</v>
          </cell>
          <cell r="N46">
            <v>-3</v>
          </cell>
          <cell r="O46">
            <v>-5</v>
          </cell>
          <cell r="P46">
            <v>-4.5</v>
          </cell>
          <cell r="Q46">
            <v>-4</v>
          </cell>
        </row>
        <row r="47">
          <cell r="H47">
            <v>0</v>
          </cell>
          <cell r="I47">
            <v>0</v>
          </cell>
          <cell r="J47">
            <v>0</v>
          </cell>
          <cell r="K47">
            <v>6</v>
          </cell>
          <cell r="L47">
            <v>12</v>
          </cell>
          <cell r="M47">
            <v>-1</v>
          </cell>
          <cell r="N47">
            <v>-3</v>
          </cell>
          <cell r="O47">
            <v>-5</v>
          </cell>
          <cell r="P47">
            <v>-5</v>
          </cell>
          <cell r="Q47">
            <v>-8</v>
          </cell>
        </row>
        <row r="48"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18</v>
          </cell>
          <cell r="M48">
            <v>-1</v>
          </cell>
          <cell r="N48">
            <v>-3</v>
          </cell>
          <cell r="O48">
            <v>-5</v>
          </cell>
          <cell r="P48">
            <v>-5.5</v>
          </cell>
          <cell r="Q48">
            <v>-2</v>
          </cell>
        </row>
        <row r="49"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18</v>
          </cell>
          <cell r="M49">
            <v>-1</v>
          </cell>
          <cell r="N49">
            <v>-3</v>
          </cell>
          <cell r="O49">
            <v>-5</v>
          </cell>
          <cell r="P49">
            <v>-5.5</v>
          </cell>
          <cell r="Q49">
            <v>-2</v>
          </cell>
        </row>
        <row r="50"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18</v>
          </cell>
          <cell r="M50">
            <v>-1</v>
          </cell>
          <cell r="N50">
            <v>-3</v>
          </cell>
          <cell r="O50">
            <v>-5</v>
          </cell>
          <cell r="P50">
            <v>-5.5</v>
          </cell>
          <cell r="Q50">
            <v>-2</v>
          </cell>
        </row>
        <row r="51"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18</v>
          </cell>
          <cell r="M51">
            <v>-1</v>
          </cell>
          <cell r="N51">
            <v>-3</v>
          </cell>
          <cell r="O51">
            <v>-5</v>
          </cell>
          <cell r="P51">
            <v>-5.5</v>
          </cell>
          <cell r="Q51">
            <v>-2</v>
          </cell>
        </row>
        <row r="52"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18</v>
          </cell>
          <cell r="M52">
            <v>-1</v>
          </cell>
          <cell r="N52">
            <v>-3</v>
          </cell>
          <cell r="O52">
            <v>-5</v>
          </cell>
          <cell r="P52">
            <v>-5.5</v>
          </cell>
          <cell r="Q52">
            <v>-2</v>
          </cell>
        </row>
        <row r="53"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18</v>
          </cell>
          <cell r="M53">
            <v>-1</v>
          </cell>
          <cell r="N53">
            <v>-3</v>
          </cell>
          <cell r="O53">
            <v>-5</v>
          </cell>
          <cell r="P53">
            <v>-5.5</v>
          </cell>
          <cell r="Q53">
            <v>-2</v>
          </cell>
        </row>
        <row r="54"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18</v>
          </cell>
          <cell r="M54">
            <v>-1</v>
          </cell>
          <cell r="N54">
            <v>-3</v>
          </cell>
          <cell r="O54">
            <v>-5</v>
          </cell>
          <cell r="P54">
            <v>-5.5</v>
          </cell>
          <cell r="Q54">
            <v>-2</v>
          </cell>
        </row>
        <row r="55"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18</v>
          </cell>
          <cell r="M55" t="e">
            <v>#VALUE!</v>
          </cell>
          <cell r="N55">
            <v>-3</v>
          </cell>
          <cell r="O55">
            <v>-5</v>
          </cell>
          <cell r="P55">
            <v>-5.5</v>
          </cell>
          <cell r="Q55">
            <v>-2</v>
          </cell>
        </row>
        <row r="56"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18</v>
          </cell>
          <cell r="M56" t="e">
            <v>#VALUE!</v>
          </cell>
          <cell r="N56" t="e">
            <v>#VALUE!</v>
          </cell>
          <cell r="O56" t="e">
            <v>#VALUE!</v>
          </cell>
          <cell r="P56" t="e">
            <v>#VALUE!</v>
          </cell>
          <cell r="Q56" t="e">
            <v>#VALUE!</v>
          </cell>
        </row>
        <row r="70">
          <cell r="H70">
            <v>12</v>
          </cell>
          <cell r="I70">
            <v>6</v>
          </cell>
          <cell r="J70">
            <v>0</v>
          </cell>
          <cell r="K70">
            <v>0</v>
          </cell>
          <cell r="L70">
            <v>0</v>
          </cell>
          <cell r="M70">
            <v>12</v>
          </cell>
          <cell r="N70">
            <v>6</v>
          </cell>
          <cell r="O70">
            <v>0</v>
          </cell>
          <cell r="P70">
            <v>0</v>
          </cell>
          <cell r="Q70">
            <v>90</v>
          </cell>
        </row>
        <row r="71">
          <cell r="H71">
            <v>0</v>
          </cell>
          <cell r="I71">
            <v>13</v>
          </cell>
          <cell r="J71">
            <v>5</v>
          </cell>
          <cell r="K71">
            <v>0</v>
          </cell>
          <cell r="L71">
            <v>0</v>
          </cell>
          <cell r="M71">
            <v>0</v>
          </cell>
          <cell r="N71">
            <v>13</v>
          </cell>
          <cell r="O71">
            <v>5</v>
          </cell>
          <cell r="P71">
            <v>0</v>
          </cell>
          <cell r="Q71">
            <v>100</v>
          </cell>
        </row>
        <row r="72">
          <cell r="H72">
            <v>0</v>
          </cell>
          <cell r="I72">
            <v>0</v>
          </cell>
          <cell r="J72">
            <v>16</v>
          </cell>
          <cell r="K72">
            <v>2</v>
          </cell>
          <cell r="L72">
            <v>0</v>
          </cell>
          <cell r="M72">
            <v>0</v>
          </cell>
          <cell r="N72">
            <v>0</v>
          </cell>
          <cell r="O72">
            <v>16</v>
          </cell>
          <cell r="P72">
            <v>2</v>
          </cell>
          <cell r="Q72">
            <v>110</v>
          </cell>
        </row>
        <row r="73">
          <cell r="H73">
            <v>0</v>
          </cell>
          <cell r="I73">
            <v>0</v>
          </cell>
          <cell r="J73">
            <v>0</v>
          </cell>
          <cell r="K73">
            <v>16</v>
          </cell>
          <cell r="L73">
            <v>0</v>
          </cell>
          <cell r="M73">
            <v>-1</v>
          </cell>
          <cell r="N73">
            <v>-3</v>
          </cell>
          <cell r="O73">
            <v>-5</v>
          </cell>
          <cell r="P73">
            <v>-0.5</v>
          </cell>
          <cell r="Q73">
            <v>-10</v>
          </cell>
        </row>
        <row r="74">
          <cell r="H74">
            <v>0</v>
          </cell>
          <cell r="I74">
            <v>0</v>
          </cell>
          <cell r="J74">
            <v>0</v>
          </cell>
          <cell r="K74">
            <v>14</v>
          </cell>
          <cell r="L74">
            <v>2</v>
          </cell>
          <cell r="M74">
            <v>-1</v>
          </cell>
          <cell r="N74">
            <v>-3</v>
          </cell>
          <cell r="O74">
            <v>-5</v>
          </cell>
          <cell r="P74">
            <v>-2.5</v>
          </cell>
          <cell r="Q74">
            <v>-8</v>
          </cell>
        </row>
        <row r="75">
          <cell r="H75">
            <v>0</v>
          </cell>
          <cell r="I75">
            <v>0</v>
          </cell>
          <cell r="J75">
            <v>0</v>
          </cell>
          <cell r="K75">
            <v>12</v>
          </cell>
          <cell r="L75">
            <v>6</v>
          </cell>
          <cell r="M75">
            <v>-1</v>
          </cell>
          <cell r="N75">
            <v>-3</v>
          </cell>
          <cell r="O75">
            <v>-5</v>
          </cell>
          <cell r="P75">
            <v>-4.5</v>
          </cell>
          <cell r="Q75">
            <v>-4</v>
          </cell>
        </row>
        <row r="76">
          <cell r="H76">
            <v>0</v>
          </cell>
          <cell r="I76">
            <v>0</v>
          </cell>
          <cell r="J76">
            <v>0</v>
          </cell>
          <cell r="K76">
            <v>6</v>
          </cell>
          <cell r="L76">
            <v>12</v>
          </cell>
          <cell r="M76">
            <v>-1</v>
          </cell>
          <cell r="N76">
            <v>-3</v>
          </cell>
          <cell r="O76">
            <v>-5</v>
          </cell>
          <cell r="P76">
            <v>-5</v>
          </cell>
          <cell r="Q76">
            <v>-8</v>
          </cell>
        </row>
        <row r="77"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18</v>
          </cell>
          <cell r="M77">
            <v>-1</v>
          </cell>
          <cell r="N77">
            <v>-3</v>
          </cell>
          <cell r="O77">
            <v>-5</v>
          </cell>
          <cell r="P77">
            <v>-5.5</v>
          </cell>
          <cell r="Q77">
            <v>-2</v>
          </cell>
        </row>
        <row r="78"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18</v>
          </cell>
          <cell r="M78">
            <v>-1</v>
          </cell>
          <cell r="N78">
            <v>-3</v>
          </cell>
          <cell r="O78">
            <v>-5</v>
          </cell>
          <cell r="P78">
            <v>-5.5</v>
          </cell>
          <cell r="Q78">
            <v>-2</v>
          </cell>
        </row>
        <row r="79"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18</v>
          </cell>
          <cell r="M79">
            <v>-1</v>
          </cell>
          <cell r="N79">
            <v>-3</v>
          </cell>
          <cell r="O79">
            <v>-5</v>
          </cell>
          <cell r="P79">
            <v>-5.5</v>
          </cell>
          <cell r="Q79">
            <v>-2</v>
          </cell>
        </row>
        <row r="80"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18</v>
          </cell>
          <cell r="M80">
            <v>-1</v>
          </cell>
          <cell r="N80">
            <v>-3</v>
          </cell>
          <cell r="O80">
            <v>-5</v>
          </cell>
          <cell r="P80">
            <v>-5.5</v>
          </cell>
          <cell r="Q80">
            <v>-2</v>
          </cell>
        </row>
        <row r="81"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18</v>
          </cell>
          <cell r="M81">
            <v>-1</v>
          </cell>
          <cell r="N81">
            <v>-3</v>
          </cell>
          <cell r="O81">
            <v>-5</v>
          </cell>
          <cell r="P81">
            <v>-5.5</v>
          </cell>
          <cell r="Q81">
            <v>-2</v>
          </cell>
        </row>
        <row r="82"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18</v>
          </cell>
          <cell r="M82">
            <v>-1</v>
          </cell>
          <cell r="N82">
            <v>-3</v>
          </cell>
          <cell r="O82">
            <v>-5</v>
          </cell>
          <cell r="P82">
            <v>-5.5</v>
          </cell>
          <cell r="Q82">
            <v>-2</v>
          </cell>
        </row>
        <row r="83"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18</v>
          </cell>
          <cell r="M83">
            <v>-1</v>
          </cell>
          <cell r="N83">
            <v>-3</v>
          </cell>
          <cell r="O83">
            <v>-5</v>
          </cell>
          <cell r="P83">
            <v>-5.5</v>
          </cell>
          <cell r="Q83">
            <v>-2</v>
          </cell>
        </row>
        <row r="84"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18</v>
          </cell>
          <cell r="M84">
            <v>-1</v>
          </cell>
          <cell r="N84">
            <v>-3</v>
          </cell>
          <cell r="O84">
            <v>-5</v>
          </cell>
          <cell r="P84">
            <v>-5.5</v>
          </cell>
          <cell r="Q84">
            <v>-2</v>
          </cell>
        </row>
        <row r="85"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18</v>
          </cell>
          <cell r="M85">
            <v>-1</v>
          </cell>
          <cell r="N85">
            <v>-3</v>
          </cell>
          <cell r="O85">
            <v>-5</v>
          </cell>
          <cell r="P85">
            <v>-5.5</v>
          </cell>
          <cell r="Q85">
            <v>-2</v>
          </cell>
        </row>
        <row r="99">
          <cell r="H99">
            <v>12</v>
          </cell>
          <cell r="I99">
            <v>6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-5</v>
          </cell>
          <cell r="P99">
            <v>-5.5</v>
          </cell>
          <cell r="Q99">
            <v>-10</v>
          </cell>
        </row>
        <row r="100">
          <cell r="H100">
            <v>0</v>
          </cell>
          <cell r="I100">
            <v>13</v>
          </cell>
          <cell r="J100">
            <v>5</v>
          </cell>
          <cell r="K100">
            <v>0</v>
          </cell>
          <cell r="L100">
            <v>0</v>
          </cell>
          <cell r="M100" t="e">
            <v>#VALUE!</v>
          </cell>
          <cell r="N100">
            <v>-2</v>
          </cell>
          <cell r="O100">
            <v>0</v>
          </cell>
          <cell r="P100">
            <v>-5.5</v>
          </cell>
          <cell r="Q100">
            <v>-10</v>
          </cell>
        </row>
        <row r="101">
          <cell r="H101">
            <v>0</v>
          </cell>
          <cell r="I101">
            <v>0</v>
          </cell>
          <cell r="J101">
            <v>16</v>
          </cell>
          <cell r="K101">
            <v>2</v>
          </cell>
          <cell r="L101">
            <v>0</v>
          </cell>
          <cell r="M101" t="e">
            <v>#VALUE!</v>
          </cell>
          <cell r="N101" t="e">
            <v>#VALUE!</v>
          </cell>
          <cell r="O101" t="e">
            <v>#VALUE!</v>
          </cell>
          <cell r="P101" t="e">
            <v>#VALUE!</v>
          </cell>
          <cell r="Q101" t="e">
            <v>#VALUE!</v>
          </cell>
        </row>
        <row r="102">
          <cell r="H102">
            <v>0</v>
          </cell>
          <cell r="I102">
            <v>0</v>
          </cell>
          <cell r="J102">
            <v>0</v>
          </cell>
          <cell r="K102">
            <v>16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16</v>
          </cell>
          <cell r="Q102">
            <v>0</v>
          </cell>
        </row>
        <row r="103">
          <cell r="H103">
            <v>0</v>
          </cell>
          <cell r="I103">
            <v>0</v>
          </cell>
          <cell r="J103">
            <v>0</v>
          </cell>
          <cell r="K103">
            <v>14</v>
          </cell>
          <cell r="L103">
            <v>2</v>
          </cell>
          <cell r="M103">
            <v>0</v>
          </cell>
          <cell r="N103">
            <v>3</v>
          </cell>
          <cell r="O103">
            <v>0</v>
          </cell>
          <cell r="P103">
            <v>14</v>
          </cell>
          <cell r="Q103">
            <v>2</v>
          </cell>
        </row>
        <row r="104">
          <cell r="H104">
            <v>0</v>
          </cell>
          <cell r="I104">
            <v>0</v>
          </cell>
          <cell r="J104">
            <v>0</v>
          </cell>
          <cell r="K104">
            <v>12</v>
          </cell>
          <cell r="L104">
            <v>6</v>
          </cell>
          <cell r="M104">
            <v>0</v>
          </cell>
          <cell r="N104">
            <v>3</v>
          </cell>
          <cell r="O104">
            <v>5</v>
          </cell>
          <cell r="P104">
            <v>12</v>
          </cell>
          <cell r="Q104">
            <v>6</v>
          </cell>
        </row>
        <row r="105">
          <cell r="H105">
            <v>0</v>
          </cell>
          <cell r="I105">
            <v>0</v>
          </cell>
          <cell r="J105">
            <v>0</v>
          </cell>
          <cell r="K105">
            <v>6</v>
          </cell>
          <cell r="L105">
            <v>12</v>
          </cell>
          <cell r="M105">
            <v>0</v>
          </cell>
          <cell r="N105">
            <v>3</v>
          </cell>
          <cell r="O105">
            <v>10</v>
          </cell>
          <cell r="P105">
            <v>17</v>
          </cell>
          <cell r="Q105">
            <v>12</v>
          </cell>
        </row>
        <row r="106"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18</v>
          </cell>
          <cell r="M106">
            <v>0</v>
          </cell>
          <cell r="N106">
            <v>0</v>
          </cell>
          <cell r="O106">
            <v>10</v>
          </cell>
          <cell r="P106">
            <v>11</v>
          </cell>
          <cell r="Q106">
            <v>18</v>
          </cell>
        </row>
        <row r="107"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18</v>
          </cell>
          <cell r="M107">
            <v>0</v>
          </cell>
          <cell r="N107">
            <v>0</v>
          </cell>
          <cell r="O107">
            <v>0</v>
          </cell>
          <cell r="P107">
            <v>16.5</v>
          </cell>
          <cell r="Q107">
            <v>38</v>
          </cell>
        </row>
        <row r="108"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18</v>
          </cell>
          <cell r="M108">
            <v>0</v>
          </cell>
          <cell r="N108">
            <v>0</v>
          </cell>
          <cell r="O108">
            <v>0</v>
          </cell>
          <cell r="P108">
            <v>16.5</v>
          </cell>
          <cell r="Q108">
            <v>58</v>
          </cell>
        </row>
        <row r="109"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18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78</v>
          </cell>
        </row>
        <row r="110"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18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98</v>
          </cell>
        </row>
        <row r="111"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18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118</v>
          </cell>
        </row>
        <row r="112"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18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138</v>
          </cell>
        </row>
        <row r="113"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18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158</v>
          </cell>
        </row>
        <row r="114"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18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178</v>
          </cell>
        </row>
        <row r="128">
          <cell r="H128">
            <v>12</v>
          </cell>
          <cell r="I128">
            <v>6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-5</v>
          </cell>
          <cell r="P128">
            <v>-5.5</v>
          </cell>
          <cell r="Q128">
            <v>-10</v>
          </cell>
        </row>
        <row r="129">
          <cell r="H129">
            <v>0</v>
          </cell>
          <cell r="I129">
            <v>13</v>
          </cell>
          <cell r="J129">
            <v>5</v>
          </cell>
          <cell r="K129">
            <v>0</v>
          </cell>
          <cell r="L129">
            <v>0</v>
          </cell>
          <cell r="M129">
            <v>-1</v>
          </cell>
          <cell r="N129">
            <v>-2</v>
          </cell>
          <cell r="O129">
            <v>0</v>
          </cell>
          <cell r="P129">
            <v>-5.5</v>
          </cell>
          <cell r="Q129">
            <v>-10</v>
          </cell>
        </row>
        <row r="130">
          <cell r="H130">
            <v>0</v>
          </cell>
          <cell r="I130">
            <v>0</v>
          </cell>
          <cell r="J130">
            <v>16</v>
          </cell>
          <cell r="K130">
            <v>2</v>
          </cell>
          <cell r="L130">
            <v>0</v>
          </cell>
          <cell r="M130">
            <v>-1</v>
          </cell>
          <cell r="N130">
            <v>-3</v>
          </cell>
          <cell r="O130">
            <v>-4</v>
          </cell>
          <cell r="P130">
            <v>-3.5</v>
          </cell>
          <cell r="Q130">
            <v>-10</v>
          </cell>
        </row>
        <row r="131">
          <cell r="H131">
            <v>0</v>
          </cell>
          <cell r="I131">
            <v>0</v>
          </cell>
          <cell r="J131">
            <v>0</v>
          </cell>
          <cell r="K131">
            <v>16</v>
          </cell>
          <cell r="L131">
            <v>0</v>
          </cell>
          <cell r="M131">
            <v>-1</v>
          </cell>
          <cell r="N131">
            <v>-3</v>
          </cell>
          <cell r="O131">
            <v>-5</v>
          </cell>
          <cell r="P131">
            <v>-0.5</v>
          </cell>
          <cell r="Q131">
            <v>-10</v>
          </cell>
        </row>
        <row r="132">
          <cell r="H132">
            <v>0</v>
          </cell>
          <cell r="I132">
            <v>0</v>
          </cell>
          <cell r="J132">
            <v>0</v>
          </cell>
          <cell r="K132">
            <v>14</v>
          </cell>
          <cell r="L132">
            <v>2</v>
          </cell>
          <cell r="M132">
            <v>-1</v>
          </cell>
          <cell r="N132">
            <v>-3</v>
          </cell>
          <cell r="O132">
            <v>-5</v>
          </cell>
          <cell r="P132">
            <v>-2.5</v>
          </cell>
          <cell r="Q132">
            <v>-8</v>
          </cell>
        </row>
        <row r="133">
          <cell r="H133">
            <v>0</v>
          </cell>
          <cell r="I133">
            <v>0</v>
          </cell>
          <cell r="J133">
            <v>0</v>
          </cell>
          <cell r="K133">
            <v>12</v>
          </cell>
          <cell r="L133">
            <v>6</v>
          </cell>
          <cell r="M133">
            <v>-1</v>
          </cell>
          <cell r="N133">
            <v>-3</v>
          </cell>
          <cell r="O133">
            <v>-5</v>
          </cell>
          <cell r="P133">
            <v>-4.5</v>
          </cell>
          <cell r="Q133">
            <v>-4</v>
          </cell>
        </row>
        <row r="134">
          <cell r="H134">
            <v>0</v>
          </cell>
          <cell r="I134">
            <v>0</v>
          </cell>
          <cell r="J134">
            <v>0</v>
          </cell>
          <cell r="K134">
            <v>6</v>
          </cell>
          <cell r="L134">
            <v>12</v>
          </cell>
          <cell r="M134">
            <v>-1</v>
          </cell>
          <cell r="N134">
            <v>-3</v>
          </cell>
          <cell r="O134">
            <v>-5</v>
          </cell>
          <cell r="P134">
            <v>-5</v>
          </cell>
          <cell r="Q134">
            <v>-8</v>
          </cell>
        </row>
        <row r="135"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18</v>
          </cell>
          <cell r="M135">
            <v>-1</v>
          </cell>
          <cell r="N135">
            <v>-3</v>
          </cell>
          <cell r="O135">
            <v>-5</v>
          </cell>
          <cell r="P135">
            <v>-5.5</v>
          </cell>
          <cell r="Q135">
            <v>-2</v>
          </cell>
        </row>
        <row r="136"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18</v>
          </cell>
          <cell r="M136">
            <v>-1</v>
          </cell>
          <cell r="N136">
            <v>-3</v>
          </cell>
          <cell r="O136">
            <v>-5</v>
          </cell>
          <cell r="P136">
            <v>-5.5</v>
          </cell>
          <cell r="Q136">
            <v>-2</v>
          </cell>
        </row>
        <row r="137"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18</v>
          </cell>
          <cell r="M137">
            <v>-1</v>
          </cell>
          <cell r="N137">
            <v>-3</v>
          </cell>
          <cell r="O137">
            <v>-5</v>
          </cell>
          <cell r="P137">
            <v>-5.5</v>
          </cell>
          <cell r="Q137">
            <v>-2</v>
          </cell>
        </row>
        <row r="138"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18</v>
          </cell>
          <cell r="M138">
            <v>-1</v>
          </cell>
          <cell r="N138">
            <v>-3</v>
          </cell>
          <cell r="O138">
            <v>-5</v>
          </cell>
          <cell r="P138">
            <v>-5.5</v>
          </cell>
          <cell r="Q138">
            <v>-2</v>
          </cell>
        </row>
        <row r="139"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18</v>
          </cell>
          <cell r="M139">
            <v>-1</v>
          </cell>
          <cell r="N139">
            <v>-3</v>
          </cell>
          <cell r="O139">
            <v>-5</v>
          </cell>
          <cell r="P139">
            <v>-5.5</v>
          </cell>
          <cell r="Q139">
            <v>-2</v>
          </cell>
        </row>
        <row r="140"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18</v>
          </cell>
          <cell r="M140">
            <v>-1</v>
          </cell>
          <cell r="N140">
            <v>-3</v>
          </cell>
          <cell r="O140">
            <v>-5</v>
          </cell>
          <cell r="P140">
            <v>-5.5</v>
          </cell>
          <cell r="Q140">
            <v>-2</v>
          </cell>
        </row>
        <row r="141"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18</v>
          </cell>
          <cell r="M141">
            <v>-1</v>
          </cell>
          <cell r="N141">
            <v>-3</v>
          </cell>
          <cell r="O141">
            <v>-5</v>
          </cell>
          <cell r="P141">
            <v>-5.5</v>
          </cell>
          <cell r="Q141">
            <v>-2</v>
          </cell>
        </row>
        <row r="142"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18</v>
          </cell>
          <cell r="M142">
            <v>-1</v>
          </cell>
          <cell r="N142">
            <v>-3</v>
          </cell>
          <cell r="O142">
            <v>-5</v>
          </cell>
          <cell r="P142">
            <v>-5.5</v>
          </cell>
          <cell r="Q142">
            <v>-2</v>
          </cell>
        </row>
        <row r="143"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18</v>
          </cell>
          <cell r="M143">
            <v>-1</v>
          </cell>
          <cell r="N143">
            <v>-3</v>
          </cell>
          <cell r="O143">
            <v>-5</v>
          </cell>
          <cell r="P143">
            <v>-5.5</v>
          </cell>
          <cell r="Q143">
            <v>-2</v>
          </cell>
        </row>
      </sheetData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总纲"/>
      <sheetName val="纲要"/>
      <sheetName val="节奏总纲"/>
      <sheetName val="圣人"/>
      <sheetName val="爵位"/>
      <sheetName val="士兵训练"/>
      <sheetName val="功能-大地图城池-附加属性"/>
      <sheetName val="养成属性buff汇总"/>
      <sheetName val="士兵属性"/>
      <sheetName val="武将属性"/>
      <sheetName val="战法技能效用"/>
      <sheetName val="攻城值"/>
      <sheetName val="带兵数"/>
      <sheetName val="职业属性对比"/>
      <sheetName val="非r将兵属性验证"/>
      <sheetName val="小r将兵属性验证"/>
      <sheetName val="中r将兵属性验证"/>
      <sheetName val="大r将兵属性验证"/>
      <sheetName val="超r将兵属性验证"/>
      <sheetName val="各R部队能量汇总"/>
      <sheetName val="消耗转换战力汇总"/>
      <sheetName val="战力汇总"/>
      <sheetName val="将兵属性对比验证"/>
      <sheetName val="将兵攻城值对比验证"/>
      <sheetName val="各职业士兵属性"/>
      <sheetName val="实力验证"/>
      <sheetName val="实力验证（按等级）"/>
      <sheetName val="索引信息"/>
      <sheetName val="各r兵营医馆情况"/>
      <sheetName val="各职业武将属性"/>
      <sheetName val="各职业羁绊加成值"/>
      <sheetName val="Sheet2"/>
      <sheetName val="Sheet1"/>
      <sheetName val="超r各职业士兵属性"/>
      <sheetName val="功能-大地图城池-城防"/>
      <sheetName val="属性-玩家城防"/>
      <sheetName val="Sheet9"/>
      <sheetName val="属性-城池"/>
      <sheetName val="功能-城池"/>
      <sheetName val="城池"/>
      <sheetName val="养成表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C6">
            <v>0</v>
          </cell>
        </row>
      </sheetData>
      <sheetData sheetId="8">
        <row r="5">
          <cell r="AV5">
            <v>1.2402098837099819E-2</v>
          </cell>
        </row>
      </sheetData>
      <sheetData sheetId="9">
        <row r="5">
          <cell r="BG5">
            <v>1.2402098837099819E-2</v>
          </cell>
        </row>
      </sheetData>
      <sheetData sheetId="10"/>
      <sheetData sheetId="11"/>
      <sheetData sheetId="12">
        <row r="4">
          <cell r="D4">
            <v>1249.1935266914652</v>
          </cell>
        </row>
      </sheetData>
      <sheetData sheetId="13"/>
      <sheetData sheetId="14">
        <row r="7">
          <cell r="M7">
            <v>60</v>
          </cell>
          <cell r="T7">
            <v>1.0768553160215319E-2</v>
          </cell>
          <cell r="U7">
            <v>1005265.4354597959</v>
          </cell>
          <cell r="V7">
            <v>25080.636248889903</v>
          </cell>
          <cell r="W7">
            <v>1881.0477186667426</v>
          </cell>
          <cell r="X7">
            <v>1881.0477186667426</v>
          </cell>
          <cell r="Y7">
            <v>1504838.1749333942</v>
          </cell>
          <cell r="Z7">
            <v>1504838.1749333942</v>
          </cell>
          <cell r="AA7">
            <v>1486403.6499548284</v>
          </cell>
          <cell r="AB7">
            <v>1486403.6499548284</v>
          </cell>
          <cell r="AC7">
            <v>2977611.7791327145</v>
          </cell>
          <cell r="AD7"/>
          <cell r="AE7">
            <v>1</v>
          </cell>
          <cell r="AF7">
            <v>60</v>
          </cell>
          <cell r="AG7">
            <v>200</v>
          </cell>
          <cell r="AH7">
            <v>200</v>
          </cell>
          <cell r="AI7">
            <v>0</v>
          </cell>
          <cell r="AJ7">
            <v>0</v>
          </cell>
          <cell r="AK7">
            <v>1.2402098837099819E-2</v>
          </cell>
          <cell r="AL7">
            <v>1.2402098837099819E-2</v>
          </cell>
          <cell r="AM7">
            <v>1000</v>
          </cell>
          <cell r="AN7">
            <v>4.6150942115208513E-3</v>
          </cell>
          <cell r="AO7">
            <v>496531.39006217633</v>
          </cell>
          <cell r="AP7">
            <v>18561.3045525854</v>
          </cell>
          <cell r="AQ7">
            <v>4980.5206476788735</v>
          </cell>
          <cell r="AR7">
            <v>4980.5206476788735</v>
          </cell>
          <cell r="AS7">
            <v>1113678.2731551242</v>
          </cell>
          <cell r="AT7">
            <v>1113678.2731551242</v>
          </cell>
          <cell r="AU7">
            <v>1100035.5238638439</v>
          </cell>
          <cell r="AV7">
            <v>1100035.5238638439</v>
          </cell>
          <cell r="AW7">
            <v>1992.2082590715495</v>
          </cell>
          <cell r="AX7">
            <v>1983056.2675699671</v>
          </cell>
          <cell r="AY7">
            <v>1</v>
          </cell>
          <cell r="AZ7">
            <v>0.5</v>
          </cell>
          <cell r="BA7">
            <v>0.49393063020720401</v>
          </cell>
          <cell r="BD7">
            <v>1</v>
          </cell>
          <cell r="BE7">
            <v>86.851905245327529</v>
          </cell>
          <cell r="BF7">
            <v>1563.9031303348909</v>
          </cell>
          <cell r="BG7">
            <v>1563.9031303348909</v>
          </cell>
          <cell r="BH7">
            <v>2.5999999999999999E-3</v>
          </cell>
          <cell r="BI7">
            <v>2.5999999999999999E-3</v>
          </cell>
          <cell r="BJ7">
            <v>0.10768553160215309</v>
          </cell>
          <cell r="BK7">
            <v>7221144.2614615466</v>
          </cell>
          <cell r="BL7"/>
          <cell r="BM7">
            <v>1</v>
          </cell>
          <cell r="BN7">
            <v>86.851905245327529</v>
          </cell>
          <cell r="BO7">
            <v>263.96569882499864</v>
          </cell>
          <cell r="BP7">
            <v>263.96569882499864</v>
          </cell>
          <cell r="BQ7">
            <v>2.5999999999999999E-3</v>
          </cell>
          <cell r="BR7">
            <v>2.5999999999999999E-3</v>
          </cell>
          <cell r="BS7">
            <v>2174.295639847086</v>
          </cell>
          <cell r="BT7">
            <v>9.2961717963451346E-2</v>
          </cell>
          <cell r="BU7">
            <v>7575048.6640814515</v>
          </cell>
          <cell r="BX7">
            <v>1</v>
          </cell>
          <cell r="BY7">
            <v>1504838.1749333942</v>
          </cell>
          <cell r="BZ7">
            <v>1504838.1749333942</v>
          </cell>
          <cell r="CA7">
            <v>1504838.1749333942</v>
          </cell>
          <cell r="CB7">
            <v>0</v>
          </cell>
          <cell r="CC7">
            <v>0</v>
          </cell>
          <cell r="CD7">
            <v>32064.57073407395</v>
          </cell>
          <cell r="CF7">
            <v>0.33098251307482524</v>
          </cell>
          <cell r="CG7">
            <v>0.33098251307482524</v>
          </cell>
          <cell r="CH7">
            <v>0.33098251307482524</v>
          </cell>
          <cell r="CI7">
            <v>0</v>
          </cell>
          <cell r="CJ7">
            <v>0</v>
          </cell>
          <cell r="CK7">
            <v>7.052460775524268E-3</v>
          </cell>
          <cell r="CM7"/>
        </row>
        <row r="8">
          <cell r="T8">
            <v>2.1537106320430616E-2</v>
          </cell>
          <cell r="U8">
            <v>1351213.9276367363</v>
          </cell>
          <cell r="V8">
            <v>32727.217671349561</v>
          </cell>
          <cell r="W8">
            <v>2329.4464268054121</v>
          </cell>
          <cell r="X8">
            <v>2329.4464268054121</v>
          </cell>
          <cell r="Y8">
            <v>2061276.1878203386</v>
          </cell>
          <cell r="Z8">
            <v>2061276.1878203386</v>
          </cell>
          <cell r="AA8">
            <v>2011385.3870802049</v>
          </cell>
          <cell r="AB8">
            <v>2011385.3870802049</v>
          </cell>
          <cell r="AC8">
            <v>4035636.4444656167</v>
          </cell>
          <cell r="AD8"/>
          <cell r="AE8">
            <v>2</v>
          </cell>
          <cell r="AF8">
            <v>62.983545027258614</v>
          </cell>
          <cell r="AG8">
            <v>207.10729986944429</v>
          </cell>
          <cell r="AH8">
            <v>207.10729986944429</v>
          </cell>
          <cell r="AI8">
            <v>0</v>
          </cell>
          <cell r="AJ8">
            <v>0</v>
          </cell>
          <cell r="AK8">
            <v>2.4804197674199637E-2</v>
          </cell>
          <cell r="AL8">
            <v>2.4804197674199637E-2</v>
          </cell>
          <cell r="AM8">
            <v>1130.4772933163429</v>
          </cell>
          <cell r="AN8">
            <v>1.4431385739513126E-2</v>
          </cell>
          <cell r="AO8">
            <v>746274.7430658415</v>
          </cell>
          <cell r="AP8">
            <v>25851.740609429999</v>
          </cell>
          <cell r="AQ8">
            <v>7031.7994786638892</v>
          </cell>
          <cell r="AR8">
            <v>7031.7994786638892</v>
          </cell>
          <cell r="AS8">
            <v>1628234.2687070447</v>
          </cell>
          <cell r="AT8">
            <v>1628234.2687070447</v>
          </cell>
          <cell r="AU8">
            <v>1588824.745646372</v>
          </cell>
          <cell r="AV8">
            <v>1588824.745646372</v>
          </cell>
          <cell r="AW8">
            <v>2576.4993456474767</v>
          </cell>
          <cell r="AX8">
            <v>2871238.06246942</v>
          </cell>
          <cell r="AY8">
            <v>2</v>
          </cell>
          <cell r="AZ8">
            <v>0.56006388504954274</v>
          </cell>
          <cell r="BA8">
            <v>0.55229947516236066</v>
          </cell>
          <cell r="BD8">
            <v>2</v>
          </cell>
          <cell r="BE8">
            <v>95.528870872391991</v>
          </cell>
          <cell r="BF8">
            <v>2096.7771487446498</v>
          </cell>
          <cell r="BG8">
            <v>2096.7771487446498</v>
          </cell>
          <cell r="BH8">
            <v>4.0545454545454539E-3</v>
          </cell>
          <cell r="BI8">
            <v>4.0545454545454539E-3</v>
          </cell>
          <cell r="BJ8">
            <v>0.29672651356219754</v>
          </cell>
          <cell r="BK8">
            <v>19647319.616901934</v>
          </cell>
          <cell r="BL8"/>
          <cell r="BM8">
            <v>2</v>
          </cell>
          <cell r="BN8">
            <v>95.528870872391991</v>
          </cell>
          <cell r="BO8">
            <v>295.99706612669024</v>
          </cell>
          <cell r="BP8">
            <v>295.99706612669024</v>
          </cell>
          <cell r="BQ8">
            <v>4.0545454545454539E-3</v>
          </cell>
          <cell r="BR8">
            <v>4.0545454545454539E-3</v>
          </cell>
          <cell r="BS8">
            <v>2679.89975514358</v>
          </cell>
          <cell r="BT8">
            <v>0.15010462006853231</v>
          </cell>
          <cell r="BU8">
            <v>17689717.027898107</v>
          </cell>
          <cell r="BX8">
            <v>2</v>
          </cell>
          <cell r="BY8">
            <v>1602481.3024727595</v>
          </cell>
          <cell r="BZ8">
            <v>1702557.2213094034</v>
          </cell>
          <cell r="CA8">
            <v>1702557.2213094034</v>
          </cell>
          <cell r="CB8">
            <v>0</v>
          </cell>
          <cell r="CC8">
            <v>0</v>
          </cell>
          <cell r="CD8">
            <v>75522.536321604188</v>
          </cell>
          <cell r="CF8">
            <v>0.3152555604169906</v>
          </cell>
          <cell r="CG8">
            <v>0.33494345932002806</v>
          </cell>
          <cell r="CH8">
            <v>0.33494345932002806</v>
          </cell>
          <cell r="CI8">
            <v>0</v>
          </cell>
          <cell r="CJ8">
            <v>0</v>
          </cell>
          <cell r="CK8">
            <v>1.4857520942953143E-2</v>
          </cell>
          <cell r="CM8"/>
        </row>
        <row r="9">
          <cell r="T9">
            <v>3.2305659480645926E-2</v>
          </cell>
          <cell r="U9">
            <v>1750222.8523497188</v>
          </cell>
          <cell r="V9">
            <v>41196.641435386933</v>
          </cell>
          <cell r="W9">
            <v>2802.3769397614292</v>
          </cell>
          <cell r="X9">
            <v>2802.3769397614292</v>
          </cell>
          <cell r="Y9">
            <v>2717622.5555118257</v>
          </cell>
          <cell r="Z9">
            <v>2717622.5555118257</v>
          </cell>
          <cell r="AA9">
            <v>2640870.0255186046</v>
          </cell>
          <cell r="AB9">
            <v>2640870.0255186046</v>
          </cell>
          <cell r="AC9">
            <v>5265150.9377156077</v>
          </cell>
          <cell r="AD9"/>
          <cell r="AE9">
            <v>3</v>
          </cell>
          <cell r="AF9">
            <v>65.967090054517229</v>
          </cell>
          <cell r="AG9">
            <v>214.21459973888858</v>
          </cell>
          <cell r="AH9">
            <v>214.21459973888858</v>
          </cell>
          <cell r="AI9">
            <v>0</v>
          </cell>
          <cell r="AJ9">
            <v>0</v>
          </cell>
          <cell r="AK9">
            <v>2.9063350051901429E-2</v>
          </cell>
          <cell r="AL9">
            <v>2.9063350051901429E-2</v>
          </cell>
          <cell r="AM9">
            <v>1260.9545866326857</v>
          </cell>
          <cell r="AN9">
            <v>2.4247677267505402E-2</v>
          </cell>
          <cell r="AO9">
            <v>1069420.5991216644</v>
          </cell>
          <cell r="AP9">
            <v>34520.763687576873</v>
          </cell>
          <cell r="AQ9">
            <v>9508.3169156840922</v>
          </cell>
          <cell r="AR9">
            <v>9508.3169156840922</v>
          </cell>
          <cell r="AS9">
            <v>2277234.3269290919</v>
          </cell>
          <cell r="AT9">
            <v>2277234.3269290919</v>
          </cell>
          <cell r="AU9">
            <v>2212919.4736303049</v>
          </cell>
          <cell r="AV9">
            <v>2212919.4736303049</v>
          </cell>
          <cell r="AW9">
            <v>3230.6005686104768</v>
          </cell>
          <cell r="AX9">
            <v>3977202.677613317</v>
          </cell>
          <cell r="AY9">
            <v>3</v>
          </cell>
          <cell r="AZ9">
            <v>0.6206715462377953</v>
          </cell>
          <cell r="BA9">
            <v>0.61101967540072966</v>
          </cell>
          <cell r="BD9">
            <v>3</v>
          </cell>
          <cell r="BE9">
            <v>101.59056521927428</v>
          </cell>
          <cell r="BF9">
            <v>2480.9440193191904</v>
          </cell>
          <cell r="BG9">
            <v>2480.9440193191904</v>
          </cell>
          <cell r="BH9">
            <v>5.4000000000000003E-3</v>
          </cell>
          <cell r="BI9">
            <v>5.4000000000000003E-3</v>
          </cell>
          <cell r="BJ9">
            <v>0.43110000000000004</v>
          </cell>
          <cell r="BK9">
            <v>35687486.582470983</v>
          </cell>
          <cell r="BL9"/>
          <cell r="BM9">
            <v>3</v>
          </cell>
          <cell r="BN9">
            <v>101.59056521927428</v>
          </cell>
          <cell r="BO9">
            <v>317.51908835885251</v>
          </cell>
          <cell r="BP9">
            <v>317.51908835885251</v>
          </cell>
          <cell r="BQ9">
            <v>5.4000000000000003E-3</v>
          </cell>
          <cell r="BR9">
            <v>5.4000000000000003E-3</v>
          </cell>
          <cell r="BS9">
            <v>2978.8397947066123</v>
          </cell>
          <cell r="BT9">
            <v>0.19072274901295716</v>
          </cell>
          <cell r="BU9">
            <v>28726805.248590261</v>
          </cell>
          <cell r="BX9">
            <v>3</v>
          </cell>
          <cell r="BY9">
            <v>1725393.3371670644</v>
          </cell>
          <cell r="BZ9">
            <v>1940417.7231607446</v>
          </cell>
          <cell r="CA9">
            <v>1940417.7231607446</v>
          </cell>
          <cell r="CB9">
            <v>0</v>
          </cell>
          <cell r="CC9">
            <v>0</v>
          </cell>
          <cell r="CD9">
            <v>132220.59409095219</v>
          </cell>
          <cell r="CF9">
            <v>0.30067239835002951</v>
          </cell>
          <cell r="CG9">
            <v>0.33814321526335711</v>
          </cell>
          <cell r="CH9">
            <v>0.33814321526335711</v>
          </cell>
          <cell r="CI9">
            <v>0</v>
          </cell>
          <cell r="CJ9">
            <v>0</v>
          </cell>
          <cell r="CK9">
            <v>2.3041171123256158E-2</v>
          </cell>
          <cell r="CM9"/>
        </row>
        <row r="10">
          <cell r="T10">
            <v>4.3074212640861233E-2</v>
          </cell>
          <cell r="U10">
            <v>2226765.6481070546</v>
          </cell>
          <cell r="V10">
            <v>50992.541109187441</v>
          </cell>
          <cell r="W10">
            <v>3333.8265576480026</v>
          </cell>
          <cell r="X10">
            <v>3333.8265576480026</v>
          </cell>
          <cell r="Y10">
            <v>3515968.0939120366</v>
          </cell>
          <cell r="Z10">
            <v>3515968.0939120366</v>
          </cell>
          <cell r="AA10">
            <v>3403015.6059798733</v>
          </cell>
          <cell r="AB10">
            <v>3403015.6059798733</v>
          </cell>
          <cell r="AC10">
            <v>6741549.2614092892</v>
          </cell>
          <cell r="AD10"/>
          <cell r="AE10">
            <v>4</v>
          </cell>
          <cell r="AF10">
            <v>68.950635081775843</v>
          </cell>
          <cell r="AG10">
            <v>221.32189960833287</v>
          </cell>
          <cell r="AH10">
            <v>221.32189960833287</v>
          </cell>
          <cell r="AI10">
            <v>0</v>
          </cell>
          <cell r="AJ10">
            <v>0</v>
          </cell>
          <cell r="AK10">
            <v>3.3191880675974512E-2</v>
          </cell>
          <cell r="AL10">
            <v>3.3191880675974512E-2</v>
          </cell>
          <cell r="AM10">
            <v>1391.4318799490286</v>
          </cell>
          <cell r="AN10">
            <v>3.4063968795497682E-2</v>
          </cell>
          <cell r="AO10">
            <v>1492786.5872930358</v>
          </cell>
          <cell r="AP10">
            <v>45109.92961332608</v>
          </cell>
          <cell r="AQ10">
            <v>12569.87689885739</v>
          </cell>
          <cell r="AR10">
            <v>12569.87689885739</v>
          </cell>
          <cell r="AS10">
            <v>3110358.2953330399</v>
          </cell>
          <cell r="AT10">
            <v>3110358.2953330399</v>
          </cell>
          <cell r="AU10">
            <v>3010436.2543945489</v>
          </cell>
          <cell r="AV10">
            <v>3010436.2543945489</v>
          </cell>
          <cell r="AW10">
            <v>3998.742695474145</v>
          </cell>
          <cell r="AX10">
            <v>5380690.396433684</v>
          </cell>
          <cell r="AY10">
            <v>4</v>
          </cell>
          <cell r="AZ10">
            <v>0.68211691207905745</v>
          </cell>
          <cell r="BA10">
            <v>0.67038333762784375</v>
          </cell>
          <cell r="BD10">
            <v>4</v>
          </cell>
          <cell r="BE10">
            <v>105.5817618429524</v>
          </cell>
          <cell r="BF10">
            <v>2920.6945101847446</v>
          </cell>
          <cell r="BG10">
            <v>2920.6945101847446</v>
          </cell>
          <cell r="BH10">
            <v>6.5466666666666668E-3</v>
          </cell>
          <cell r="BI10">
            <v>6.5466666666666668E-3</v>
          </cell>
          <cell r="BJ10">
            <v>0.45518442576509388</v>
          </cell>
          <cell r="BK10">
            <v>53315441.426760077</v>
          </cell>
          <cell r="BL10"/>
          <cell r="BM10">
            <v>4</v>
          </cell>
          <cell r="BN10">
            <v>105.5817618429524</v>
          </cell>
          <cell r="BO10">
            <v>336.41618774029155</v>
          </cell>
          <cell r="BP10">
            <v>336.41618774029155</v>
          </cell>
          <cell r="BQ10">
            <v>6.5466666666666668E-3</v>
          </cell>
          <cell r="BR10">
            <v>6.5466666666666668E-3</v>
          </cell>
          <cell r="BS10">
            <v>3199.6227996892399</v>
          </cell>
          <cell r="BT10">
            <v>0.20722609398536904</v>
          </cell>
          <cell r="BU10">
            <v>39867314.27579508</v>
          </cell>
          <cell r="BX10">
            <v>4</v>
          </cell>
          <cell r="BY10">
            <v>1877531.879620661</v>
          </cell>
          <cell r="BZ10">
            <v>2223386.6724252892</v>
          </cell>
          <cell r="CA10">
            <v>2223386.6724252892</v>
          </cell>
          <cell r="CB10">
            <v>0</v>
          </cell>
          <cell r="CC10">
            <v>0</v>
          </cell>
          <cell r="CD10">
            <v>204817.32569464837</v>
          </cell>
          <cell r="CF10">
            <v>0.28756266484429183</v>
          </cell>
          <cell r="CG10">
            <v>0.34053376320357148</v>
          </cell>
          <cell r="CH10">
            <v>0.34053376320357148</v>
          </cell>
          <cell r="CI10">
            <v>0</v>
          </cell>
          <cell r="CJ10">
            <v>0</v>
          </cell>
          <cell r="CK10">
            <v>3.136980874856523E-2</v>
          </cell>
          <cell r="CM10"/>
        </row>
        <row r="11">
          <cell r="T11">
            <v>5.3842765801076546E-2</v>
          </cell>
          <cell r="U11">
            <v>2790557.5277504772</v>
          </cell>
          <cell r="V11">
            <v>62239.91092190714</v>
          </cell>
          <cell r="W11">
            <v>3929.0283809179418</v>
          </cell>
          <cell r="X11">
            <v>3929.0283809179418</v>
          </cell>
          <cell r="Y11">
            <v>4477176.9622267289</v>
          </cell>
          <cell r="Z11">
            <v>4477176.9622267289</v>
          </cell>
          <cell r="AA11">
            <v>4316098.3949169535</v>
          </cell>
          <cell r="AB11">
            <v>4316098.3949169535</v>
          </cell>
          <cell r="AC11">
            <v>8496859.5079236738</v>
          </cell>
          <cell r="AD11"/>
          <cell r="AE11">
            <v>5</v>
          </cell>
          <cell r="AF11">
            <v>71.934180109034457</v>
          </cell>
          <cell r="AG11">
            <v>228.42919947777716</v>
          </cell>
          <cell r="AH11">
            <v>228.42919947777716</v>
          </cell>
          <cell r="AI11">
            <v>0</v>
          </cell>
          <cell r="AJ11">
            <v>0</v>
          </cell>
          <cell r="AK11">
            <v>3.7320411300047596E-2</v>
          </cell>
          <cell r="AL11">
            <v>3.7320411300047596E-2</v>
          </cell>
          <cell r="AM11">
            <v>1521.9091732653715</v>
          </cell>
          <cell r="AN11">
            <v>4.3880260323489954E-2</v>
          </cell>
          <cell r="AO11">
            <v>2038793.3869588752</v>
          </cell>
          <cell r="AP11">
            <v>57902.073119840847</v>
          </cell>
          <cell r="AQ11">
            <v>16308.829300071837</v>
          </cell>
          <cell r="AR11">
            <v>16308.829300071837</v>
          </cell>
          <cell r="AS11">
            <v>4165138.1564891143</v>
          </cell>
          <cell r="AT11">
            <v>4165138.1564891143</v>
          </cell>
          <cell r="AU11">
            <v>4015286.0303491489</v>
          </cell>
          <cell r="AV11">
            <v>4015286.0303491489</v>
          </cell>
          <cell r="AW11">
            <v>4895.7097925127437</v>
          </cell>
          <cell r="AX11">
            <v>7137624.8081952455</v>
          </cell>
          <cell r="AY11">
            <v>5</v>
          </cell>
          <cell r="AZ11">
            <v>0.74461623862143189</v>
          </cell>
          <cell r="BA11">
            <v>0.73060432070805092</v>
          </cell>
          <cell r="BD11">
            <v>5</v>
          </cell>
          <cell r="BE11">
            <v>108.85793086303543</v>
          </cell>
          <cell r="BF11">
            <v>3280.8517126945007</v>
          </cell>
          <cell r="BG11">
            <v>3280.8517126945007</v>
          </cell>
          <cell r="BH11">
            <v>7.4675023003763896E-3</v>
          </cell>
          <cell r="BI11">
            <v>7.4675023003763896E-3</v>
          </cell>
          <cell r="BJ11">
            <v>0.47490965538459212</v>
          </cell>
          <cell r="BK11">
            <v>71374055.573471665</v>
          </cell>
          <cell r="BL11"/>
          <cell r="BM11">
            <v>5</v>
          </cell>
          <cell r="BN11">
            <v>108.85793086303543</v>
          </cell>
          <cell r="BO11">
            <v>350.64564430354818</v>
          </cell>
          <cell r="BP11">
            <v>350.64564430354818</v>
          </cell>
          <cell r="BQ11">
            <v>7.4675023003763896E-3</v>
          </cell>
          <cell r="BR11">
            <v>7.4675023003763896E-3</v>
          </cell>
          <cell r="BS11">
            <v>3377.6362498180756</v>
          </cell>
          <cell r="BT11">
            <v>0.22046527794239157</v>
          </cell>
          <cell r="BU11">
            <v>50947231.998703897</v>
          </cell>
          <cell r="BX11">
            <v>5</v>
          </cell>
          <cell r="BY11">
            <v>2063227.4563487363</v>
          </cell>
          <cell r="BZ11">
            <v>2556875.2367983828</v>
          </cell>
          <cell r="CA11">
            <v>2556875.2367983828</v>
          </cell>
          <cell r="CB11">
            <v>0</v>
          </cell>
          <cell r="CC11">
            <v>0</v>
          </cell>
          <cell r="CD11">
            <v>296316.20900060539</v>
          </cell>
          <cell r="CF11">
            <v>0.27608005492470755</v>
          </cell>
          <cell r="CG11">
            <v>0.34213496608858973</v>
          </cell>
          <cell r="CH11">
            <v>0.34213496608858973</v>
          </cell>
          <cell r="CI11">
            <v>0</v>
          </cell>
          <cell r="CJ11">
            <v>0</v>
          </cell>
          <cell r="CK11">
            <v>3.9650012898112992E-2</v>
          </cell>
          <cell r="CM11"/>
        </row>
        <row r="12">
          <cell r="T12">
            <v>6.4611318961291853E-2</v>
          </cell>
          <cell r="U12">
            <v>3451617.8664793442</v>
          </cell>
          <cell r="V12">
            <v>75061.727779309396</v>
          </cell>
          <cell r="W12">
            <v>4592.8593061655538</v>
          </cell>
          <cell r="X12">
            <v>4592.8593061655538</v>
          </cell>
          <cell r="Y12">
            <v>5623453.8900255561</v>
          </cell>
          <cell r="Z12">
            <v>5623453.8900255561</v>
          </cell>
          <cell r="AA12">
            <v>5399644.3451524265</v>
          </cell>
          <cell r="AB12">
            <v>5399644.3451524265</v>
          </cell>
          <cell r="AC12">
            <v>10564332.334005589</v>
          </cell>
          <cell r="AD12"/>
          <cell r="AE12">
            <v>6</v>
          </cell>
          <cell r="AF12">
            <v>74.917725136293072</v>
          </cell>
          <cell r="AG12">
            <v>235.53649934722145</v>
          </cell>
          <cell r="AH12">
            <v>235.53649934722145</v>
          </cell>
          <cell r="AI12">
            <v>0</v>
          </cell>
          <cell r="AJ12">
            <v>0</v>
          </cell>
          <cell r="AK12">
            <v>4.1448941924120672E-2</v>
          </cell>
          <cell r="AL12">
            <v>4.1448941924120672E-2</v>
          </cell>
          <cell r="AM12">
            <v>1652.3864665817143</v>
          </cell>
          <cell r="AN12">
            <v>5.3696551851482227E-2</v>
          </cell>
          <cell r="AO12">
            <v>2733136.6887286599</v>
          </cell>
          <cell r="AP12">
            <v>73199.315599045556</v>
          </cell>
          <cell r="AQ12">
            <v>20824.68205933593</v>
          </cell>
          <cell r="AR12">
            <v>20824.68205933593</v>
          </cell>
          <cell r="AS12">
            <v>5483926.2062140657</v>
          </cell>
          <cell r="AT12">
            <v>5483926.2062140657</v>
          </cell>
          <cell r="AU12">
            <v>5265669.76589585</v>
          </cell>
          <cell r="AV12">
            <v>5265669.76589585</v>
          </cell>
          <cell r="AW12">
            <v>5936.8347677426445</v>
          </cell>
          <cell r="AX12">
            <v>9310028.971160993</v>
          </cell>
          <cell r="AY12">
            <v>6</v>
          </cell>
          <cell r="AZ12">
            <v>0.80833183749132465</v>
          </cell>
          <cell r="BA12">
            <v>0.7918422010940811</v>
          </cell>
          <cell r="BD12">
            <v>6</v>
          </cell>
          <cell r="BE12">
            <v>111.67269528189993</v>
          </cell>
          <cell r="BF12">
            <v>3585.6490516434746</v>
          </cell>
          <cell r="BG12">
            <v>3585.6490516434746</v>
          </cell>
          <cell r="BH12">
            <v>7.8923076923076915E-3</v>
          </cell>
          <cell r="BI12">
            <v>7.8923076923076915E-3</v>
          </cell>
          <cell r="BJ12">
            <v>0.49254595264453532</v>
          </cell>
          <cell r="BK12">
            <v>90274700.198292241</v>
          </cell>
          <cell r="BL12"/>
          <cell r="BM12">
            <v>6</v>
          </cell>
          <cell r="BN12">
            <v>111.67269528189993</v>
          </cell>
          <cell r="BO12">
            <v>362.76644659472481</v>
          </cell>
          <cell r="BP12">
            <v>362.76644659472481</v>
          </cell>
          <cell r="BQ12">
            <v>7.8923076923076915E-3</v>
          </cell>
          <cell r="BR12">
            <v>7.8923076923076915E-3</v>
          </cell>
          <cell r="BS12">
            <v>3525.718281108529</v>
          </cell>
          <cell r="BT12">
            <v>0.23180844723490854</v>
          </cell>
          <cell r="BU12">
            <v>62581731.582174748</v>
          </cell>
          <cell r="BX12">
            <v>6</v>
          </cell>
          <cell r="BY12">
            <v>2287177.5010021348</v>
          </cell>
          <cell r="BZ12">
            <v>2946708.525817005</v>
          </cell>
          <cell r="CA12">
            <v>2946708.525817005</v>
          </cell>
          <cell r="CB12">
            <v>0</v>
          </cell>
          <cell r="CC12">
            <v>0</v>
          </cell>
          <cell r="CD12">
            <v>410078.78334152605</v>
          </cell>
          <cell r="CF12">
            <v>0.26623960795057289</v>
          </cell>
          <cell r="CG12">
            <v>0.34301252190281917</v>
          </cell>
          <cell r="CH12">
            <v>0.34301252190281917</v>
          </cell>
          <cell r="CI12">
            <v>0</v>
          </cell>
          <cell r="CJ12">
            <v>0</v>
          </cell>
          <cell r="CK12">
            <v>4.773534824378893E-2</v>
          </cell>
          <cell r="CM12"/>
        </row>
        <row r="13">
          <cell r="T13">
            <v>7.5379872121507166E-2</v>
          </cell>
          <cell r="U13">
            <v>4220640.834175</v>
          </cell>
          <cell r="V13">
            <v>89587.508663540037</v>
          </cell>
          <cell r="W13">
            <v>5330.4416657922538</v>
          </cell>
          <cell r="X13">
            <v>5330.4416657922538</v>
          </cell>
          <cell r="Y13">
            <v>6978980.7156779589</v>
          </cell>
          <cell r="Z13">
            <v>6978980.7156779589</v>
          </cell>
          <cell r="AA13">
            <v>6674761.9367404431</v>
          </cell>
          <cell r="AB13">
            <v>6674761.9367404431</v>
          </cell>
          <cell r="AC13">
            <v>12979563.587906552</v>
          </cell>
          <cell r="AD13"/>
          <cell r="AE13">
            <v>7</v>
          </cell>
          <cell r="AF13">
            <v>77.901270163551686</v>
          </cell>
          <cell r="AG13">
            <v>242.64379921666574</v>
          </cell>
          <cell r="AH13">
            <v>242.64379921666574</v>
          </cell>
          <cell r="AI13">
            <v>0</v>
          </cell>
          <cell r="AJ13">
            <v>0</v>
          </cell>
          <cell r="AK13">
            <v>4.5577472548193748E-2</v>
          </cell>
          <cell r="AL13">
            <v>4.5577472548193748E-2</v>
          </cell>
          <cell r="AM13">
            <v>1782.8637598980572</v>
          </cell>
          <cell r="AN13">
            <v>6.3512843379474507E-2</v>
          </cell>
          <cell r="AO13">
            <v>3605347.7188977459</v>
          </cell>
          <cell r="AP13">
            <v>91331.232675627383</v>
          </cell>
          <cell r="AQ13">
            <v>26226.45878833413</v>
          </cell>
          <cell r="AR13">
            <v>26226.45878833413</v>
          </cell>
          <cell r="AS13">
            <v>7114819.031034247</v>
          </cell>
          <cell r="AT13">
            <v>7114819.031034247</v>
          </cell>
          <cell r="AU13">
            <v>6804678.9624250494</v>
          </cell>
          <cell r="AV13">
            <v>6804678.9624250494</v>
          </cell>
          <cell r="AW13">
            <v>7138.7256205876056</v>
          </cell>
          <cell r="AX13">
            <v>11967298.072638439</v>
          </cell>
          <cell r="AY13">
            <v>7</v>
          </cell>
          <cell r="AZ13">
            <v>0.87338773633933553</v>
          </cell>
          <cell r="BA13">
            <v>0.8542180821700921</v>
          </cell>
          <cell r="BD13">
            <v>7</v>
          </cell>
          <cell r="BE13">
            <v>114.52054463141275</v>
          </cell>
          <cell r="BF13">
            <v>3854.2071267629281</v>
          </cell>
          <cell r="BG13">
            <v>3854.2071267629281</v>
          </cell>
          <cell r="BH13">
            <v>8.3025641025641032E-3</v>
          </cell>
          <cell r="BI13">
            <v>8.3025641025641032E-3</v>
          </cell>
          <cell r="BJ13">
            <v>0.5338124902081276</v>
          </cell>
          <cell r="BK13">
            <v>113961281.61117059</v>
          </cell>
          <cell r="BL13"/>
          <cell r="BM13">
            <v>7</v>
          </cell>
          <cell r="BN13">
            <v>114.52054463141275</v>
          </cell>
          <cell r="BO13">
            <v>373.27297725105331</v>
          </cell>
          <cell r="BP13">
            <v>373.27297725105331</v>
          </cell>
          <cell r="BQ13">
            <v>8.3025641025641032E-3</v>
          </cell>
          <cell r="BR13">
            <v>8.3025641025641032E-3</v>
          </cell>
          <cell r="BS13">
            <v>3652.7432338833255</v>
          </cell>
          <cell r="BT13">
            <v>0.24559459359802141</v>
          </cell>
          <cell r="BU13">
            <v>75244973.203285754</v>
          </cell>
          <cell r="BX13">
            <v>7</v>
          </cell>
          <cell r="BY13">
            <v>2554465.8669797275</v>
          </cell>
          <cell r="BZ13">
            <v>3399146.4229910308</v>
          </cell>
          <cell r="CA13">
            <v>3399146.4229910308</v>
          </cell>
          <cell r="CB13">
            <v>0</v>
          </cell>
          <cell r="CC13">
            <v>0</v>
          </cell>
          <cell r="CD13">
            <v>549849.90383429278</v>
          </cell>
          <cell r="CF13">
            <v>0.2579588839497331</v>
          </cell>
          <cell r="CG13">
            <v>0.3432576762880083</v>
          </cell>
          <cell r="CH13">
            <v>0.3432576762880083</v>
          </cell>
          <cell r="CI13">
            <v>0</v>
          </cell>
          <cell r="CJ13">
            <v>0</v>
          </cell>
          <cell r="CK13">
            <v>5.552576347425036E-2</v>
          </cell>
          <cell r="CM13"/>
        </row>
        <row r="14">
          <cell r="T14">
            <v>8.6148425281722465E-2</v>
          </cell>
          <cell r="U14">
            <v>5109022.1266915249</v>
          </cell>
          <cell r="V14">
            <v>105953.52882203698</v>
          </cell>
          <cell r="W14">
            <v>6147.1511544132773</v>
          </cell>
          <cell r="X14">
            <v>6147.1511544132773</v>
          </cell>
          <cell r="Y14">
            <v>8570031.5975846536</v>
          </cell>
          <cell r="Z14">
            <v>8570031.5975846536</v>
          </cell>
          <cell r="AA14">
            <v>8164220.8120040912</v>
          </cell>
          <cell r="AB14">
            <v>8164220.8120040912</v>
          </cell>
          <cell r="AC14">
            <v>15780590.199468885</v>
          </cell>
          <cell r="AD14"/>
          <cell r="AE14">
            <v>8</v>
          </cell>
          <cell r="AF14">
            <v>80.884815190810301</v>
          </cell>
          <cell r="AG14">
            <v>249.75109908611003</v>
          </cell>
          <cell r="AH14">
            <v>249.75109908611003</v>
          </cell>
          <cell r="AI14">
            <v>0</v>
          </cell>
          <cell r="AJ14">
            <v>0</v>
          </cell>
          <cell r="AK14">
            <v>4.9706003172266838E-2</v>
          </cell>
          <cell r="AL14">
            <v>4.9706003172266838E-2</v>
          </cell>
          <cell r="AM14">
            <v>1913.3410532144001</v>
          </cell>
          <cell r="AN14">
            <v>7.3329134907466786E-2</v>
          </cell>
          <cell r="AO14">
            <v>4689189.5398264686</v>
          </cell>
          <cell r="AP14">
            <v>112656.49167355157</v>
          </cell>
          <cell r="AQ14">
            <v>32633.285861575107</v>
          </cell>
          <cell r="AR14">
            <v>32633.285861575107</v>
          </cell>
          <cell r="AS14">
            <v>9112199.5090602804</v>
          </cell>
          <cell r="AT14">
            <v>9112199.5090602804</v>
          </cell>
          <cell r="AU14">
            <v>8680715.8209277</v>
          </cell>
          <cell r="AV14">
            <v>8680715.8209277</v>
          </cell>
          <cell r="AW14">
            <v>8519.3374145475209</v>
          </cell>
          <cell r="AX14">
            <v>15186765.635356091</v>
          </cell>
          <cell r="AY14">
            <v>8</v>
          </cell>
          <cell r="AZ14">
            <v>0.93988024483470289</v>
          </cell>
          <cell r="BA14">
            <v>0.91782525570369189</v>
          </cell>
          <cell r="BD14">
            <v>8</v>
          </cell>
          <cell r="BE14">
            <v>117.62172347444437</v>
          </cell>
          <cell r="BF14">
            <v>4166.0657681339817</v>
          </cell>
          <cell r="BG14">
            <v>4166.0657681339817</v>
          </cell>
          <cell r="BH14">
            <v>8.7128205128205131E-3</v>
          </cell>
          <cell r="BI14">
            <v>8.7128205128205131E-3</v>
          </cell>
          <cell r="BJ14">
            <v>0.57084647397019284</v>
          </cell>
          <cell r="BK14">
            <v>144831475.39562097</v>
          </cell>
          <cell r="BL14"/>
          <cell r="BM14">
            <v>8</v>
          </cell>
          <cell r="BN14">
            <v>117.62172347444437</v>
          </cell>
          <cell r="BO14">
            <v>382.56501143713353</v>
          </cell>
          <cell r="BP14">
            <v>382.56501143713353</v>
          </cell>
          <cell r="BQ14">
            <v>8.7128205128205131E-3</v>
          </cell>
          <cell r="BR14">
            <v>8.7128205128205131E-3</v>
          </cell>
          <cell r="BS14">
            <v>3763.9020714584826</v>
          </cell>
          <cell r="BT14">
            <v>0.25781495320662218</v>
          </cell>
          <cell r="BU14">
            <v>88686523.397422448</v>
          </cell>
          <cell r="BX14">
            <v>8</v>
          </cell>
          <cell r="BY14">
            <v>2870582.9910172182</v>
          </cell>
          <cell r="BZ14">
            <v>3920905.0907130353</v>
          </cell>
          <cell r="CA14">
            <v>3920905.0907130353</v>
          </cell>
          <cell r="CB14">
            <v>0</v>
          </cell>
          <cell r="CC14">
            <v>0</v>
          </cell>
          <cell r="CD14">
            <v>719784.02829684597</v>
          </cell>
          <cell r="CF14">
            <v>0.2510967894052038</v>
          </cell>
          <cell r="CG14">
            <v>0.34297098635412948</v>
          </cell>
          <cell r="CH14">
            <v>0.34297098635412948</v>
          </cell>
          <cell r="CI14">
            <v>0</v>
          </cell>
          <cell r="CJ14">
            <v>0</v>
          </cell>
          <cell r="CK14">
            <v>6.2961237886537139E-2</v>
          </cell>
          <cell r="CM14"/>
        </row>
        <row r="15">
          <cell r="T15">
            <v>9.6916978441937765E-2</v>
          </cell>
          <cell r="U15">
            <v>6084365.6906590015</v>
          </cell>
          <cell r="V15">
            <v>123400.09963891028</v>
          </cell>
          <cell r="W15">
            <v>6997.4232851230136</v>
          </cell>
          <cell r="X15">
            <v>6997.4232851230136</v>
          </cell>
          <cell r="Y15">
            <v>10349364.007461723</v>
          </cell>
          <cell r="Z15">
            <v>10349364.007461723</v>
          </cell>
          <cell r="AA15">
            <v>9856537.1499635447</v>
          </cell>
          <cell r="AB15">
            <v>9856537.1499635447</v>
          </cell>
          <cell r="AC15">
            <v>18869913.057890624</v>
          </cell>
          <cell r="AD15"/>
          <cell r="AE15">
            <v>9</v>
          </cell>
          <cell r="AF15">
            <v>83.868360218068915</v>
          </cell>
          <cell r="AG15">
            <v>256.85839895555432</v>
          </cell>
          <cell r="AH15">
            <v>256.85839895555432</v>
          </cell>
          <cell r="AI15">
            <v>0</v>
          </cell>
          <cell r="AJ15">
            <v>0</v>
          </cell>
          <cell r="AK15">
            <v>0.05</v>
          </cell>
          <cell r="AL15">
            <v>0.05</v>
          </cell>
          <cell r="AM15">
            <v>2043.8183465307429</v>
          </cell>
          <cell r="AN15">
            <v>8.3145426435459052E-2</v>
          </cell>
          <cell r="AO15">
            <v>5979328.5174349369</v>
          </cell>
          <cell r="AP15">
            <v>136565.2739931921</v>
          </cell>
          <cell r="AQ15">
            <v>39883.168609216053</v>
          </cell>
          <cell r="AR15">
            <v>39883.168609216053</v>
          </cell>
          <cell r="AS15">
            <v>11453505.592540311</v>
          </cell>
          <cell r="AT15">
            <v>11453505.592540311</v>
          </cell>
          <cell r="AU15">
            <v>10908100.564324107</v>
          </cell>
          <cell r="AV15">
            <v>10908100.564324107</v>
          </cell>
          <cell r="AW15">
            <v>10024.694074820083</v>
          </cell>
          <cell r="AX15">
            <v>18915884.394122183</v>
          </cell>
          <cell r="AY15">
            <v>9</v>
          </cell>
          <cell r="AZ15">
            <v>1.0078852356234371</v>
          </cell>
          <cell r="BA15">
            <v>0.98273654501317653</v>
          </cell>
          <cell r="BD15">
            <v>9</v>
          </cell>
          <cell r="BE15">
            <v>120.41044224347814</v>
          </cell>
          <cell r="BF15">
            <v>4446.5030116780081</v>
          </cell>
          <cell r="BG15">
            <v>4446.5030116780081</v>
          </cell>
          <cell r="BH15">
            <v>9.1999999999999998E-3</v>
          </cell>
          <cell r="BI15">
            <v>9.1999999999999998E-3</v>
          </cell>
          <cell r="BJ15">
            <v>0.60414908914874965</v>
          </cell>
          <cell r="BK15">
            <v>177405059.20499417</v>
          </cell>
          <cell r="BL15"/>
          <cell r="BM15">
            <v>9</v>
          </cell>
          <cell r="BN15">
            <v>120.41044224347814</v>
          </cell>
          <cell r="BO15">
            <v>391.01941631287696</v>
          </cell>
          <cell r="BP15">
            <v>391.01941631287696</v>
          </cell>
          <cell r="BQ15">
            <v>9.1999999999999998E-3</v>
          </cell>
          <cell r="BR15">
            <v>9.1999999999999998E-3</v>
          </cell>
          <cell r="BS15">
            <v>3864.3014034647044</v>
          </cell>
          <cell r="BT15">
            <v>0.26880404733172358</v>
          </cell>
          <cell r="BU15">
            <v>102482631.94497184</v>
          </cell>
          <cell r="BX15">
            <v>9</v>
          </cell>
          <cell r="BY15">
            <v>3238752.7446581065</v>
          </cell>
          <cell r="BZ15">
            <v>4514833.2631334495</v>
          </cell>
          <cell r="CA15">
            <v>4514833.2631334495</v>
          </cell>
          <cell r="CB15">
            <v>0</v>
          </cell>
          <cell r="CC15">
            <v>0</v>
          </cell>
          <cell r="CD15">
            <v>922985.69018938194</v>
          </cell>
          <cell r="CF15">
            <v>0.24551992408733558</v>
          </cell>
          <cell r="CG15">
            <v>0.34225567909121668</v>
          </cell>
          <cell r="CH15">
            <v>0.34225567909121668</v>
          </cell>
          <cell r="CI15">
            <v>0</v>
          </cell>
          <cell r="CJ15">
            <v>0</v>
          </cell>
          <cell r="CK15">
            <v>6.9968717730231042E-2</v>
          </cell>
          <cell r="CM15"/>
        </row>
        <row r="16">
          <cell r="T16">
            <v>0.10768553160215309</v>
          </cell>
          <cell r="U16">
            <v>7221144.2614615466</v>
          </cell>
          <cell r="V16">
            <v>143357.72820950462</v>
          </cell>
          <cell r="W16">
            <v>7961.4213854608151</v>
          </cell>
          <cell r="X16">
            <v>7961.4213854608151</v>
          </cell>
          <cell r="Y16">
            <v>12418603.457647432</v>
          </cell>
          <cell r="Z16">
            <v>12418603.457647432</v>
          </cell>
          <cell r="AA16">
            <v>11857992.21584506</v>
          </cell>
          <cell r="AB16">
            <v>11857992.21584506</v>
          </cell>
          <cell r="AC16">
            <v>22480914.431785315</v>
          </cell>
          <cell r="AD16"/>
          <cell r="AE16">
            <v>10</v>
          </cell>
          <cell r="AF16">
            <v>86.851905245327529</v>
          </cell>
          <cell r="AG16">
            <v>263.96569882499864</v>
          </cell>
          <cell r="AH16">
            <v>263.96569882499864</v>
          </cell>
          <cell r="AI16">
            <v>2.5999999999999999E-3</v>
          </cell>
          <cell r="AJ16">
            <v>2.5999999999999999E-3</v>
          </cell>
          <cell r="AK16">
            <v>0.05</v>
          </cell>
          <cell r="AL16">
            <v>0.05</v>
          </cell>
          <cell r="AM16">
            <v>2174.295639847086</v>
          </cell>
          <cell r="AN16">
            <v>9.2961717963451346E-2</v>
          </cell>
          <cell r="AO16">
            <v>7575048.6640814515</v>
          </cell>
          <cell r="AP16">
            <v>164834.58092125441</v>
          </cell>
          <cell r="AQ16">
            <v>48509.318772309183</v>
          </cell>
          <cell r="AR16">
            <v>48509.318772309183</v>
          </cell>
          <cell r="AS16">
            <v>14279071.816602893</v>
          </cell>
          <cell r="AT16">
            <v>14279071.816602893</v>
          </cell>
          <cell r="AU16">
            <v>13634473.71745339</v>
          </cell>
          <cell r="AV16">
            <v>13634473.71745339</v>
          </cell>
          <cell r="AW16">
            <v>11778.339609932487</v>
          </cell>
          <cell r="AX16">
            <v>23431371.874793164</v>
          </cell>
          <cell r="AY16">
            <v>10</v>
          </cell>
          <cell r="AZ16">
            <v>1.0774632614021895</v>
          </cell>
          <cell r="BA16">
            <v>1.0490094630166376</v>
          </cell>
          <cell r="BD16">
            <v>10</v>
          </cell>
          <cell r="BE16">
            <v>123.00366464302118</v>
          </cell>
          <cell r="BF16">
            <v>4700.3328651944503</v>
          </cell>
          <cell r="BG16">
            <v>4700.3328651944503</v>
          </cell>
          <cell r="BH16">
            <v>9.8666666666666659E-3</v>
          </cell>
          <cell r="BI16">
            <v>9.8666666666666659E-3</v>
          </cell>
          <cell r="BJ16">
            <v>0.64107873858827646</v>
          </cell>
          <cell r="BK16">
            <v>213653328.8223522</v>
          </cell>
          <cell r="BL16"/>
          <cell r="BM16">
            <v>10</v>
          </cell>
          <cell r="BN16">
            <v>123.00366464302118</v>
          </cell>
          <cell r="BO16">
            <v>398.73144434445351</v>
          </cell>
          <cell r="BP16">
            <v>398.73144434445351</v>
          </cell>
          <cell r="BQ16">
            <v>9.8666666666666659E-3</v>
          </cell>
          <cell r="BR16">
            <v>9.8666666666666659E-3</v>
          </cell>
          <cell r="BS16">
            <v>3952.7685291170255</v>
          </cell>
          <cell r="BT16">
            <v>0.27951733704300219</v>
          </cell>
          <cell r="BU16">
            <v>116717073.56922182</v>
          </cell>
          <cell r="BX16">
            <v>10</v>
          </cell>
          <cell r="BY16">
            <v>3666466.9817766659</v>
          </cell>
          <cell r="BZ16">
            <v>5190583.7873855224</v>
          </cell>
          <cell r="CA16">
            <v>5190583.7873855224</v>
          </cell>
          <cell r="CB16">
            <v>32288.368989883322</v>
          </cell>
          <cell r="CC16">
            <v>32288.368989883322</v>
          </cell>
          <cell r="CD16">
            <v>1165072.6123383141</v>
          </cell>
          <cell r="CF16">
            <v>0.23999468780762215</v>
          </cell>
          <cell r="CG16">
            <v>0.33975828550602588</v>
          </cell>
          <cell r="CH16">
            <v>0.33975828550602588</v>
          </cell>
          <cell r="CI16">
            <v>2.1134888365445998E-3</v>
          </cell>
          <cell r="CJ16">
            <v>2.1134888365445998E-3</v>
          </cell>
          <cell r="CK16">
            <v>7.6261763507236818E-2</v>
          </cell>
          <cell r="CM16"/>
        </row>
        <row r="17">
          <cell r="T17">
            <v>0.14002697844193779</v>
          </cell>
          <cell r="U17">
            <v>8797627.9603974465</v>
          </cell>
          <cell r="V17">
            <v>169719.21315463653</v>
          </cell>
          <cell r="W17">
            <v>9247.3163913289754</v>
          </cell>
          <cell r="X17">
            <v>9247.3163913289754</v>
          </cell>
          <cell r="Y17">
            <v>15204096.73474941</v>
          </cell>
          <cell r="Z17">
            <v>15204096.73474941</v>
          </cell>
          <cell r="AA17">
            <v>14520652.963303547</v>
          </cell>
          <cell r="AB17">
            <v>14520652.963303547</v>
          </cell>
          <cell r="AC17">
            <v>26748142.319392182</v>
          </cell>
          <cell r="AD17"/>
          <cell r="AE17">
            <v>11</v>
          </cell>
          <cell r="AF17">
            <v>89.835450272586158</v>
          </cell>
          <cell r="AG17">
            <v>271.07299869444296</v>
          </cell>
          <cell r="AH17">
            <v>271.07299869444296</v>
          </cell>
          <cell r="AI17">
            <v>2.808795527378307E-3</v>
          </cell>
          <cell r="AJ17">
            <v>2.808795527378307E-3</v>
          </cell>
          <cell r="AK17">
            <v>5.0008010809663182E-2</v>
          </cell>
          <cell r="AL17">
            <v>5.0008010809663182E-2</v>
          </cell>
          <cell r="AM17">
            <v>2304.7729331634296</v>
          </cell>
          <cell r="AN17">
            <v>0.10273782106840193</v>
          </cell>
          <cell r="AO17">
            <v>9455240.6909177732</v>
          </cell>
          <cell r="AP17">
            <v>197936.07213818733</v>
          </cell>
          <cell r="AQ17">
            <v>58672.072617988008</v>
          </cell>
          <cell r="AR17">
            <v>58672.072617988008</v>
          </cell>
          <cell r="AS17">
            <v>17731870.965860195</v>
          </cell>
          <cell r="AT17">
            <v>17731870.965860195</v>
          </cell>
          <cell r="AU17">
            <v>16934800.480245546</v>
          </cell>
          <cell r="AV17">
            <v>16934800.480245546</v>
          </cell>
          <cell r="AW17">
            <v>13801.285528241977</v>
          </cell>
          <cell r="AX17">
            <v>28845323.630537905</v>
          </cell>
          <cell r="AY17">
            <v>11</v>
          </cell>
          <cell r="AZ17">
            <v>1.1486632170926159</v>
          </cell>
          <cell r="BA17">
            <v>1.0747488679312847</v>
          </cell>
          <cell r="BD17">
            <v>11</v>
          </cell>
          <cell r="BE17">
            <v>125.53122145943171</v>
          </cell>
          <cell r="BF17">
            <v>4935.9469010805024</v>
          </cell>
          <cell r="BG17">
            <v>4935.9469010805024</v>
          </cell>
          <cell r="BH17">
            <v>1.0524939311670457E-2</v>
          </cell>
          <cell r="BI17">
            <v>1.0524939311670457E-2</v>
          </cell>
          <cell r="BJ17">
            <v>0.6974963571320465</v>
          </cell>
          <cell r="BK17">
            <v>258845444.49986592</v>
          </cell>
          <cell r="BL17"/>
          <cell r="BM17">
            <v>11</v>
          </cell>
          <cell r="BN17">
            <v>125.53122145943171</v>
          </cell>
          <cell r="BO17">
            <v>405.87071881020995</v>
          </cell>
          <cell r="BP17">
            <v>405.87071881020995</v>
          </cell>
          <cell r="BQ17">
            <v>1.0524939311670457E-2</v>
          </cell>
          <cell r="BR17">
            <v>1.0524939311670457E-2</v>
          </cell>
          <cell r="BS17">
            <v>4033.9698610898772</v>
          </cell>
          <cell r="BT17">
            <v>0.29196315721746852</v>
          </cell>
          <cell r="BU17">
            <v>131884827.74795298</v>
          </cell>
          <cell r="BX17">
            <v>11</v>
          </cell>
          <cell r="BY17">
            <v>4172831.8962144288</v>
          </cell>
          <cell r="BZ17">
            <v>5975478.6694447901</v>
          </cell>
          <cell r="CA17">
            <v>5975478.6694447901</v>
          </cell>
          <cell r="CB17">
            <v>35462.916385926124</v>
          </cell>
          <cell r="CC17">
            <v>35462.916385926124</v>
          </cell>
          <cell r="CD17">
            <v>2030146.2352239317</v>
          </cell>
          <cell r="CF17">
            <v>0.22896371208623073</v>
          </cell>
          <cell r="CG17">
            <v>0.32787512453817386</v>
          </cell>
          <cell r="CH17">
            <v>0.32787512453817386</v>
          </cell>
          <cell r="CI17">
            <v>1.9458538419655563E-3</v>
          </cell>
          <cell r="CJ17">
            <v>1.9458538419655563E-3</v>
          </cell>
          <cell r="CK17">
            <v>0.11139433115349044</v>
          </cell>
          <cell r="CM17"/>
        </row>
        <row r="18">
          <cell r="T18">
            <v>0.17236842528172247</v>
          </cell>
          <cell r="U18">
            <v>10517230.970818844</v>
          </cell>
          <cell r="V18">
            <v>198511.44021475501</v>
          </cell>
          <cell r="W18">
            <v>10375.704015620508</v>
          </cell>
          <cell r="X18">
            <v>10375.704015620508</v>
          </cell>
          <cell r="Y18">
            <v>18012007.334449627</v>
          </cell>
          <cell r="Z18">
            <v>18012007.334449627</v>
          </cell>
          <cell r="AA18">
            <v>17206042.450186461</v>
          </cell>
          <cell r="AB18">
            <v>17206042.450186461</v>
          </cell>
          <cell r="AC18">
            <v>30820738.164905444</v>
          </cell>
          <cell r="AD18"/>
          <cell r="AE18">
            <v>12</v>
          </cell>
          <cell r="AF18">
            <v>91.010523699088921</v>
          </cell>
          <cell r="AG18">
            <v>276.21936672560975</v>
          </cell>
          <cell r="AH18">
            <v>276.21936672560975</v>
          </cell>
          <cell r="AI18">
            <v>3.0325770327186475E-3</v>
          </cell>
          <cell r="AJ18">
            <v>3.0325770327186475E-3</v>
          </cell>
          <cell r="AK18">
            <v>5.0016596582873614E-2</v>
          </cell>
          <cell r="AL18">
            <v>5.0016596582873614E-2</v>
          </cell>
          <cell r="AM18">
            <v>2384.2132297048984</v>
          </cell>
          <cell r="AN18">
            <v>0.1125139241733525</v>
          </cell>
          <cell r="AO18">
            <v>10838105.179257434</v>
          </cell>
          <cell r="AP18">
            <v>225884.37015628221</v>
          </cell>
          <cell r="AQ18">
            <v>66568.483450726228</v>
          </cell>
          <cell r="AR18">
            <v>66568.483450726228</v>
          </cell>
          <cell r="AS18">
            <v>20495700.034168981</v>
          </cell>
          <cell r="AT18">
            <v>20495700.034168981</v>
          </cell>
          <cell r="AU18">
            <v>19578599.890958529</v>
          </cell>
          <cell r="AV18">
            <v>19578599.890958529</v>
          </cell>
          <cell r="AW18">
            <v>15424.379089549562</v>
          </cell>
          <cell r="AX18">
            <v>33055773.85255032</v>
          </cell>
          <cell r="AY18">
            <v>12</v>
          </cell>
          <cell r="AZ18">
            <v>1.1443773823366119</v>
          </cell>
          <cell r="BA18">
            <v>1.0305093811602017</v>
          </cell>
          <cell r="BD18">
            <v>12</v>
          </cell>
          <cell r="BE18">
            <v>127.88152156244992</v>
          </cell>
          <cell r="BF18">
            <v>5153.596617502888</v>
          </cell>
          <cell r="BG18">
            <v>5153.596617502888</v>
          </cell>
          <cell r="BH18">
            <v>1.0852631578947369E-2</v>
          </cell>
          <cell r="BI18">
            <v>1.0852631578947369E-2</v>
          </cell>
          <cell r="BJ18">
            <v>0.75576633287876938</v>
          </cell>
          <cell r="BK18">
            <v>308901754.60637355</v>
          </cell>
          <cell r="BL18"/>
          <cell r="BM18">
            <v>12</v>
          </cell>
          <cell r="BN18">
            <v>127.88152156244992</v>
          </cell>
          <cell r="BO18">
            <v>412.50095325646106</v>
          </cell>
          <cell r="BP18">
            <v>412.50095325646106</v>
          </cell>
          <cell r="BQ18">
            <v>1.0852631578947369E-2</v>
          </cell>
          <cell r="BR18">
            <v>1.0852631578947369E-2</v>
          </cell>
          <cell r="BS18">
            <v>4109.2941285159368</v>
          </cell>
          <cell r="BT18">
            <v>0.30415536905087143</v>
          </cell>
          <cell r="BU18">
            <v>147499121.16657329</v>
          </cell>
          <cell r="BX18">
            <v>12</v>
          </cell>
          <cell r="BY18">
            <v>4406097.4144675797</v>
          </cell>
          <cell r="BZ18">
            <v>6934842.5056416132</v>
          </cell>
          <cell r="CA18">
            <v>6934842.5056416132</v>
          </cell>
          <cell r="CB18">
            <v>39493.670501430519</v>
          </cell>
          <cell r="CC18">
            <v>39493.670501430519</v>
          </cell>
          <cell r="CD18">
            <v>3026933.5001471443</v>
          </cell>
          <cell r="CF18">
            <v>0.20606858861839519</v>
          </cell>
          <cell r="CG18">
            <v>0.32433536370214483</v>
          </cell>
          <cell r="CH18">
            <v>0.32433536370214483</v>
          </cell>
          <cell r="CI18">
            <v>1.8470778500872425E-3</v>
          </cell>
          <cell r="CJ18">
            <v>1.8470778500872425E-3</v>
          </cell>
          <cell r="CK18">
            <v>0.14156652827714064</v>
          </cell>
          <cell r="CM18"/>
        </row>
        <row r="19">
          <cell r="T19">
            <v>0.20470987212150718</v>
          </cell>
          <cell r="U19">
            <v>12481456.510066772</v>
          </cell>
          <cell r="V19">
            <v>230800.64173897213</v>
          </cell>
          <cell r="W19">
            <v>11603.000332118543</v>
          </cell>
          <cell r="X19">
            <v>11603.000332118543</v>
          </cell>
          <cell r="Y19">
            <v>21207096.446756989</v>
          </cell>
          <cell r="Z19">
            <v>21207096.446756989</v>
          </cell>
          <cell r="AA19">
            <v>20262830.688839495</v>
          </cell>
          <cell r="AB19">
            <v>20262830.688839495</v>
          </cell>
          <cell r="AC19">
            <v>35322189.131244972</v>
          </cell>
          <cell r="AD19"/>
          <cell r="AE19">
            <v>13</v>
          </cell>
          <cell r="AF19">
            <v>92.185597125591713</v>
          </cell>
          <cell r="AG19">
            <v>281.41852595302555</v>
          </cell>
          <cell r="AH19">
            <v>281.41852595302555</v>
          </cell>
          <cell r="AI19">
            <v>3.2724201115488473E-3</v>
          </cell>
          <cell r="AJ19">
            <v>3.2724201115488473E-3</v>
          </cell>
          <cell r="AK19">
            <v>5.0025798586755904E-2</v>
          </cell>
          <cell r="AL19">
            <v>5.0025798586755904E-2</v>
          </cell>
          <cell r="AM19">
            <v>2464.3190924164546</v>
          </cell>
          <cell r="AN19">
            <v>0.1222900272783031</v>
          </cell>
          <cell r="AO19">
            <v>12394819.715018684</v>
          </cell>
          <cell r="AP19">
            <v>256992.22439766748</v>
          </cell>
          <cell r="AQ19">
            <v>75296.599997705343</v>
          </cell>
          <cell r="AR19">
            <v>75296.599997705343</v>
          </cell>
          <cell r="AS19">
            <v>23613707.690777499</v>
          </cell>
          <cell r="AT19">
            <v>23613707.690777499</v>
          </cell>
          <cell r="AU19">
            <v>22562285.321578816</v>
          </cell>
          <cell r="AV19">
            <v>22562285.321578816</v>
          </cell>
          <cell r="AW19">
            <v>17197.333126085174</v>
          </cell>
          <cell r="AX19">
            <v>37761822.105854295</v>
          </cell>
          <cell r="AY19">
            <v>13</v>
          </cell>
          <cell r="AZ19">
            <v>1.1442730705753019</v>
          </cell>
          <cell r="BA19">
            <v>0.99305875920985565</v>
          </cell>
          <cell r="BD19">
            <v>13</v>
          </cell>
          <cell r="BE19">
            <v>129.99187178525381</v>
          </cell>
          <cell r="BF19">
            <v>5353.9479679366787</v>
          </cell>
          <cell r="BG19">
            <v>5353.9479679366787</v>
          </cell>
          <cell r="BH19">
            <v>1.1133333333333334E-2</v>
          </cell>
          <cell r="BI19">
            <v>1.1133333333333334E-2</v>
          </cell>
          <cell r="BJ19">
            <v>0.80940512700402267</v>
          </cell>
          <cell r="BK19">
            <v>361941874.91543847</v>
          </cell>
          <cell r="BL19"/>
          <cell r="BM19">
            <v>13</v>
          </cell>
          <cell r="BN19">
            <v>129.99187178525381</v>
          </cell>
          <cell r="BO19">
            <v>418.65828372060815</v>
          </cell>
          <cell r="BP19">
            <v>418.65828372060815</v>
          </cell>
          <cell r="BQ19">
            <v>1.1133333333333334E-2</v>
          </cell>
          <cell r="BR19">
            <v>1.1133333333333334E-2</v>
          </cell>
          <cell r="BS19">
            <v>4177.9620613255001</v>
          </cell>
          <cell r="BT19">
            <v>0.31537856816984761</v>
          </cell>
          <cell r="BU19">
            <v>163275664.12059039</v>
          </cell>
          <cell r="BX19">
            <v>13</v>
          </cell>
          <cell r="BY19">
            <v>4677305.1153948372</v>
          </cell>
          <cell r="BZ19">
            <v>8007685.2634203508</v>
          </cell>
          <cell r="CA19">
            <v>8007685.2634203508</v>
          </cell>
          <cell r="CB19">
            <v>44580.045806269707</v>
          </cell>
          <cell r="CC19">
            <v>44580.045806269707</v>
          </cell>
          <cell r="CD19">
            <v>4169304.202200125</v>
          </cell>
          <cell r="CF19">
            <v>0.18745857413261074</v>
          </cell>
          <cell r="CG19">
            <v>0.32093464602998889</v>
          </cell>
          <cell r="CH19">
            <v>0.32093464602998889</v>
          </cell>
          <cell r="CI19">
            <v>1.7866937510884063E-3</v>
          </cell>
          <cell r="CJ19">
            <v>1.7866937510884063E-3</v>
          </cell>
          <cell r="CK19">
            <v>0.16709874630523452</v>
          </cell>
          <cell r="CM19"/>
        </row>
        <row r="20">
          <cell r="T20">
            <v>0.23705131896129186</v>
          </cell>
          <cell r="U20">
            <v>14714193.980291622</v>
          </cell>
          <cell r="V20">
            <v>266692.44349535822</v>
          </cell>
          <cell r="W20">
            <v>12926.481204915661</v>
          </cell>
          <cell r="X20">
            <v>12926.481204915661</v>
          </cell>
          <cell r="Y20">
            <v>24811015.433723502</v>
          </cell>
          <cell r="Z20">
            <v>24811015.433723502</v>
          </cell>
          <cell r="AA20">
            <v>23712133.101268105</v>
          </cell>
          <cell r="AB20">
            <v>23712133.101268105</v>
          </cell>
          <cell r="AC20">
            <v>40254733.129114911</v>
          </cell>
          <cell r="AD20"/>
          <cell r="AE20">
            <v>14</v>
          </cell>
          <cell r="AF20">
            <v>93.360670552094476</v>
          </cell>
          <cell r="AG20">
            <v>286.67047637669037</v>
          </cell>
          <cell r="AH20">
            <v>286.67047637669037</v>
          </cell>
          <cell r="AI20">
            <v>3.5294775586120555E-3</v>
          </cell>
          <cell r="AJ20">
            <v>3.5294775586120555E-3</v>
          </cell>
          <cell r="AK20">
            <v>5.0035661050319105E-2</v>
          </cell>
          <cell r="AL20">
            <v>5.0035661050319105E-2</v>
          </cell>
          <cell r="AM20">
            <v>2540.9487920387801</v>
          </cell>
          <cell r="AN20">
            <v>0.13206613038325368</v>
          </cell>
          <cell r="AO20">
            <v>14098200.394878302</v>
          </cell>
          <cell r="AP20">
            <v>290794.42953655095</v>
          </cell>
          <cell r="AQ20">
            <v>84705.589767751691</v>
          </cell>
          <cell r="AR20">
            <v>84705.589767751691</v>
          </cell>
          <cell r="AS20">
            <v>27053278.99325262</v>
          </cell>
          <cell r="AT20">
            <v>27053278.99325262</v>
          </cell>
          <cell r="AU20">
            <v>25855086.585526142</v>
          </cell>
          <cell r="AV20">
            <v>25855086.585526142</v>
          </cell>
          <cell r="AW20">
            <v>19113.011522759793</v>
          </cell>
          <cell r="AX20">
            <v>42899599.44702024</v>
          </cell>
          <cell r="AY20">
            <v>14</v>
          </cell>
          <cell r="AZ20">
            <v>1.1440869747431868</v>
          </cell>
          <cell r="BA20">
            <v>0.95813609727869642</v>
          </cell>
          <cell r="BD20">
            <v>14</v>
          </cell>
          <cell r="BE20">
            <v>131.96086091710032</v>
          </cell>
          <cell r="BF20">
            <v>5540.8788513948584</v>
          </cell>
          <cell r="BG20">
            <v>5540.8788513948584</v>
          </cell>
          <cell r="BH20">
            <v>1.1414035087719298E-2</v>
          </cell>
          <cell r="BI20">
            <v>1.1414035087719298E-2</v>
          </cell>
          <cell r="BJ20">
            <v>0.859450944772436</v>
          </cell>
          <cell r="BK20">
            <v>417547037.89113712</v>
          </cell>
          <cell r="BL20"/>
          <cell r="BM20">
            <v>14</v>
          </cell>
          <cell r="BN20">
            <v>131.96086091710032</v>
          </cell>
          <cell r="BO20">
            <v>424.44385014447164</v>
          </cell>
          <cell r="BP20">
            <v>424.44385014447164</v>
          </cell>
          <cell r="BQ20">
            <v>1.1414035087719298E-2</v>
          </cell>
          <cell r="BR20">
            <v>1.1414035087719298E-2</v>
          </cell>
          <cell r="BS20">
            <v>4241.9537398023867</v>
          </cell>
          <cell r="BT20">
            <v>0.32584998511809804</v>
          </cell>
          <cell r="BU20">
            <v>179271758.66394365</v>
          </cell>
          <cell r="BX20">
            <v>14</v>
          </cell>
          <cell r="BY20">
            <v>4990688.3187953224</v>
          </cell>
          <cell r="BZ20">
            <v>9202900.4101327173</v>
          </cell>
          <cell r="CA20">
            <v>9202900.4101327173</v>
          </cell>
          <cell r="CB20">
            <v>50957.902092708529</v>
          </cell>
          <cell r="CC20">
            <v>50957.902092708529</v>
          </cell>
          <cell r="CD20">
            <v>5471200.5137451142</v>
          </cell>
          <cell r="CF20">
            <v>0.17227325812926836</v>
          </cell>
          <cell r="CG20">
            <v>0.31767434402223671</v>
          </cell>
          <cell r="CH20">
            <v>0.31767434402223671</v>
          </cell>
          <cell r="CI20">
            <v>1.7590126371710994E-3</v>
          </cell>
          <cell r="CJ20">
            <v>1.7590126371710994E-3</v>
          </cell>
          <cell r="CK20">
            <v>0.18886002855191591</v>
          </cell>
          <cell r="CM20"/>
        </row>
        <row r="21">
          <cell r="T21">
            <v>0.26939276580107657</v>
          </cell>
          <cell r="U21">
            <v>17240810.07019189</v>
          </cell>
          <cell r="V21">
            <v>306468.38970361202</v>
          </cell>
          <cell r="W21">
            <v>14352.406097618456</v>
          </cell>
          <cell r="X21">
            <v>14352.406097618456</v>
          </cell>
          <cell r="Y21">
            <v>28862396.244414091</v>
          </cell>
          <cell r="Z21">
            <v>28862396.244414091</v>
          </cell>
          <cell r="AA21">
            <v>27591372.989891283</v>
          </cell>
          <cell r="AB21">
            <v>27591372.989891283</v>
          </cell>
          <cell r="AC21">
            <v>45647364.640951172</v>
          </cell>
          <cell r="AD21"/>
          <cell r="AE21">
            <v>15</v>
          </cell>
          <cell r="AF21">
            <v>94.535743978597253</v>
          </cell>
          <cell r="AG21">
            <v>291.78375432272264</v>
          </cell>
          <cell r="AH21">
            <v>291.78375432272264</v>
          </cell>
          <cell r="AI21">
            <v>3.8049849087217302E-3</v>
          </cell>
          <cell r="AJ21">
            <v>3.8049849087217302E-3</v>
          </cell>
          <cell r="AK21">
            <v>5.0046231377041367E-2</v>
          </cell>
          <cell r="AL21">
            <v>5.0046231377041367E-2</v>
          </cell>
          <cell r="AM21">
            <v>2616.6658834916134</v>
          </cell>
          <cell r="AN21">
            <v>0.14184223348820424</v>
          </cell>
          <cell r="AO21">
            <v>15965133.112426175</v>
          </cell>
          <cell r="AP21">
            <v>327555.18799635861</v>
          </cell>
          <cell r="AQ21">
            <v>94921.461042531591</v>
          </cell>
          <cell r="AR21">
            <v>94921.461042531591</v>
          </cell>
          <cell r="AS21">
            <v>30848296.090202045</v>
          </cell>
          <cell r="AT21">
            <v>30848296.090202045</v>
          </cell>
          <cell r="AU21">
            <v>29489819.082228743</v>
          </cell>
          <cell r="AV21">
            <v>29489819.082228743</v>
          </cell>
          <cell r="AW21">
            <v>21169.336477785502</v>
          </cell>
          <cell r="AX21">
            <v>48512026.366686389</v>
          </cell>
          <cell r="AY21">
            <v>15</v>
          </cell>
          <cell r="AZ21">
            <v>1.1444444297946441</v>
          </cell>
          <cell r="BA21">
            <v>0.92600829354467118</v>
          </cell>
          <cell r="BD21">
            <v>15</v>
          </cell>
          <cell r="BE21">
            <v>133.80682804357778</v>
          </cell>
          <cell r="BF21">
            <v>5716.1303346082695</v>
          </cell>
          <cell r="BG21">
            <v>5716.1303346082695</v>
          </cell>
          <cell r="BH21">
            <v>1.1694736842105263E-2</v>
          </cell>
          <cell r="BI21">
            <v>1.1694736842105263E-2</v>
          </cell>
          <cell r="BJ21">
            <v>0.90636991091804231</v>
          </cell>
          <cell r="BK21">
            <v>475501254.62636805</v>
          </cell>
          <cell r="BL21"/>
          <cell r="BM21">
            <v>15</v>
          </cell>
          <cell r="BN21">
            <v>133.80682804357778</v>
          </cell>
          <cell r="BO21">
            <v>429.88556816836683</v>
          </cell>
          <cell r="BP21">
            <v>429.88556816836683</v>
          </cell>
          <cell r="BQ21">
            <v>1.1694736842105263E-2</v>
          </cell>
          <cell r="BR21">
            <v>1.1694736842105263E-2</v>
          </cell>
          <cell r="BS21">
            <v>4302.7796402772656</v>
          </cell>
          <cell r="BT21">
            <v>0.33566715025195631</v>
          </cell>
          <cell r="BU21">
            <v>195534542.81828371</v>
          </cell>
          <cell r="BX21">
            <v>15</v>
          </cell>
          <cell r="BY21">
            <v>5350811.1795991343</v>
          </cell>
          <cell r="BZ21">
            <v>10529960.178967346</v>
          </cell>
          <cell r="CA21">
            <v>10529960.178967346</v>
          </cell>
          <cell r="CB21">
            <v>58909.704399822484</v>
          </cell>
          <cell r="CC21">
            <v>58909.704399822484</v>
          </cell>
          <cell r="CD21">
            <v>6947502.3306567045</v>
          </cell>
          <cell r="CF21">
            <v>0.15983996486458646</v>
          </cell>
          <cell r="CG21">
            <v>0.31455201997199389</v>
          </cell>
          <cell r="CH21">
            <v>0.31455201997199389</v>
          </cell>
          <cell r="CI21">
            <v>1.7597565612764204E-3</v>
          </cell>
          <cell r="CJ21">
            <v>1.7597565612764204E-3</v>
          </cell>
          <cell r="CK21">
            <v>0.20753648206887285</v>
          </cell>
          <cell r="CM21"/>
        </row>
        <row r="22">
          <cell r="T22">
            <v>0.30173421264086131</v>
          </cell>
          <cell r="U22">
            <v>20088205.943401102</v>
          </cell>
          <cell r="V22">
            <v>350391.78607296222</v>
          </cell>
          <cell r="W22">
            <v>15885.737825888929</v>
          </cell>
          <cell r="X22">
            <v>15885.737825888929</v>
          </cell>
          <cell r="Y22">
            <v>33399338.074213088</v>
          </cell>
          <cell r="Z22">
            <v>33399338.074213088</v>
          </cell>
          <cell r="AA22">
            <v>31937567.541699924</v>
          </cell>
          <cell r="AB22">
            <v>31937567.541699924</v>
          </cell>
          <cell r="AC22">
            <v>51525547.890517905</v>
          </cell>
          <cell r="AD22"/>
          <cell r="AE22">
            <v>16</v>
          </cell>
          <cell r="AF22">
            <v>95.71081740510003</v>
          </cell>
          <cell r="AG22">
            <v>296.76896897086817</v>
          </cell>
          <cell r="AH22">
            <v>296.76896897086817</v>
          </cell>
          <cell r="AI22">
            <v>4.1002663753029753E-3</v>
          </cell>
          <cell r="AJ22">
            <v>4.1002663753029753E-3</v>
          </cell>
          <cell r="AK22">
            <v>5.0057560372712633E-2</v>
          </cell>
          <cell r="AL22">
            <v>5.0057560372712633E-2</v>
          </cell>
          <cell r="AM22">
            <v>2691.4845624513546</v>
          </cell>
          <cell r="AN22">
            <v>0.15161833659315485</v>
          </cell>
          <cell r="AO22">
            <v>18005670.674652364</v>
          </cell>
          <cell r="AP22">
            <v>367423.04993295152</v>
          </cell>
          <cell r="AQ22">
            <v>105987.32440727326</v>
          </cell>
          <cell r="AR22">
            <v>105987.32440727326</v>
          </cell>
          <cell r="AS22">
            <v>35022757.806353904</v>
          </cell>
          <cell r="AT22">
            <v>35022757.806353904</v>
          </cell>
          <cell r="AU22">
            <v>33489935.951773494</v>
          </cell>
          <cell r="AV22">
            <v>33489935.951773494</v>
          </cell>
          <cell r="AW22">
            <v>23372.787960321737</v>
          </cell>
          <cell r="AX22">
            <v>54625300.742218792</v>
          </cell>
          <cell r="AY22">
            <v>16</v>
          </cell>
          <cell r="AZ22">
            <v>1.1452377273575545</v>
          </cell>
          <cell r="BA22">
            <v>0.89633045008517331</v>
          </cell>
          <cell r="BD22">
            <v>16</v>
          </cell>
          <cell r="BE22">
            <v>135.29380634655374</v>
          </cell>
          <cell r="BF22">
            <v>5841.6087090129031</v>
          </cell>
          <cell r="BG22">
            <v>5841.6087090129031</v>
          </cell>
          <cell r="BH22">
            <v>1.1975438596491229E-2</v>
          </cell>
          <cell r="BI22">
            <v>1.1975438596491229E-2</v>
          </cell>
          <cell r="BJ22">
            <v>0.91467360791217101</v>
          </cell>
          <cell r="BK22">
            <v>508773771.62082505</v>
          </cell>
          <cell r="BL22"/>
          <cell r="BM22">
            <v>16</v>
          </cell>
          <cell r="BN22">
            <v>135.29380634655374</v>
          </cell>
          <cell r="BO22">
            <v>434.95756862623881</v>
          </cell>
          <cell r="BP22">
            <v>434.95756862623881</v>
          </cell>
          <cell r="BQ22">
            <v>1.1975438596491229E-2</v>
          </cell>
          <cell r="BR22">
            <v>1.1975438596491229E-2</v>
          </cell>
          <cell r="BS22">
            <v>4357.8849764284723</v>
          </cell>
          <cell r="BT22">
            <v>0.34244331332840428</v>
          </cell>
          <cell r="BU22">
            <v>210687440.03442344</v>
          </cell>
          <cell r="BX22">
            <v>16</v>
          </cell>
          <cell r="BY22">
            <v>5762547.2562783184</v>
          </cell>
          <cell r="BZ22">
            <v>11998795.677601252</v>
          </cell>
          <cell r="CA22">
            <v>11998795.677601252</v>
          </cell>
          <cell r="CB22">
            <v>68771.909929218935</v>
          </cell>
          <cell r="CC22">
            <v>68771.909929218935</v>
          </cell>
          <cell r="CD22">
            <v>8613913.0986486711</v>
          </cell>
          <cell r="CF22">
            <v>0.14963148571165222</v>
          </cell>
          <cell r="CG22">
            <v>0.31156319317536757</v>
          </cell>
          <cell r="CH22">
            <v>0.31156319317536757</v>
          </cell>
          <cell r="CI22">
            <v>1.785745539305639E-3</v>
          </cell>
          <cell r="CJ22">
            <v>1.785745539305639E-3</v>
          </cell>
          <cell r="CK22">
            <v>0.22367063685900138</v>
          </cell>
          <cell r="CM22"/>
        </row>
        <row r="23">
          <cell r="T23">
            <v>0.33407565948064588</v>
          </cell>
          <cell r="U23">
            <v>23284040.306493517</v>
          </cell>
          <cell r="V23">
            <v>398724.09356771805</v>
          </cell>
          <cell r="W23">
            <v>17531.086768968824</v>
          </cell>
          <cell r="X23">
            <v>17531.086768968824</v>
          </cell>
          <cell r="Y23">
            <v>38461558.932546571</v>
          </cell>
          <cell r="Z23">
            <v>38461558.932546571</v>
          </cell>
          <cell r="AA23">
            <v>36788737.842584506</v>
          </cell>
          <cell r="AB23">
            <v>36788737.842584506</v>
          </cell>
          <cell r="AC23">
            <v>57913865.269636378</v>
          </cell>
          <cell r="AD23"/>
          <cell r="AE23">
            <v>17</v>
          </cell>
          <cell r="AF23">
            <v>96.885890831602794</v>
          </cell>
          <cell r="AG23">
            <v>301.80030561768223</v>
          </cell>
          <cell r="AH23">
            <v>301.80030561768223</v>
          </cell>
          <cell r="AI23">
            <v>4.3986794472332556E-3</v>
          </cell>
          <cell r="AJ23">
            <v>4.3986794472332556E-3</v>
          </cell>
          <cell r="AK23">
            <v>5.0069702489630281E-2</v>
          </cell>
          <cell r="AL23">
            <v>5.0069702489630281E-2</v>
          </cell>
          <cell r="AM23">
            <v>2763.9606019664152</v>
          </cell>
          <cell r="AN23">
            <v>0.16139443969810541</v>
          </cell>
          <cell r="AO23">
            <v>20230265.686704352</v>
          </cell>
          <cell r="AP23">
            <v>410547.44972355163</v>
          </cell>
          <cell r="AQ23">
            <v>117882.46638361963</v>
          </cell>
          <cell r="AR23">
            <v>117882.46638361963</v>
          </cell>
          <cell r="AS23">
            <v>39602058.633728653</v>
          </cell>
          <cell r="AT23">
            <v>39602058.633728653</v>
          </cell>
          <cell r="AU23">
            <v>37879633.419384137</v>
          </cell>
          <cell r="AV23">
            <v>37879633.419384137</v>
          </cell>
          <cell r="AW23">
            <v>25743.467078533162</v>
          </cell>
          <cell r="AX23">
            <v>61265945.772549897</v>
          </cell>
          <cell r="AY23">
            <v>17</v>
          </cell>
          <cell r="AZ23">
            <v>1.1464224443610849</v>
          </cell>
          <cell r="BA23">
            <v>0.86884687624692358</v>
          </cell>
          <cell r="BD23">
            <v>17</v>
          </cell>
          <cell r="BE23">
            <v>136.69598115906493</v>
          </cell>
          <cell r="BF23">
            <v>5959.9309573960209</v>
          </cell>
          <cell r="BG23">
            <v>5959.9309573960209</v>
          </cell>
          <cell r="BH23">
            <v>1.2337951513322046E-2</v>
          </cell>
          <cell r="BI23">
            <v>1.2337951513322046E-2</v>
          </cell>
          <cell r="BJ23">
            <v>0.92250373882436398</v>
          </cell>
          <cell r="BK23">
            <v>541835978.03910518</v>
          </cell>
          <cell r="BL23"/>
          <cell r="BM23">
            <v>17</v>
          </cell>
          <cell r="BN23">
            <v>136.69598115906493</v>
          </cell>
          <cell r="BO23">
            <v>439.76884590615612</v>
          </cell>
          <cell r="BP23">
            <v>439.76884590615612</v>
          </cell>
          <cell r="BQ23">
            <v>1.2337951513322046E-2</v>
          </cell>
          <cell r="BR23">
            <v>1.2337951513322046E-2</v>
          </cell>
          <cell r="BS23">
            <v>4411.747212698795</v>
          </cell>
          <cell r="BT23">
            <v>0.34883302673057581</v>
          </cell>
          <cell r="BU23">
            <v>226160223.56030589</v>
          </cell>
          <cell r="BX23">
            <v>17</v>
          </cell>
          <cell r="BY23">
            <v>6231077.3431361448</v>
          </cell>
          <cell r="BZ23">
            <v>13619764.301037014</v>
          </cell>
          <cell r="CA23">
            <v>13619764.301037014</v>
          </cell>
          <cell r="CB23">
            <v>80249.341881507673</v>
          </cell>
          <cell r="CC23">
            <v>80249.341881507673</v>
          </cell>
          <cell r="CD23">
            <v>10486931.293553062</v>
          </cell>
          <cell r="CF23">
            <v>0.14123650821805095</v>
          </cell>
          <cell r="CG23">
            <v>0.30871193642786104</v>
          </cell>
          <cell r="CH23">
            <v>0.30871193642786104</v>
          </cell>
          <cell r="CI23">
            <v>1.8189690498106041E-3</v>
          </cell>
          <cell r="CJ23">
            <v>1.8189690498106041E-3</v>
          </cell>
          <cell r="CK23">
            <v>0.23770168082660575</v>
          </cell>
          <cell r="CM23"/>
        </row>
        <row r="24">
          <cell r="T24">
            <v>0.36641710632043062</v>
          </cell>
          <cell r="U24">
            <v>26858503.822276104</v>
          </cell>
          <cell r="V24">
            <v>451936.23549697135</v>
          </cell>
          <cell r="W24">
            <v>19301.801854809819</v>
          </cell>
          <cell r="X24">
            <v>19301.801854809819</v>
          </cell>
          <cell r="Y24">
            <v>44109564.49853301</v>
          </cell>
          <cell r="Z24">
            <v>44109564.49853301</v>
          </cell>
          <cell r="AA24">
            <v>42203630.587405831</v>
          </cell>
          <cell r="AB24">
            <v>42203630.587405831</v>
          </cell>
          <cell r="AC24">
            <v>64866434.752637953</v>
          </cell>
          <cell r="AD24"/>
          <cell r="AE24">
            <v>18</v>
          </cell>
          <cell r="AF24">
            <v>98.060964258105557</v>
          </cell>
          <cell r="AG24">
            <v>306.87776426316486</v>
          </cell>
          <cell r="AH24">
            <v>306.87776426316486</v>
          </cell>
          <cell r="AI24">
            <v>4.7096030042459948E-3</v>
          </cell>
          <cell r="AJ24">
            <v>4.7096030042459948E-3</v>
          </cell>
          <cell r="AK24">
            <v>5.0082716088321627E-2</v>
          </cell>
          <cell r="AL24">
            <v>5.0082716088321627E-2</v>
          </cell>
          <cell r="AM24">
            <v>2837.1072726902107</v>
          </cell>
          <cell r="AN24">
            <v>0.17117054280305599</v>
          </cell>
          <cell r="AO24">
            <v>22697442.270236578</v>
          </cell>
          <cell r="AP24">
            <v>457838.07225634041</v>
          </cell>
          <cell r="AQ24">
            <v>130854.19069182067</v>
          </cell>
          <cell r="AR24">
            <v>130854.19069182067</v>
          </cell>
          <cell r="AS24">
            <v>44685591.443818629</v>
          </cell>
          <cell r="AT24">
            <v>44685591.443818629</v>
          </cell>
          <cell r="AU24">
            <v>42754767.93558877</v>
          </cell>
          <cell r="AV24">
            <v>42754767.93558877</v>
          </cell>
          <cell r="AW24">
            <v>28307.876738051345</v>
          </cell>
          <cell r="AX24">
            <v>68574541.480291367</v>
          </cell>
          <cell r="AY24">
            <v>18</v>
          </cell>
          <cell r="AZ24">
            <v>1.1503272387602486</v>
          </cell>
          <cell r="BA24">
            <v>0.84507470782537053</v>
          </cell>
          <cell r="BD24">
            <v>18</v>
          </cell>
          <cell r="BE24">
            <v>138.01001230112868</v>
          </cell>
          <cell r="BF24">
            <v>6072.139021945678</v>
          </cell>
          <cell r="BG24">
            <v>6072.139021945678</v>
          </cell>
          <cell r="BH24">
            <v>1.2781818181818182E-2</v>
          </cell>
          <cell r="BI24">
            <v>1.2781818181818182E-2</v>
          </cell>
          <cell r="BJ24">
            <v>0.92992925555375161</v>
          </cell>
          <cell r="BK24">
            <v>574650750.55624378</v>
          </cell>
          <cell r="BL24"/>
          <cell r="BM24">
            <v>18</v>
          </cell>
          <cell r="BN24">
            <v>138.01001230112868</v>
          </cell>
          <cell r="BO24">
            <v>444.35596855624755</v>
          </cell>
          <cell r="BP24">
            <v>444.35596855624755</v>
          </cell>
          <cell r="BQ24">
            <v>1.2781818181818182E-2</v>
          </cell>
          <cell r="BR24">
            <v>1.2781818181818182E-2</v>
          </cell>
          <cell r="BS24">
            <v>4461.4498069171032</v>
          </cell>
          <cell r="BT24">
            <v>0.354892558083996</v>
          </cell>
          <cell r="BU24">
            <v>241571692.84141886</v>
          </cell>
          <cell r="BX24">
            <v>18</v>
          </cell>
          <cell r="BY24">
            <v>6762135.6039423309</v>
          </cell>
          <cell r="BZ24">
            <v>15404457.719918603</v>
          </cell>
          <cell r="CA24">
            <v>15404457.719918603</v>
          </cell>
          <cell r="CB24">
            <v>93964.0445736744</v>
          </cell>
          <cell r="CC24">
            <v>93964.0445736744</v>
          </cell>
          <cell r="CD24">
            <v>12584805.644791868</v>
          </cell>
          <cell r="CF24">
            <v>0.13431917432904508</v>
          </cell>
          <cell r="CG24">
            <v>0.30598529268177582</v>
          </cell>
          <cell r="CH24">
            <v>0.30598529268177582</v>
          </cell>
          <cell r="CI24">
            <v>1.8664477648740701E-3</v>
          </cell>
          <cell r="CJ24">
            <v>1.8664477648740701E-3</v>
          </cell>
          <cell r="CK24">
            <v>0.24997734477765515</v>
          </cell>
          <cell r="CM24"/>
        </row>
        <row r="25">
          <cell r="T25">
            <v>0.3987585531602153</v>
          </cell>
          <cell r="U25">
            <v>31155470.859502394</v>
          </cell>
          <cell r="V25">
            <v>510122.12777978124</v>
          </cell>
          <cell r="W25">
            <v>21408.666416312786</v>
          </cell>
          <cell r="X25">
            <v>21408.666416312786</v>
          </cell>
          <cell r="Y25">
            <v>50877635.553042784</v>
          </cell>
          <cell r="Z25">
            <v>50877635.553042784</v>
          </cell>
          <cell r="AA25">
            <v>48694758.519699246</v>
          </cell>
          <cell r="AB25">
            <v>48694758.519699246</v>
          </cell>
          <cell r="AC25">
            <v>73113695.49314256</v>
          </cell>
          <cell r="AD25"/>
          <cell r="AE25">
            <v>19</v>
          </cell>
          <cell r="AF25">
            <v>100.23914015383951</v>
          </cell>
          <cell r="AG25">
            <v>312.00134490731602</v>
          </cell>
          <cell r="AH25">
            <v>312.00134490731602</v>
          </cell>
          <cell r="AI25">
            <v>5.042842621529639E-3</v>
          </cell>
          <cell r="AJ25">
            <v>5.042842621529639E-3</v>
          </cell>
          <cell r="AK25">
            <v>5.0096663718051111E-2</v>
          </cell>
          <cell r="AL25">
            <v>5.0096663718051111E-2</v>
          </cell>
          <cell r="AM25">
            <v>2907.2441911687642</v>
          </cell>
          <cell r="AN25">
            <v>0.18094664590800658</v>
          </cell>
          <cell r="AO25">
            <v>25623092.535226405</v>
          </cell>
          <cell r="AP25">
            <v>508627.57177347096</v>
          </cell>
          <cell r="AQ25">
            <v>146159.06592121563</v>
          </cell>
          <cell r="AR25">
            <v>146159.06592121563</v>
          </cell>
          <cell r="AS25">
            <v>50728574.236817166</v>
          </cell>
          <cell r="AT25">
            <v>50728574.236817166</v>
          </cell>
          <cell r="AU25">
            <v>48552092.597446091</v>
          </cell>
          <cell r="AV25">
            <v>48552092.597446091</v>
          </cell>
          <cell r="AW25">
            <v>31371.169491946654</v>
          </cell>
          <cell r="AX25">
            <v>77229272.458374247</v>
          </cell>
          <cell r="AY25">
            <v>19</v>
          </cell>
          <cell r="AZ25">
            <v>1.1537778098018132</v>
          </cell>
          <cell r="BA25">
            <v>0.82242674651830472</v>
          </cell>
          <cell r="BD25">
            <v>19</v>
          </cell>
          <cell r="BE25">
            <v>139.28755244913904</v>
          </cell>
          <cell r="BF25">
            <v>6179.2753293238929</v>
          </cell>
          <cell r="BG25">
            <v>6179.2753293238929</v>
          </cell>
          <cell r="BH25">
            <v>1.3265964081001178E-2</v>
          </cell>
          <cell r="BI25">
            <v>1.3265964081001178E-2</v>
          </cell>
          <cell r="BJ25">
            <v>0.93696099798081389</v>
          </cell>
          <cell r="BK25">
            <v>607369768.62646687</v>
          </cell>
          <cell r="BL25"/>
          <cell r="BM25">
            <v>19</v>
          </cell>
          <cell r="BN25">
            <v>139.28755244913904</v>
          </cell>
          <cell r="BO25">
            <v>448.75226208588208</v>
          </cell>
          <cell r="BP25">
            <v>448.75226208588208</v>
          </cell>
          <cell r="BQ25">
            <v>1.3265964081001178E-2</v>
          </cell>
          <cell r="BR25">
            <v>1.3265964081001178E-2</v>
          </cell>
          <cell r="BS25">
            <v>4508.4378410623449</v>
          </cell>
          <cell r="BT25">
            <v>0.36067366772587478</v>
          </cell>
          <cell r="BU25">
            <v>257083546.57550165</v>
          </cell>
          <cell r="BX25">
            <v>19</v>
          </cell>
          <cell r="BY25">
            <v>7873271.3265527682</v>
          </cell>
          <cell r="BZ25">
            <v>17383957.164977092</v>
          </cell>
          <cell r="CA25">
            <v>17383957.164977092</v>
          </cell>
          <cell r="CB25">
            <v>110918.48837366712</v>
          </cell>
          <cell r="CC25">
            <v>110918.48837366712</v>
          </cell>
          <cell r="CD25">
            <v>14949408.340843543</v>
          </cell>
          <cell r="CF25">
            <v>0.13618647743908732</v>
          </cell>
          <cell r="CG25">
            <v>0.30069583430535496</v>
          </cell>
          <cell r="CH25">
            <v>0.30069583430535496</v>
          </cell>
          <cell r="CI25">
            <v>1.9185923598916436E-3</v>
          </cell>
          <cell r="CJ25">
            <v>1.9185923598916436E-3</v>
          </cell>
          <cell r="CK25">
            <v>0.25858466923041945</v>
          </cell>
          <cell r="CM25"/>
        </row>
        <row r="26">
          <cell r="T26">
            <v>0.43110000000000004</v>
          </cell>
          <cell r="U26">
            <v>35687486.582470983</v>
          </cell>
          <cell r="V26">
            <v>574147.99831956998</v>
          </cell>
          <cell r="W26">
            <v>23510.413461407388</v>
          </cell>
          <cell r="X26">
            <v>23510.413461407388</v>
          </cell>
          <cell r="Y26">
            <v>58014740.072409034</v>
          </cell>
          <cell r="Z26">
            <v>58014740.072409034</v>
          </cell>
          <cell r="AA26">
            <v>55544590.669293895</v>
          </cell>
          <cell r="AB26">
            <v>55544590.669293895</v>
          </cell>
          <cell r="AC26">
            <v>81514946.081755355</v>
          </cell>
          <cell r="AD26"/>
          <cell r="AE26">
            <v>20</v>
          </cell>
          <cell r="AF26">
            <v>101.59056521927428</v>
          </cell>
          <cell r="AG26">
            <v>317.51908835885251</v>
          </cell>
          <cell r="AH26">
            <v>317.51908835885251</v>
          </cell>
          <cell r="AI26">
            <v>5.4000000000000003E-3</v>
          </cell>
          <cell r="AJ26">
            <v>5.4000000000000003E-3</v>
          </cell>
          <cell r="AK26">
            <v>5.0111612417460455E-2</v>
          </cell>
          <cell r="AL26">
            <v>5.0111612417460455E-2</v>
          </cell>
          <cell r="AM26">
            <v>2978.8397947066123</v>
          </cell>
          <cell r="AN26">
            <v>0.19072274901295716</v>
          </cell>
          <cell r="AO26">
            <v>28726805.248590261</v>
          </cell>
          <cell r="AP26">
            <v>565312.6355394983</v>
          </cell>
          <cell r="AQ26">
            <v>161777.16621831941</v>
          </cell>
          <cell r="AR26">
            <v>161777.16621831941</v>
          </cell>
          <cell r="AS26">
            <v>57121971.523826569</v>
          </cell>
          <cell r="AT26">
            <v>57121971.523826569</v>
          </cell>
          <cell r="AU26">
            <v>54689834.386122756</v>
          </cell>
          <cell r="AV26">
            <v>54689834.386122756</v>
          </cell>
          <cell r="AW26">
            <v>34488.151008455643</v>
          </cell>
          <cell r="AX26">
            <v>86279259.176831871</v>
          </cell>
          <cell r="AY26">
            <v>20</v>
          </cell>
          <cell r="AZ26">
            <v>1.1627598555397647</v>
          </cell>
          <cell r="BA26">
            <v>0.80495456529853582</v>
          </cell>
          <cell r="BD26">
            <v>20</v>
          </cell>
          <cell r="BE26">
            <v>140.58434923225821</v>
          </cell>
          <cell r="BF26">
            <v>6281.5532372811585</v>
          </cell>
          <cell r="BG26">
            <v>6281.5532372811585</v>
          </cell>
          <cell r="BH26">
            <v>1.3748483727988699E-2</v>
          </cell>
          <cell r="BI26">
            <v>1.3748483727988699E-2</v>
          </cell>
          <cell r="BJ26">
            <v>0.94353664520562985</v>
          </cell>
          <cell r="BK26">
            <v>640165143.62059307</v>
          </cell>
          <cell r="BL26"/>
          <cell r="BM26">
            <v>20</v>
          </cell>
          <cell r="BN26">
            <v>140.58434923225821</v>
          </cell>
          <cell r="BO26">
            <v>452.95951962784142</v>
          </cell>
          <cell r="BP26">
            <v>452.95951962784142</v>
          </cell>
          <cell r="BQ26">
            <v>1.3748483727988699E-2</v>
          </cell>
          <cell r="BR26">
            <v>1.3748483727988699E-2</v>
          </cell>
          <cell r="BS26">
            <v>4554.7168696210465</v>
          </cell>
          <cell r="BT26">
            <v>0.36618191755644497</v>
          </cell>
          <cell r="BU26">
            <v>272993225.85108453</v>
          </cell>
          <cell r="BX26">
            <v>20</v>
          </cell>
          <cell r="BY26">
            <v>8649189.3227510341</v>
          </cell>
          <cell r="BZ26">
            <v>19557789.457701795</v>
          </cell>
          <cell r="CA26">
            <v>19557789.457701795</v>
          </cell>
          <cell r="CB26">
            <v>131638.88085056815</v>
          </cell>
          <cell r="CC26">
            <v>131638.88085056815</v>
          </cell>
          <cell r="CD26">
            <v>17585719.636194553</v>
          </cell>
          <cell r="CF26">
            <v>0.13181973689373028</v>
          </cell>
          <cell r="CG26">
            <v>0.29807448586605911</v>
          </cell>
          <cell r="CH26">
            <v>0.29807448586605911</v>
          </cell>
          <cell r="CI26">
            <v>2.0062692572889234E-3</v>
          </cell>
          <cell r="CJ26">
            <v>2.0062692572889234E-3</v>
          </cell>
          <cell r="CK26">
            <v>0.26801875285957361</v>
          </cell>
          <cell r="CM26"/>
        </row>
        <row r="27">
          <cell r="T27">
            <v>0.4385950289931817</v>
          </cell>
          <cell r="U27">
            <v>40673484.479789048</v>
          </cell>
          <cell r="V27">
            <v>643093.02915886324</v>
          </cell>
          <cell r="W27">
            <v>25262.091292776764</v>
          </cell>
          <cell r="X27">
            <v>25262.091292776764</v>
          </cell>
          <cell r="Y27">
            <v>65750717.268655568</v>
          </cell>
          <cell r="Z27">
            <v>65750717.268655568</v>
          </cell>
          <cell r="AA27">
            <v>62974192.692292273</v>
          </cell>
          <cell r="AB27">
            <v>62974192.692292273</v>
          </cell>
          <cell r="AC27">
            <v>91938229.514968008</v>
          </cell>
          <cell r="AD27"/>
          <cell r="AE27">
            <v>21</v>
          </cell>
          <cell r="AF27">
            <v>102.83261826648919</v>
          </cell>
          <cell r="AG27">
            <v>323.34114120436072</v>
          </cell>
          <cell r="AH27">
            <v>323.34114120436072</v>
          </cell>
          <cell r="AI27">
            <v>5.7827918001935631E-3</v>
          </cell>
          <cell r="AJ27">
            <v>5.7827918001935631E-3</v>
          </cell>
          <cell r="AK27">
            <v>5.0127634036786821E-2</v>
          </cell>
          <cell r="AL27">
            <v>5.0127634036786821E-2</v>
          </cell>
          <cell r="AM27">
            <v>3047.3487155583607</v>
          </cell>
          <cell r="AN27">
            <v>0.19609161900910421</v>
          </cell>
          <cell r="AO27">
            <v>31867544.602995481</v>
          </cell>
          <cell r="AP27">
            <v>623258.45240469568</v>
          </cell>
          <cell r="AQ27">
            <v>177289.53354658018</v>
          </cell>
          <cell r="AR27">
            <v>177289.53354658018</v>
          </cell>
          <cell r="AS27">
            <v>63722802.815885849</v>
          </cell>
          <cell r="AT27">
            <v>63722802.815885849</v>
          </cell>
          <cell r="AU27">
            <v>61031913.112430036</v>
          </cell>
          <cell r="AV27">
            <v>61031913.112430036</v>
          </cell>
          <cell r="AW27">
            <v>37622.868566281868</v>
          </cell>
          <cell r="AX27">
            <v>95853861.342211604</v>
          </cell>
          <cell r="AY27">
            <v>21</v>
          </cell>
          <cell r="AZ27">
            <v>1.1334058202108781</v>
          </cell>
          <cell r="BA27">
            <v>0.78349679184311583</v>
          </cell>
          <cell r="BD27">
            <v>21</v>
          </cell>
          <cell r="BE27">
            <v>141.88548224785509</v>
          </cell>
          <cell r="BF27">
            <v>6381.1908797204587</v>
          </cell>
          <cell r="BG27">
            <v>6381.1908797204587</v>
          </cell>
          <cell r="BH27">
            <v>1.3991999999999999E-2</v>
          </cell>
          <cell r="BI27">
            <v>1.3991999999999999E-2</v>
          </cell>
          <cell r="BJ27">
            <v>0.94809552971401545</v>
          </cell>
          <cell r="BK27">
            <v>672297207.37288094</v>
          </cell>
          <cell r="BL27"/>
          <cell r="BM27">
            <v>21</v>
          </cell>
          <cell r="BN27">
            <v>141.88548224785509</v>
          </cell>
          <cell r="BO27">
            <v>456.94078679853425</v>
          </cell>
          <cell r="BP27">
            <v>456.94078679853425</v>
          </cell>
          <cell r="BQ27">
            <v>1.3991999999999999E-2</v>
          </cell>
          <cell r="BR27">
            <v>1.3991999999999999E-2</v>
          </cell>
          <cell r="BS27">
            <v>4596.8300213597104</v>
          </cell>
          <cell r="BT27">
            <v>0.37140396360695754</v>
          </cell>
          <cell r="BU27">
            <v>288871809.33619583</v>
          </cell>
          <cell r="BX27">
            <v>21</v>
          </cell>
          <cell r="BY27">
            <v>9447944.979260467</v>
          </cell>
          <cell r="BZ27">
            <v>23014895.126725473</v>
          </cell>
          <cell r="CA27">
            <v>23014895.126725473</v>
          </cell>
          <cell r="CB27">
            <v>156807.71627785481</v>
          </cell>
          <cell r="CC27">
            <v>156807.71627785481</v>
          </cell>
          <cell r="CD27">
            <v>18274799.331991028</v>
          </cell>
          <cell r="CF27">
            <v>0.127560903052342</v>
          </cell>
          <cell r="CG27">
            <v>0.3107343250267155</v>
          </cell>
          <cell r="CH27">
            <v>0.3107343250267155</v>
          </cell>
          <cell r="CI27">
            <v>2.1171306498806767E-3</v>
          </cell>
          <cell r="CJ27">
            <v>2.1171306498806767E-3</v>
          </cell>
          <cell r="CK27">
            <v>0.24673618559446581</v>
          </cell>
          <cell r="CM27"/>
        </row>
        <row r="28">
          <cell r="T28">
            <v>0.44609005798636348</v>
          </cell>
          <cell r="U28">
            <v>46089241.708012372</v>
          </cell>
          <cell r="V28">
            <v>716978.25509762089</v>
          </cell>
          <cell r="W28">
            <v>27088.545899305682</v>
          </cell>
          <cell r="X28">
            <v>27088.545899305682</v>
          </cell>
          <cell r="Y28">
            <v>74165793.475766703</v>
          </cell>
          <cell r="Z28">
            <v>74165793.475766703</v>
          </cell>
          <cell r="AA28">
            <v>71056178.006724983</v>
          </cell>
          <cell r="AB28">
            <v>71056178.006724983</v>
          </cell>
          <cell r="AC28">
            <v>103201423.48846942</v>
          </cell>
          <cell r="AD28"/>
          <cell r="AE28">
            <v>22</v>
          </cell>
          <cell r="AF28">
            <v>104.07467131370413</v>
          </cell>
          <cell r="AG28">
            <v>329.26069121755421</v>
          </cell>
          <cell r="AH28">
            <v>329.26069121755421</v>
          </cell>
          <cell r="AI28">
            <v>6.1144463146540155E-3</v>
          </cell>
          <cell r="AJ28">
            <v>6.1144463146540155E-3</v>
          </cell>
          <cell r="AK28">
            <v>5.0144805583207677E-2</v>
          </cell>
          <cell r="AL28">
            <v>5.0144805583207677E-2</v>
          </cell>
          <cell r="AM28">
            <v>3117.4992861074707</v>
          </cell>
          <cell r="AN28">
            <v>0.20112213421820796</v>
          </cell>
          <cell r="AO28">
            <v>35321165.640319504</v>
          </cell>
          <cell r="AP28">
            <v>685928.77702297049</v>
          </cell>
          <cell r="AQ28">
            <v>193922.93666928002</v>
          </cell>
          <cell r="AR28">
            <v>193922.93666928002</v>
          </cell>
          <cell r="AS28">
            <v>70953967.786434859</v>
          </cell>
          <cell r="AT28">
            <v>70953967.786434859</v>
          </cell>
          <cell r="AU28">
            <v>67979017.401919931</v>
          </cell>
          <cell r="AV28">
            <v>67979017.401919931</v>
          </cell>
          <cell r="AW28">
            <v>40963.088880376396</v>
          </cell>
          <cell r="AX28">
            <v>106319246.56392232</v>
          </cell>
          <cell r="AY28">
            <v>22</v>
          </cell>
          <cell r="AZ28">
            <v>1.1108407544064192</v>
          </cell>
          <cell r="BA28">
            <v>0.76636465108470431</v>
          </cell>
          <cell r="BD28">
            <v>22</v>
          </cell>
          <cell r="BE28">
            <v>143.15468493915699</v>
          </cell>
          <cell r="BF28">
            <v>6478.0173753757308</v>
          </cell>
          <cell r="BG28">
            <v>6478.0173753757308</v>
          </cell>
          <cell r="BH28">
            <v>1.4205333333333334E-2</v>
          </cell>
          <cell r="BI28">
            <v>1.4205333333333334E-2</v>
          </cell>
          <cell r="BJ28">
            <v>0.95229233103152755</v>
          </cell>
          <cell r="BK28">
            <v>704171661.18957448</v>
          </cell>
          <cell r="BL28"/>
          <cell r="BM28">
            <v>22</v>
          </cell>
          <cell r="BN28">
            <v>143.15468493915699</v>
          </cell>
          <cell r="BO28">
            <v>460.90309270472704</v>
          </cell>
          <cell r="BP28">
            <v>460.90309270472704</v>
          </cell>
          <cell r="BQ28">
            <v>1.4205333333333334E-2</v>
          </cell>
          <cell r="BR28">
            <v>1.4205333333333334E-2</v>
          </cell>
          <cell r="BS28">
            <v>4637.7228798411779</v>
          </cell>
          <cell r="BT28">
            <v>0.37646047368578345</v>
          </cell>
          <cell r="BU28">
            <v>304963656.83640343</v>
          </cell>
          <cell r="BX28">
            <v>22</v>
          </cell>
          <cell r="BY28">
            <v>10338470.005791316</v>
          </cell>
          <cell r="BZ28">
            <v>26721950.275436565</v>
          </cell>
          <cell r="CA28">
            <v>26721950.275436565</v>
          </cell>
          <cell r="CB28">
            <v>181405.13650263438</v>
          </cell>
          <cell r="CC28">
            <v>181405.13650263438</v>
          </cell>
          <cell r="CD28">
            <v>19048296.993174735</v>
          </cell>
          <cell r="CF28">
            <v>0.12427019853415038</v>
          </cell>
          <cell r="CG28">
            <v>0.32120246652435142</v>
          </cell>
          <cell r="CH28">
            <v>0.32120246652435142</v>
          </cell>
          <cell r="CI28">
            <v>2.180521132785503E-3</v>
          </cell>
          <cell r="CJ28">
            <v>2.180521132785503E-3</v>
          </cell>
          <cell r="CK28">
            <v>0.22896382615157584</v>
          </cell>
          <cell r="CM28"/>
        </row>
        <row r="29">
          <cell r="T29">
            <v>0.45358508697954514</v>
          </cell>
          <cell r="U29">
            <v>51960635.839358874</v>
          </cell>
          <cell r="V29">
            <v>795719.2544581152</v>
          </cell>
          <cell r="W29">
            <v>28982.45145772762</v>
          </cell>
          <cell r="X29">
            <v>28982.45145772762</v>
          </cell>
          <cell r="Y29">
            <v>83264141.453128427</v>
          </cell>
          <cell r="Z29">
            <v>83264141.453128427</v>
          </cell>
          <cell r="AA29">
            <v>79799544.132841557</v>
          </cell>
          <cell r="AB29">
            <v>79799544.132841557</v>
          </cell>
          <cell r="AC29">
            <v>115304630.10538657</v>
          </cell>
          <cell r="AD29"/>
          <cell r="AE29">
            <v>23</v>
          </cell>
          <cell r="AF29">
            <v>105.31672436091905</v>
          </cell>
          <cell r="AG29">
            <v>335.2381251038193</v>
          </cell>
          <cell r="AH29">
            <v>335.2381251038193</v>
          </cell>
          <cell r="AI29">
            <v>6.4662161636049754E-3</v>
          </cell>
          <cell r="AJ29">
            <v>6.4662161636049754E-3</v>
          </cell>
          <cell r="AK29">
            <v>5.0163209590972258E-2</v>
          </cell>
          <cell r="AL29">
            <v>5.0163209590972258E-2</v>
          </cell>
          <cell r="AM29">
            <v>3184.9419791058081</v>
          </cell>
          <cell r="AN29">
            <v>0.20615264942731173</v>
          </cell>
          <cell r="AO29">
            <v>39025973.70031821</v>
          </cell>
          <cell r="AP29">
            <v>752327.82510682638</v>
          </cell>
          <cell r="AQ29">
            <v>211395.6556386709</v>
          </cell>
          <cell r="AR29">
            <v>211395.6556386709</v>
          </cell>
          <cell r="AS29">
            <v>78723657.996033296</v>
          </cell>
          <cell r="AT29">
            <v>78723657.996033296</v>
          </cell>
          <cell r="AU29">
            <v>75447988.905158535</v>
          </cell>
          <cell r="AV29">
            <v>75447988.905158535</v>
          </cell>
          <cell r="AW29">
            <v>44501.83627602362</v>
          </cell>
          <cell r="AX29">
            <v>117510637.28964844</v>
          </cell>
          <cell r="AY29">
            <v>23</v>
          </cell>
          <cell r="AZ29">
            <v>1.090826444326074</v>
          </cell>
          <cell r="BA29">
            <v>0.75106805507481911</v>
          </cell>
          <cell r="BD29">
            <v>23</v>
          </cell>
          <cell r="BE29">
            <v>144.36919590572478</v>
          </cell>
          <cell r="BF29">
            <v>6570.6714814799561</v>
          </cell>
          <cell r="BG29">
            <v>6570.6714814799561</v>
          </cell>
          <cell r="BH29">
            <v>1.4418666666666666E-2</v>
          </cell>
          <cell r="BI29">
            <v>1.4418666666666666E-2</v>
          </cell>
          <cell r="BJ29">
            <v>0.95630828629190923</v>
          </cell>
          <cell r="BK29">
            <v>735753370.07628918</v>
          </cell>
          <cell r="BL29"/>
          <cell r="BM29">
            <v>23</v>
          </cell>
          <cell r="BN29">
            <v>144.36919590572478</v>
          </cell>
          <cell r="BO29">
            <v>464.88152814867124</v>
          </cell>
          <cell r="BP29">
            <v>464.88152814867124</v>
          </cell>
          <cell r="BQ29">
            <v>1.4418666666666666E-2</v>
          </cell>
          <cell r="BR29">
            <v>1.4418666666666666E-2</v>
          </cell>
          <cell r="BS29">
            <v>4677.4467317293356</v>
          </cell>
          <cell r="BT29">
            <v>0.38129909165073222</v>
          </cell>
          <cell r="BU29">
            <v>321421246.53003764</v>
          </cell>
          <cell r="BX29">
            <v>23</v>
          </cell>
          <cell r="BY29">
            <v>11326795.530518604</v>
          </cell>
          <cell r="BZ29">
            <v>30688185.535830986</v>
          </cell>
          <cell r="CA29">
            <v>30688185.535830986</v>
          </cell>
          <cell r="CB29">
            <v>210694.95096463274</v>
          </cell>
          <cell r="CC29">
            <v>210694.95096463274</v>
          </cell>
          <cell r="CD29">
            <v>19912508.538862694</v>
          </cell>
          <cell r="CF29">
            <v>0.121744979006882</v>
          </cell>
          <cell r="CG29">
            <v>0.32984902868181132</v>
          </cell>
          <cell r="CH29">
            <v>0.32984902868181132</v>
          </cell>
          <cell r="CI29">
            <v>2.2646345396570245E-3</v>
          </cell>
          <cell r="CJ29">
            <v>2.2646345396570245E-3</v>
          </cell>
          <cell r="CK29">
            <v>0.21402769455018153</v>
          </cell>
          <cell r="CM29"/>
        </row>
        <row r="30">
          <cell r="T30">
            <v>0.4610801159727268</v>
          </cell>
          <cell r="U30">
            <v>58309701.6216987</v>
          </cell>
          <cell r="V30">
            <v>879363.35800023237</v>
          </cell>
          <cell r="W30">
            <v>30942.303843586822</v>
          </cell>
          <cell r="X30">
            <v>30942.303843586822</v>
          </cell>
          <cell r="Y30">
            <v>93067005.055762127</v>
          </cell>
          <cell r="Z30">
            <v>93067005.055762127</v>
          </cell>
          <cell r="AA30">
            <v>89226249.30009383</v>
          </cell>
          <cell r="AB30">
            <v>89226249.30009383</v>
          </cell>
          <cell r="AC30">
            <v>128266593.05212954</v>
          </cell>
          <cell r="AD30"/>
          <cell r="AE30">
            <v>24</v>
          </cell>
          <cell r="AF30">
            <v>106.55877740813398</v>
          </cell>
          <cell r="AG30">
            <v>340.7589151302513</v>
          </cell>
          <cell r="AH30">
            <v>340.7589151302513</v>
          </cell>
          <cell r="AI30">
            <v>6.8432337526310155E-3</v>
          </cell>
          <cell r="AJ30">
            <v>6.8432337526310155E-3</v>
          </cell>
          <cell r="AK30">
            <v>5.0182934518098653E-2</v>
          </cell>
          <cell r="AL30">
            <v>5.0182934518098653E-2</v>
          </cell>
          <cell r="AM30">
            <v>3253.7411459307195</v>
          </cell>
          <cell r="AN30">
            <v>0.21118316463641551</v>
          </cell>
          <cell r="AO30">
            <v>42968773.101744369</v>
          </cell>
          <cell r="AP30">
            <v>822198.32266389253</v>
          </cell>
          <cell r="AQ30">
            <v>229965.97396757265</v>
          </cell>
          <cell r="AR30">
            <v>229965.97396757265</v>
          </cell>
          <cell r="AS30">
            <v>87016970.579958379</v>
          </cell>
          <cell r="AT30">
            <v>87016970.579958379</v>
          </cell>
          <cell r="AU30">
            <v>83425891.975940287</v>
          </cell>
          <cell r="AV30">
            <v>83425891.975940287</v>
          </cell>
          <cell r="AW30">
            <v>48167.910286327497</v>
          </cell>
          <cell r="AX30">
            <v>129399017.57895622</v>
          </cell>
          <cell r="AY30">
            <v>24</v>
          </cell>
          <cell r="AZ30">
            <v>1.072359846913405</v>
          </cell>
          <cell r="BA30">
            <v>0.73690607063155444</v>
          </cell>
          <cell r="BD30">
            <v>24</v>
          </cell>
          <cell r="BE30">
            <v>145.52282690450218</v>
          </cell>
          <cell r="BF30">
            <v>6658.6811017371656</v>
          </cell>
          <cell r="BG30">
            <v>6658.6811017371656</v>
          </cell>
          <cell r="BH30">
            <v>1.4631999999999999E-2</v>
          </cell>
          <cell r="BI30">
            <v>1.4631999999999999E-2</v>
          </cell>
          <cell r="BJ30">
            <v>0.96012293317910224</v>
          </cell>
          <cell r="BK30">
            <v>766974549.8275671</v>
          </cell>
          <cell r="BL30"/>
          <cell r="BM30">
            <v>24</v>
          </cell>
          <cell r="BN30">
            <v>145.52282690450218</v>
          </cell>
          <cell r="BO30">
            <v>468.79711147392345</v>
          </cell>
          <cell r="BP30">
            <v>468.79711147392345</v>
          </cell>
          <cell r="BQ30">
            <v>1.4631999999999999E-2</v>
          </cell>
          <cell r="BR30">
            <v>1.4631999999999999E-2</v>
          </cell>
          <cell r="BS30">
            <v>4714.9678414416449</v>
          </cell>
          <cell r="BT30">
            <v>0.38589516350949921</v>
          </cell>
          <cell r="BU30">
            <v>338108603.18546599</v>
          </cell>
          <cell r="BX30">
            <v>24</v>
          </cell>
          <cell r="BY30">
            <v>12419011.468931941</v>
          </cell>
          <cell r="BZ30">
            <v>34922625.701158993</v>
          </cell>
          <cell r="CA30">
            <v>34922625.701158993</v>
          </cell>
          <cell r="CB30">
            <v>245782.84882863046</v>
          </cell>
          <cell r="CC30">
            <v>245782.84882863046</v>
          </cell>
          <cell r="CD30">
            <v>20873870.372645039</v>
          </cell>
          <cell r="CF30">
            <v>0.11984027354876654</v>
          </cell>
          <cell r="CG30">
            <v>0.33699437572288582</v>
          </cell>
          <cell r="CH30">
            <v>0.33699437572288582</v>
          </cell>
          <cell r="CI30">
            <v>2.3717414152409481E-3</v>
          </cell>
          <cell r="CJ30">
            <v>2.3717414152409481E-3</v>
          </cell>
          <cell r="CK30">
            <v>0.20142749217497996</v>
          </cell>
          <cell r="CM30"/>
        </row>
        <row r="31">
          <cell r="T31">
            <v>0.46857514496590857</v>
          </cell>
          <cell r="U31">
            <v>65158959.604940467</v>
          </cell>
          <cell r="V31">
            <v>967938.63789446582</v>
          </cell>
          <cell r="W31">
            <v>32966.277439205754</v>
          </cell>
          <cell r="X31">
            <v>32966.277439205754</v>
          </cell>
          <cell r="Y31">
            <v>103593812.39805561</v>
          </cell>
          <cell r="Z31">
            <v>103593812.39805561</v>
          </cell>
          <cell r="AA31">
            <v>99356488.383268505</v>
          </cell>
          <cell r="AB31">
            <v>99356488.383268505</v>
          </cell>
          <cell r="AC31">
            <v>142103166.25951737</v>
          </cell>
          <cell r="AD31"/>
          <cell r="AE31">
            <v>25</v>
          </cell>
          <cell r="AF31">
            <v>107.8008304553489</v>
          </cell>
          <cell r="AG31">
            <v>346.09669661279719</v>
          </cell>
          <cell r="AH31">
            <v>346.09669661279719</v>
          </cell>
          <cell r="AI31">
            <v>7.2473111994585393E-3</v>
          </cell>
          <cell r="AJ31">
            <v>7.2473111994585393E-3</v>
          </cell>
          <cell r="AK31">
            <v>5.0204075171543183E-2</v>
          </cell>
          <cell r="AL31">
            <v>5.0204075171543183E-2</v>
          </cell>
          <cell r="AM31">
            <v>3320.561657309669</v>
          </cell>
          <cell r="AN31">
            <v>0.21621367984551929</v>
          </cell>
          <cell r="AO31">
            <v>47131309.646213003</v>
          </cell>
          <cell r="AP31">
            <v>895218.25796325272</v>
          </cell>
          <cell r="AQ31">
            <v>249401.22191540033</v>
          </cell>
          <cell r="AR31">
            <v>249401.22191540033</v>
          </cell>
          <cell r="AS31">
            <v>95810900.236912206</v>
          </cell>
          <cell r="AT31">
            <v>95810900.236912206</v>
          </cell>
          <cell r="AU31">
            <v>91891922.654619277</v>
          </cell>
          <cell r="AV31">
            <v>91891922.654619277</v>
          </cell>
          <cell r="AW31">
            <v>51989.360803527139</v>
          </cell>
          <cell r="AX31">
            <v>141943706.87736219</v>
          </cell>
          <cell r="AY31">
            <v>25</v>
          </cell>
          <cell r="AZ31">
            <v>1.0546490014444447</v>
          </cell>
          <cell r="BA31">
            <v>0.72332814906761378</v>
          </cell>
          <cell r="BD31">
            <v>25</v>
          </cell>
          <cell r="BE31">
            <v>146.65540443930399</v>
          </cell>
          <cell r="BF31">
            <v>6745.0845694451136</v>
          </cell>
          <cell r="BG31">
            <v>6745.0845694451136</v>
          </cell>
          <cell r="BH31">
            <v>1.4845333333333332E-2</v>
          </cell>
          <cell r="BI31">
            <v>1.4845333333333332E-2</v>
          </cell>
          <cell r="BJ31">
            <v>0.96386796375839068</v>
          </cell>
          <cell r="BK31">
            <v>798070694.35469019</v>
          </cell>
          <cell r="BL31"/>
          <cell r="BM31">
            <v>25</v>
          </cell>
          <cell r="BN31">
            <v>146.65540443930399</v>
          </cell>
          <cell r="BO31">
            <v>472.69152564112267</v>
          </cell>
          <cell r="BP31">
            <v>472.69152564112267</v>
          </cell>
          <cell r="BQ31">
            <v>1.4845333333333332E-2</v>
          </cell>
          <cell r="BR31">
            <v>1.4845333333333332E-2</v>
          </cell>
          <cell r="BS31">
            <v>4751.7277987392254</v>
          </cell>
          <cell r="BT31">
            <v>0.39040934177436687</v>
          </cell>
          <cell r="BU31">
            <v>354877857.95337063</v>
          </cell>
          <cell r="BX31">
            <v>25</v>
          </cell>
          <cell r="BY31">
            <v>13621242.603645826</v>
          </cell>
          <cell r="BZ31">
            <v>39434045.729724601</v>
          </cell>
          <cell r="CA31">
            <v>39434045.729724601</v>
          </cell>
          <cell r="CB31">
            <v>287642.77204956627</v>
          </cell>
          <cell r="CC31">
            <v>287642.77204956627</v>
          </cell>
          <cell r="CD31">
            <v>21938937.723783053</v>
          </cell>
          <cell r="CF31">
            <v>0.11844192405669896</v>
          </cell>
          <cell r="CG31">
            <v>0.34289413862420326</v>
          </cell>
          <cell r="CH31">
            <v>0.34289413862420326</v>
          </cell>
          <cell r="CI31">
            <v>2.5011641267907738E-3</v>
          </cell>
          <cell r="CJ31">
            <v>2.5011641267907738E-3</v>
          </cell>
          <cell r="CK31">
            <v>0.19076747044131312</v>
          </cell>
          <cell r="CM31"/>
        </row>
        <row r="32">
          <cell r="T32">
            <v>0.47607017395909024</v>
          </cell>
          <cell r="U32">
            <v>72512696.737040535</v>
          </cell>
          <cell r="V32">
            <v>1061746.7078271045</v>
          </cell>
          <cell r="W32">
            <v>35064.726621423441</v>
          </cell>
          <cell r="X32">
            <v>35064.726621423441</v>
          </cell>
          <cell r="Y32">
            <v>114922355.89568971</v>
          </cell>
          <cell r="Z32">
            <v>114922355.89568971</v>
          </cell>
          <cell r="AA32">
            <v>110247788.59218857</v>
          </cell>
          <cell r="AB32">
            <v>110247788.59218857</v>
          </cell>
          <cell r="AC32">
            <v>156883022.08701855</v>
          </cell>
          <cell r="AD32"/>
          <cell r="AE32">
            <v>26</v>
          </cell>
          <cell r="AF32">
            <v>109.05159770974413</v>
          </cell>
          <cell r="AG32">
            <v>351.47903756373859</v>
          </cell>
          <cell r="AH32">
            <v>351.47903756373859</v>
          </cell>
          <cell r="AI32">
            <v>7.5078425706837301E-3</v>
          </cell>
          <cell r="AJ32">
            <v>7.5078425706837301E-3</v>
          </cell>
          <cell r="AK32">
            <v>5.0226733162885714E-2</v>
          </cell>
          <cell r="AL32">
            <v>5.0226733162885714E-2</v>
          </cell>
          <cell r="AM32">
            <v>3388.0926419241737</v>
          </cell>
          <cell r="AN32">
            <v>0.22124419505462306</v>
          </cell>
          <cell r="AO32">
            <v>51646330.820271336</v>
          </cell>
          <cell r="AP32">
            <v>973139.84196054633</v>
          </cell>
          <cell r="AQ32">
            <v>270055.39104910207</v>
          </cell>
          <cell r="AR32">
            <v>270055.39104910207</v>
          </cell>
          <cell r="AS32">
            <v>105331641.18110597</v>
          </cell>
          <cell r="AT32">
            <v>105331641.18110597</v>
          </cell>
          <cell r="AU32">
            <v>101047184.58385152</v>
          </cell>
          <cell r="AV32">
            <v>101047184.58385152</v>
          </cell>
          <cell r="AW32">
            <v>56030.822628823356</v>
          </cell>
          <cell r="AX32">
            <v>155446075.92684108</v>
          </cell>
          <cell r="AY32">
            <v>26</v>
          </cell>
          <cell r="AZ32">
            <v>1.040481591174881</v>
          </cell>
          <cell r="BA32">
            <v>0.71223845125442209</v>
          </cell>
          <cell r="BD32">
            <v>26</v>
          </cell>
          <cell r="BE32">
            <v>147.71269764537888</v>
          </cell>
          <cell r="BF32">
            <v>6825.7446537058458</v>
          </cell>
          <cell r="BG32">
            <v>6825.7446537058458</v>
          </cell>
          <cell r="BH32">
            <v>1.5058666666666666E-2</v>
          </cell>
          <cell r="BI32">
            <v>1.5058666666666666E-2</v>
          </cell>
          <cell r="BJ32">
            <v>0.96736405587248797</v>
          </cell>
          <cell r="BK32">
            <v>828676268.4187969</v>
          </cell>
          <cell r="BL32"/>
          <cell r="BM32">
            <v>26</v>
          </cell>
          <cell r="BN32">
            <v>147.71269764537888</v>
          </cell>
          <cell r="BO32">
            <v>476.57912471583734</v>
          </cell>
          <cell r="BP32">
            <v>476.57912471583734</v>
          </cell>
          <cell r="BQ32">
            <v>1.5058666666666666E-2</v>
          </cell>
          <cell r="BR32">
            <v>1.5058666666666666E-2</v>
          </cell>
          <cell r="BS32">
            <v>4785.8387400645279</v>
          </cell>
          <cell r="BT32">
            <v>0.39487194239292078</v>
          </cell>
          <cell r="BU32">
            <v>372236789.70842773</v>
          </cell>
          <cell r="BX32">
            <v>26</v>
          </cell>
          <cell r="BY32">
            <v>14949240.618257906</v>
          </cell>
          <cell r="BZ32">
            <v>44232637.571578555</v>
          </cell>
          <cell r="CA32">
            <v>44232637.571578555</v>
          </cell>
          <cell r="CB32">
            <v>317583.65101549972</v>
          </cell>
          <cell r="CC32">
            <v>317583.65101549972</v>
          </cell>
          <cell r="CD32">
            <v>23114780.522863217</v>
          </cell>
          <cell r="CF32">
            <v>0.11755831933432832</v>
          </cell>
          <cell r="CG32">
            <v>0.34783803842774774</v>
          </cell>
          <cell r="CH32">
            <v>0.34783803842774774</v>
          </cell>
          <cell r="CI32">
            <v>2.497424532443759E-3</v>
          </cell>
          <cell r="CJ32">
            <v>2.497424532443759E-3</v>
          </cell>
          <cell r="CK32">
            <v>0.18177075474528875</v>
          </cell>
          <cell r="CM32"/>
        </row>
        <row r="33">
          <cell r="T33">
            <v>0.4835652029522719</v>
          </cell>
          <cell r="U33">
            <v>80594603.141020283</v>
          </cell>
          <cell r="V33">
            <v>1163688.6771940037</v>
          </cell>
          <cell r="W33">
            <v>37327.334988905903</v>
          </cell>
          <cell r="X33">
            <v>37327.334988905903</v>
          </cell>
          <cell r="Y33">
            <v>127385498.18211499</v>
          </cell>
          <cell r="Z33">
            <v>127385498.18211499</v>
          </cell>
          <cell r="AA33">
            <v>122072289.120105</v>
          </cell>
          <cell r="AB33">
            <v>122072289.120105</v>
          </cell>
          <cell r="AC33">
            <v>173048855.00914824</v>
          </cell>
          <cell r="AD33"/>
          <cell r="AE33">
            <v>27</v>
          </cell>
          <cell r="AF33">
            <v>110.30839464785167</v>
          </cell>
          <cell r="AG33">
            <v>356.90593798307555</v>
          </cell>
          <cell r="AH33">
            <v>356.90593798307555</v>
          </cell>
          <cell r="AI33">
            <v>7.6863668393230295E-3</v>
          </cell>
          <cell r="AJ33">
            <v>7.6863668393230295E-3</v>
          </cell>
          <cell r="AK33">
            <v>5.1546020611251971E-2</v>
          </cell>
          <cell r="AL33">
            <v>5.1546020611251971E-2</v>
          </cell>
          <cell r="AM33">
            <v>3454.6416839245758</v>
          </cell>
          <cell r="AN33">
            <v>0.22627471026372681</v>
          </cell>
          <cell r="AO33">
            <v>56628492.801034734</v>
          </cell>
          <cell r="AP33">
            <v>1058134.274923265</v>
          </cell>
          <cell r="AQ33">
            <v>292509.8979891942</v>
          </cell>
          <cell r="AR33">
            <v>292509.8979891942</v>
          </cell>
          <cell r="AS33">
            <v>115830775.3579693</v>
          </cell>
          <cell r="AT33">
            <v>115830775.3579693</v>
          </cell>
          <cell r="AU33">
            <v>110999510.15059257</v>
          </cell>
          <cell r="AV33">
            <v>110999510.15059257</v>
          </cell>
          <cell r="AW33">
            <v>60439.564541215907</v>
          </cell>
          <cell r="AX33">
            <v>170269383.58488172</v>
          </cell>
          <cell r="AY33">
            <v>27</v>
          </cell>
          <cell r="AZ33">
            <v>1.0284111458792287</v>
          </cell>
          <cell r="BA33">
            <v>0.70263380665761344</v>
          </cell>
          <cell r="BD33">
            <v>27</v>
          </cell>
          <cell r="BE33">
            <v>148.7599096718628</v>
          </cell>
          <cell r="BF33">
            <v>6905.6356525410947</v>
          </cell>
          <cell r="BG33">
            <v>6905.6356525410947</v>
          </cell>
          <cell r="BH33">
            <v>1.5287004621149104E-2</v>
          </cell>
          <cell r="BI33">
            <v>1.5287004621149104E-2</v>
          </cell>
          <cell r="BJ33">
            <v>0.97082681311574126</v>
          </cell>
          <cell r="BK33">
            <v>859170667.87752819</v>
          </cell>
          <cell r="BL33"/>
          <cell r="BM33">
            <v>27</v>
          </cell>
          <cell r="BN33">
            <v>148.7599096718628</v>
          </cell>
          <cell r="BO33">
            <v>480.44172087198342</v>
          </cell>
          <cell r="BP33">
            <v>480.44172087198342</v>
          </cell>
          <cell r="BQ33">
            <v>1.5287004621149104E-2</v>
          </cell>
          <cell r="BR33">
            <v>1.5287004621149104E-2</v>
          </cell>
          <cell r="BS33">
            <v>4819.7239398011034</v>
          </cell>
          <cell r="BT33">
            <v>0.39930069009218805</v>
          </cell>
          <cell r="BU33">
            <v>389636120.33280128</v>
          </cell>
          <cell r="BX33">
            <v>27</v>
          </cell>
          <cell r="BY33">
            <v>16411760.984665746</v>
          </cell>
          <cell r="BZ33">
            <v>49340866.336336061</v>
          </cell>
          <cell r="CA33">
            <v>49340866.336336061</v>
          </cell>
          <cell r="CB33">
            <v>340325.0539137146</v>
          </cell>
          <cell r="CC33">
            <v>340325.0539137146</v>
          </cell>
          <cell r="CD33">
            <v>24411786.708393671</v>
          </cell>
          <cell r="CF33">
            <v>0.11707138461916644</v>
          </cell>
          <cell r="CG33">
            <v>0.35196732061240943</v>
          </cell>
          <cell r="CH33">
            <v>0.35196732061240943</v>
          </cell>
          <cell r="CI33">
            <v>2.4276691160380372E-3</v>
          </cell>
          <cell r="CJ33">
            <v>2.4276691160380372E-3</v>
          </cell>
          <cell r="CK33">
            <v>0.17413863592393872</v>
          </cell>
          <cell r="CM33"/>
        </row>
        <row r="34">
          <cell r="T34">
            <v>0.49106023194545367</v>
          </cell>
          <cell r="U34">
            <v>89445708.183712289</v>
          </cell>
          <cell r="V34">
            <v>1274221.9111814939</v>
          </cell>
          <cell r="W34">
            <v>39756.469134523191</v>
          </cell>
          <cell r="X34">
            <v>39756.469134523191</v>
          </cell>
          <cell r="Y34">
            <v>141047679.71507406</v>
          </cell>
          <cell r="Z34">
            <v>141047679.71507406</v>
          </cell>
          <cell r="AA34">
            <v>134895479.47964412</v>
          </cell>
          <cell r="AB34">
            <v>134895479.47964412</v>
          </cell>
          <cell r="AC34">
            <v>190681514.53346652</v>
          </cell>
          <cell r="AD34"/>
          <cell r="AE34">
            <v>28</v>
          </cell>
          <cell r="AF34">
            <v>111.56519158595923</v>
          </cell>
          <cell r="AG34">
            <v>362.37739787080812</v>
          </cell>
          <cell r="AH34">
            <v>362.37739787080812</v>
          </cell>
          <cell r="AI34">
            <v>7.87770441286933E-3</v>
          </cell>
          <cell r="AJ34">
            <v>7.87770441286933E-3</v>
          </cell>
          <cell r="AK34">
            <v>5.3844148020115105E-2</v>
          </cell>
          <cell r="AL34">
            <v>5.3844148020115105E-2</v>
          </cell>
          <cell r="AM34">
            <v>3520.9789085251496</v>
          </cell>
          <cell r="AN34">
            <v>0.23130522547283061</v>
          </cell>
          <cell r="AO34">
            <v>62130902.260998078</v>
          </cell>
          <cell r="AP34">
            <v>1150892.1373710409</v>
          </cell>
          <cell r="AQ34">
            <v>316918.23606012959</v>
          </cell>
          <cell r="AR34">
            <v>316918.23606012959</v>
          </cell>
          <cell r="AS34">
            <v>127395914.44318368</v>
          </cell>
          <cell r="AT34">
            <v>127395914.44318368</v>
          </cell>
          <cell r="AU34">
            <v>121839175.2156159</v>
          </cell>
          <cell r="AV34">
            <v>121839175.2156159</v>
          </cell>
          <cell r="AW34">
            <v>65234.134429610414</v>
          </cell>
          <cell r="AX34">
            <v>186540271.81144351</v>
          </cell>
          <cell r="AY34">
            <v>28</v>
          </cell>
          <cell r="AZ34">
            <v>1.0186080006394163</v>
          </cell>
          <cell r="BA34">
            <v>0.69462139126214517</v>
          </cell>
          <cell r="BD34">
            <v>28</v>
          </cell>
          <cell r="BE34">
            <v>149.74639911485841</v>
          </cell>
          <cell r="BF34">
            <v>6980.8941722564959</v>
          </cell>
          <cell r="BG34">
            <v>6980.8941722564959</v>
          </cell>
          <cell r="BH34">
            <v>1.5605720824745784E-2</v>
          </cell>
          <cell r="BI34">
            <v>1.5605720824745784E-2</v>
          </cell>
          <cell r="BJ34">
            <v>0.9740887823996458</v>
          </cell>
          <cell r="BK34">
            <v>888995422.55949843</v>
          </cell>
          <cell r="BL34"/>
          <cell r="BM34">
            <v>28</v>
          </cell>
          <cell r="BN34">
            <v>149.74639911485841</v>
          </cell>
          <cell r="BO34">
            <v>484.15371542476214</v>
          </cell>
          <cell r="BP34">
            <v>484.15371542476214</v>
          </cell>
          <cell r="BQ34">
            <v>1.5605720824745784E-2</v>
          </cell>
          <cell r="BR34">
            <v>1.5605720824745784E-2</v>
          </cell>
          <cell r="BS34">
            <v>4852.249416467118</v>
          </cell>
          <cell r="BT34">
            <v>0.40352552943934666</v>
          </cell>
          <cell r="BU34">
            <v>407278787.92908049</v>
          </cell>
          <cell r="BX34">
            <v>28</v>
          </cell>
          <cell r="BY34">
            <v>18013199.181108207</v>
          </cell>
          <cell r="BZ34">
            <v>54781521.000766955</v>
          </cell>
          <cell r="CA34">
            <v>54781521.000766955</v>
          </cell>
          <cell r="CB34">
            <v>367312.77470473264</v>
          </cell>
          <cell r="CC34">
            <v>367312.77470473264</v>
          </cell>
          <cell r="CD34">
            <v>25840950.188285813</v>
          </cell>
          <cell r="CF34">
            <v>0.11685362872120454</v>
          </cell>
          <cell r="CG34">
            <v>0.35537382623960212</v>
          </cell>
          <cell r="CH34">
            <v>0.35537382623960212</v>
          </cell>
          <cell r="CI34">
            <v>2.3827988670062352E-3</v>
          </cell>
          <cell r="CJ34">
            <v>2.3827988670062352E-3</v>
          </cell>
          <cell r="CK34">
            <v>0.16763312106557846</v>
          </cell>
          <cell r="CM34"/>
        </row>
        <row r="35">
          <cell r="T35">
            <v>0.51192387000669415</v>
          </cell>
          <cell r="U35">
            <v>101087054.60807422</v>
          </cell>
          <cell r="V35">
            <v>1414208.2594152787</v>
          </cell>
          <cell r="W35">
            <v>43046.108596026083</v>
          </cell>
          <cell r="X35">
            <v>43046.108596026083</v>
          </cell>
          <cell r="Y35">
            <v>158629210.6447815</v>
          </cell>
          <cell r="Z35">
            <v>158629210.6447815</v>
          </cell>
          <cell r="AA35">
            <v>151410558.71956527</v>
          </cell>
          <cell r="AB35">
            <v>151410558.71956527</v>
          </cell>
          <cell r="AC35">
            <v>211533633.44103998</v>
          </cell>
          <cell r="AD35"/>
          <cell r="AE35">
            <v>29</v>
          </cell>
          <cell r="AF35">
            <v>113.07484155162166</v>
          </cell>
          <cell r="AG35">
            <v>367.84072066694489</v>
          </cell>
          <cell r="AH35">
            <v>367.84072066694489</v>
          </cell>
          <cell r="AI35">
            <v>8.0827749465823412E-3</v>
          </cell>
          <cell r="AJ35">
            <v>8.0827749465823412E-3</v>
          </cell>
          <cell r="AK35">
            <v>5.6144143491054503E-2</v>
          </cell>
          <cell r="AL35">
            <v>5.6144143491054503E-2</v>
          </cell>
          <cell r="AM35">
            <v>3587.5328404170023</v>
          </cell>
          <cell r="AN35">
            <v>0.23837185429143909</v>
          </cell>
          <cell r="AO35">
            <v>68461795.941242799</v>
          </cell>
          <cell r="AP35">
            <v>1258548.7827429422</v>
          </cell>
          <cell r="AQ35">
            <v>346035.958054777</v>
          </cell>
          <cell r="AR35">
            <v>346035.958054777</v>
          </cell>
          <cell r="AS35">
            <v>141169165.59871325</v>
          </cell>
          <cell r="AT35">
            <v>141169165.59871325</v>
          </cell>
          <cell r="AU35">
            <v>134745058.30543372</v>
          </cell>
          <cell r="AV35">
            <v>134745058.30543372</v>
          </cell>
          <cell r="AW35">
            <v>70960.251431594195</v>
          </cell>
          <cell r="AX35">
            <v>205570105.20943302</v>
          </cell>
          <cell r="AY35">
            <v>29</v>
          </cell>
          <cell r="AZ35">
            <v>1.0095095849589937</v>
          </cell>
          <cell r="BA35">
            <v>0.67725581882543529</v>
          </cell>
          <cell r="BD35">
            <v>29</v>
          </cell>
          <cell r="BE35">
            <v>150.73327398210799</v>
          </cell>
          <cell r="BF35">
            <v>7055.7068715152218</v>
          </cell>
          <cell r="BG35">
            <v>7055.7068715152218</v>
          </cell>
          <cell r="BH35">
            <v>1.5933333333333334E-2</v>
          </cell>
          <cell r="BI35">
            <v>1.5933333333333334E-2</v>
          </cell>
          <cell r="BJ35">
            <v>0.97747984808593347</v>
          </cell>
          <cell r="BK35">
            <v>918863992.70830727</v>
          </cell>
          <cell r="BL35"/>
          <cell r="BM35">
            <v>29</v>
          </cell>
          <cell r="BN35">
            <v>150.73327398210799</v>
          </cell>
          <cell r="BO35">
            <v>487.83420446263426</v>
          </cell>
          <cell r="BP35">
            <v>487.83420446263426</v>
          </cell>
          <cell r="BQ35">
            <v>1.5933333333333334E-2</v>
          </cell>
          <cell r="BR35">
            <v>1.5933333333333334E-2</v>
          </cell>
          <cell r="BS35">
            <v>4884.3141560193581</v>
          </cell>
          <cell r="BT35">
            <v>0.40778373082638214</v>
          </cell>
          <cell r="BU35">
            <v>424910840.56296426</v>
          </cell>
          <cell r="BX35">
            <v>29</v>
          </cell>
          <cell r="BY35">
            <v>20148158.631374013</v>
          </cell>
          <cell r="BZ35">
            <v>60771187.586656116</v>
          </cell>
          <cell r="CA35">
            <v>60771187.586656116</v>
          </cell>
          <cell r="CB35">
            <v>399842.95159413165</v>
          </cell>
          <cell r="CC35">
            <v>399842.95159413165</v>
          </cell>
          <cell r="CD35">
            <v>30254311.354178786</v>
          </cell>
          <cell r="CF35">
            <v>0.11663558034225921</v>
          </cell>
          <cell r="CG35">
            <v>0.35179804080064264</v>
          </cell>
          <cell r="CH35">
            <v>0.35179804080064264</v>
          </cell>
          <cell r="CI35">
            <v>2.3146489740419047E-3</v>
          </cell>
          <cell r="CJ35">
            <v>2.3146489740419047E-3</v>
          </cell>
          <cell r="CK35">
            <v>0.17513904010837153</v>
          </cell>
          <cell r="CM35"/>
        </row>
        <row r="36">
          <cell r="T36">
            <v>0.5338124902081276</v>
          </cell>
          <cell r="U36">
            <v>113961281.61117059</v>
          </cell>
          <cell r="V36">
            <v>1566883.3772132033</v>
          </cell>
          <cell r="W36">
            <v>46557.004289250995</v>
          </cell>
          <cell r="X36">
            <v>46557.004289250995</v>
          </cell>
          <cell r="Y36">
            <v>177962790.2583721</v>
          </cell>
          <cell r="Z36">
            <v>177962790.2583721</v>
          </cell>
          <cell r="AA36">
            <v>169531855.01309386</v>
          </cell>
          <cell r="AB36">
            <v>169531855.01309386</v>
          </cell>
          <cell r="AC36">
            <v>233979497.33479428</v>
          </cell>
          <cell r="AD36"/>
          <cell r="AE36">
            <v>30</v>
          </cell>
          <cell r="AF36">
            <v>114.52054463141275</v>
          </cell>
          <cell r="AG36">
            <v>373.27297725105331</v>
          </cell>
          <cell r="AH36">
            <v>373.27297725105331</v>
          </cell>
          <cell r="AI36">
            <v>8.3025641025641032E-3</v>
          </cell>
          <cell r="AJ36">
            <v>8.3025641025641032E-3</v>
          </cell>
          <cell r="AK36">
            <v>5.844614110135362E-2</v>
          </cell>
          <cell r="AL36">
            <v>5.844614110135362E-2</v>
          </cell>
          <cell r="AM36">
            <v>3652.7432338833255</v>
          </cell>
          <cell r="AN36">
            <v>0.24559459359802141</v>
          </cell>
          <cell r="AO36">
            <v>75244973.203285754</v>
          </cell>
          <cell r="AP36">
            <v>1373851.7252514665</v>
          </cell>
          <cell r="AQ36">
            <v>377000.31317785801</v>
          </cell>
          <cell r="AR36">
            <v>377000.31317785801</v>
          </cell>
          <cell r="AS36">
            <v>156038726.29108974</v>
          </cell>
          <cell r="AT36">
            <v>156038726.29108974</v>
          </cell>
          <cell r="AU36">
            <v>148646437.17713556</v>
          </cell>
          <cell r="AV36">
            <v>148646437.17713556</v>
          </cell>
          <cell r="AW36">
            <v>77051.147761553031</v>
          </cell>
          <cell r="AX36">
            <v>225954785.04443967</v>
          </cell>
          <cell r="AY36">
            <v>30</v>
          </cell>
          <cell r="AZ36">
            <v>1.0011779546339772</v>
          </cell>
          <cell r="BA36">
            <v>0.66026787466305725</v>
          </cell>
          <cell r="BD36">
            <v>30</v>
          </cell>
          <cell r="BE36">
            <v>151.72245975040423</v>
          </cell>
          <cell r="BF36">
            <v>7127.8465502017998</v>
          </cell>
          <cell r="BG36">
            <v>7127.8465502017998</v>
          </cell>
          <cell r="BH36">
            <v>1.6314285714285715E-2</v>
          </cell>
          <cell r="BI36">
            <v>1.6314285714285715E-2</v>
          </cell>
          <cell r="BJ36">
            <v>0.98164494137502312</v>
          </cell>
          <cell r="BK36">
            <v>948995268.71209502</v>
          </cell>
          <cell r="BL36"/>
          <cell r="BM36">
            <v>30</v>
          </cell>
          <cell r="BN36">
            <v>151.72245975040423</v>
          </cell>
          <cell r="BO36">
            <v>491.32579483464093</v>
          </cell>
          <cell r="BP36">
            <v>491.32579483464093</v>
          </cell>
          <cell r="BQ36">
            <v>1.6314285714285715E-2</v>
          </cell>
          <cell r="BR36">
            <v>1.6314285714285715E-2</v>
          </cell>
          <cell r="BS36">
            <v>4913.6164387012732</v>
          </cell>
          <cell r="BT36">
            <v>0.41224196210792874</v>
          </cell>
          <cell r="BU36">
            <v>442479248.7129966</v>
          </cell>
          <cell r="BX36">
            <v>30</v>
          </cell>
          <cell r="BY36">
            <v>22413406.7554846</v>
          </cell>
          <cell r="BZ36">
            <v>67257574.129978195</v>
          </cell>
          <cell r="CA36">
            <v>67257574.129978195</v>
          </cell>
          <cell r="CB36">
            <v>438957.2430611786</v>
          </cell>
          <cell r="CC36">
            <v>438957.2430611786</v>
          </cell>
          <cell r="CD36">
            <v>35375799.70626241</v>
          </cell>
          <cell r="CF36">
            <v>0.11602206997254091</v>
          </cell>
          <cell r="CG36">
            <v>0.34815604147201729</v>
          </cell>
          <cell r="CH36">
            <v>0.34815604147201729</v>
          </cell>
          <cell r="CI36">
            <v>2.2722439531391346E-3</v>
          </cell>
          <cell r="CJ36">
            <v>2.2722439531391346E-3</v>
          </cell>
          <cell r="CK36">
            <v>0.18312135917714617</v>
          </cell>
          <cell r="CM36"/>
        </row>
        <row r="37">
          <cell r="T37">
            <v>0.55570111040956094</v>
          </cell>
          <cell r="U37">
            <v>131410157.63992468</v>
          </cell>
          <cell r="V37">
            <v>1763938.4550838717</v>
          </cell>
          <cell r="W37">
            <v>50820.579613436828</v>
          </cell>
          <cell r="X37">
            <v>50820.579613436828</v>
          </cell>
          <cell r="Y37">
            <v>203502826.75634176</v>
          </cell>
          <cell r="Z37">
            <v>203502826.75634176</v>
          </cell>
          <cell r="AA37">
            <v>193486028.69788182</v>
          </cell>
          <cell r="AB37">
            <v>193486028.69788182</v>
          </cell>
          <cell r="AC37">
            <v>263855773.61191544</v>
          </cell>
          <cell r="AD37"/>
          <cell r="AE37">
            <v>31</v>
          </cell>
          <cell r="AF37">
            <v>116.35346993342607</v>
          </cell>
          <cell r="AG37">
            <v>378.74762043415313</v>
          </cell>
          <cell r="AH37">
            <v>378.74762043415313</v>
          </cell>
          <cell r="AI37">
            <v>8.5381282872986023E-3</v>
          </cell>
          <cell r="AJ37">
            <v>8.5381282872986023E-3</v>
          </cell>
          <cell r="AK37">
            <v>6.0750284551486781E-2</v>
          </cell>
          <cell r="AL37">
            <v>6.0750284551486781E-2</v>
          </cell>
          <cell r="AM37">
            <v>3719.5189537639744</v>
          </cell>
          <cell r="AN37">
            <v>0.25281733290460373</v>
          </cell>
          <cell r="AO37">
            <v>82960082.814489082</v>
          </cell>
          <cell r="AP37">
            <v>1506589.0860756652</v>
          </cell>
          <cell r="AQ37">
            <v>413970.3504746859</v>
          </cell>
          <cell r="AR37">
            <v>413970.3504746859</v>
          </cell>
          <cell r="AS37">
            <v>173812831.67392221</v>
          </cell>
          <cell r="AT37">
            <v>173812831.67392221</v>
          </cell>
          <cell r="AU37">
            <v>165257431.91561145</v>
          </cell>
          <cell r="AV37">
            <v>165257431.91561145</v>
          </cell>
          <cell r="AW37">
            <v>84306.754245150689</v>
          </cell>
          <cell r="AX37">
            <v>250300312.83023214</v>
          </cell>
          <cell r="AY37">
            <v>31</v>
          </cell>
          <cell r="AZ37">
            <v>0.97345763892695591</v>
          </cell>
          <cell r="BA37">
            <v>0.63130647055311329</v>
          </cell>
          <cell r="BD37">
            <v>31</v>
          </cell>
          <cell r="BE37">
            <v>152.71164551870044</v>
          </cell>
          <cell r="BF37">
            <v>7199.9862288883787</v>
          </cell>
          <cell r="BG37">
            <v>7199.9862288883787</v>
          </cell>
          <cell r="BH37">
            <v>1.6695238095238096E-2</v>
          </cell>
          <cell r="BI37">
            <v>1.6695238095238096E-2</v>
          </cell>
          <cell r="BJ37">
            <v>0.98581003466411277</v>
          </cell>
          <cell r="BK37">
            <v>979126544.71588266</v>
          </cell>
          <cell r="BL37"/>
          <cell r="BM37">
            <v>31</v>
          </cell>
          <cell r="BN37">
            <v>152.71164551870044</v>
          </cell>
          <cell r="BO37">
            <v>494.81738520664754</v>
          </cell>
          <cell r="BP37">
            <v>494.81738520664754</v>
          </cell>
          <cell r="BQ37">
            <v>1.6695238095238096E-2</v>
          </cell>
          <cell r="BR37">
            <v>1.6695238095238096E-2</v>
          </cell>
          <cell r="BS37">
            <v>4942.9187213831892</v>
          </cell>
          <cell r="BT37">
            <v>0.41670019338947539</v>
          </cell>
          <cell r="BU37">
            <v>460047656.863029</v>
          </cell>
          <cell r="BX37">
            <v>31</v>
          </cell>
          <cell r="BY37">
            <v>25646574.181002118</v>
          </cell>
          <cell r="BZ37">
            <v>76624893.995662466</v>
          </cell>
          <cell r="CA37">
            <v>76624893.995662466</v>
          </cell>
          <cell r="CB37">
            <v>486895.22053720226</v>
          </cell>
          <cell r="CC37">
            <v>486895.22053720226</v>
          </cell>
          <cell r="CD37">
            <v>41151238.522809006</v>
          </cell>
          <cell r="CF37">
            <v>0.11603661550205661</v>
          </cell>
          <cell r="CG37">
            <v>0.34668542081721077</v>
          </cell>
          <cell r="CH37">
            <v>0.34668542081721077</v>
          </cell>
          <cell r="CI37">
            <v>2.2029325669981861E-3</v>
          </cell>
          <cell r="CJ37">
            <v>2.2029325669981861E-3</v>
          </cell>
          <cell r="CK37">
            <v>0.18618667772952543</v>
          </cell>
          <cell r="CM37"/>
        </row>
        <row r="38">
          <cell r="T38">
            <v>0.57758973061099428</v>
          </cell>
          <cell r="U38">
            <v>150807125.28491485</v>
          </cell>
          <cell r="V38">
            <v>1977808.5001826945</v>
          </cell>
          <cell r="W38">
            <v>55353.626646413541</v>
          </cell>
          <cell r="X38">
            <v>55353.626646413541</v>
          </cell>
          <cell r="Y38">
            <v>231713159.46574697</v>
          </cell>
          <cell r="Z38">
            <v>231713159.46574697</v>
          </cell>
          <cell r="AA38">
            <v>219884838.67091328</v>
          </cell>
          <cell r="AB38">
            <v>219884838.67091328</v>
          </cell>
          <cell r="AC38">
            <v>296338208.30219656</v>
          </cell>
          <cell r="AD38"/>
          <cell r="AE38">
            <v>32</v>
          </cell>
          <cell r="AF38">
            <v>118.18639523543936</v>
          </cell>
          <cell r="AG38">
            <v>384.26465021624449</v>
          </cell>
          <cell r="AH38">
            <v>384.26465021624449</v>
          </cell>
          <cell r="AI38">
            <v>8.7905997292210374E-3</v>
          </cell>
          <cell r="AJ38">
            <v>8.7905997292210374E-3</v>
          </cell>
          <cell r="AK38">
            <v>6.3056727855808944E-2</v>
          </cell>
          <cell r="AL38">
            <v>6.3056727855808944E-2</v>
          </cell>
          <cell r="AM38">
            <v>3783.6630202092224</v>
          </cell>
          <cell r="AN38">
            <v>0.26004007221118597</v>
          </cell>
          <cell r="AO38">
            <v>91236139.214463249</v>
          </cell>
          <cell r="AP38">
            <v>1647720.2909428773</v>
          </cell>
          <cell r="AQ38">
            <v>453278.93402146874</v>
          </cell>
          <cell r="AR38">
            <v>453278.93402146874</v>
          </cell>
          <cell r="AS38">
            <v>193041173.8522341</v>
          </cell>
          <cell r="AT38">
            <v>193041173.8522341</v>
          </cell>
          <cell r="AU38">
            <v>183186951.77783772</v>
          </cell>
          <cell r="AV38">
            <v>183186951.77783772</v>
          </cell>
          <cell r="AW38">
            <v>92069.018885577403</v>
          </cell>
          <cell r="AX38">
            <v>276465923.38367951</v>
          </cell>
          <cell r="AY38">
            <v>32</v>
          </cell>
          <cell r="AZ38">
            <v>0.94834086476622825</v>
          </cell>
          <cell r="BA38">
            <v>0.60498560026320947</v>
          </cell>
          <cell r="BD38">
            <v>32</v>
          </cell>
          <cell r="BE38">
            <v>154.31613785952484</v>
          </cell>
          <cell r="BF38">
            <v>7318.2420320710435</v>
          </cell>
          <cell r="BG38">
            <v>7318.2420320710435</v>
          </cell>
          <cell r="BH38">
            <v>1.7059639826141532E-2</v>
          </cell>
          <cell r="BI38">
            <v>1.7059639826141532E-2</v>
          </cell>
          <cell r="BJ38">
            <v>0.99089224986760482</v>
          </cell>
          <cell r="BK38">
            <v>1029412364.6815673</v>
          </cell>
          <cell r="BL38"/>
          <cell r="BM38">
            <v>32</v>
          </cell>
          <cell r="BN38">
            <v>154.31613785952484</v>
          </cell>
          <cell r="BO38">
            <v>498.10410089401159</v>
          </cell>
          <cell r="BP38">
            <v>498.10410089401159</v>
          </cell>
          <cell r="BQ38">
            <v>1.7059639826141532E-2</v>
          </cell>
          <cell r="BR38">
            <v>1.7059639826141532E-2</v>
          </cell>
          <cell r="BS38">
            <v>4971.5960040651044</v>
          </cell>
          <cell r="BT38">
            <v>0.42141047291337186</v>
          </cell>
          <cell r="BU38">
            <v>480603587.28908843</v>
          </cell>
          <cell r="BX38">
            <v>32</v>
          </cell>
          <cell r="BY38">
            <v>29271749.423523944</v>
          </cell>
          <cell r="BZ38">
            <v>86827751.390573516</v>
          </cell>
          <cell r="CA38">
            <v>86827751.390573516</v>
          </cell>
          <cell r="CB38">
            <v>545396.17601992248</v>
          </cell>
          <cell r="CC38">
            <v>545396.17601992248</v>
          </cell>
          <cell r="CD38">
            <v>47637673.015509024</v>
          </cell>
          <cell r="CF38">
            <v>0.1163166476244418</v>
          </cell>
          <cell r="CG38">
            <v>0.34502594349224669</v>
          </cell>
          <cell r="CH38">
            <v>0.34502594349224669</v>
          </cell>
          <cell r="CI38">
            <v>2.1672314115549762E-3</v>
          </cell>
          <cell r="CJ38">
            <v>2.1672314115549762E-3</v>
          </cell>
          <cell r="CK38">
            <v>0.18929700256795487</v>
          </cell>
          <cell r="CM38"/>
        </row>
        <row r="39">
          <cell r="T39">
            <v>0.59947835081242762</v>
          </cell>
          <cell r="U39">
            <v>172318959.15670896</v>
          </cell>
          <cell r="V39">
            <v>2210691.5503469622</v>
          </cell>
          <cell r="W39">
            <v>60203.173409292445</v>
          </cell>
          <cell r="X39">
            <v>60203.173409292445</v>
          </cell>
          <cell r="Y39">
            <v>262933154.1529769</v>
          </cell>
          <cell r="Z39">
            <v>262933154.1529769</v>
          </cell>
          <cell r="AA39">
            <v>249046607.85389236</v>
          </cell>
          <cell r="AB39">
            <v>249046607.85389236</v>
          </cell>
          <cell r="AC39">
            <v>331765287.92123091</v>
          </cell>
          <cell r="AD39"/>
          <cell r="AE39">
            <v>33</v>
          </cell>
          <cell r="AF39">
            <v>120.01932053745269</v>
          </cell>
          <cell r="AG39">
            <v>389.82406659732737</v>
          </cell>
          <cell r="AH39">
            <v>389.82406659732737</v>
          </cell>
          <cell r="AI39">
            <v>9.0994368711728862E-3</v>
          </cell>
          <cell r="AJ39">
            <v>9.0994368711728862E-3</v>
          </cell>
          <cell r="AK39">
            <v>6.5365636082818535E-2</v>
          </cell>
          <cell r="AL39">
            <v>6.5365636082818535E-2</v>
          </cell>
          <cell r="AM39">
            <v>3850.8297311415272</v>
          </cell>
          <cell r="AN39">
            <v>0.26726281151776832</v>
          </cell>
          <cell r="AO39">
            <v>100398162.49624984</v>
          </cell>
          <cell r="AP39">
            <v>1801653.7011368575</v>
          </cell>
          <cell r="AQ39">
            <v>496133.81446212932</v>
          </cell>
          <cell r="AR39">
            <v>496133.81446212932</v>
          </cell>
          <cell r="AS39">
            <v>214283394.83043236</v>
          </cell>
          <cell r="AT39">
            <v>214283394.83043236</v>
          </cell>
          <cell r="AU39">
            <v>202966235.93876004</v>
          </cell>
          <cell r="AV39">
            <v>202966235.93876004</v>
          </cell>
          <cell r="AW39">
            <v>100448.43040761445</v>
          </cell>
          <cell r="AX39">
            <v>305232504.84788561</v>
          </cell>
          <cell r="AY39">
            <v>33</v>
          </cell>
          <cell r="AZ39">
            <v>0.92814547808527859</v>
          </cell>
          <cell r="BA39">
            <v>0.58262981036779904</v>
          </cell>
          <cell r="BD39">
            <v>33</v>
          </cell>
          <cell r="BE39">
            <v>155.92063020034922</v>
          </cell>
          <cell r="BF39">
            <v>7436.4978352537082</v>
          </cell>
          <cell r="BG39">
            <v>7436.4978352537082</v>
          </cell>
          <cell r="BH39">
            <v>1.742404155704497E-2</v>
          </cell>
          <cell r="BI39">
            <v>1.742404155704497E-2</v>
          </cell>
          <cell r="BJ39">
            <v>0.99597446507109688</v>
          </cell>
          <cell r="BK39">
            <v>1079698184.6472518</v>
          </cell>
          <cell r="BL39"/>
          <cell r="BM39">
            <v>33</v>
          </cell>
          <cell r="BN39">
            <v>155.92063020034922</v>
          </cell>
          <cell r="BO39">
            <v>501.39081658137565</v>
          </cell>
          <cell r="BP39">
            <v>501.39081658137565</v>
          </cell>
          <cell r="BQ39">
            <v>1.742404155704497E-2</v>
          </cell>
          <cell r="BR39">
            <v>1.742404155704497E-2</v>
          </cell>
          <cell r="BS39">
            <v>5000.2732867470204</v>
          </cell>
          <cell r="BT39">
            <v>0.42612075243726827</v>
          </cell>
          <cell r="BU39">
            <v>501159517.71514791</v>
          </cell>
          <cell r="BX39">
            <v>33</v>
          </cell>
          <cell r="BY39">
            <v>33323781.901101951</v>
          </cell>
          <cell r="BZ39">
            <v>97924483.984803841</v>
          </cell>
          <cell r="CA39">
            <v>97924483.984803841</v>
          </cell>
          <cell r="CB39">
            <v>626599.69987291284</v>
          </cell>
          <cell r="CC39">
            <v>626599.69987291284</v>
          </cell>
          <cell r="CD39">
            <v>54899557.398836032</v>
          </cell>
          <cell r="CF39">
            <v>0.11679215885779924</v>
          </cell>
          <cell r="CG39">
            <v>0.34320269900827299</v>
          </cell>
          <cell r="CH39">
            <v>0.34320269900827299</v>
          </cell>
          <cell r="CI39">
            <v>2.1960872239830194E-3</v>
          </cell>
          <cell r="CJ39">
            <v>2.1960872239830194E-3</v>
          </cell>
          <cell r="CK39">
            <v>0.19241026867768868</v>
          </cell>
          <cell r="CM39"/>
        </row>
        <row r="40">
          <cell r="T40">
            <v>0.62136697101386107</v>
          </cell>
          <cell r="U40">
            <v>196154101.32206354</v>
          </cell>
          <cell r="V40">
            <v>2462821.6502298224</v>
          </cell>
          <cell r="W40">
            <v>65360.084334976375</v>
          </cell>
          <cell r="X40">
            <v>65360.084334976375</v>
          </cell>
          <cell r="Y40">
            <v>297255404.25216091</v>
          </cell>
          <cell r="Z40">
            <v>297255404.25216091</v>
          </cell>
          <cell r="AA40">
            <v>281077794.93268013</v>
          </cell>
          <cell r="AB40">
            <v>281077794.93268013</v>
          </cell>
          <cell r="AC40">
            <v>370181895.33601648</v>
          </cell>
          <cell r="AD40"/>
          <cell r="AE40">
            <v>34</v>
          </cell>
          <cell r="AF40">
            <v>121.85224583946598</v>
          </cell>
          <cell r="AG40">
            <v>395.42586957740161</v>
          </cell>
          <cell r="AH40">
            <v>395.42586957740161</v>
          </cell>
          <cell r="AI40">
            <v>9.5707088574554337E-3</v>
          </cell>
          <cell r="AJ40">
            <v>9.5707088574554337E-3</v>
          </cell>
          <cell r="AK40">
            <v>6.7677186148551755E-2</v>
          </cell>
          <cell r="AL40">
            <v>6.7677186148551755E-2</v>
          </cell>
          <cell r="AM40">
            <v>3913.962430455269</v>
          </cell>
          <cell r="AN40">
            <v>0.27448555082435061</v>
          </cell>
          <cell r="AO40">
            <v>110166673.76774524</v>
          </cell>
          <cell r="AP40">
            <v>1964555.6974493416</v>
          </cell>
          <cell r="AQ40">
            <v>541474.23853950528</v>
          </cell>
          <cell r="AR40">
            <v>541474.23853950528</v>
          </cell>
          <cell r="AS40">
            <v>237116154.13430178</v>
          </cell>
          <cell r="AT40">
            <v>237116154.13430178</v>
          </cell>
          <cell r="AU40">
            <v>224211519.09638515</v>
          </cell>
          <cell r="AV40">
            <v>224211519.09638515</v>
          </cell>
          <cell r="AW40">
            <v>109409.7991141626</v>
          </cell>
          <cell r="AX40">
            <v>335998978.55217707</v>
          </cell>
          <cell r="AY40">
            <v>34</v>
          </cell>
          <cell r="AZ40">
            <v>0.90896184868399388</v>
          </cell>
          <cell r="BA40">
            <v>0.56163329252475658</v>
          </cell>
          <cell r="BD40">
            <v>34</v>
          </cell>
          <cell r="BE40">
            <v>157.44955978457031</v>
          </cell>
          <cell r="BF40">
            <v>7549.1844410987105</v>
          </cell>
          <cell r="BG40">
            <v>7549.1844410987105</v>
          </cell>
          <cell r="BH40">
            <v>1.7782222222222224E-2</v>
          </cell>
          <cell r="BI40">
            <v>1.7782222222222224E-2</v>
          </cell>
          <cell r="BJ40">
            <v>1.0008173359158432</v>
          </cell>
          <cell r="BK40">
            <v>1130398613.577836</v>
          </cell>
          <cell r="BL40"/>
          <cell r="BM40">
            <v>34</v>
          </cell>
          <cell r="BN40">
            <v>157.44955978457031</v>
          </cell>
          <cell r="BO40">
            <v>504.53989366333349</v>
          </cell>
          <cell r="BP40">
            <v>504.53989366333349</v>
          </cell>
          <cell r="BQ40">
            <v>1.7782222222222224E-2</v>
          </cell>
          <cell r="BR40">
            <v>1.7782222222222224E-2</v>
          </cell>
          <cell r="BS40">
            <v>5026.5422302376901</v>
          </cell>
          <cell r="BT40">
            <v>0.4306092037254407</v>
          </cell>
          <cell r="BU40">
            <v>521716385.47101867</v>
          </cell>
          <cell r="BX40">
            <v>34</v>
          </cell>
          <cell r="BY40">
            <v>37837950.018154323</v>
          </cell>
          <cell r="BZ40">
            <v>109971745.56802176</v>
          </cell>
          <cell r="CA40">
            <v>109971745.56802176</v>
          </cell>
          <cell r="CB40">
            <v>766687.8446680503</v>
          </cell>
          <cell r="CC40">
            <v>766687.8446680503</v>
          </cell>
          <cell r="CD40">
            <v>63002328.311292887</v>
          </cell>
          <cell r="CF40">
            <v>0.11739353797012148</v>
          </cell>
          <cell r="CG40">
            <v>0.34119111322854451</v>
          </cell>
          <cell r="CH40">
            <v>0.34119111322854451</v>
          </cell>
          <cell r="CI40">
            <v>2.3786753394696622E-3</v>
          </cell>
          <cell r="CJ40">
            <v>2.3786753394696622E-3</v>
          </cell>
          <cell r="CK40">
            <v>0.19546688489385</v>
          </cell>
          <cell r="CM40"/>
        </row>
        <row r="41">
          <cell r="T41">
            <v>0.6550080866814767</v>
          </cell>
          <cell r="U41">
            <v>226019182.38131964</v>
          </cell>
          <cell r="V41">
            <v>2771201.9001036254</v>
          </cell>
          <cell r="W41">
            <v>71824.406613237268</v>
          </cell>
          <cell r="X41">
            <v>71824.406613237268</v>
          </cell>
          <cell r="Y41">
            <v>339700030.83677828</v>
          </cell>
          <cell r="Z41">
            <v>339700030.83677828</v>
          </cell>
          <cell r="AA41">
            <v>320678024.66928554</v>
          </cell>
          <cell r="AB41">
            <v>320678024.66928554</v>
          </cell>
          <cell r="AC41">
            <v>414647861.95725453</v>
          </cell>
          <cell r="AD41"/>
          <cell r="AE41">
            <v>35</v>
          </cell>
          <cell r="AF41">
            <v>123.81731634905051</v>
          </cell>
          <cell r="AG41">
            <v>401.06733337137814</v>
          </cell>
          <cell r="AH41">
            <v>401.06733337137814</v>
          </cell>
          <cell r="AI41">
            <v>1.007580566598984E-2</v>
          </cell>
          <cell r="AJ41">
            <v>1.007580566598984E-2</v>
          </cell>
          <cell r="AK41">
            <v>6.9991567666921259E-2</v>
          </cell>
          <cell r="AL41">
            <v>6.9991567666921259E-2</v>
          </cell>
          <cell r="AM41">
            <v>3980.1909129472951</v>
          </cell>
          <cell r="AN41">
            <v>0.2830730558036646</v>
          </cell>
          <cell r="AO41">
            <v>121345922.7396445</v>
          </cell>
          <cell r="AP41">
            <v>2153129.1327431789</v>
          </cell>
          <cell r="AQ41">
            <v>594537.38275350176</v>
          </cell>
          <cell r="AR41">
            <v>594537.38275350176</v>
          </cell>
          <cell r="AS41">
            <v>263935310.07649544</v>
          </cell>
          <cell r="AT41">
            <v>263935310.07649544</v>
          </cell>
          <cell r="AU41">
            <v>249155861.62096515</v>
          </cell>
          <cell r="AV41">
            <v>249155861.62096515</v>
          </cell>
          <cell r="AW41">
            <v>119818.13330354833</v>
          </cell>
          <cell r="AX41">
            <v>371685028.55231452</v>
          </cell>
          <cell r="AY41">
            <v>35</v>
          </cell>
          <cell r="AZ41">
            <v>0.89325891494544307</v>
          </cell>
          <cell r="BA41">
            <v>0.53688329221066</v>
          </cell>
          <cell r="BD41">
            <v>35</v>
          </cell>
          <cell r="BE41">
            <v>158.94660407322758</v>
          </cell>
          <cell r="BF41">
            <v>7659.5210069088189</v>
          </cell>
          <cell r="BG41">
            <v>7659.5210069088189</v>
          </cell>
          <cell r="BH41">
            <v>1.8137777777777777E-2</v>
          </cell>
          <cell r="BI41">
            <v>1.8137777777777777E-2</v>
          </cell>
          <cell r="BJ41">
            <v>1.0055592103707911</v>
          </cell>
          <cell r="BK41">
            <v>1181273995.4876852</v>
          </cell>
          <cell r="BL41"/>
          <cell r="BM41">
            <v>35</v>
          </cell>
          <cell r="BN41">
            <v>158.94660407322758</v>
          </cell>
          <cell r="BO41">
            <v>507.63089123877722</v>
          </cell>
          <cell r="BP41">
            <v>507.63089123877722</v>
          </cell>
          <cell r="BQ41">
            <v>1.8137777777777777E-2</v>
          </cell>
          <cell r="BR41">
            <v>1.8137777777777777E-2</v>
          </cell>
          <cell r="BS41">
            <v>5051.7949243168414</v>
          </cell>
          <cell r="BT41">
            <v>0.43500404992059633</v>
          </cell>
          <cell r="BU41">
            <v>542273648.75293183</v>
          </cell>
          <cell r="BX41">
            <v>35</v>
          </cell>
          <cell r="BY41">
            <v>43283557.14815259</v>
          </cell>
          <cell r="BZ41">
            <v>123313290.25688162</v>
          </cell>
          <cell r="CA41">
            <v>123313290.25688162</v>
          </cell>
          <cell r="CB41">
            <v>938269.24610274634</v>
          </cell>
          <cell r="CC41">
            <v>938269.24610274634</v>
          </cell>
          <cell r="CD41">
            <v>76951544.996726409</v>
          </cell>
          <cell r="CF41">
            <v>0.11738288754841514</v>
          </cell>
          <cell r="CG41">
            <v>0.33441960497616868</v>
          </cell>
          <cell r="CH41">
            <v>0.33441960497616868</v>
          </cell>
          <cell r="CI41">
            <v>2.5445402518197544E-3</v>
          </cell>
          <cell r="CJ41">
            <v>2.5445402518197544E-3</v>
          </cell>
          <cell r="CK41">
            <v>0.20868882199560804</v>
          </cell>
          <cell r="CM41"/>
        </row>
        <row r="42">
          <cell r="T42">
            <v>0.70528045152878982</v>
          </cell>
          <cell r="U42">
            <v>264859403.65408173</v>
          </cell>
          <cell r="V42">
            <v>3162458.3189295912</v>
          </cell>
          <cell r="W42">
            <v>80156.796459658857</v>
          </cell>
          <cell r="X42">
            <v>80156.796459658857</v>
          </cell>
          <cell r="Y42">
            <v>393803101.35732526</v>
          </cell>
          <cell r="Z42">
            <v>393803101.35732526</v>
          </cell>
          <cell r="AA42">
            <v>371143266.28526759</v>
          </cell>
          <cell r="AB42">
            <v>371143266.28526759</v>
          </cell>
          <cell r="AC42">
            <v>466762236.53469944</v>
          </cell>
          <cell r="AD42"/>
          <cell r="AE42">
            <v>36</v>
          </cell>
          <cell r="AF42">
            <v>125.84521868795596</v>
          </cell>
          <cell r="AG42">
            <v>406.75072652253391</v>
          </cell>
          <cell r="AH42">
            <v>406.75072652253391</v>
          </cell>
          <cell r="AI42">
            <v>1.0607223166900543E-2</v>
          </cell>
          <cell r="AJ42">
            <v>1.0607223166900543E-2</v>
          </cell>
          <cell r="AK42">
            <v>7.2308983861086737E-2</v>
          </cell>
          <cell r="AL42">
            <v>7.2308983861086737E-2</v>
          </cell>
          <cell r="AM42">
            <v>4043.8224722802161</v>
          </cell>
          <cell r="AN42">
            <v>0.29359187469332293</v>
          </cell>
          <cell r="AO42">
            <v>133815615.48190941</v>
          </cell>
          <cell r="AP42">
            <v>2371516.7730662785</v>
          </cell>
          <cell r="AQ42">
            <v>656265.50405258941</v>
          </cell>
          <cell r="AR42">
            <v>656265.50405258941</v>
          </cell>
          <cell r="AS42">
            <v>295311610.76947278</v>
          </cell>
          <cell r="AT42">
            <v>295311610.76947278</v>
          </cell>
          <cell r="AU42">
            <v>278319077.26266301</v>
          </cell>
          <cell r="AV42">
            <v>278319077.26266301</v>
          </cell>
          <cell r="AW42">
            <v>132021.85427024864</v>
          </cell>
          <cell r="AX42">
            <v>412705855.35851705</v>
          </cell>
          <cell r="AY42">
            <v>36</v>
          </cell>
          <cell r="AZ42">
            <v>0.87798777352875867</v>
          </cell>
          <cell r="BA42">
            <v>0.50523263903696847</v>
          </cell>
          <cell r="BD42">
            <v>36</v>
          </cell>
          <cell r="BE42">
            <v>160.42023917462819</v>
          </cell>
          <cell r="BF42">
            <v>7768.0720231737023</v>
          </cell>
          <cell r="BG42">
            <v>7768.0720231737023</v>
          </cell>
          <cell r="BH42">
            <v>1.84890657782718E-2</v>
          </cell>
          <cell r="BI42">
            <v>1.84890657782718E-2</v>
          </cell>
          <cell r="BJ42">
            <v>1.0102243482360658</v>
          </cell>
          <cell r="BK42">
            <v>1232270782.2934694</v>
          </cell>
          <cell r="BL42"/>
          <cell r="BM42">
            <v>36</v>
          </cell>
          <cell r="BN42">
            <v>160.42023917462819</v>
          </cell>
          <cell r="BO42">
            <v>510.67736568323704</v>
          </cell>
          <cell r="BP42">
            <v>510.67736568323704</v>
          </cell>
          <cell r="BQ42">
            <v>1.84890657782718E-2</v>
          </cell>
          <cell r="BR42">
            <v>1.84890657782718E-2</v>
          </cell>
          <cell r="BS42">
            <v>5076.8987096918345</v>
          </cell>
          <cell r="BT42">
            <v>0.43932777539917461</v>
          </cell>
          <cell r="BU42">
            <v>562963446.98701787</v>
          </cell>
          <cell r="BX42">
            <v>36</v>
          </cell>
          <cell r="BY42">
            <v>49696713.769800901</v>
          </cell>
          <cell r="BZ42">
            <v>138364899.51459083</v>
          </cell>
          <cell r="CA42">
            <v>138364899.51459083</v>
          </cell>
          <cell r="CB42">
            <v>1147543.1060769404</v>
          </cell>
          <cell r="CC42">
            <v>1147543.1060769404</v>
          </cell>
          <cell r="CD42">
            <v>100416786.44874668</v>
          </cell>
          <cell r="CF42">
            <v>0.11580579937295464</v>
          </cell>
          <cell r="CG42">
            <v>0.32242489649653</v>
          </cell>
          <cell r="CH42">
            <v>0.32242489649653</v>
          </cell>
          <cell r="CI42">
            <v>2.6740630644056318E-3</v>
          </cell>
          <cell r="CJ42">
            <v>2.6740630644056318E-3</v>
          </cell>
          <cell r="CK42">
            <v>0.23399628150517399</v>
          </cell>
          <cell r="CM42"/>
        </row>
        <row r="43">
          <cell r="T43">
            <v>0.75555281637610316</v>
          </cell>
          <cell r="U43">
            <v>308692351.74806994</v>
          </cell>
          <cell r="V43">
            <v>3593751.5385242528</v>
          </cell>
          <cell r="W43">
            <v>89183.416089696126</v>
          </cell>
          <cell r="X43">
            <v>89183.416089696126</v>
          </cell>
          <cell r="Y43">
            <v>454611005.22240603</v>
          </cell>
          <cell r="Z43">
            <v>454611005.22240603</v>
          </cell>
          <cell r="AA43">
            <v>427630323.00467288</v>
          </cell>
          <cell r="AB43">
            <v>427630323.00467288</v>
          </cell>
          <cell r="AC43">
            <v>523532212.91831553</v>
          </cell>
          <cell r="AD43"/>
          <cell r="AE43">
            <v>37</v>
          </cell>
          <cell r="AF43">
            <v>127.87312102686141</v>
          </cell>
          <cell r="AG43">
            <v>412.47645516718927</v>
          </cell>
          <cell r="AH43">
            <v>412.47645516718927</v>
          </cell>
          <cell r="AI43">
            <v>1.0851519534512216E-2</v>
          </cell>
          <cell r="AJ43">
            <v>1.0851519534512216E-2</v>
          </cell>
          <cell r="AK43">
            <v>7.4629652540237762E-2</v>
          </cell>
          <cell r="AL43">
            <v>7.4629652540237762E-2</v>
          </cell>
          <cell r="AM43">
            <v>4109.020743671972</v>
          </cell>
          <cell r="AN43">
            <v>0.30411069358298126</v>
          </cell>
          <cell r="AO43">
            <v>147436680.32804844</v>
          </cell>
          <cell r="AP43">
            <v>2608028.4828888308</v>
          </cell>
          <cell r="AQ43">
            <v>723165.04437872535</v>
          </cell>
          <cell r="AR43">
            <v>723165.04437872535</v>
          </cell>
          <cell r="AS43">
            <v>329916644.9168691</v>
          </cell>
          <cell r="AT43">
            <v>329916644.9168691</v>
          </cell>
          <cell r="AU43">
            <v>310336441.0665729</v>
          </cell>
          <cell r="AV43">
            <v>310336441.0665729</v>
          </cell>
          <cell r="AW43">
            <v>145187.173593871</v>
          </cell>
          <cell r="AX43">
            <v>457458949.57218128</v>
          </cell>
          <cell r="AY43">
            <v>37</v>
          </cell>
          <cell r="AZ43">
            <v>0.86552289806716221</v>
          </cell>
          <cell r="BA43">
            <v>0.47761688779505135</v>
          </cell>
          <cell r="BD43">
            <v>37</v>
          </cell>
          <cell r="BE43">
            <v>161.82041223834273</v>
          </cell>
          <cell r="BF43">
            <v>7871.0196792474071</v>
          </cell>
          <cell r="BG43">
            <v>7871.0196792474071</v>
          </cell>
          <cell r="BH43">
            <v>1.8826961460300391E-2</v>
          </cell>
          <cell r="BI43">
            <v>1.8826961460300391E-2</v>
          </cell>
          <cell r="BJ43">
            <v>1.0146486735442579</v>
          </cell>
          <cell r="BK43">
            <v>1283648558.4494033</v>
          </cell>
          <cell r="BL43"/>
          <cell r="BM43">
            <v>37</v>
          </cell>
          <cell r="BN43">
            <v>161.82041223834273</v>
          </cell>
          <cell r="BO43">
            <v>513.58411891950675</v>
          </cell>
          <cell r="BP43">
            <v>513.58411891950675</v>
          </cell>
          <cell r="BQ43">
            <v>1.8826961460300391E-2</v>
          </cell>
          <cell r="BR43">
            <v>1.8826961460300391E-2</v>
          </cell>
          <cell r="BS43">
            <v>5101.5351940573237</v>
          </cell>
          <cell r="BT43">
            <v>0.44342831189198489</v>
          </cell>
          <cell r="BU43">
            <v>584069162.59339488</v>
          </cell>
          <cell r="BX43">
            <v>37</v>
          </cell>
          <cell r="BY43">
            <v>56984490.920219287</v>
          </cell>
          <cell r="BZ43">
            <v>155111501.05729818</v>
          </cell>
          <cell r="CA43">
            <v>155111501.05729818</v>
          </cell>
          <cell r="CB43">
            <v>1258602.9233290658</v>
          </cell>
          <cell r="CC43">
            <v>1258602.9233290658</v>
          </cell>
          <cell r="CD43">
            <v>126735988.86589757</v>
          </cell>
          <cell r="CF43">
            <v>0.11478147681497065</v>
          </cell>
          <cell r="CG43">
            <v>0.31243460939696421</v>
          </cell>
          <cell r="CH43">
            <v>0.31243460939696421</v>
          </cell>
          <cell r="CI43">
            <v>2.5351512302813342E-3</v>
          </cell>
          <cell r="CJ43">
            <v>2.5351512302813342E-3</v>
          </cell>
          <cell r="CK43">
            <v>0.25527900193053826</v>
          </cell>
          <cell r="CM43"/>
        </row>
        <row r="44">
          <cell r="T44">
            <v>0.80582518122341618</v>
          </cell>
          <cell r="U44">
            <v>357996160.87409127</v>
          </cell>
          <cell r="V44">
            <v>4068939.3306904156</v>
          </cell>
          <cell r="W44">
            <v>98932.384637434079</v>
          </cell>
          <cell r="X44">
            <v>98932.384637434079</v>
          </cell>
          <cell r="Y44">
            <v>522548669.89591783</v>
          </cell>
          <cell r="Z44">
            <v>522548669.89591783</v>
          </cell>
          <cell r="AA44">
            <v>490618321.26905626</v>
          </cell>
          <cell r="AB44">
            <v>490618321.26905626</v>
          </cell>
          <cell r="AC44">
            <v>585168422.27819264</v>
          </cell>
          <cell r="AD44"/>
          <cell r="AE44">
            <v>38</v>
          </cell>
          <cell r="AF44">
            <v>129.85102336576685</v>
          </cell>
          <cell r="AG44">
            <v>418.24451930534428</v>
          </cell>
          <cell r="AH44">
            <v>418.24451930534428</v>
          </cell>
          <cell r="AI44">
            <v>1.1113349898312417E-2</v>
          </cell>
          <cell r="AJ44">
            <v>1.1113349898312417E-2</v>
          </cell>
          <cell r="AK44">
            <v>7.6918478577601285E-2</v>
          </cell>
          <cell r="AL44">
            <v>7.6918478577601285E-2</v>
          </cell>
          <cell r="AM44">
            <v>4173.3890826430224</v>
          </cell>
          <cell r="AN44">
            <v>0.31462951247263965</v>
          </cell>
          <cell r="AO44">
            <v>162138347.77059144</v>
          </cell>
          <cell r="AP44">
            <v>2862851.5438208035</v>
          </cell>
          <cell r="AQ44">
            <v>794985.00913319807</v>
          </cell>
          <cell r="AR44">
            <v>794985.00913319807</v>
          </cell>
          <cell r="AS44">
            <v>367658287.51720369</v>
          </cell>
          <cell r="AT44">
            <v>367658287.51720369</v>
          </cell>
          <cell r="AU44">
            <v>345192519.30786645</v>
          </cell>
          <cell r="AV44">
            <v>345192519.30786645</v>
          </cell>
          <cell r="AW44">
            <v>159342.01983836928</v>
          </cell>
          <cell r="AX44">
            <v>505843083.31019473</v>
          </cell>
          <cell r="AY44">
            <v>38</v>
          </cell>
          <cell r="AZ44">
            <v>0.8545786290566697</v>
          </cell>
          <cell r="BA44">
            <v>0.45290526963951483</v>
          </cell>
          <cell r="BD44">
            <v>38</v>
          </cell>
          <cell r="BE44">
            <v>163.22058530205729</v>
          </cell>
          <cell r="BF44">
            <v>7973.9673353211119</v>
          </cell>
          <cell r="BG44">
            <v>7973.9673353211119</v>
          </cell>
          <cell r="BH44">
            <v>1.9164857142328982E-2</v>
          </cell>
          <cell r="BI44">
            <v>1.9164857142328982E-2</v>
          </cell>
          <cell r="BJ44">
            <v>1.0190729988524501</v>
          </cell>
          <cell r="BK44">
            <v>1335026334.6053374</v>
          </cell>
          <cell r="BL44"/>
          <cell r="BM44">
            <v>38</v>
          </cell>
          <cell r="BN44">
            <v>163.22058530205729</v>
          </cell>
          <cell r="BO44">
            <v>516.49087215577651</v>
          </cell>
          <cell r="BP44">
            <v>516.49087215577651</v>
          </cell>
          <cell r="BQ44">
            <v>1.9164857142328982E-2</v>
          </cell>
          <cell r="BR44">
            <v>1.9164857142328982E-2</v>
          </cell>
          <cell r="BS44">
            <v>5126.1716784228129</v>
          </cell>
          <cell r="BT44">
            <v>0.44752884838479512</v>
          </cell>
          <cell r="BU44">
            <v>605174878.19977188</v>
          </cell>
          <cell r="BX44">
            <v>38</v>
          </cell>
          <cell r="BY44">
            <v>65032455.539256185</v>
          </cell>
          <cell r="BZ44">
            <v>173688735.45619881</v>
          </cell>
          <cell r="CA44">
            <v>173688735.45619881</v>
          </cell>
          <cell r="CB44">
            <v>1395422.0316712251</v>
          </cell>
          <cell r="CC44">
            <v>1395422.0316712251</v>
          </cell>
          <cell r="CD44">
            <v>156153789.2877934</v>
          </cell>
          <cell r="CF44">
            <v>0.11382153939876312</v>
          </cell>
          <cell r="CG44">
            <v>0.30399466054169533</v>
          </cell>
          <cell r="CH44">
            <v>0.30399466054169533</v>
          </cell>
          <cell r="CI44">
            <v>2.4423048835960507E-3</v>
          </cell>
          <cell r="CJ44">
            <v>2.4423048835960507E-3</v>
          </cell>
          <cell r="CK44">
            <v>0.27330452975065406</v>
          </cell>
          <cell r="CM44"/>
        </row>
        <row r="45">
          <cell r="T45">
            <v>0.85609754607072919</v>
          </cell>
          <cell r="U45">
            <v>413404926.26499343</v>
          </cell>
          <cell r="V45">
            <v>4591397.4259461826</v>
          </cell>
          <cell r="W45">
            <v>109486.30855769591</v>
          </cell>
          <cell r="X45">
            <v>109486.30855769591</v>
          </cell>
          <cell r="Y45">
            <v>598460151.49718666</v>
          </cell>
          <cell r="Z45">
            <v>598460151.49718666</v>
          </cell>
          <cell r="AA45">
            <v>560867248.26256132</v>
          </cell>
          <cell r="AB45">
            <v>560867248.26256132</v>
          </cell>
          <cell r="AC45">
            <v>652206013.01588929</v>
          </cell>
          <cell r="AD45"/>
          <cell r="AE45">
            <v>39</v>
          </cell>
          <cell r="AF45">
            <v>131.82892570467232</v>
          </cell>
          <cell r="AG45">
            <v>424.05491893699889</v>
          </cell>
          <cell r="AH45">
            <v>424.05491893699889</v>
          </cell>
          <cell r="AI45">
            <v>1.1393972733919696E-2</v>
          </cell>
          <cell r="AJ45">
            <v>1.1393972733919696E-2</v>
          </cell>
          <cell r="AK45">
            <v>7.9184052947821632E-2</v>
          </cell>
          <cell r="AL45">
            <v>7.9184052947821632E-2</v>
          </cell>
          <cell r="AM45">
            <v>4237.6063828071456</v>
          </cell>
          <cell r="AN45">
            <v>0.32514833136229798</v>
          </cell>
          <cell r="AO45">
            <v>178109422.75270343</v>
          </cell>
          <cell r="AP45">
            <v>3137809.9390645721</v>
          </cell>
          <cell r="AQ45">
            <v>872489.55291180313</v>
          </cell>
          <cell r="AR45">
            <v>872489.55291180313</v>
          </cell>
          <cell r="AS45">
            <v>408994046.32021785</v>
          </cell>
          <cell r="AT45">
            <v>408994046.32021785</v>
          </cell>
          <cell r="AU45">
            <v>383302655.55946457</v>
          </cell>
          <cell r="AV45">
            <v>383302655.55946457</v>
          </cell>
          <cell r="AW45">
            <v>174619.09068973153</v>
          </cell>
          <cell r="AX45">
            <v>558403127.97743535</v>
          </cell>
          <cell r="AY45">
            <v>39</v>
          </cell>
          <cell r="AZ45">
            <v>0.84524741968201555</v>
          </cell>
          <cell r="BA45">
            <v>0.43083526933719923</v>
          </cell>
          <cell r="BD45">
            <v>39</v>
          </cell>
          <cell r="BE45">
            <v>164.53771603531342</v>
          </cell>
          <cell r="BF45">
            <v>8073.7673590479208</v>
          </cell>
          <cell r="BG45">
            <v>8073.7673590479208</v>
          </cell>
          <cell r="BH45">
            <v>1.9499480118497631E-2</v>
          </cell>
          <cell r="BI45">
            <v>1.9499480118497631E-2</v>
          </cell>
          <cell r="BJ45">
            <v>1.0240435700412671</v>
          </cell>
          <cell r="BK45">
            <v>1387858329.1335859</v>
          </cell>
          <cell r="BL45"/>
          <cell r="BM45">
            <v>39</v>
          </cell>
          <cell r="BN45">
            <v>164.53771603531342</v>
          </cell>
          <cell r="BO45">
            <v>519.29298166406954</v>
          </cell>
          <cell r="BP45">
            <v>519.29298166406954</v>
          </cell>
          <cell r="BQ45">
            <v>1.9499480118497631E-2</v>
          </cell>
          <cell r="BR45">
            <v>1.9499480118497631E-2</v>
          </cell>
          <cell r="BS45">
            <v>5149.4404335600702</v>
          </cell>
          <cell r="BT45">
            <v>0.45170478939501563</v>
          </cell>
          <cell r="BU45">
            <v>626483821.24601579</v>
          </cell>
          <cell r="BX45">
            <v>39</v>
          </cell>
          <cell r="BY45">
            <v>74113791.246879667</v>
          </cell>
          <cell r="BZ45">
            <v>194247754.8814424</v>
          </cell>
          <cell r="CA45">
            <v>194247754.8814424</v>
          </cell>
          <cell r="CB45">
            <v>1563363.6163823274</v>
          </cell>
          <cell r="CC45">
            <v>1563363.6163823274</v>
          </cell>
          <cell r="CD45">
            <v>188941727.92973956</v>
          </cell>
          <cell r="CF45">
            <v>0.11320652114439296</v>
          </cell>
          <cell r="CG45">
            <v>0.29670743056425003</v>
          </cell>
          <cell r="CH45">
            <v>0.29670743056425003</v>
          </cell>
          <cell r="CI45">
            <v>2.3879895133796965E-3</v>
          </cell>
          <cell r="CJ45">
            <v>2.3879895133796965E-3</v>
          </cell>
          <cell r="CK45">
            <v>0.28860263870034769</v>
          </cell>
          <cell r="CM45"/>
        </row>
        <row r="46">
          <cell r="T46">
            <v>0.90636991091804231</v>
          </cell>
          <cell r="U46">
            <v>475501254.62636805</v>
          </cell>
          <cell r="V46">
            <v>5165006.0939870263</v>
          </cell>
          <cell r="W46">
            <v>120905.7599820309</v>
          </cell>
          <cell r="X46">
            <v>120905.7599820309</v>
          </cell>
          <cell r="Y46">
            <v>683124125.3852793</v>
          </cell>
          <cell r="Z46">
            <v>683124125.3852793</v>
          </cell>
          <cell r="AA46">
            <v>639059375.33514786</v>
          </cell>
          <cell r="AB46">
            <v>639059375.33514786</v>
          </cell>
          <cell r="AC46">
            <v>725056641.21538413</v>
          </cell>
          <cell r="AD46"/>
          <cell r="AE46">
            <v>40</v>
          </cell>
          <cell r="AF46">
            <v>133.80682804357778</v>
          </cell>
          <cell r="AG46">
            <v>429.88556816836683</v>
          </cell>
          <cell r="AH46">
            <v>429.88556816836683</v>
          </cell>
          <cell r="AI46">
            <v>1.1694736842105263E-2</v>
          </cell>
          <cell r="AJ46">
            <v>1.1694736842105263E-2</v>
          </cell>
          <cell r="AK46">
            <v>8.1453631596761403E-2</v>
          </cell>
          <cell r="AL46">
            <v>8.1453631596761403E-2</v>
          </cell>
          <cell r="AM46">
            <v>4302.7796402772656</v>
          </cell>
          <cell r="AN46">
            <v>0.33566715025195631</v>
          </cell>
          <cell r="AO46">
            <v>195534542.81828371</v>
          </cell>
          <cell r="AP46">
            <v>3435367.4116622736</v>
          </cell>
          <cell r="AQ46">
            <v>956408.86993685144</v>
          </cell>
          <cell r="AR46">
            <v>956408.86993685144</v>
          </cell>
          <cell r="AS46">
            <v>454361972.81566578</v>
          </cell>
          <cell r="AT46">
            <v>454361972.81566578</v>
          </cell>
          <cell r="AU46">
            <v>425053467.93287456</v>
          </cell>
          <cell r="AV46">
            <v>425053467.93287456</v>
          </cell>
          <cell r="AW46">
            <v>191107.33285312995</v>
          </cell>
          <cell r="AX46">
            <v>615641958.96636605</v>
          </cell>
          <cell r="AY46">
            <v>40</v>
          </cell>
          <cell r="AZ46">
            <v>0.83770225141283627</v>
          </cell>
          <cell r="BA46">
            <v>0.41121772217389368</v>
          </cell>
          <cell r="BD46">
            <v>40</v>
          </cell>
          <cell r="BE46">
            <v>165.80026024269506</v>
          </cell>
          <cell r="BF46">
            <v>8171.4983378238139</v>
          </cell>
          <cell r="BG46">
            <v>8171.4983378238139</v>
          </cell>
          <cell r="BH46">
            <v>1.9831951834674934E-2</v>
          </cell>
          <cell r="BI46">
            <v>1.9831951834674934E-2</v>
          </cell>
          <cell r="BJ46">
            <v>1.0293732070791757</v>
          </cell>
          <cell r="BK46">
            <v>1441646230.4670663</v>
          </cell>
          <cell r="BL46"/>
          <cell r="BM46">
            <v>40</v>
          </cell>
          <cell r="BN46">
            <v>165.80026024269506</v>
          </cell>
          <cell r="BO46">
            <v>522.02630531901184</v>
          </cell>
          <cell r="BP46">
            <v>522.02630531901184</v>
          </cell>
          <cell r="BQ46">
            <v>1.9831951834674934E-2</v>
          </cell>
          <cell r="BR46">
            <v>1.9831951834674934E-2</v>
          </cell>
          <cell r="BS46">
            <v>5171.8101341248703</v>
          </cell>
          <cell r="BT46">
            <v>0.45593029633887433</v>
          </cell>
          <cell r="BU46">
            <v>647926352.54590654</v>
          </cell>
          <cell r="BX46">
            <v>40</v>
          </cell>
          <cell r="BY46">
            <v>84329668.880637586</v>
          </cell>
          <cell r="BZ46">
            <v>216951085.56122792</v>
          </cell>
          <cell r="CA46">
            <v>216951085.56122792</v>
          </cell>
          <cell r="CB46">
            <v>1768822.8347338762</v>
          </cell>
          <cell r="CC46">
            <v>1768822.8347338762</v>
          </cell>
          <cell r="CD46">
            <v>225392039.93188676</v>
          </cell>
          <cell r="CF46">
            <v>0.11286671755804814</v>
          </cell>
          <cell r="CG46">
            <v>0.29036704665127949</v>
          </cell>
          <cell r="CH46">
            <v>0.29036704665127949</v>
          </cell>
          <cell r="CI46">
            <v>2.3673901480712784E-3</v>
          </cell>
          <cell r="CJ46">
            <v>2.3673901480712784E-3</v>
          </cell>
          <cell r="CK46">
            <v>0.30166440884325024</v>
          </cell>
          <cell r="CM46"/>
        </row>
        <row r="47">
          <cell r="T47">
            <v>0.91590567227997544</v>
          </cell>
          <cell r="U47">
            <v>513710594.65820521</v>
          </cell>
          <cell r="V47">
            <v>5516588.5131732626</v>
          </cell>
          <cell r="W47">
            <v>127567.99997701778</v>
          </cell>
          <cell r="X47">
            <v>127567.99997701778</v>
          </cell>
          <cell r="Y47">
            <v>738700361.31931853</v>
          </cell>
          <cell r="Z47">
            <v>738700361.31931853</v>
          </cell>
          <cell r="AA47">
            <v>689820445.74348545</v>
          </cell>
          <cell r="AB47">
            <v>689820445.74348545</v>
          </cell>
          <cell r="AC47">
            <v>780390599.87018728</v>
          </cell>
          <cell r="AD47"/>
          <cell r="AE47">
            <v>41</v>
          </cell>
          <cell r="AF47">
            <v>135.51443734791258</v>
          </cell>
          <cell r="AG47">
            <v>435.71012872592098</v>
          </cell>
          <cell r="AH47">
            <v>435.71012872592098</v>
          </cell>
          <cell r="AI47">
            <v>1.2017087831741947E-2</v>
          </cell>
          <cell r="AJ47">
            <v>1.2017087831741947E-2</v>
          </cell>
          <cell r="AK47">
            <v>8.3727501925369277E-2</v>
          </cell>
          <cell r="AL47">
            <v>8.3727501925369277E-2</v>
          </cell>
          <cell r="AM47">
            <v>4366.0612527540407</v>
          </cell>
          <cell r="AN47">
            <v>0.34344872923927228</v>
          </cell>
          <cell r="AO47">
            <v>212935757.22882611</v>
          </cell>
          <cell r="AP47">
            <v>3686252.5356651274</v>
          </cell>
          <cell r="AQ47">
            <v>1025458.2612521955</v>
          </cell>
          <cell r="AR47">
            <v>1025458.2612521955</v>
          </cell>
          <cell r="AS47">
            <v>493608699.2001754</v>
          </cell>
          <cell r="AT47">
            <v>493608699.2001754</v>
          </cell>
          <cell r="AU47">
            <v>460946536.28839678</v>
          </cell>
          <cell r="AV47">
            <v>460946536.28839678</v>
          </cell>
          <cell r="AW47">
            <v>204670.76623417382</v>
          </cell>
          <cell r="AX47">
            <v>665157577.34387851</v>
          </cell>
          <cell r="AY47">
            <v>41</v>
          </cell>
          <cell r="AZ47">
            <v>0.84301660005384993</v>
          </cell>
          <cell r="BA47">
            <v>0.41450528652324536</v>
          </cell>
          <cell r="BD47">
            <v>41</v>
          </cell>
          <cell r="BE47">
            <v>167.0628044500767</v>
          </cell>
          <cell r="BF47">
            <v>8269.2293165997071</v>
          </cell>
          <cell r="BG47">
            <v>8269.2293165997071</v>
          </cell>
          <cell r="BH47">
            <v>2.0164423550852233E-2</v>
          </cell>
          <cell r="BI47">
            <v>2.0164423550852233E-2</v>
          </cell>
          <cell r="BJ47">
            <v>1.0347028441170842</v>
          </cell>
          <cell r="BK47">
            <v>1495434131.8005469</v>
          </cell>
          <cell r="BL47"/>
          <cell r="BM47">
            <v>41</v>
          </cell>
          <cell r="BN47">
            <v>167.0628044500767</v>
          </cell>
          <cell r="BO47">
            <v>524.75962897395425</v>
          </cell>
          <cell r="BP47">
            <v>524.75962897395425</v>
          </cell>
          <cell r="BQ47">
            <v>2.0164423550852233E-2</v>
          </cell>
          <cell r="BR47">
            <v>2.0164423550852233E-2</v>
          </cell>
          <cell r="BS47">
            <v>5194.1798346896694</v>
          </cell>
          <cell r="BT47">
            <v>0.46015580328273303</v>
          </cell>
          <cell r="BU47">
            <v>669368883.84579718</v>
          </cell>
          <cell r="BX47">
            <v>41</v>
          </cell>
          <cell r="BY47">
            <v>93749846.753918707</v>
          </cell>
          <cell r="BZ47">
            <v>235333159.60992184</v>
          </cell>
          <cell r="CA47">
            <v>235333159.60992184</v>
          </cell>
          <cell r="CB47">
            <v>2006943.6272501347</v>
          </cell>
          <cell r="CC47">
            <v>2006943.6272501347</v>
          </cell>
          <cell r="CD47">
            <v>232833658.46134472</v>
          </cell>
          <cell r="CF47">
            <v>0.11700248667973551</v>
          </cell>
          <cell r="CG47">
            <v>0.29370250540072501</v>
          </cell>
          <cell r="CH47">
            <v>0.29370250540072501</v>
          </cell>
          <cell r="CI47">
            <v>2.5047229744351415E-3</v>
          </cell>
          <cell r="CJ47">
            <v>2.5047229744351415E-3</v>
          </cell>
          <cell r="CK47">
            <v>0.29058305656994432</v>
          </cell>
          <cell r="CM47"/>
        </row>
        <row r="48">
          <cell r="T48">
            <v>0.92544143364190856</v>
          </cell>
          <cell r="U48">
            <v>554358402.97126877</v>
          </cell>
          <cell r="V48">
            <v>5888049.4624211211</v>
          </cell>
          <cell r="W48">
            <v>134564.74820168165</v>
          </cell>
          <cell r="X48">
            <v>134564.74820168165</v>
          </cell>
          <cell r="Y48">
            <v>798010380.8990581</v>
          </cell>
          <cell r="Z48">
            <v>798010380.8990581</v>
          </cell>
          <cell r="AA48">
            <v>743983199.80057931</v>
          </cell>
          <cell r="AB48">
            <v>743983199.80057931</v>
          </cell>
          <cell r="AC48">
            <v>839257101.15715373</v>
          </cell>
          <cell r="AD48"/>
          <cell r="AE48">
            <v>42</v>
          </cell>
          <cell r="AF48">
            <v>137.22204665224737</v>
          </cell>
          <cell r="AG48">
            <v>441.57593171622523</v>
          </cell>
          <cell r="AH48">
            <v>441.57593171622523</v>
          </cell>
          <cell r="AI48">
            <v>1.2480811481189119E-2</v>
          </cell>
          <cell r="AJ48">
            <v>1.2480811481189119E-2</v>
          </cell>
          <cell r="AK48">
            <v>8.6005971962355099E-2</v>
          </cell>
          <cell r="AL48">
            <v>8.6005971962355099E-2</v>
          </cell>
          <cell r="AM48">
            <v>4432.088233338909</v>
          </cell>
          <cell r="AN48">
            <v>0.35123030822658818</v>
          </cell>
          <cell r="AO48">
            <v>232048228.16671929</v>
          </cell>
          <cell r="AP48">
            <v>3956976.493080894</v>
          </cell>
          <cell r="AQ48">
            <v>1099833.5469303764</v>
          </cell>
          <cell r="AR48">
            <v>1099833.5469303764</v>
          </cell>
          <cell r="AS48">
            <v>536291065.25094944</v>
          </cell>
          <cell r="AT48">
            <v>536291065.25094944</v>
          </cell>
          <cell r="AU48">
            <v>499982897.84194154</v>
          </cell>
          <cell r="AV48">
            <v>499982897.84194154</v>
          </cell>
          <cell r="AW48">
            <v>219156.29728006123</v>
          </cell>
          <cell r="AX48">
            <v>718841222.346385</v>
          </cell>
          <cell r="AY48">
            <v>42</v>
          </cell>
          <cell r="AZ48">
            <v>0.84994239471601363</v>
          </cell>
          <cell r="BA48">
            <v>0.41858881713162355</v>
          </cell>
          <cell r="BD48">
            <v>42</v>
          </cell>
          <cell r="BE48">
            <v>168.21742674797736</v>
          </cell>
          <cell r="BF48">
            <v>8363.4733219006303</v>
          </cell>
          <cell r="BG48">
            <v>8363.4733219006303</v>
          </cell>
          <cell r="BH48">
            <v>2.0482352941176472E-2</v>
          </cell>
          <cell r="BI48">
            <v>2.0482352941176472E-2</v>
          </cell>
          <cell r="BJ48">
            <v>1.0408946527798779</v>
          </cell>
          <cell r="BK48">
            <v>1551684783.433594</v>
          </cell>
          <cell r="BL48"/>
          <cell r="BM48">
            <v>42</v>
          </cell>
          <cell r="BN48">
            <v>168.21742674797736</v>
          </cell>
          <cell r="BO48">
            <v>527.36510075725175</v>
          </cell>
          <cell r="BP48">
            <v>527.36510075725175</v>
          </cell>
          <cell r="BQ48">
            <v>2.0482352941176472E-2</v>
          </cell>
          <cell r="BR48">
            <v>2.0482352941176472E-2</v>
          </cell>
          <cell r="BS48">
            <v>5215.6207129056847</v>
          </cell>
          <cell r="BT48">
            <v>0.4645405678602984</v>
          </cell>
          <cell r="BU48">
            <v>691291013.49401236</v>
          </cell>
          <cell r="BX48">
            <v>42</v>
          </cell>
          <cell r="BY48">
            <v>103804334.8003325</v>
          </cell>
          <cell r="BZ48">
            <v>254723439.03918934</v>
          </cell>
          <cell r="CA48">
            <v>254723439.03918934</v>
          </cell>
          <cell r="CB48">
            <v>2376999.9133773739</v>
          </cell>
          <cell r="CC48">
            <v>2376999.9133773739</v>
          </cell>
          <cell r="CD48">
            <v>240836613.8992871</v>
          </cell>
          <cell r="CF48">
            <v>0.12086548603565415</v>
          </cell>
          <cell r="CG48">
            <v>0.29658946635864697</v>
          </cell>
          <cell r="CH48">
            <v>0.29658946635864697</v>
          </cell>
          <cell r="CI48">
            <v>2.7676806598653132E-3</v>
          </cell>
          <cell r="CJ48">
            <v>2.7676806598653132E-3</v>
          </cell>
          <cell r="CK48">
            <v>0.28042021992732119</v>
          </cell>
          <cell r="CM48"/>
        </row>
        <row r="49">
          <cell r="T49">
            <v>0.93497719500384147</v>
          </cell>
          <cell r="U49">
            <v>597475752.06506348</v>
          </cell>
          <cell r="V49">
            <v>6278105.330544875</v>
          </cell>
          <cell r="W49">
            <v>141826.00752170675</v>
          </cell>
          <cell r="X49">
            <v>141826.00752170675</v>
          </cell>
          <cell r="Y49">
            <v>860712852.54723787</v>
          </cell>
          <cell r="Z49">
            <v>860712852.54723787</v>
          </cell>
          <cell r="AA49">
            <v>801262757.8784467</v>
          </cell>
          <cell r="AB49">
            <v>801262757.8784467</v>
          </cell>
          <cell r="AC49">
            <v>901308548.4476403</v>
          </cell>
          <cell r="AD49"/>
          <cell r="AE49">
            <v>43</v>
          </cell>
          <cell r="AF49">
            <v>138.89632262324886</v>
          </cell>
          <cell r="AG49">
            <v>447.4829771392794</v>
          </cell>
          <cell r="AH49">
            <v>447.4829771392794</v>
          </cell>
          <cell r="AI49">
            <v>1.312039302473632E-2</v>
          </cell>
          <cell r="AJ49">
            <v>1.312039302473632E-2</v>
          </cell>
          <cell r="AK49">
            <v>8.8289371844715858E-2</v>
          </cell>
          <cell r="AL49">
            <v>8.8289371844715858E-2</v>
          </cell>
          <cell r="AM49">
            <v>4494.4759493295178</v>
          </cell>
          <cell r="AN49">
            <v>0.35901188721390409</v>
          </cell>
          <cell r="AO49">
            <v>252283765.1957362</v>
          </cell>
          <cell r="AP49">
            <v>4240541.9702897258</v>
          </cell>
          <cell r="AQ49">
            <v>1177282.2285948121</v>
          </cell>
          <cell r="AR49">
            <v>1177282.2285948121</v>
          </cell>
          <cell r="AS49">
            <v>581367910.129915</v>
          </cell>
          <cell r="AT49">
            <v>581367910.129915</v>
          </cell>
          <cell r="AU49">
            <v>541212384.16985166</v>
          </cell>
          <cell r="AV49">
            <v>541212384.16985166</v>
          </cell>
          <cell r="AW49">
            <v>234427.22244997745</v>
          </cell>
          <cell r="AX49">
            <v>775289401.86798155</v>
          </cell>
          <cell r="AY49">
            <v>43</v>
          </cell>
          <cell r="AZ49">
            <v>0.85600087823724336</v>
          </cell>
          <cell r="BA49">
            <v>0.42224937886393621</v>
          </cell>
          <cell r="BD49">
            <v>43</v>
          </cell>
          <cell r="BE49">
            <v>169.34085094636612</v>
          </cell>
          <cell r="BF49">
            <v>8456.7093118134781</v>
          </cell>
          <cell r="BG49">
            <v>8456.7093118134781</v>
          </cell>
          <cell r="BH49">
            <v>2.0796078431372551E-2</v>
          </cell>
          <cell r="BI49">
            <v>2.0796078431372551E-2</v>
          </cell>
          <cell r="BJ49">
            <v>1.0473356982869679</v>
          </cell>
          <cell r="BK49">
            <v>1608647367.6972651</v>
          </cell>
          <cell r="BL49"/>
          <cell r="BM49">
            <v>43</v>
          </cell>
          <cell r="BN49">
            <v>169.34085094636612</v>
          </cell>
          <cell r="BO49">
            <v>529.93361308131125</v>
          </cell>
          <cell r="BP49">
            <v>529.93361308131125</v>
          </cell>
          <cell r="BQ49">
            <v>2.0796078431372551E-2</v>
          </cell>
          <cell r="BR49">
            <v>2.0796078431372551E-2</v>
          </cell>
          <cell r="BS49">
            <v>5236.793086865192</v>
          </cell>
          <cell r="BT49">
            <v>0.46897137068466932</v>
          </cell>
          <cell r="BU49">
            <v>713351785.58349538</v>
          </cell>
          <cell r="BX49">
            <v>43</v>
          </cell>
          <cell r="BY49">
            <v>114315615.69868016</v>
          </cell>
          <cell r="BZ49">
            <v>275160038.9134863</v>
          </cell>
          <cell r="CA49">
            <v>275160038.9134863</v>
          </cell>
          <cell r="CB49">
            <v>2927495.9681604505</v>
          </cell>
          <cell r="CC49">
            <v>2927495.9681604505</v>
          </cell>
          <cell r="CD49">
            <v>249431277.13075393</v>
          </cell>
          <cell r="CF49">
            <v>0.12426664472330957</v>
          </cell>
          <cell r="CG49">
            <v>0.29911237050800416</v>
          </cell>
          <cell r="CH49">
            <v>0.29911237050800416</v>
          </cell>
          <cell r="CI49">
            <v>3.1823307706552993E-3</v>
          </cell>
          <cell r="CJ49">
            <v>3.1823307706552993E-3</v>
          </cell>
          <cell r="CK49">
            <v>0.27114395271937142</v>
          </cell>
          <cell r="CM49"/>
        </row>
        <row r="50">
          <cell r="T50">
            <v>0.94427394999003844</v>
          </cell>
          <cell r="U50">
            <v>643842376.60815215</v>
          </cell>
          <cell r="V50">
            <v>6688414.1553600142</v>
          </cell>
          <cell r="W50">
            <v>149571.85693018121</v>
          </cell>
          <cell r="X50">
            <v>149571.85693018121</v>
          </cell>
          <cell r="Y50">
            <v>928443954.36126208</v>
          </cell>
          <cell r="Z50">
            <v>928443954.36126208</v>
          </cell>
          <cell r="AA50">
            <v>863082544.30149341</v>
          </cell>
          <cell r="AB50">
            <v>863082544.30149341</v>
          </cell>
          <cell r="AC50">
            <v>968236891.53756773</v>
          </cell>
          <cell r="AD50"/>
          <cell r="AE50">
            <v>44</v>
          </cell>
          <cell r="AF50">
            <v>140.729754610605</v>
          </cell>
          <cell r="AG50">
            <v>453.43126499508361</v>
          </cell>
          <cell r="AH50">
            <v>453.43126499508361</v>
          </cell>
          <cell r="AI50">
            <v>1.3802587002104811E-2</v>
          </cell>
          <cell r="AJ50">
            <v>1.3802587002104811E-2</v>
          </cell>
          <cell r="AK50">
            <v>9.0578055404523836E-2</v>
          </cell>
          <cell r="AL50">
            <v>9.0578055404523836E-2</v>
          </cell>
          <cell r="AM50">
            <v>4559.9059784657766</v>
          </cell>
          <cell r="AN50">
            <v>0.36679953872968413</v>
          </cell>
          <cell r="AO50">
            <v>274777123.65570289</v>
          </cell>
          <cell r="AP50">
            <v>4545818.5307427198</v>
          </cell>
          <cell r="AQ50">
            <v>1261919.2235711105</v>
          </cell>
          <cell r="AR50">
            <v>1261919.2235711105</v>
          </cell>
          <cell r="AS50">
            <v>631022187.68991542</v>
          </cell>
          <cell r="AT50">
            <v>631022187.68991542</v>
          </cell>
          <cell r="AU50">
            <v>586598935.4594804</v>
          </cell>
          <cell r="AV50">
            <v>586598935.4594804</v>
          </cell>
          <cell r="AW50">
            <v>250967.2929958009</v>
          </cell>
          <cell r="AX50">
            <v>837275128.724823</v>
          </cell>
          <cell r="AY50">
            <v>44</v>
          </cell>
          <cell r="AZ50">
            <v>0.86358737155449972</v>
          </cell>
          <cell r="BA50">
            <v>0.42677700884378811</v>
          </cell>
          <cell r="BD50">
            <v>44</v>
          </cell>
          <cell r="BE50">
            <v>170.46427514475488</v>
          </cell>
          <cell r="BF50">
            <v>8549.9453017263259</v>
          </cell>
          <cell r="BG50">
            <v>8549.9453017263259</v>
          </cell>
          <cell r="BH50">
            <v>2.110980392156863E-2</v>
          </cell>
          <cell r="BI50">
            <v>2.110980392156863E-2</v>
          </cell>
          <cell r="BJ50">
            <v>1.0537767437940579</v>
          </cell>
          <cell r="BK50">
            <v>1665609951.9609365</v>
          </cell>
          <cell r="BL50"/>
          <cell r="BM50">
            <v>44</v>
          </cell>
          <cell r="BN50">
            <v>170.46427514475488</v>
          </cell>
          <cell r="BO50">
            <v>532.50212540537063</v>
          </cell>
          <cell r="BP50">
            <v>532.50212540537063</v>
          </cell>
          <cell r="BQ50">
            <v>2.110980392156863E-2</v>
          </cell>
          <cell r="BR50">
            <v>2.110980392156863E-2</v>
          </cell>
          <cell r="BS50">
            <v>5257.9654608246983</v>
          </cell>
          <cell r="BT50">
            <v>0.47340217350904024</v>
          </cell>
          <cell r="BU50">
            <v>735412557.67297852</v>
          </cell>
          <cell r="BX50">
            <v>44</v>
          </cell>
          <cell r="BY50">
            <v>126578368.15580279</v>
          </cell>
          <cell r="BZ50">
            <v>296788449.28613323</v>
          </cell>
          <cell r="CA50">
            <v>296788449.28613323</v>
          </cell>
          <cell r="CB50">
            <v>3560874.8421498896</v>
          </cell>
          <cell r="CC50">
            <v>3560874.8421498896</v>
          </cell>
          <cell r="CD50">
            <v>258432738.27997568</v>
          </cell>
          <cell r="CF50">
            <v>0.12841342753609034</v>
          </cell>
          <cell r="CG50">
            <v>0.30109111518204007</v>
          </cell>
          <cell r="CH50">
            <v>0.30109111518204007</v>
          </cell>
          <cell r="CI50">
            <v>3.6124983294512428E-3</v>
          </cell>
          <cell r="CJ50">
            <v>3.6124983294512428E-3</v>
          </cell>
          <cell r="CK50">
            <v>0.26217934544092703</v>
          </cell>
          <cell r="CM50"/>
        </row>
        <row r="51">
          <cell r="T51">
            <v>0.95079605436459436</v>
          </cell>
          <cell r="U51">
            <v>692404853.28330958</v>
          </cell>
          <cell r="V51">
            <v>7106065.9903219342</v>
          </cell>
          <cell r="W51">
            <v>157375.91747025098</v>
          </cell>
          <cell r="X51">
            <v>157375.91747025098</v>
          </cell>
          <cell r="Y51">
            <v>999926291.72821343</v>
          </cell>
          <cell r="Z51">
            <v>999926291.72821343</v>
          </cell>
          <cell r="AA51">
            <v>927876939.48635101</v>
          </cell>
          <cell r="AB51">
            <v>927876939.48635101</v>
          </cell>
          <cell r="AC51">
            <v>1039627999.2745409</v>
          </cell>
          <cell r="AD51"/>
          <cell r="AE51">
            <v>45</v>
          </cell>
          <cell r="AF51">
            <v>142.70217879723424</v>
          </cell>
          <cell r="AG51">
            <v>459.42079528363786</v>
          </cell>
          <cell r="AH51">
            <v>459.42079528363786</v>
          </cell>
          <cell r="AI51">
            <v>1.412584895956683E-2</v>
          </cell>
          <cell r="AJ51">
            <v>1.412584895956683E-2</v>
          </cell>
          <cell r="AK51">
            <v>9.2872401869604382E-2</v>
          </cell>
          <cell r="AL51">
            <v>9.2872401869604382E-2</v>
          </cell>
          <cell r="AM51">
            <v>4622.9224478524739</v>
          </cell>
          <cell r="AN51">
            <v>0.37465768687872425</v>
          </cell>
          <cell r="AO51">
            <v>298831838.66216326</v>
          </cell>
          <cell r="AP51">
            <v>4861282.3855344225</v>
          </cell>
          <cell r="AQ51">
            <v>1350565.954446289</v>
          </cell>
          <cell r="AR51">
            <v>1350565.954446289</v>
          </cell>
          <cell r="AS51">
            <v>684052762.16565204</v>
          </cell>
          <cell r="AT51">
            <v>684052762.16565204</v>
          </cell>
          <cell r="AU51">
            <v>634763570.7312417</v>
          </cell>
          <cell r="AV51">
            <v>634763570.7312417</v>
          </cell>
          <cell r="AW51">
            <v>268435.42883266648</v>
          </cell>
          <cell r="AX51">
            <v>902738319.21540737</v>
          </cell>
          <cell r="AY51">
            <v>45</v>
          </cell>
          <cell r="AZ51">
            <v>0.86916328136856924</v>
          </cell>
          <cell r="BA51">
            <v>0.43158541891371027</v>
          </cell>
          <cell r="BD51">
            <v>45</v>
          </cell>
          <cell r="BE51">
            <v>171.59625379062501</v>
          </cell>
          <cell r="BF51">
            <v>8638.528672336206</v>
          </cell>
          <cell r="BG51">
            <v>8638.528672336206</v>
          </cell>
          <cell r="BH51">
            <v>2.1372839286586408E-2</v>
          </cell>
          <cell r="BI51">
            <v>2.1372839286586408E-2</v>
          </cell>
          <cell r="BJ51">
            <v>1.0598963712233693</v>
          </cell>
          <cell r="BK51">
            <v>1723658172.2642205</v>
          </cell>
          <cell r="BL51"/>
          <cell r="BM51">
            <v>45</v>
          </cell>
          <cell r="BN51">
            <v>171.59625379062501</v>
          </cell>
          <cell r="BO51">
            <v>534.95523484477337</v>
          </cell>
          <cell r="BP51">
            <v>534.95523484477337</v>
          </cell>
          <cell r="BQ51">
            <v>2.1372839286586408E-2</v>
          </cell>
          <cell r="BR51">
            <v>2.1372839286586408E-2</v>
          </cell>
          <cell r="BS51">
            <v>5278.1188787141091</v>
          </cell>
          <cell r="BT51">
            <v>0.47784198896314944</v>
          </cell>
          <cell r="BU51">
            <v>758204947.0765692</v>
          </cell>
          <cell r="BX51">
            <v>45</v>
          </cell>
          <cell r="BY51">
            <v>140594544.58689722</v>
          </cell>
          <cell r="BZ51">
            <v>320469546.69237643</v>
          </cell>
          <cell r="CA51">
            <v>320469546.69237643</v>
          </cell>
          <cell r="CB51">
            <v>3884112.9725316903</v>
          </cell>
          <cell r="CC51">
            <v>3884112.9725316903</v>
          </cell>
          <cell r="CD51">
            <v>265213300.60195497</v>
          </cell>
          <cell r="CF51">
            <v>0.13332624254016429</v>
          </cell>
          <cell r="CG51">
            <v>0.30390226473286819</v>
          </cell>
          <cell r="CH51">
            <v>0.30390226473286819</v>
          </cell>
          <cell r="CI51">
            <v>3.6833163744066089E-3</v>
          </cell>
          <cell r="CJ51">
            <v>3.6833163744066089E-3</v>
          </cell>
          <cell r="CK51">
            <v>0.25150259524528612</v>
          </cell>
          <cell r="CM51"/>
        </row>
        <row r="52">
          <cell r="T52">
            <v>0.95731815873915038</v>
          </cell>
          <cell r="U52">
            <v>743695066.52797008</v>
          </cell>
          <cell r="V52">
            <v>7545414.3054185985</v>
          </cell>
          <cell r="W52">
            <v>165549.69077140969</v>
          </cell>
          <cell r="X52">
            <v>165549.69077140969</v>
          </cell>
          <cell r="Y52">
            <v>1076056788.8190653</v>
          </cell>
          <cell r="Z52">
            <v>1076056788.8190653</v>
          </cell>
          <cell r="AA52">
            <v>996764895.32623494</v>
          </cell>
          <cell r="AB52">
            <v>996764895.32623494</v>
          </cell>
          <cell r="AC52">
            <v>1115434211.9713404</v>
          </cell>
          <cell r="AD52"/>
          <cell r="AE52">
            <v>46</v>
          </cell>
          <cell r="AF52">
            <v>144.67460298386348</v>
          </cell>
          <cell r="AG52">
            <v>465.88196567286434</v>
          </cell>
          <cell r="AH52">
            <v>465.88196567286434</v>
          </cell>
          <cell r="AI52">
            <v>1.4472312547022156E-2</v>
          </cell>
          <cell r="AJ52">
            <v>1.4472312547022156E-2</v>
          </cell>
          <cell r="AK52">
            <v>9.5172817686276875E-2</v>
          </cell>
          <cell r="AL52">
            <v>9.5172817686276875E-2</v>
          </cell>
          <cell r="AM52">
            <v>4687.4358926933264</v>
          </cell>
          <cell r="AN52">
            <v>0.38251583502776454</v>
          </cell>
          <cell r="AO52">
            <v>325559755.37837094</v>
          </cell>
          <cell r="AP52">
            <v>5204712.751695402</v>
          </cell>
          <cell r="AQ52">
            <v>1445633.3523511379</v>
          </cell>
          <cell r="AR52">
            <v>1445633.3523511379</v>
          </cell>
          <cell r="AS52">
            <v>742247710.14801037</v>
          </cell>
          <cell r="AT52">
            <v>742247710.14801037</v>
          </cell>
          <cell r="AU52">
            <v>687553360.37959003</v>
          </cell>
          <cell r="AV52">
            <v>687553360.37959003</v>
          </cell>
          <cell r="AW52">
            <v>287361.58669836074</v>
          </cell>
          <cell r="AX52">
            <v>974302775.81171441</v>
          </cell>
          <cell r="AY52">
            <v>46</v>
          </cell>
          <cell r="AZ52">
            <v>0.87744203255447772</v>
          </cell>
          <cell r="BA52">
            <v>0.43775973518055705</v>
          </cell>
          <cell r="BD52">
            <v>46</v>
          </cell>
          <cell r="BE52">
            <v>172.73115791084962</v>
          </cell>
          <cell r="BF52">
            <v>8725.5209269234856</v>
          </cell>
          <cell r="BG52">
            <v>8725.5209269234856</v>
          </cell>
          <cell r="BH52">
            <v>2.1618539497982793E-2</v>
          </cell>
          <cell r="BI52">
            <v>2.1618539497982793E-2</v>
          </cell>
          <cell r="BJ52">
            <v>1.0659060791814743</v>
          </cell>
          <cell r="BK52">
            <v>1782077661.4775221</v>
          </cell>
          <cell r="BL52"/>
          <cell r="BM52">
            <v>46</v>
          </cell>
          <cell r="BN52">
            <v>172.73115791084962</v>
          </cell>
          <cell r="BO52">
            <v>537.36887847645039</v>
          </cell>
          <cell r="BP52">
            <v>537.36887847645039</v>
          </cell>
          <cell r="BQ52">
            <v>2.1618539497982793E-2</v>
          </cell>
          <cell r="BR52">
            <v>2.1618539497982793E-2</v>
          </cell>
          <cell r="BS52">
            <v>5297.923831099708</v>
          </cell>
          <cell r="BT52">
            <v>0.48228488658208862</v>
          </cell>
          <cell r="BU52">
            <v>781247537.05645561</v>
          </cell>
          <cell r="BX52">
            <v>46</v>
          </cell>
          <cell r="BY52">
            <v>155477302.26104313</v>
          </cell>
          <cell r="BZ52">
            <v>345380590.36252546</v>
          </cell>
          <cell r="CA52">
            <v>345380590.36252546</v>
          </cell>
          <cell r="CB52">
            <v>4256927.4678916018</v>
          </cell>
          <cell r="CC52">
            <v>4256927.4678916018</v>
          </cell>
          <cell r="CD52">
            <v>272488278.9553827</v>
          </cell>
          <cell r="CF52">
            <v>0.13792734216032279</v>
          </cell>
          <cell r="CG52">
            <v>0.30639473524234484</v>
          </cell>
          <cell r="CH52">
            <v>0.30639473524234484</v>
          </cell>
          <cell r="CI52">
            <v>3.7764141960075592E-3</v>
          </cell>
          <cell r="CJ52">
            <v>3.7764141960075592E-3</v>
          </cell>
          <cell r="CK52">
            <v>0.24173035896297262</v>
          </cell>
          <cell r="CM52"/>
        </row>
        <row r="53">
          <cell r="T53">
            <v>0.9638402631137063</v>
          </cell>
          <cell r="U53">
            <v>797828196.70164132</v>
          </cell>
          <cell r="V53">
            <v>8005669.009695854</v>
          </cell>
          <cell r="W53">
            <v>174070.28721607086</v>
          </cell>
          <cell r="X53">
            <v>174070.28721607086</v>
          </cell>
          <cell r="Y53">
            <v>1156835901.6197758</v>
          </cell>
          <cell r="Z53">
            <v>1156835901.6197758</v>
          </cell>
          <cell r="AA53">
            <v>1069730510.3932061</v>
          </cell>
          <cell r="AB53">
            <v>1069730510.3932061</v>
          </cell>
          <cell r="AC53">
            <v>1195624290.665503</v>
          </cell>
          <cell r="AD53"/>
          <cell r="AE53">
            <v>47</v>
          </cell>
          <cell r="AF53">
            <v>146.64702717049275</v>
          </cell>
          <cell r="AG53">
            <v>472.66072296283801</v>
          </cell>
          <cell r="AH53">
            <v>472.66072296283801</v>
          </cell>
          <cell r="AI53">
            <v>1.48436430257919E-2</v>
          </cell>
          <cell r="AJ53">
            <v>1.48436430257919E-2</v>
          </cell>
          <cell r="AK53">
            <v>9.7479738472920463E-2</v>
          </cell>
          <cell r="AL53">
            <v>9.7479738472920463E-2</v>
          </cell>
          <cell r="AM53">
            <v>4751.4575269515653</v>
          </cell>
          <cell r="AN53">
            <v>0.39037398317680466</v>
          </cell>
          <cell r="AO53">
            <v>354740317.64122945</v>
          </cell>
          <cell r="AP53">
            <v>5572516.9679836463</v>
          </cell>
          <cell r="AQ53">
            <v>1546393.9485826385</v>
          </cell>
          <cell r="AR53">
            <v>1546393.9485826385</v>
          </cell>
          <cell r="AS53">
            <v>805240346.95181203</v>
          </cell>
          <cell r="AT53">
            <v>805240346.95181203</v>
          </cell>
          <cell r="AU53">
            <v>744608778.24405801</v>
          </cell>
          <cell r="AV53">
            <v>744608778.24405801</v>
          </cell>
          <cell r="AW53">
            <v>307661.25029065361</v>
          </cell>
          <cell r="AX53">
            <v>1051400113.3024389</v>
          </cell>
          <cell r="AY53">
            <v>47</v>
          </cell>
          <cell r="AZ53">
            <v>0.88705433764202946</v>
          </cell>
          <cell r="BA53">
            <v>0.44463246486873592</v>
          </cell>
          <cell r="BD53">
            <v>47</v>
          </cell>
          <cell r="BE53">
            <v>173.86606203107425</v>
          </cell>
          <cell r="BF53">
            <v>8812.513181510767</v>
          </cell>
          <cell r="BG53">
            <v>8812.513181510767</v>
          </cell>
          <cell r="BH53">
            <v>2.1864239709379178E-2</v>
          </cell>
          <cell r="BI53">
            <v>2.1864239709379178E-2</v>
          </cell>
          <cell r="BJ53">
            <v>1.0719157871395792</v>
          </cell>
          <cell r="BK53">
            <v>1840497150.6908236</v>
          </cell>
          <cell r="BL53"/>
          <cell r="BM53">
            <v>47</v>
          </cell>
          <cell r="BN53">
            <v>173.86606203107425</v>
          </cell>
          <cell r="BO53">
            <v>539.78252210812741</v>
          </cell>
          <cell r="BP53">
            <v>539.78252210812741</v>
          </cell>
          <cell r="BQ53">
            <v>2.1864239709379178E-2</v>
          </cell>
          <cell r="BR53">
            <v>2.1864239709379178E-2</v>
          </cell>
          <cell r="BS53">
            <v>5317.7287834853068</v>
          </cell>
          <cell r="BT53">
            <v>0.48672778420102775</v>
          </cell>
          <cell r="BU53">
            <v>804290127.03634214</v>
          </cell>
          <cell r="BX53">
            <v>47</v>
          </cell>
          <cell r="BY53">
            <v>171267877.44591561</v>
          </cell>
          <cell r="BZ53">
            <v>371573768.41262788</v>
          </cell>
          <cell r="CA53">
            <v>371573768.41262788</v>
          </cell>
          <cell r="CB53">
            <v>4686495.8970981017</v>
          </cell>
          <cell r="CC53">
            <v>4686495.8970981017</v>
          </cell>
          <cell r="CD53">
            <v>280286265.37185752</v>
          </cell>
          <cell r="CF53">
            <v>0.14224024598199078</v>
          </cell>
          <cell r="CG53">
            <v>0.30859694770350471</v>
          </cell>
          <cell r="CH53">
            <v>0.30859694770350471</v>
          </cell>
          <cell r="CI53">
            <v>3.8921970607554922E-3</v>
          </cell>
          <cell r="CJ53">
            <v>3.8921970607554922E-3</v>
          </cell>
          <cell r="CK53">
            <v>0.23278146448948903</v>
          </cell>
          <cell r="CM53"/>
        </row>
        <row r="54">
          <cell r="T54">
            <v>0.97036236748826221</v>
          </cell>
          <cell r="U54">
            <v>854924160.41621459</v>
          </cell>
          <cell r="V54">
            <v>8489585.7450101227</v>
          </cell>
          <cell r="W54">
            <v>182992.33926190142</v>
          </cell>
          <cell r="X54">
            <v>182992.33926190142</v>
          </cell>
          <cell r="Y54">
            <v>1242775654.958473</v>
          </cell>
          <cell r="Z54">
            <v>1242775654.958473</v>
          </cell>
          <cell r="AA54">
            <v>1147231207.7265942</v>
          </cell>
          <cell r="AB54">
            <v>1147231207.7265942</v>
          </cell>
          <cell r="AC54">
            <v>1280695973.9908497</v>
          </cell>
          <cell r="AD54"/>
          <cell r="AE54">
            <v>48</v>
          </cell>
          <cell r="AF54">
            <v>148.61945135712199</v>
          </cell>
          <cell r="AG54">
            <v>479.91319975813633</v>
          </cell>
          <cell r="AH54">
            <v>479.91319975813633</v>
          </cell>
          <cell r="AI54">
            <v>1.5241625178768207E-2</v>
          </cell>
          <cell r="AJ54">
            <v>1.5241625178768207E-2</v>
          </cell>
          <cell r="AK54">
            <v>9.9793631113753653E-2</v>
          </cell>
          <cell r="AL54">
            <v>9.9793631113753653E-2</v>
          </cell>
          <cell r="AM54">
            <v>4815.0928982110609</v>
          </cell>
          <cell r="AN54">
            <v>0.39869914912389282</v>
          </cell>
          <cell r="AO54">
            <v>387124122.48457199</v>
          </cell>
          <cell r="AP54">
            <v>5972480.6097296625</v>
          </cell>
          <cell r="AQ54">
            <v>1654294.0226297574</v>
          </cell>
          <cell r="AR54">
            <v>1654294.0226297574</v>
          </cell>
          <cell r="AS54">
            <v>874301022.9734962</v>
          </cell>
          <cell r="AT54">
            <v>874301022.9734962</v>
          </cell>
          <cell r="AU54">
            <v>807084862.42112362</v>
          </cell>
          <cell r="AV54">
            <v>807084862.42112362</v>
          </cell>
          <cell r="AW54">
            <v>329762.08539443463</v>
          </cell>
          <cell r="AX54">
            <v>1135222736.4094615</v>
          </cell>
          <cell r="AY54">
            <v>48</v>
          </cell>
          <cell r="AZ54">
            <v>0.8985996195843724</v>
          </cell>
          <cell r="BA54">
            <v>0.45281691687845504</v>
          </cell>
          <cell r="BD54">
            <v>48</v>
          </cell>
          <cell r="BE54">
            <v>174.97516117737607</v>
          </cell>
          <cell r="BF54">
            <v>8896.6097003614468</v>
          </cell>
          <cell r="BG54">
            <v>8896.6097003614468</v>
          </cell>
          <cell r="BH54">
            <v>2.205945945945946E-2</v>
          </cell>
          <cell r="BI54">
            <v>2.205945945945946E-2</v>
          </cell>
          <cell r="BJ54">
            <v>1.0777254482523257</v>
          </cell>
          <cell r="BK54">
            <v>1899216833.4036176</v>
          </cell>
          <cell r="BL54"/>
          <cell r="BM54">
            <v>48</v>
          </cell>
          <cell r="BN54">
            <v>174.97516117737607</v>
          </cell>
          <cell r="BO54">
            <v>542.12437167801147</v>
          </cell>
          <cell r="BP54">
            <v>542.12437167801147</v>
          </cell>
          <cell r="BQ54">
            <v>2.205945945945946E-2</v>
          </cell>
          <cell r="BR54">
            <v>2.205945945945946E-2</v>
          </cell>
          <cell r="BS54">
            <v>5336.7366214458925</v>
          </cell>
          <cell r="BT54">
            <v>0.49106542946838772</v>
          </cell>
          <cell r="BU54">
            <v>827494386.30969965</v>
          </cell>
          <cell r="BX54">
            <v>48</v>
          </cell>
          <cell r="BY54">
            <v>188012941.70383638</v>
          </cell>
          <cell r="BZ54">
            <v>399109489.76260221</v>
          </cell>
          <cell r="CA54">
            <v>399109489.76260221</v>
          </cell>
          <cell r="CB54">
            <v>5181098.4279250149</v>
          </cell>
          <cell r="CC54">
            <v>5181098.4279250149</v>
          </cell>
          <cell r="CD54">
            <v>288639098.18629938</v>
          </cell>
          <cell r="CF54">
            <v>0.146287023493925</v>
          </cell>
          <cell r="CG54">
            <v>0.31053468328536277</v>
          </cell>
          <cell r="CH54">
            <v>0.31053468328536277</v>
          </cell>
          <cell r="CI54">
            <v>4.0312515754586439E-3</v>
          </cell>
          <cell r="CJ54">
            <v>4.0312515754586439E-3</v>
          </cell>
          <cell r="CK54">
            <v>0.22458110678443219</v>
          </cell>
          <cell r="CM54"/>
        </row>
        <row r="55">
          <cell r="T55">
            <v>0.97688447186281824</v>
          </cell>
          <cell r="U55">
            <v>914556899.43100452</v>
          </cell>
          <cell r="V55">
            <v>8991521.0763934627</v>
          </cell>
          <cell r="W55">
            <v>192189.37173759824</v>
          </cell>
          <cell r="X55">
            <v>192189.37173759824</v>
          </cell>
          <cell r="Y55">
            <v>1332885299.3319812</v>
          </cell>
          <cell r="Z55">
            <v>1332885299.3319812</v>
          </cell>
          <cell r="AA55">
            <v>1229217350.6267362</v>
          </cell>
          <cell r="AB55">
            <v>1229217350.6267362</v>
          </cell>
          <cell r="AC55">
            <v>1369882805.1487894</v>
          </cell>
          <cell r="AD55"/>
          <cell r="AE55">
            <v>49</v>
          </cell>
          <cell r="AF55">
            <v>150.59187554375123</v>
          </cell>
          <cell r="AG55">
            <v>487.33510162289809</v>
          </cell>
          <cell r="AH55">
            <v>487.33510162289809</v>
          </cell>
          <cell r="AI55">
            <v>1.5878878373020128E-2</v>
          </cell>
          <cell r="AJ55">
            <v>1.5878878373020128E-2</v>
          </cell>
          <cell r="AK55">
            <v>0.10155459666663202</v>
          </cell>
          <cell r="AL55">
            <v>0.10155459666663202</v>
          </cell>
          <cell r="AM55">
            <v>4880.1255625879667</v>
          </cell>
          <cell r="AN55">
            <v>0.40714645220668488</v>
          </cell>
          <cell r="AO55">
            <v>422399537.27045172</v>
          </cell>
          <cell r="AP55">
            <v>6398919.5025620358</v>
          </cell>
          <cell r="AQ55">
            <v>1768583.1737842751</v>
          </cell>
          <cell r="AR55">
            <v>1768583.1737842751</v>
          </cell>
          <cell r="AS55">
            <v>948563170.13657939</v>
          </cell>
          <cell r="AT55">
            <v>948563170.13657939</v>
          </cell>
          <cell r="AU55">
            <v>874786680.80573618</v>
          </cell>
          <cell r="AV55">
            <v>874786680.80573618</v>
          </cell>
          <cell r="AW55">
            <v>353225.60850981029</v>
          </cell>
          <cell r="AX55">
            <v>1225021971.7685943</v>
          </cell>
          <cell r="AY55">
            <v>49</v>
          </cell>
          <cell r="AZ55">
            <v>0.91158397810368474</v>
          </cell>
          <cell r="BA55">
            <v>0.46186250142910673</v>
          </cell>
          <cell r="BD55">
            <v>49</v>
          </cell>
          <cell r="BE55">
            <v>176.05815111934589</v>
          </cell>
          <cell r="BF55">
            <v>8977.776343899548</v>
          </cell>
          <cell r="BG55">
            <v>8977.776343899548</v>
          </cell>
          <cell r="BH55">
            <v>2.2203603603603603E-2</v>
          </cell>
          <cell r="BI55">
            <v>2.2203603603603603E-2</v>
          </cell>
          <cell r="BJ55">
            <v>1.0833327040467389</v>
          </cell>
          <cell r="BK55">
            <v>1958240248.7782159</v>
          </cell>
          <cell r="BL55"/>
          <cell r="BM55">
            <v>49</v>
          </cell>
          <cell r="BN55">
            <v>176.05815111934589</v>
          </cell>
          <cell r="BO55">
            <v>544.39358076258532</v>
          </cell>
          <cell r="BP55">
            <v>544.39358076258532</v>
          </cell>
          <cell r="BQ55">
            <v>2.2203603603603603E-2</v>
          </cell>
          <cell r="BR55">
            <v>2.2203603603603603E-2</v>
          </cell>
          <cell r="BS55">
            <v>5354.9379473185036</v>
          </cell>
          <cell r="BT55">
            <v>0.49529658150068301</v>
          </cell>
          <cell r="BU55">
            <v>850862220.89338553</v>
          </cell>
          <cell r="BX55">
            <v>49</v>
          </cell>
          <cell r="BY55">
            <v>205748035.34950143</v>
          </cell>
          <cell r="BZ55">
            <v>428029132.01614493</v>
          </cell>
          <cell r="CA55">
            <v>428029132.01614493</v>
          </cell>
          <cell r="CB55">
            <v>6030483.8424957478</v>
          </cell>
          <cell r="CC55">
            <v>6030483.8424957478</v>
          </cell>
          <cell r="CD55">
            <v>297573616.82238936</v>
          </cell>
          <cell r="CF55">
            <v>0.15002326222478879</v>
          </cell>
          <cell r="CG55">
            <v>0.31210177342994716</v>
          </cell>
          <cell r="CH55">
            <v>0.31210177342994716</v>
          </cell>
          <cell r="CI55">
            <v>4.3971883245848154E-3</v>
          </cell>
          <cell r="CJ55">
            <v>4.3971883245848154E-3</v>
          </cell>
          <cell r="CK55">
            <v>0.21697881426614712</v>
          </cell>
          <cell r="CM55"/>
        </row>
        <row r="56">
          <cell r="T56">
            <v>0.98581003466411277</v>
          </cell>
          <cell r="U56">
            <v>979126544.71588266</v>
          </cell>
          <cell r="V56">
            <v>9519264.882299263</v>
          </cell>
          <cell r="W56">
            <v>201903.52565837326</v>
          </cell>
          <cell r="X56">
            <v>201903.52565837326</v>
          </cell>
          <cell r="Y56">
            <v>1429831231.4590819</v>
          </cell>
          <cell r="Z56">
            <v>1429831231.4590819</v>
          </cell>
          <cell r="AA56">
            <v>1319539499.4566047</v>
          </cell>
          <cell r="AB56">
            <v>1319539499.4566047</v>
          </cell>
          <cell r="AC56">
            <v>1464090299.6042955</v>
          </cell>
          <cell r="AD56"/>
          <cell r="AE56">
            <v>50</v>
          </cell>
          <cell r="AF56">
            <v>152.71164551870044</v>
          </cell>
          <cell r="AG56">
            <v>494.81738520664754</v>
          </cell>
          <cell r="AH56">
            <v>494.81738520664754</v>
          </cell>
          <cell r="AI56">
            <v>1.6695238095238096E-2</v>
          </cell>
          <cell r="AJ56">
            <v>1.6695238095238096E-2</v>
          </cell>
          <cell r="AK56">
            <v>0.10167418626190676</v>
          </cell>
          <cell r="AL56">
            <v>0.10167418626190676</v>
          </cell>
          <cell r="AM56">
            <v>4942.9187213831892</v>
          </cell>
          <cell r="AN56">
            <v>0.41670019338947539</v>
          </cell>
          <cell r="AO56">
            <v>460047656.863029</v>
          </cell>
          <cell r="AP56">
            <v>6842576.2693815036</v>
          </cell>
          <cell r="AQ56">
            <v>1888825.5433085156</v>
          </cell>
          <cell r="AR56">
            <v>1888825.5433085156</v>
          </cell>
          <cell r="AS56">
            <v>1027782016.2137673</v>
          </cell>
          <cell r="AT56">
            <v>1027782016.2137673</v>
          </cell>
          <cell r="AU56">
            <v>948502828.43610215</v>
          </cell>
          <cell r="AV56">
            <v>948502828.43610215</v>
          </cell>
          <cell r="AW56">
            <v>378166.73473032832</v>
          </cell>
          <cell r="AX56">
            <v>1319437550.4606159</v>
          </cell>
          <cell r="AY56">
            <v>50</v>
          </cell>
          <cell r="AZ56">
            <v>0.92317384952500814</v>
          </cell>
          <cell r="BA56">
            <v>0.46985515748275725</v>
          </cell>
          <cell r="BD56">
            <v>50</v>
          </cell>
          <cell r="BE56">
            <v>177.14114106131575</v>
          </cell>
          <cell r="BF56">
            <v>9058.9429874376474</v>
          </cell>
          <cell r="BG56">
            <v>9058.9429874376474</v>
          </cell>
          <cell r="BH56">
            <v>2.234774774774775E-2</v>
          </cell>
          <cell r="BI56">
            <v>2.234774774774775E-2</v>
          </cell>
          <cell r="BJ56">
            <v>1.088939959841152</v>
          </cell>
          <cell r="BK56">
            <v>2017263664.1528144</v>
          </cell>
          <cell r="BL56"/>
          <cell r="BM56">
            <v>50</v>
          </cell>
          <cell r="BN56">
            <v>177.14114106131575</v>
          </cell>
          <cell r="BO56">
            <v>546.66278984715905</v>
          </cell>
          <cell r="BP56">
            <v>546.66278984715905</v>
          </cell>
          <cell r="BQ56">
            <v>2.234774774774775E-2</v>
          </cell>
          <cell r="BR56">
            <v>2.234774774774775E-2</v>
          </cell>
          <cell r="BS56">
            <v>5373.1392731911146</v>
          </cell>
          <cell r="BT56">
            <v>0.49952773353297836</v>
          </cell>
          <cell r="BU56">
            <v>874230055.47707129</v>
          </cell>
          <cell r="BX56">
            <v>50</v>
          </cell>
          <cell r="BY56">
            <v>225926687.23058781</v>
          </cell>
          <cell r="BZ56">
            <v>459241662.77153319</v>
          </cell>
          <cell r="CA56">
            <v>459241662.77153319</v>
          </cell>
          <cell r="CB56">
            <v>7197740.4694282599</v>
          </cell>
          <cell r="CC56">
            <v>7197740.4694282599</v>
          </cell>
          <cell r="CD56">
            <v>310641446.73827362</v>
          </cell>
          <cell r="CF56">
            <v>0.15374946928078936</v>
          </cell>
          <cell r="CG56">
            <v>0.31252687669733142</v>
          </cell>
          <cell r="CH56">
            <v>0.31252687669733142</v>
          </cell>
          <cell r="CI56">
            <v>4.8982649671040169E-3</v>
          </cell>
          <cell r="CJ56">
            <v>4.8982649671040169E-3</v>
          </cell>
          <cell r="CK56">
            <v>0.21140024739033972</v>
          </cell>
          <cell r="CM56"/>
        </row>
        <row r="57">
          <cell r="T57">
            <v>0.99748261650440762</v>
          </cell>
          <cell r="U57">
            <v>1094620542.009125</v>
          </cell>
          <cell r="V57">
            <v>10368021.569213498</v>
          </cell>
          <cell r="W57">
            <v>217025.41960992746</v>
          </cell>
          <cell r="X57">
            <v>217025.41960992746</v>
          </cell>
          <cell r="Y57">
            <v>1593585995.1774588</v>
          </cell>
          <cell r="Z57">
            <v>1593585995.1774588</v>
          </cell>
          <cell r="AA57">
            <v>1471702265.8728781</v>
          </cell>
          <cell r="AB57">
            <v>1471702265.8728781</v>
          </cell>
          <cell r="AC57">
            <v>1623568601.0030951</v>
          </cell>
          <cell r="AD57"/>
          <cell r="AE57">
            <v>51</v>
          </cell>
          <cell r="AF57">
            <v>156.39676458794614</v>
          </cell>
          <cell r="AG57">
            <v>502.36615209479055</v>
          </cell>
          <cell r="AH57">
            <v>502.36615209479055</v>
          </cell>
          <cell r="AI57">
            <v>1.7532178062635153E-2</v>
          </cell>
          <cell r="AJ57">
            <v>1.7532178062635153E-2</v>
          </cell>
          <cell r="AK57">
            <v>0.10180235921651769</v>
          </cell>
          <cell r="AL57">
            <v>0.10180235921651769</v>
          </cell>
          <cell r="AM57">
            <v>5008.7832933580094</v>
          </cell>
          <cell r="AN57">
            <v>0.42751853165967851</v>
          </cell>
          <cell r="AO57">
            <v>507259506.53769833</v>
          </cell>
          <cell r="AP57">
            <v>7392931.0322290426</v>
          </cell>
          <cell r="AQ57">
            <v>2058586.1304932632</v>
          </cell>
          <cell r="AR57">
            <v>2058586.1304932632</v>
          </cell>
          <cell r="AS57">
            <v>1136308530.7669497</v>
          </cell>
          <cell r="AT57">
            <v>1136308530.7669497</v>
          </cell>
          <cell r="AU57">
            <v>1049399181.7957561</v>
          </cell>
          <cell r="AV57">
            <v>1049399181.7957561</v>
          </cell>
          <cell r="AW57">
            <v>412940.20226547931</v>
          </cell>
          <cell r="AX57">
            <v>1448897468.1530094</v>
          </cell>
          <cell r="AY57">
            <v>51</v>
          </cell>
          <cell r="AZ57">
            <v>0.9073380173133534</v>
          </cell>
          <cell r="BA57">
            <v>0.46341128004655124</v>
          </cell>
          <cell r="BD57">
            <v>51</v>
          </cell>
          <cell r="BE57">
            <v>178.22298173260509</v>
          </cell>
          <cell r="BF57">
            <v>9140.0234968021614</v>
          </cell>
          <cell r="BG57">
            <v>9140.0234968021614</v>
          </cell>
          <cell r="BH57">
            <v>2.2491891891891894E-2</v>
          </cell>
          <cell r="BI57">
            <v>2.2491891891891894E-2</v>
          </cell>
          <cell r="BJ57">
            <v>1.094541265206634</v>
          </cell>
          <cell r="BK57">
            <v>2076296507.5194633</v>
          </cell>
          <cell r="BL57"/>
          <cell r="BM57">
            <v>51</v>
          </cell>
          <cell r="BN57">
            <v>178.22298173260509</v>
          </cell>
          <cell r="BO57">
            <v>548.92984515200772</v>
          </cell>
          <cell r="BP57">
            <v>548.92984515200772</v>
          </cell>
          <cell r="BQ57">
            <v>2.2491891891891894E-2</v>
          </cell>
          <cell r="BR57">
            <v>2.2491891891891894E-2</v>
          </cell>
          <cell r="BS57">
            <v>5391.3298682608802</v>
          </cell>
          <cell r="BT57">
            <v>0.50375439545988387</v>
          </cell>
          <cell r="BU57">
            <v>897606372.18255675</v>
          </cell>
          <cell r="BX57">
            <v>51</v>
          </cell>
          <cell r="BY57">
            <v>264134081.22564721</v>
          </cell>
          <cell r="BZ57">
            <v>518186658.86436522</v>
          </cell>
          <cell r="CA57">
            <v>518186658.86436522</v>
          </cell>
          <cell r="CB57">
            <v>8531476.2802764885</v>
          </cell>
          <cell r="CC57">
            <v>8531476.2802764885</v>
          </cell>
          <cell r="CD57">
            <v>329592684.10681528</v>
          </cell>
          <cell r="CF57">
            <v>0.1603569746973747</v>
          </cell>
          <cell r="CG57">
            <v>0.31459342375830329</v>
          </cell>
          <cell r="CH57">
            <v>0.31459342375830329</v>
          </cell>
          <cell r="CI57">
            <v>5.1794971692381113E-3</v>
          </cell>
          <cell r="CJ57">
            <v>5.1794971692381113E-3</v>
          </cell>
          <cell r="CK57">
            <v>0.20009718344754238</v>
          </cell>
          <cell r="CM57"/>
        </row>
        <row r="58">
          <cell r="T58">
            <v>1.0091551983447025</v>
          </cell>
          <cell r="U58">
            <v>1219855207.0431843</v>
          </cell>
          <cell r="V58">
            <v>11264047.940956589</v>
          </cell>
          <cell r="W58">
            <v>232871.59112028574</v>
          </cell>
          <cell r="X58">
            <v>232871.59112028574</v>
          </cell>
          <cell r="Y58">
            <v>1770578248.0052443</v>
          </cell>
          <cell r="Z58">
            <v>1770578248.0052443</v>
          </cell>
          <cell r="AA58">
            <v>1636359920.87779</v>
          </cell>
          <cell r="AB58">
            <v>1636359920.87779</v>
          </cell>
          <cell r="AC58">
            <v>1794953434.6364431</v>
          </cell>
          <cell r="AD58"/>
          <cell r="AE58">
            <v>52</v>
          </cell>
          <cell r="AF58">
            <v>160.08188365719184</v>
          </cell>
          <cell r="AG58">
            <v>509.97494108958813</v>
          </cell>
          <cell r="AH58">
            <v>509.97494108958813</v>
          </cell>
          <cell r="AI58">
            <v>1.8407412394632932E-2</v>
          </cell>
          <cell r="AJ58">
            <v>1.8407412394632932E-2</v>
          </cell>
          <cell r="AK58">
            <v>0.10193973158788455</v>
          </cell>
          <cell r="AL58">
            <v>0.10193973158788455</v>
          </cell>
          <cell r="AM58">
            <v>5070.9452382022582</v>
          </cell>
          <cell r="AN58">
            <v>0.43833686992988163</v>
          </cell>
          <cell r="AO58">
            <v>557863195.08964527</v>
          </cell>
          <cell r="AP58">
            <v>7970144.7915883446</v>
          </cell>
          <cell r="AQ58">
            <v>2237713.8719826471</v>
          </cell>
          <cell r="AR58">
            <v>2237713.8719826471</v>
          </cell>
          <cell r="AS58">
            <v>1252814714.1604042</v>
          </cell>
          <cell r="AT58">
            <v>1252814714.1604042</v>
          </cell>
          <cell r="AU58">
            <v>1157845347.3308327</v>
          </cell>
          <cell r="AV58">
            <v>1157845347.3308327</v>
          </cell>
          <cell r="AW58">
            <v>450084.92359277495</v>
          </cell>
          <cell r="AX58">
            <v>1586802123.8937395</v>
          </cell>
          <cell r="AY58">
            <v>52</v>
          </cell>
          <cell r="AZ58">
            <v>0.89232933376908541</v>
          </cell>
          <cell r="BA58">
            <v>0.45731918990767262</v>
          </cell>
          <cell r="BD58">
            <v>52</v>
          </cell>
          <cell r="BE58">
            <v>179.23344707796551</v>
          </cell>
          <cell r="BF58">
            <v>9215.7546530355175</v>
          </cell>
          <cell r="BG58">
            <v>9215.7546530355175</v>
          </cell>
          <cell r="BH58">
            <v>2.2636036036036037E-2</v>
          </cell>
          <cell r="BI58">
            <v>2.2636036036036037E-2</v>
          </cell>
          <cell r="BJ58">
            <v>1.0997730198548077</v>
          </cell>
          <cell r="BK58">
            <v>2135914875.2685513</v>
          </cell>
          <cell r="BL58"/>
          <cell r="BM58">
            <v>52</v>
          </cell>
          <cell r="BN58">
            <v>179.23344707796551</v>
          </cell>
          <cell r="BO58">
            <v>551.06314021006006</v>
          </cell>
          <cell r="BP58">
            <v>551.06314021006006</v>
          </cell>
          <cell r="BQ58">
            <v>2.2636036036036037E-2</v>
          </cell>
          <cell r="BR58">
            <v>2.2636036036036037E-2</v>
          </cell>
          <cell r="BS58">
            <v>5408.8540280307761</v>
          </cell>
          <cell r="BT58">
            <v>0.50770219989822341</v>
          </cell>
          <cell r="BU58">
            <v>921509470.10528004</v>
          </cell>
          <cell r="BX58">
            <v>52</v>
          </cell>
          <cell r="BY58">
            <v>305643439.08976412</v>
          </cell>
          <cell r="BZ58">
            <v>581435540.27829599</v>
          </cell>
          <cell r="CA58">
            <v>581435540.27829599</v>
          </cell>
          <cell r="CB58">
            <v>10081147.150419157</v>
          </cell>
          <cell r="CC58">
            <v>10081147.150419157</v>
          </cell>
          <cell r="CD58">
            <v>350544424.9721275</v>
          </cell>
          <cell r="CF58">
            <v>0.16618089907952138</v>
          </cell>
          <cell r="CG58">
            <v>0.31613137559238508</v>
          </cell>
          <cell r="CH58">
            <v>0.31613137559238508</v>
          </cell>
          <cell r="CI58">
            <v>5.4812041841918778E-3</v>
          </cell>
          <cell r="CJ58">
            <v>5.4812041841918778E-3</v>
          </cell>
          <cell r="CK58">
            <v>0.19059394136732466</v>
          </cell>
          <cell r="CM58"/>
        </row>
        <row r="59">
          <cell r="T59">
            <v>1.0208277801849974</v>
          </cell>
          <cell r="U59">
            <v>1355403851.226752</v>
          </cell>
          <cell r="V59">
            <v>12213213.636626245</v>
          </cell>
          <cell r="W59">
            <v>249567.13870989019</v>
          </cell>
          <cell r="X59">
            <v>249567.13870989019</v>
          </cell>
          <cell r="Y59">
            <v>1962359025.140008</v>
          </cell>
          <cell r="Z59">
            <v>1962359025.140008</v>
          </cell>
          <cell r="AA59">
            <v>1814947830.9577098</v>
          </cell>
          <cell r="AB59">
            <v>1814947830.9577098</v>
          </cell>
          <cell r="AC59">
            <v>1979614852.7018232</v>
          </cell>
          <cell r="AD59"/>
          <cell r="AE59">
            <v>53</v>
          </cell>
          <cell r="AF59">
            <v>163.77592366065232</v>
          </cell>
          <cell r="AG59">
            <v>517.64375219104045</v>
          </cell>
          <cell r="AH59">
            <v>517.64375219104045</v>
          </cell>
          <cell r="AI59">
            <v>1.9298873742345769E-2</v>
          </cell>
          <cell r="AJ59">
            <v>1.9298873742345769E-2</v>
          </cell>
          <cell r="AK59">
            <v>0.10208696365000122</v>
          </cell>
          <cell r="AL59">
            <v>0.10208696365000122</v>
          </cell>
          <cell r="AM59">
            <v>5135.9430310817388</v>
          </cell>
          <cell r="AN59">
            <v>0.44915520820008481</v>
          </cell>
          <cell r="AO59">
            <v>613545853.02107358</v>
          </cell>
          <cell r="AP59">
            <v>8590414.4020794109</v>
          </cell>
          <cell r="AQ59">
            <v>2430962.1060262453</v>
          </cell>
          <cell r="AR59">
            <v>2430962.1060262453</v>
          </cell>
          <cell r="AS59">
            <v>1380265484.0212815</v>
          </cell>
          <cell r="AT59">
            <v>1380265484.0212815</v>
          </cell>
          <cell r="AU59">
            <v>1276580796.0097852</v>
          </cell>
          <cell r="AV59">
            <v>1276580796.0097852</v>
          </cell>
          <cell r="AW59">
            <v>490025.81936062465</v>
          </cell>
          <cell r="AX59">
            <v>1736697820.7401452</v>
          </cell>
          <cell r="AY59">
            <v>53</v>
          </cell>
          <cell r="AZ59">
            <v>0.8802521868279034</v>
          </cell>
          <cell r="BA59">
            <v>0.45266645248629334</v>
          </cell>
          <cell r="BD59">
            <v>53</v>
          </cell>
          <cell r="BE59">
            <v>180.24391242332592</v>
          </cell>
          <cell r="BF59">
            <v>9291.4858092688755</v>
          </cell>
          <cell r="BG59">
            <v>9291.4858092688755</v>
          </cell>
          <cell r="BH59">
            <v>2.278018018018018E-2</v>
          </cell>
          <cell r="BI59">
            <v>2.278018018018018E-2</v>
          </cell>
          <cell r="BJ59">
            <v>1.1050047745029812</v>
          </cell>
          <cell r="BK59">
            <v>2195533243.0176392</v>
          </cell>
          <cell r="BL59"/>
          <cell r="BM59">
            <v>53</v>
          </cell>
          <cell r="BN59">
            <v>180.24391242332592</v>
          </cell>
          <cell r="BO59">
            <v>553.1964352681124</v>
          </cell>
          <cell r="BP59">
            <v>553.1964352681124</v>
          </cell>
          <cell r="BQ59">
            <v>2.278018018018018E-2</v>
          </cell>
          <cell r="BR59">
            <v>2.278018018018018E-2</v>
          </cell>
          <cell r="BS59">
            <v>5426.3781878006721</v>
          </cell>
          <cell r="BT59">
            <v>0.51165000433656305</v>
          </cell>
          <cell r="BU59">
            <v>945412568.02800333</v>
          </cell>
          <cell r="BX59">
            <v>53</v>
          </cell>
          <cell r="BY59">
            <v>350759538.8342706</v>
          </cell>
          <cell r="BZ59">
            <v>649219001.04798031</v>
          </cell>
          <cell r="CA59">
            <v>649219001.04798031</v>
          </cell>
          <cell r="CB59">
            <v>11830514.371666918</v>
          </cell>
          <cell r="CC59">
            <v>11830514.371666918</v>
          </cell>
          <cell r="CD59">
            <v>373651641.35255301</v>
          </cell>
          <cell r="CF59">
            <v>0.17139398422957303</v>
          </cell>
          <cell r="CG59">
            <v>0.31723223150812557</v>
          </cell>
          <cell r="CH59">
            <v>0.31723223150812557</v>
          </cell>
          <cell r="CI59">
            <v>5.7808235248115918E-3</v>
          </cell>
          <cell r="CJ59">
            <v>5.7808235248115918E-3</v>
          </cell>
          <cell r="CK59">
            <v>0.18257990570455279</v>
          </cell>
          <cell r="CM59"/>
        </row>
        <row r="60">
          <cell r="T60">
            <v>1.0358980319831186</v>
          </cell>
          <cell r="U60">
            <v>1507496237.8231475</v>
          </cell>
          <cell r="V60">
            <v>13268022.651403949</v>
          </cell>
          <cell r="W60">
            <v>267797.6840641395</v>
          </cell>
          <cell r="X60">
            <v>267797.6840641395</v>
          </cell>
          <cell r="Y60">
            <v>2176303476.8452864</v>
          </cell>
          <cell r="Z60">
            <v>2176303476.8452864</v>
          </cell>
          <cell r="AA60">
            <v>2014388924.1165352</v>
          </cell>
          <cell r="AB60">
            <v>2014388924.1165352</v>
          </cell>
          <cell r="AC60">
            <v>2181199261.9540539</v>
          </cell>
          <cell r="AD60"/>
          <cell r="AE60">
            <v>54</v>
          </cell>
          <cell r="AF60">
            <v>167.34593395894598</v>
          </cell>
          <cell r="AG60">
            <v>525.37258539914717</v>
          </cell>
          <cell r="AH60">
            <v>525.37258539914717</v>
          </cell>
          <cell r="AI60">
            <v>2.0238981378739643E-2</v>
          </cell>
          <cell r="AJ60">
            <v>2.0238981378739643E-2</v>
          </cell>
          <cell r="AK60">
            <v>0.10224476306701238</v>
          </cell>
          <cell r="AL60">
            <v>0.10224476306701238</v>
          </cell>
          <cell r="AM60">
            <v>5199.1963103880526</v>
          </cell>
          <cell r="AN60">
            <v>0.46110338650298283</v>
          </cell>
          <cell r="AO60">
            <v>674177438.92082524</v>
          </cell>
          <cell r="AP60">
            <v>9266718.2869316805</v>
          </cell>
          <cell r="AQ60">
            <v>2640089.8753244574</v>
          </cell>
          <cell r="AR60">
            <v>2640089.8753244574</v>
          </cell>
          <cell r="AS60">
            <v>1519984684.7307901</v>
          </cell>
          <cell r="AT60">
            <v>1519984684.7307901</v>
          </cell>
          <cell r="AU60">
            <v>1406899518.5298476</v>
          </cell>
          <cell r="AV60">
            <v>1406899518.5298476</v>
          </cell>
          <cell r="AW60">
            <v>533555.86543790204</v>
          </cell>
          <cell r="AX60">
            <v>1898607389.8645239</v>
          </cell>
          <cell r="AY60">
            <v>54</v>
          </cell>
          <cell r="AZ60">
            <v>0.86829665583470994</v>
          </cell>
          <cell r="BA60">
            <v>0.44721666429784923</v>
          </cell>
          <cell r="BD60">
            <v>54</v>
          </cell>
          <cell r="BE60">
            <v>181.25437776868634</v>
          </cell>
          <cell r="BF60">
            <v>9367.2169655022317</v>
          </cell>
          <cell r="BG60">
            <v>9367.2169655022317</v>
          </cell>
          <cell r="BH60">
            <v>2.2924324324324324E-2</v>
          </cell>
          <cell r="BI60">
            <v>2.2924324324324324E-2</v>
          </cell>
          <cell r="BJ60">
            <v>1.1102365291511547</v>
          </cell>
          <cell r="BK60">
            <v>2255151610.766727</v>
          </cell>
          <cell r="BL60"/>
          <cell r="BM60">
            <v>54</v>
          </cell>
          <cell r="BN60">
            <v>181.25437776868634</v>
          </cell>
          <cell r="BO60">
            <v>555.32973032616474</v>
          </cell>
          <cell r="BP60">
            <v>555.32973032616474</v>
          </cell>
          <cell r="BQ60">
            <v>2.2924324324324324E-2</v>
          </cell>
          <cell r="BR60">
            <v>2.2924324324324324E-2</v>
          </cell>
          <cell r="BS60">
            <v>5443.9023475705681</v>
          </cell>
          <cell r="BT60">
            <v>0.51559780877490258</v>
          </cell>
          <cell r="BU60">
            <v>969315665.95072651</v>
          </cell>
          <cell r="BX60">
            <v>54</v>
          </cell>
          <cell r="BY60">
            <v>398126516.33777612</v>
          </cell>
          <cell r="BZ60">
            <v>723224150.5609194</v>
          </cell>
          <cell r="CA60">
            <v>723224150.5609194</v>
          </cell>
          <cell r="CB60">
            <v>13876473.889359711</v>
          </cell>
          <cell r="CC60">
            <v>13876473.889359711</v>
          </cell>
          <cell r="CD60">
            <v>406522863.45207661</v>
          </cell>
          <cell r="CF60">
            <v>0.17470496368889604</v>
          </cell>
          <cell r="CG60">
            <v>0.3173635610231002</v>
          </cell>
          <cell r="CH60">
            <v>0.3173635610231002</v>
          </cell>
          <cell r="CI60">
            <v>6.0892424078422894E-3</v>
          </cell>
          <cell r="CJ60">
            <v>6.0892424078422894E-3</v>
          </cell>
          <cell r="CK60">
            <v>0.17838942944921909</v>
          </cell>
          <cell r="CM60"/>
        </row>
        <row r="61">
          <cell r="T61">
            <v>1.055418141158655</v>
          </cell>
          <cell r="U61">
            <v>1680125954.9278624</v>
          </cell>
          <cell r="V61">
            <v>14460406.337406553</v>
          </cell>
          <cell r="W61">
            <v>287987.8075850223</v>
          </cell>
          <cell r="X61">
            <v>287987.8075850223</v>
          </cell>
          <cell r="Y61">
            <v>2417888058.3539305</v>
          </cell>
          <cell r="Z61">
            <v>2417888058.3539305</v>
          </cell>
          <cell r="AA61">
            <v>2239741836.0826178</v>
          </cell>
          <cell r="AB61">
            <v>2239741836.0826178</v>
          </cell>
          <cell r="AC61">
            <v>2402550076.6476564</v>
          </cell>
          <cell r="AD61"/>
          <cell r="AE61">
            <v>55</v>
          </cell>
          <cell r="AF61">
            <v>170.75056182236492</v>
          </cell>
          <cell r="AG61">
            <v>533.15666966452943</v>
          </cell>
          <cell r="AH61">
            <v>533.15666966452943</v>
          </cell>
          <cell r="AI61">
            <v>2.1189751841863232E-2</v>
          </cell>
          <cell r="AJ61">
            <v>2.1189751841863232E-2</v>
          </cell>
          <cell r="AK61">
            <v>0.10241388829456863</v>
          </cell>
          <cell r="AL61">
            <v>0.10241388829456863</v>
          </cell>
          <cell r="AM61">
            <v>5263.360901484315</v>
          </cell>
          <cell r="AN61">
            <v>0.47453129269799266</v>
          </cell>
          <cell r="AO61">
            <v>741034392.3780421</v>
          </cell>
          <cell r="AP61">
            <v>10018278.011420369</v>
          </cell>
          <cell r="AQ61">
            <v>2869758.6109252917</v>
          </cell>
          <cell r="AR61">
            <v>2869758.6109252917</v>
          </cell>
          <cell r="AS61">
            <v>1675130988.9834974</v>
          </cell>
          <cell r="AT61">
            <v>1675130988.9834974</v>
          </cell>
          <cell r="AU61">
            <v>1551709949.5081723</v>
          </cell>
          <cell r="AV61">
            <v>1551709949.5081723</v>
          </cell>
          <cell r="AW61">
            <v>581389.33369002002</v>
          </cell>
          <cell r="AX61">
            <v>2075277684.9414873</v>
          </cell>
          <cell r="AY61">
            <v>55</v>
          </cell>
          <cell r="AZ61">
            <v>0.85701595455951385</v>
          </cell>
          <cell r="BA61">
            <v>0.44105883264559115</v>
          </cell>
          <cell r="BD61">
            <v>55</v>
          </cell>
          <cell r="BE61">
            <v>182.24557375232479</v>
          </cell>
          <cell r="BF61">
            <v>9441.5039445059738</v>
          </cell>
          <cell r="BG61">
            <v>9441.5039445059738</v>
          </cell>
          <cell r="BH61">
            <v>2.3067052335890695E-2</v>
          </cell>
          <cell r="BI61">
            <v>2.3067052335890695E-2</v>
          </cell>
          <cell r="BJ61">
            <v>1.115368515337976</v>
          </cell>
          <cell r="BK61">
            <v>2314908050.3531361</v>
          </cell>
          <cell r="BL61"/>
          <cell r="BM61">
            <v>55</v>
          </cell>
          <cell r="BN61">
            <v>182.24557375232479</v>
          </cell>
          <cell r="BO61">
            <v>557.42660778698234</v>
          </cell>
          <cell r="BP61">
            <v>557.42660778698234</v>
          </cell>
          <cell r="BQ61">
            <v>2.3067052335890695E-2</v>
          </cell>
          <cell r="BR61">
            <v>2.3067052335890695E-2</v>
          </cell>
          <cell r="BS61">
            <v>5460.8934092937307</v>
          </cell>
          <cell r="BT61">
            <v>0.51947032941248705</v>
          </cell>
          <cell r="BU61">
            <v>993236041.51427555</v>
          </cell>
          <cell r="BX61">
            <v>55</v>
          </cell>
          <cell r="BY61">
            <v>447358818.67047024</v>
          </cell>
          <cell r="BZ61">
            <v>804597756.71569562</v>
          </cell>
          <cell r="CA61">
            <v>804597756.71569562</v>
          </cell>
          <cell r="CB61">
            <v>16175330.438381871</v>
          </cell>
          <cell r="CC61">
            <v>16175330.438381871</v>
          </cell>
          <cell r="CD61">
            <v>453420903.24793214</v>
          </cell>
          <cell r="CF61">
            <v>0.17596438730945618</v>
          </cell>
          <cell r="CG61">
            <v>0.3164809664685076</v>
          </cell>
          <cell r="CH61">
            <v>0.3164809664685076</v>
          </cell>
          <cell r="CI61">
            <v>6.3624142217133051E-3</v>
          </cell>
          <cell r="CJ61">
            <v>6.3624142217133051E-3</v>
          </cell>
          <cell r="CK61">
            <v>0.17834885131010203</v>
          </cell>
          <cell r="CM61"/>
        </row>
        <row r="62">
          <cell r="T62">
            <v>1.0749382503341911</v>
          </cell>
          <cell r="U62">
            <v>1869878071.8980014</v>
          </cell>
          <cell r="V62">
            <v>15726383.396860916</v>
          </cell>
          <cell r="W62">
            <v>309753.70115463604</v>
          </cell>
          <cell r="X62">
            <v>309753.70115463604</v>
          </cell>
          <cell r="Y62">
            <v>2684240056.9164901</v>
          </cell>
          <cell r="Z62">
            <v>2684240056.9164901</v>
          </cell>
          <cell r="AA62">
            <v>2488003517.0388398</v>
          </cell>
          <cell r="AB62">
            <v>2488003517.0388398</v>
          </cell>
          <cell r="AC62">
            <v>2644185306.3961897</v>
          </cell>
          <cell r="AD62"/>
          <cell r="AE62">
            <v>56</v>
          </cell>
          <cell r="AF62">
            <v>174.43683950590415</v>
          </cell>
          <cell r="AG62">
            <v>540.99641620955617</v>
          </cell>
          <cell r="AH62">
            <v>540.99641620955617</v>
          </cell>
          <cell r="AI62">
            <v>2.198780974822814E-2</v>
          </cell>
          <cell r="AJ62">
            <v>2.198780974822814E-2</v>
          </cell>
          <cell r="AK62">
            <v>0.10259515222530882</v>
          </cell>
          <cell r="AL62">
            <v>0.10259515222530882</v>
          </cell>
          <cell r="AM62">
            <v>5327.689290730219</v>
          </cell>
          <cell r="AN62">
            <v>0.48896225127068993</v>
          </cell>
          <cell r="AO62">
            <v>815878939.77204478</v>
          </cell>
          <cell r="AP62">
            <v>10827138.125667967</v>
          </cell>
          <cell r="AQ62">
            <v>3122500.3232299564</v>
          </cell>
          <cell r="AR62">
            <v>3122500.3232299564</v>
          </cell>
          <cell r="AS62">
            <v>1848017889.7639475</v>
          </cell>
          <cell r="AT62">
            <v>1848017889.7639475</v>
          </cell>
          <cell r="AU62">
            <v>1712914982.1887341</v>
          </cell>
          <cell r="AV62">
            <v>1712914982.1887341</v>
          </cell>
          <cell r="AW62">
            <v>634144.14478703763</v>
          </cell>
          <cell r="AX62">
            <v>2269045414.7362843</v>
          </cell>
          <cell r="AY62">
            <v>56</v>
          </cell>
          <cell r="AZ62">
            <v>0.847335520845794</v>
          </cell>
          <cell r="BA62">
            <v>0.43632734777401549</v>
          </cell>
          <cell r="BD62">
            <v>56</v>
          </cell>
          <cell r="BE62">
            <v>183.18837125635068</v>
          </cell>
          <cell r="BF62">
            <v>9512.1636117589223</v>
          </cell>
          <cell r="BG62">
            <v>9512.1636117589223</v>
          </cell>
          <cell r="BH62">
            <v>2.3206223474910748E-2</v>
          </cell>
          <cell r="BI62">
            <v>2.3206223474910748E-2</v>
          </cell>
          <cell r="BJ62">
            <v>1.1202499150283478</v>
          </cell>
          <cell r="BK62">
            <v>2375011282.2775602</v>
          </cell>
          <cell r="BL62"/>
          <cell r="BM62">
            <v>56</v>
          </cell>
          <cell r="BN62">
            <v>183.18837125635068</v>
          </cell>
          <cell r="BO62">
            <v>559.43201587986039</v>
          </cell>
          <cell r="BP62">
            <v>559.43201587986039</v>
          </cell>
          <cell r="BQ62">
            <v>2.3206223474910748E-2</v>
          </cell>
          <cell r="BR62">
            <v>2.3206223474910748E-2</v>
          </cell>
          <cell r="BS62">
            <v>5476.5454990613816</v>
          </cell>
          <cell r="BT62">
            <v>0.52315376119759338</v>
          </cell>
          <cell r="BU62">
            <v>1017199812.9909496</v>
          </cell>
          <cell r="BX62">
            <v>56</v>
          </cell>
          <cell r="BY62">
            <v>505330634.82910049</v>
          </cell>
          <cell r="BZ62">
            <v>892121516.46826828</v>
          </cell>
          <cell r="CA62">
            <v>892121516.46826828</v>
          </cell>
          <cell r="CB62">
            <v>18317509.438385468</v>
          </cell>
          <cell r="CC62">
            <v>18317509.438385468</v>
          </cell>
          <cell r="CD62">
            <v>505035689.10913426</v>
          </cell>
          <cell r="CF62">
            <v>0.17848358098546777</v>
          </cell>
          <cell r="CG62">
            <v>0.31509873330219274</v>
          </cell>
          <cell r="CH62">
            <v>0.31509873330219274</v>
          </cell>
          <cell r="CI62">
            <v>6.4697733601760043E-3</v>
          </cell>
          <cell r="CJ62">
            <v>6.4697733601760043E-3</v>
          </cell>
          <cell r="CK62">
            <v>0.17837940568979482</v>
          </cell>
          <cell r="CM62"/>
        </row>
        <row r="63">
          <cell r="T63">
            <v>1.0944583595097273</v>
          </cell>
          <cell r="U63">
            <v>2075351757.1137059</v>
          </cell>
          <cell r="V63">
            <v>17060227.595192358</v>
          </cell>
          <cell r="W63">
            <v>332674.27514785476</v>
          </cell>
          <cell r="X63">
            <v>332674.27514785476</v>
          </cell>
          <cell r="Y63">
            <v>2973381276.1848793</v>
          </cell>
          <cell r="Z63">
            <v>2973381276.1848793</v>
          </cell>
          <cell r="AA63">
            <v>2756873962.2118044</v>
          </cell>
          <cell r="AB63">
            <v>2756873962.2118044</v>
          </cell>
          <cell r="AC63">
            <v>2903138599.8222489</v>
          </cell>
          <cell r="AD63"/>
          <cell r="AE63">
            <v>57</v>
          </cell>
          <cell r="AF63">
            <v>178.20696925891491</v>
          </cell>
          <cell r="AG63">
            <v>548.89603960771342</v>
          </cell>
          <cell r="AH63">
            <v>548.89603960771342</v>
          </cell>
          <cell r="AI63">
            <v>2.2489607692511581E-2</v>
          </cell>
          <cell r="AJ63">
            <v>2.2489607692511581E-2</v>
          </cell>
          <cell r="AK63">
            <v>0.10278942609599119</v>
          </cell>
          <cell r="AL63">
            <v>0.10278942609599119</v>
          </cell>
          <cell r="AM63">
            <v>5391.052169328852</v>
          </cell>
          <cell r="AN63">
            <v>0.50369183605100054</v>
          </cell>
          <cell r="AO63">
            <v>897227588.55740964</v>
          </cell>
          <cell r="AP63">
            <v>11682604.815291855</v>
          </cell>
          <cell r="AQ63">
            <v>3392495.3938109502</v>
          </cell>
          <cell r="AR63">
            <v>3392495.3938109502</v>
          </cell>
          <cell r="AS63">
            <v>2036129835.9609864</v>
          </cell>
          <cell r="AT63">
            <v>2036129835.9609864</v>
          </cell>
          <cell r="AU63">
            <v>1887868660.9763961</v>
          </cell>
          <cell r="AV63">
            <v>1887868660.9763961</v>
          </cell>
          <cell r="AW63">
            <v>690821.46770694759</v>
          </cell>
          <cell r="AX63">
            <v>2476740567.9884043</v>
          </cell>
          <cell r="AY63">
            <v>57</v>
          </cell>
          <cell r="AZ63">
            <v>0.83875800739550099</v>
          </cell>
          <cell r="BA63">
            <v>0.43232554938312162</v>
          </cell>
          <cell r="BD63">
            <v>57</v>
          </cell>
          <cell r="BE63">
            <v>184.13116876037657</v>
          </cell>
          <cell r="BF63">
            <v>9582.8232790118691</v>
          </cell>
          <cell r="BG63">
            <v>9582.8232790118691</v>
          </cell>
          <cell r="BH63">
            <v>2.3345394613930804E-2</v>
          </cell>
          <cell r="BI63">
            <v>2.3345394613930804E-2</v>
          </cell>
          <cell r="BJ63">
            <v>1.1251313147187196</v>
          </cell>
          <cell r="BK63">
            <v>2435114514.2019849</v>
          </cell>
          <cell r="BL63"/>
          <cell r="BM63">
            <v>57</v>
          </cell>
          <cell r="BN63">
            <v>184.13116876037657</v>
          </cell>
          <cell r="BO63">
            <v>561.43742397273854</v>
          </cell>
          <cell r="BP63">
            <v>561.43742397273854</v>
          </cell>
          <cell r="BQ63">
            <v>2.3345394613930804E-2</v>
          </cell>
          <cell r="BR63">
            <v>2.3345394613930804E-2</v>
          </cell>
          <cell r="BS63">
            <v>5492.1975888290326</v>
          </cell>
          <cell r="BT63">
            <v>0.5268371929826996</v>
          </cell>
          <cell r="BU63">
            <v>1041163584.4676237</v>
          </cell>
          <cell r="BX63">
            <v>57</v>
          </cell>
          <cell r="BY63">
            <v>569649906.47887051</v>
          </cell>
          <cell r="BZ63">
            <v>986121695.40193689</v>
          </cell>
          <cell r="CA63">
            <v>986121695.40193689</v>
          </cell>
          <cell r="CB63">
            <v>19809546.050345916</v>
          </cell>
          <cell r="CC63">
            <v>19809546.050345916</v>
          </cell>
          <cell r="CD63">
            <v>561705271.5293777</v>
          </cell>
          <cell r="CF63">
            <v>0.18123145385784065</v>
          </cell>
          <cell r="CG63">
            <v>0.31373000593142497</v>
          </cell>
          <cell r="CH63">
            <v>0.31373000593142497</v>
          </cell>
          <cell r="CI63">
            <v>6.3023144393357326E-3</v>
          </cell>
          <cell r="CJ63">
            <v>6.3023144393357326E-3</v>
          </cell>
          <cell r="CK63">
            <v>0.17870390540063785</v>
          </cell>
          <cell r="CM63"/>
        </row>
        <row r="64">
          <cell r="T64">
            <v>1.1139784686852636</v>
          </cell>
          <cell r="U64">
            <v>2297792816.6797843</v>
          </cell>
          <cell r="V64">
            <v>18476783.822123308</v>
          </cell>
          <cell r="W64">
            <v>356885.14681221673</v>
          </cell>
          <cell r="X64">
            <v>356885.14681221673</v>
          </cell>
          <cell r="Y64">
            <v>3286668029.2667427</v>
          </cell>
          <cell r="Z64">
            <v>3286668029.2667427</v>
          </cell>
          <cell r="AA64">
            <v>3048375976.4141808</v>
          </cell>
          <cell r="AB64">
            <v>3048375976.4141808</v>
          </cell>
          <cell r="AC64">
            <v>3181065057.026443</v>
          </cell>
          <cell r="AD64"/>
          <cell r="AE64">
            <v>58</v>
          </cell>
          <cell r="AF64">
            <v>181.9770990119257</v>
          </cell>
          <cell r="AG64">
            <v>556.8555398590014</v>
          </cell>
          <cell r="AH64">
            <v>556.8555398590014</v>
          </cell>
          <cell r="AI64">
            <v>2.3027421412749827E-2</v>
          </cell>
          <cell r="AJ64">
            <v>2.3027421412749827E-2</v>
          </cell>
          <cell r="AK64">
            <v>0.10299764367505275</v>
          </cell>
          <cell r="AL64">
            <v>0.10299764367505275</v>
          </cell>
          <cell r="AM64">
            <v>5456.4362584006394</v>
          </cell>
          <cell r="AN64">
            <v>0.51842142083131104</v>
          </cell>
          <cell r="AO64">
            <v>986412023.31449223</v>
          </cell>
          <cell r="AP64">
            <v>12600788.745749064</v>
          </cell>
          <cell r="AQ64">
            <v>3683128.8886422934</v>
          </cell>
          <cell r="AR64">
            <v>3683128.8886422934</v>
          </cell>
          <cell r="AS64">
            <v>2241440388.8088765</v>
          </cell>
          <cell r="AT64">
            <v>2241440388.8088765</v>
          </cell>
          <cell r="AU64">
            <v>2078930081.4581602</v>
          </cell>
          <cell r="AV64">
            <v>2078930081.4581602</v>
          </cell>
          <cell r="AW64">
            <v>751762.00308307365</v>
          </cell>
          <cell r="AX64">
            <v>2701451253.9375458</v>
          </cell>
          <cell r="AY64">
            <v>58</v>
          </cell>
          <cell r="AZ64">
            <v>0.83207785788359911</v>
          </cell>
          <cell r="BA64">
            <v>0.42928675560045348</v>
          </cell>
          <cell r="BD64">
            <v>58</v>
          </cell>
          <cell r="BE64">
            <v>185.07396626440249</v>
          </cell>
          <cell r="BF64">
            <v>9653.4829462648177</v>
          </cell>
          <cell r="BG64">
            <v>9653.4829462648177</v>
          </cell>
          <cell r="BH64">
            <v>2.3484565752950857E-2</v>
          </cell>
          <cell r="BI64">
            <v>2.3484565752950857E-2</v>
          </cell>
          <cell r="BJ64">
            <v>1.1300127144090915</v>
          </cell>
          <cell r="BK64">
            <v>2495217746.1264095</v>
          </cell>
          <cell r="BL64"/>
          <cell r="BM64">
            <v>58</v>
          </cell>
          <cell r="BN64">
            <v>185.07396626440249</v>
          </cell>
          <cell r="BO64">
            <v>563.44283206561659</v>
          </cell>
          <cell r="BP64">
            <v>563.44283206561659</v>
          </cell>
          <cell r="BQ64">
            <v>2.3484565752950857E-2</v>
          </cell>
          <cell r="BR64">
            <v>2.3484565752950857E-2</v>
          </cell>
          <cell r="BS64">
            <v>5507.8496785966836</v>
          </cell>
          <cell r="BT64">
            <v>0.53052062476780582</v>
          </cell>
          <cell r="BU64">
            <v>1065127355.9442978</v>
          </cell>
          <cell r="BX64">
            <v>58</v>
          </cell>
          <cell r="BY64">
            <v>639309778.90660608</v>
          </cell>
          <cell r="BZ64">
            <v>1086962879.0017428</v>
          </cell>
          <cell r="CA64">
            <v>1086962879.0017428</v>
          </cell>
          <cell r="CB64">
            <v>21577161.210353967</v>
          </cell>
          <cell r="CC64">
            <v>21577161.210353967</v>
          </cell>
          <cell r="CD64">
            <v>623800008.73701775</v>
          </cell>
          <cell r="CF64">
            <v>0.1836996839662508</v>
          </cell>
          <cell r="CG64">
            <v>0.31232861430207509</v>
          </cell>
          <cell r="CH64">
            <v>0.31232861430207509</v>
          </cell>
          <cell r="CI64">
            <v>6.199995410691053E-3</v>
          </cell>
          <cell r="CJ64">
            <v>6.199995410691053E-3</v>
          </cell>
          <cell r="CK64">
            <v>0.179243096608217</v>
          </cell>
          <cell r="CM64"/>
        </row>
        <row r="65">
          <cell r="T65">
            <v>1.1334985778608</v>
          </cell>
          <cell r="U65">
            <v>2538138152.7278514</v>
          </cell>
          <cell r="V65">
            <v>19973787.411159694</v>
          </cell>
          <cell r="W65">
            <v>382326.6592834203</v>
          </cell>
          <cell r="X65">
            <v>382326.6592834203</v>
          </cell>
          <cell r="Y65">
            <v>3624593431.2739344</v>
          </cell>
          <cell r="Z65">
            <v>3624593431.2739344</v>
          </cell>
          <cell r="AA65">
            <v>3362949320.9550562</v>
          </cell>
          <cell r="AB65">
            <v>3362949320.9550562</v>
          </cell>
          <cell r="AC65">
            <v>3477926536.3119001</v>
          </cell>
          <cell r="AD65"/>
          <cell r="AE65">
            <v>59</v>
          </cell>
          <cell r="AF65">
            <v>185.74722876493652</v>
          </cell>
          <cell r="AG65">
            <v>564.87491696342011</v>
          </cell>
          <cell r="AH65">
            <v>564.87491696342011</v>
          </cell>
          <cell r="AI65">
            <v>2.3583949457997491E-2</v>
          </cell>
          <cell r="AJ65">
            <v>2.3583949457997491E-2</v>
          </cell>
          <cell r="AK65">
            <v>0.1032208057507245</v>
          </cell>
          <cell r="AL65">
            <v>0.1032208057507245</v>
          </cell>
          <cell r="AM65">
            <v>5519.0270152469757</v>
          </cell>
          <cell r="AN65">
            <v>0.53315100561162176</v>
          </cell>
          <cell r="AO65">
            <v>1082240159.7412083</v>
          </cell>
          <cell r="AP65">
            <v>13568155.307999497</v>
          </cell>
          <cell r="AQ65">
            <v>3990578.4429125581</v>
          </cell>
          <cell r="AR65">
            <v>3990578.4429125581</v>
          </cell>
          <cell r="AS65">
            <v>2462179334.9218473</v>
          </cell>
          <cell r="AT65">
            <v>2462179334.9218473</v>
          </cell>
          <cell r="AU65">
            <v>2284444994.8513994</v>
          </cell>
          <cell r="AV65">
            <v>2284444994.8513994</v>
          </cell>
          <cell r="AW65">
            <v>816875.02537994785</v>
          </cell>
          <cell r="AX65">
            <v>2940581401.7347674</v>
          </cell>
          <cell r="AY65">
            <v>59</v>
          </cell>
          <cell r="AZ65">
            <v>0.82570181516611341</v>
          </cell>
          <cell r="BA65">
            <v>0.42639135248728527</v>
          </cell>
          <cell r="BD65">
            <v>59</v>
          </cell>
          <cell r="BE65">
            <v>186.00970049893212</v>
          </cell>
          <cell r="BF65">
            <v>9723.5398431607064</v>
          </cell>
          <cell r="BG65">
            <v>9723.5398431607064</v>
          </cell>
          <cell r="BH65">
            <v>2.3621138211382113E-2</v>
          </cell>
          <cell r="BI65">
            <v>2.3621138211382113E-2</v>
          </cell>
          <cell r="BJ65">
            <v>1.1351659123704296</v>
          </cell>
          <cell r="BK65">
            <v>2556963975.6858029</v>
          </cell>
          <cell r="BL65"/>
          <cell r="BM65">
            <v>59</v>
          </cell>
          <cell r="BN65">
            <v>186.00970049893212</v>
          </cell>
          <cell r="BO65">
            <v>565.63892667521884</v>
          </cell>
          <cell r="BP65">
            <v>565.63892667521884</v>
          </cell>
          <cell r="BQ65">
            <v>2.3621138211382113E-2</v>
          </cell>
          <cell r="BR65">
            <v>2.3621138211382113E-2</v>
          </cell>
          <cell r="BS65">
            <v>5523.4060159417795</v>
          </cell>
          <cell r="BT65">
            <v>0.53486376704665495</v>
          </cell>
          <cell r="BU65">
            <v>1091403487.2679577</v>
          </cell>
          <cell r="BX65">
            <v>59</v>
          </cell>
          <cell r="BY65">
            <v>714613549.1057322</v>
          </cell>
          <cell r="BZ65">
            <v>1194992796.1565349</v>
          </cell>
          <cell r="CA65">
            <v>1194992796.1565349</v>
          </cell>
          <cell r="CB65">
            <v>23594349.107478373</v>
          </cell>
          <cell r="CC65">
            <v>23594349.107478373</v>
          </cell>
          <cell r="CD65">
            <v>691689514.4303211</v>
          </cell>
          <cell r="CF65">
            <v>0.18592890845320117</v>
          </cell>
          <cell r="CG65">
            <v>0.31091448864475646</v>
          </cell>
          <cell r="CH65">
            <v>0.31091448864475646</v>
          </cell>
          <cell r="CI65">
            <v>6.1388026867206045E-3</v>
          </cell>
          <cell r="CJ65">
            <v>6.1388026867206045E-3</v>
          </cell>
          <cell r="CK65">
            <v>0.17996450888384471</v>
          </cell>
          <cell r="CM65"/>
        </row>
        <row r="66">
          <cell r="T66">
            <v>1.1584943675794399</v>
          </cell>
          <cell r="U66">
            <v>2820364850.0219951</v>
          </cell>
          <cell r="V66">
            <v>21782792.106445208</v>
          </cell>
          <cell r="W66">
            <v>413273.69741265354</v>
          </cell>
          <cell r="X66">
            <v>413273.69741265354</v>
          </cell>
          <cell r="Y66">
            <v>4034408464.211937</v>
          </cell>
          <cell r="Z66">
            <v>4034408464.211937</v>
          </cell>
          <cell r="AA66">
            <v>3744408537.6329198</v>
          </cell>
          <cell r="AB66">
            <v>3744408537.6329198</v>
          </cell>
          <cell r="AC66">
            <v>3828413963.5572486</v>
          </cell>
          <cell r="AD66"/>
          <cell r="AE66">
            <v>60</v>
          </cell>
          <cell r="AF66">
            <v>189.68206501534115</v>
          </cell>
          <cell r="AG66">
            <v>576.32854308872709</v>
          </cell>
          <cell r="AH66">
            <v>576.32854308872709</v>
          </cell>
          <cell r="AI66">
            <v>2.4141463414634148E-2</v>
          </cell>
          <cell r="AJ66">
            <v>2.4141463414634148E-2</v>
          </cell>
          <cell r="AK66">
            <v>0.10345998494127398</v>
          </cell>
          <cell r="AL66">
            <v>0.10345998494127398</v>
          </cell>
          <cell r="AM66">
            <v>5584.6746581842135</v>
          </cell>
          <cell r="AN66">
            <v>0.55882781156809269</v>
          </cell>
          <cell r="AO66">
            <v>1219611878.8886402</v>
          </cell>
          <cell r="AP66">
            <v>14918659.719027091</v>
          </cell>
          <cell r="AQ66">
            <v>4391682.5702442853</v>
          </cell>
          <cell r="AR66">
            <v>4391682.5702442853</v>
          </cell>
          <cell r="AS66">
            <v>2763096978.1569843</v>
          </cell>
          <cell r="AT66">
            <v>2763096978.1569843</v>
          </cell>
          <cell r="AU66">
            <v>2564481015.5185184</v>
          </cell>
          <cell r="AV66">
            <v>2564481015.5185184</v>
          </cell>
          <cell r="AW66">
            <v>906427.74103513663</v>
          </cell>
          <cell r="AX66">
            <v>3247378573.3537173</v>
          </cell>
          <cell r="AY66">
            <v>60</v>
          </cell>
          <cell r="AZ66">
            <v>0.82912860871350647</v>
          </cell>
          <cell r="BA66">
            <v>0.43243053425486028</v>
          </cell>
          <cell r="BD66">
            <v>60</v>
          </cell>
          <cell r="BE66">
            <v>186.92779162803438</v>
          </cell>
          <cell r="BF66">
            <v>9792.0911000744563</v>
          </cell>
          <cell r="BG66">
            <v>9792.0911000744563</v>
          </cell>
          <cell r="BH66">
            <v>2.3751219512195124E-2</v>
          </cell>
          <cell r="BI66">
            <v>2.3751219512195124E-2</v>
          </cell>
          <cell r="BJ66">
            <v>1.1409980261726822</v>
          </cell>
          <cell r="BK66">
            <v>2622814194.2698512</v>
          </cell>
          <cell r="BL66"/>
          <cell r="BM66">
            <v>60</v>
          </cell>
          <cell r="BN66">
            <v>186.92779162803438</v>
          </cell>
          <cell r="BO66">
            <v>568.3113307785959</v>
          </cell>
          <cell r="BP66">
            <v>568.3113307785959</v>
          </cell>
          <cell r="BQ66">
            <v>2.3751219512195124E-2</v>
          </cell>
          <cell r="BR66">
            <v>2.3751219512195124E-2</v>
          </cell>
          <cell r="BS66">
            <v>5538.723176502388</v>
          </cell>
          <cell r="BT66">
            <v>0.54085477817701444</v>
          </cell>
          <cell r="BU66">
            <v>1123455585.1731284</v>
          </cell>
          <cell r="BX66">
            <v>60</v>
          </cell>
          <cell r="BY66">
            <v>800325269.12120056</v>
          </cell>
          <cell r="BZ66">
            <v>1316413867.5037663</v>
          </cell>
          <cell r="CA66">
            <v>1316413867.5037663</v>
          </cell>
          <cell r="CB66">
            <v>25843588.133049592</v>
          </cell>
          <cell r="CC66">
            <v>25843588.133049592</v>
          </cell>
          <cell r="CD66">
            <v>787383744.8193028</v>
          </cell>
          <cell r="CF66">
            <v>0.18733223799384208</v>
          </cell>
          <cell r="CG66">
            <v>0.30813316215342906</v>
          </cell>
          <cell r="CH66">
            <v>0.30813316215342906</v>
          </cell>
          <cell r="CI66">
            <v>6.0492119761148154E-3</v>
          </cell>
          <cell r="CJ66">
            <v>6.0492119761148154E-3</v>
          </cell>
          <cell r="CK66">
            <v>0.18430301374707017</v>
          </cell>
          <cell r="CM66"/>
        </row>
        <row r="67">
          <cell r="T67">
            <v>1.1858371955874403</v>
          </cell>
          <cell r="U67">
            <v>3146451990.5206723</v>
          </cell>
          <cell r="V67">
            <v>24017669.802177027</v>
          </cell>
          <cell r="W67">
            <v>449957.23528579023</v>
          </cell>
          <cell r="X67">
            <v>449957.23528579023</v>
          </cell>
          <cell r="Y67">
            <v>4531540440.6848907</v>
          </cell>
          <cell r="Z67">
            <v>4531540440.6848907</v>
          </cell>
          <cell r="AA67">
            <v>4207282300.6718082</v>
          </cell>
          <cell r="AB67">
            <v>4207282300.6718082</v>
          </cell>
          <cell r="AC67">
            <v>4248849084.5739756</v>
          </cell>
          <cell r="AD67"/>
          <cell r="AE67">
            <v>61</v>
          </cell>
          <cell r="AF67">
            <v>193.34291053201207</v>
          </cell>
          <cell r="AG67">
            <v>589.53184963646981</v>
          </cell>
          <cell r="AH67">
            <v>589.53184963646981</v>
          </cell>
          <cell r="AI67">
            <v>2.4738992078350928E-2</v>
          </cell>
          <cell r="AJ67">
            <v>2.4738992078350928E-2</v>
          </cell>
          <cell r="AK67">
            <v>0.10371633085049582</v>
          </cell>
          <cell r="AL67">
            <v>0.10371633085049582</v>
          </cell>
          <cell r="AM67">
            <v>5649.948832484999</v>
          </cell>
          <cell r="AN67">
            <v>0.61131680039516767</v>
          </cell>
          <cell r="AO67">
            <v>1424836901.3682897</v>
          </cell>
          <cell r="AP67">
            <v>16897077.172131289</v>
          </cell>
          <cell r="AQ67">
            <v>4956527.9575635921</v>
          </cell>
          <cell r="AR67">
            <v>4956527.9575635921</v>
          </cell>
          <cell r="AS67">
            <v>3188060672.2283244</v>
          </cell>
          <cell r="AT67">
            <v>3188060672.2283244</v>
          </cell>
          <cell r="AU67">
            <v>2959936342.9065781</v>
          </cell>
          <cell r="AV67">
            <v>2959936342.9065781</v>
          </cell>
          <cell r="AW67">
            <v>1034356.6574609668</v>
          </cell>
          <cell r="AX67">
            <v>3626885903.3564649</v>
          </cell>
          <cell r="AY67">
            <v>61</v>
          </cell>
          <cell r="AZ67">
            <v>0.833331498955311</v>
          </cell>
          <cell r="BA67">
            <v>0.45283923150930039</v>
          </cell>
          <cell r="BD67">
            <v>61</v>
          </cell>
          <cell r="BE67">
            <v>187.84588275713665</v>
          </cell>
          <cell r="BF67">
            <v>9860.6423569882063</v>
          </cell>
          <cell r="BG67">
            <v>9860.6423569882063</v>
          </cell>
          <cell r="BH67">
            <v>2.3881300813008131E-2</v>
          </cell>
          <cell r="BI67">
            <v>2.3881300813008131E-2</v>
          </cell>
          <cell r="BJ67">
            <v>1.1468301399749348</v>
          </cell>
          <cell r="BK67">
            <v>2688664412.853899</v>
          </cell>
          <cell r="BL67"/>
          <cell r="BM67">
            <v>61</v>
          </cell>
          <cell r="BN67">
            <v>187.84588275713665</v>
          </cell>
          <cell r="BO67">
            <v>570.98373488197296</v>
          </cell>
          <cell r="BP67">
            <v>570.98373488197296</v>
          </cell>
          <cell r="BQ67">
            <v>2.3881300813008131E-2</v>
          </cell>
          <cell r="BR67">
            <v>2.3881300813008131E-2</v>
          </cell>
          <cell r="BS67">
            <v>5554.0403370629965</v>
          </cell>
          <cell r="BT67">
            <v>0.54684578930737382</v>
          </cell>
          <cell r="BU67">
            <v>1155507683.078299</v>
          </cell>
          <cell r="BX67">
            <v>61</v>
          </cell>
          <cell r="BY67">
            <v>888250247.93738282</v>
          </cell>
          <cell r="BZ67">
            <v>1461502410.0885606</v>
          </cell>
          <cell r="CA67">
            <v>1461502410.0885606</v>
          </cell>
          <cell r="CB67">
            <v>28551313.437150583</v>
          </cell>
          <cell r="CC67">
            <v>28551313.437150583</v>
          </cell>
          <cell r="CD67">
            <v>903559294.57075882</v>
          </cell>
          <cell r="CF67">
            <v>0.18614117761913671</v>
          </cell>
          <cell r="CG67">
            <v>0.30627154941843482</v>
          </cell>
          <cell r="CH67">
            <v>0.30627154941843482</v>
          </cell>
          <cell r="CI67">
            <v>5.9831957470378797E-3</v>
          </cell>
          <cell r="CJ67">
            <v>5.9831957470378797E-3</v>
          </cell>
          <cell r="CK67">
            <v>0.189349332049918</v>
          </cell>
          <cell r="CM67"/>
        </row>
        <row r="68">
          <cell r="T68">
            <v>1.2131800235954406</v>
          </cell>
          <cell r="U68">
            <v>3502235897.2412472</v>
          </cell>
          <cell r="V68">
            <v>26417124.427701369</v>
          </cell>
          <cell r="W68">
            <v>489474.38395709929</v>
          </cell>
          <cell r="X68">
            <v>489474.38395709929</v>
          </cell>
          <cell r="Y68">
            <v>5082245538.0032129</v>
          </cell>
          <cell r="Z68">
            <v>5082245538.0032129</v>
          </cell>
          <cell r="AA68">
            <v>4718608502.9302197</v>
          </cell>
          <cell r="AB68">
            <v>4718608502.9302197</v>
          </cell>
          <cell r="AC68">
            <v>4707526383.6788807</v>
          </cell>
          <cell r="AD68"/>
          <cell r="AE68">
            <v>62</v>
          </cell>
          <cell r="AF68">
            <v>197.19412272558878</v>
          </cell>
          <cell r="AG68">
            <v>603.14632617301004</v>
          </cell>
          <cell r="AH68">
            <v>603.14632617301004</v>
          </cell>
          <cell r="AI68">
            <v>2.5000000000000001E-2</v>
          </cell>
          <cell r="AJ68">
            <v>2.5000000000000001E-2</v>
          </cell>
          <cell r="AK68">
            <v>0.10399107559322954</v>
          </cell>
          <cell r="AL68">
            <v>0.10399107559322954</v>
          </cell>
          <cell r="AM68">
            <v>5717.9946954767738</v>
          </cell>
          <cell r="AN68">
            <v>0.66446517225257229</v>
          </cell>
          <cell r="AO68">
            <v>1664121812.4982829</v>
          </cell>
          <cell r="AP68">
            <v>19113664.534662902</v>
          </cell>
          <cell r="AQ68">
            <v>5589336.1949175112</v>
          </cell>
          <cell r="AR68">
            <v>5589336.1949175112</v>
          </cell>
          <cell r="AS68">
            <v>3677172985.3502932</v>
          </cell>
          <cell r="AT68">
            <v>3677172985.3502932</v>
          </cell>
          <cell r="AU68">
            <v>3414069545.7694016</v>
          </cell>
          <cell r="AV68">
            <v>3414069545.7694016</v>
          </cell>
          <cell r="AW68">
            <v>1179150.303996298</v>
          </cell>
          <cell r="AX68">
            <v>4050775766.1855979</v>
          </cell>
          <cell r="AY68">
            <v>62</v>
          </cell>
          <cell r="AZ68">
            <v>0.84008605669036918</v>
          </cell>
          <cell r="BA68">
            <v>0.4751598296988308</v>
          </cell>
          <cell r="BD68">
            <v>62</v>
          </cell>
          <cell r="BE68">
            <v>188.76397388623889</v>
          </cell>
          <cell r="BF68">
            <v>9929.1936139019581</v>
          </cell>
          <cell r="BG68">
            <v>9929.1936139019581</v>
          </cell>
          <cell r="BH68">
            <v>2.4011382113821141E-2</v>
          </cell>
          <cell r="BI68">
            <v>2.4011382113821141E-2</v>
          </cell>
          <cell r="BJ68">
            <v>1.1526622537771873</v>
          </cell>
          <cell r="BK68">
            <v>2754514631.4379473</v>
          </cell>
          <cell r="BL68"/>
          <cell r="BM68">
            <v>62</v>
          </cell>
          <cell r="BN68">
            <v>188.76397388623889</v>
          </cell>
          <cell r="BO68">
            <v>573.65613898535003</v>
          </cell>
          <cell r="BP68">
            <v>573.65613898535003</v>
          </cell>
          <cell r="BQ68">
            <v>2.4011382113821141E-2</v>
          </cell>
          <cell r="BR68">
            <v>2.4011382113821141E-2</v>
          </cell>
          <cell r="BS68">
            <v>5569.357497623605</v>
          </cell>
          <cell r="BT68">
            <v>0.55283680043773331</v>
          </cell>
          <cell r="BU68">
            <v>1187559780.9834695</v>
          </cell>
          <cell r="BX68">
            <v>62</v>
          </cell>
          <cell r="BY68">
            <v>989988199.65257955</v>
          </cell>
          <cell r="BZ68">
            <v>1619333242.513823</v>
          </cell>
          <cell r="CA68">
            <v>1619333242.513823</v>
          </cell>
          <cell r="CB68">
            <v>29877819.78233508</v>
          </cell>
          <cell r="CC68">
            <v>29877819.78233508</v>
          </cell>
          <cell r="CD68">
            <v>1032276378.8228143</v>
          </cell>
          <cell r="CF68">
            <v>0.18606399040217667</v>
          </cell>
          <cell r="CG68">
            <v>0.30434666291856188</v>
          </cell>
          <cell r="CH68">
            <v>0.30434666291856188</v>
          </cell>
          <cell r="CI68">
            <v>5.6154067040084573E-3</v>
          </cell>
          <cell r="CJ68">
            <v>5.6154067040084573E-3</v>
          </cell>
          <cell r="CK68">
            <v>0.1940118703526825</v>
          </cell>
          <cell r="CM68"/>
        </row>
        <row r="69">
          <cell r="T69">
            <v>1.240522851603441</v>
          </cell>
          <cell r="U69">
            <v>3887748063.7486334</v>
          </cell>
          <cell r="V69">
            <v>28985609.908478856</v>
          </cell>
          <cell r="W69">
            <v>531611.34890691214</v>
          </cell>
          <cell r="X69">
            <v>531611.34890691214</v>
          </cell>
          <cell r="Y69">
            <v>5686993443.8462391</v>
          </cell>
          <cell r="Z69">
            <v>5686993443.8462391</v>
          </cell>
          <cell r="AA69">
            <v>5278678448.9035482</v>
          </cell>
          <cell r="AB69">
            <v>5278678448.9035482</v>
          </cell>
          <cell r="AC69">
            <v>5203399979.4027739</v>
          </cell>
          <cell r="AD69"/>
          <cell r="AE69">
            <v>63</v>
          </cell>
          <cell r="AF69">
            <v>201.1055933736709</v>
          </cell>
          <cell r="AG69">
            <v>617.19695041671628</v>
          </cell>
          <cell r="AH69">
            <v>617.19695041671628</v>
          </cell>
          <cell r="AI69">
            <v>2.5000000000000001E-2</v>
          </cell>
          <cell r="AJ69">
            <v>2.5000000000000001E-2</v>
          </cell>
          <cell r="AK69">
            <v>0.10428553971746289</v>
          </cell>
          <cell r="AL69">
            <v>0.10428553971746289</v>
          </cell>
          <cell r="AM69">
            <v>5784.0586819184891</v>
          </cell>
          <cell r="AN69">
            <v>0.71829095208589988</v>
          </cell>
          <cell r="AO69">
            <v>1938969498.0448852</v>
          </cell>
          <cell r="AP69">
            <v>21572784.313627601</v>
          </cell>
          <cell r="AQ69">
            <v>6287117.4454421755</v>
          </cell>
          <cell r="AR69">
            <v>6287117.4454421755</v>
          </cell>
          <cell r="AS69">
            <v>4232592770.8432188</v>
          </cell>
          <cell r="AT69">
            <v>4232592770.8432188</v>
          </cell>
          <cell r="AU69">
            <v>3928700896.7121873</v>
          </cell>
          <cell r="AV69">
            <v>3928700896.7121873</v>
          </cell>
          <cell r="AW69">
            <v>1341753.2316430707</v>
          </cell>
          <cell r="AX69">
            <v>4516568872.7256479</v>
          </cell>
          <cell r="AY69">
            <v>63</v>
          </cell>
          <cell r="AZ69">
            <v>0.847965557360434</v>
          </cell>
          <cell r="BA69">
            <v>0.49873846408023093</v>
          </cell>
          <cell r="BD69">
            <v>63</v>
          </cell>
          <cell r="BE69">
            <v>189.68206501534115</v>
          </cell>
          <cell r="BF69">
            <v>9997.7448708157081</v>
          </cell>
          <cell r="BG69">
            <v>9997.7448708157081</v>
          </cell>
          <cell r="BH69">
            <v>2.4141463414634148E-2</v>
          </cell>
          <cell r="BI69">
            <v>2.4141463414634148E-2</v>
          </cell>
          <cell r="BJ69">
            <v>1.1584943675794399</v>
          </cell>
          <cell r="BK69">
            <v>2820364850.0219951</v>
          </cell>
          <cell r="BL69"/>
          <cell r="BM69">
            <v>63</v>
          </cell>
          <cell r="BN69">
            <v>189.68206501534115</v>
          </cell>
          <cell r="BO69">
            <v>576.32854308872709</v>
          </cell>
          <cell r="BP69">
            <v>576.32854308872709</v>
          </cell>
          <cell r="BQ69">
            <v>2.4141463414634148E-2</v>
          </cell>
          <cell r="BR69">
            <v>2.4141463414634148E-2</v>
          </cell>
          <cell r="BS69">
            <v>5584.6746581842135</v>
          </cell>
          <cell r="BT69">
            <v>0.55882781156809269</v>
          </cell>
          <cell r="BU69">
            <v>1219611878.8886402</v>
          </cell>
          <cell r="BX69">
            <v>63</v>
          </cell>
          <cell r="BY69">
            <v>1103364562.0263526</v>
          </cell>
          <cell r="BZ69">
            <v>1790751123.5607872</v>
          </cell>
          <cell r="CA69">
            <v>1790751123.5607872</v>
          </cell>
          <cell r="CB69">
            <v>29877819.78233508</v>
          </cell>
          <cell r="CC69">
            <v>29877819.78233508</v>
          </cell>
          <cell r="CD69">
            <v>1174552049.5164571</v>
          </cell>
          <cell r="CF69">
            <v>0.18640514185828883</v>
          </cell>
          <cell r="CG69">
            <v>0.30253393004321094</v>
          </cell>
          <cell r="CH69">
            <v>0.30253393004321094</v>
          </cell>
          <cell r="CI69">
            <v>5.0476328736843556E-3</v>
          </cell>
          <cell r="CJ69">
            <v>5.0476328736843556E-3</v>
          </cell>
          <cell r="CK69">
            <v>0.19843173230792041</v>
          </cell>
          <cell r="CM69"/>
        </row>
        <row r="70">
          <cell r="T70">
            <v>1.2678656796114418</v>
          </cell>
          <cell r="U70">
            <v>4305671436.1362677</v>
          </cell>
          <cell r="V70">
            <v>31753875.7417318</v>
          </cell>
          <cell r="W70">
            <v>576774.37862983078</v>
          </cell>
          <cell r="X70">
            <v>576774.37862983078</v>
          </cell>
          <cell r="Y70">
            <v>6351576407.8690472</v>
          </cell>
          <cell r="Z70">
            <v>6351576407.8690472</v>
          </cell>
          <cell r="AA70">
            <v>5893861223.6115551</v>
          </cell>
          <cell r="AB70">
            <v>5893861223.6115551</v>
          </cell>
          <cell r="AC70">
            <v>5741403361.4029627</v>
          </cell>
          <cell r="AD70"/>
          <cell r="AE70">
            <v>64</v>
          </cell>
          <cell r="AF70">
            <v>205.02586427614173</v>
          </cell>
          <cell r="AG70">
            <v>631.74774688320451</v>
          </cell>
          <cell r="AH70">
            <v>631.74774688320451</v>
          </cell>
          <cell r="AI70">
            <v>2.5000000000000001E-2</v>
          </cell>
          <cell r="AJ70">
            <v>2.5000000000000001E-2</v>
          </cell>
          <cell r="AK70">
            <v>0.1046011385514852</v>
          </cell>
          <cell r="AL70">
            <v>0.1046011385514852</v>
          </cell>
          <cell r="AM70">
            <v>5851.6594496836879</v>
          </cell>
          <cell r="AN70">
            <v>0.77284811412081345</v>
          </cell>
          <cell r="AO70">
            <v>2257802245.1584444</v>
          </cell>
          <cell r="AP70">
            <v>24334602.472624104</v>
          </cell>
          <cell r="AQ70">
            <v>7063731.7649396583</v>
          </cell>
          <cell r="AR70">
            <v>7063731.7649396583</v>
          </cell>
          <cell r="AS70">
            <v>4867534540.2596045</v>
          </cell>
          <cell r="AT70">
            <v>4867534540.2596045</v>
          </cell>
          <cell r="AU70">
            <v>4516764223.4270134</v>
          </cell>
          <cell r="AV70">
            <v>4516764223.4270134</v>
          </cell>
          <cell r="AW70">
            <v>1525207.2221424885</v>
          </cell>
          <cell r="AX70">
            <v>5034268408.606431</v>
          </cell>
          <cell r="AY70">
            <v>64</v>
          </cell>
          <cell r="AZ70">
            <v>0.85809745251716218</v>
          </cell>
          <cell r="BA70">
            <v>0.52437866628869001</v>
          </cell>
          <cell r="BD70">
            <v>64</v>
          </cell>
          <cell r="BE70">
            <v>190.47902686135853</v>
          </cell>
          <cell r="BF70">
            <v>10067.941782604483</v>
          </cell>
          <cell r="BG70">
            <v>10067.941782604483</v>
          </cell>
          <cell r="BH70">
            <v>2.4271544715447155E-2</v>
          </cell>
          <cell r="BI70">
            <v>2.4271544715447155E-2</v>
          </cell>
          <cell r="BJ70">
            <v>1.1644468696955106</v>
          </cell>
          <cell r="BK70">
            <v>2891353644.3513122</v>
          </cell>
          <cell r="BL70"/>
          <cell r="BM70">
            <v>64</v>
          </cell>
          <cell r="BN70">
            <v>190.47902686135853</v>
          </cell>
          <cell r="BO70">
            <v>579.20288769351976</v>
          </cell>
          <cell r="BP70">
            <v>579.20288769351976</v>
          </cell>
          <cell r="BQ70">
            <v>2.4271544715447155E-2</v>
          </cell>
          <cell r="BR70">
            <v>2.4271544715447155E-2</v>
          </cell>
          <cell r="BS70">
            <v>5598.884770632586</v>
          </cell>
          <cell r="BT70">
            <v>0.57025460388716653</v>
          </cell>
          <cell r="BU70">
            <v>1264289129.5454977</v>
          </cell>
          <cell r="BX70">
            <v>64</v>
          </cell>
          <cell r="BY70">
            <v>1227848357.1373382</v>
          </cell>
          <cell r="BZ70">
            <v>1976731806.6861525</v>
          </cell>
          <cell r="CA70">
            <v>1976731806.6861525</v>
          </cell>
          <cell r="CB70">
            <v>29877819.78233508</v>
          </cell>
          <cell r="CC70">
            <v>29877819.78233508</v>
          </cell>
          <cell r="CD70">
            <v>1331538254.1518559</v>
          </cell>
          <cell r="CF70">
            <v>0.18681302096940811</v>
          </cell>
          <cell r="CG70">
            <v>0.30075313315913921</v>
          </cell>
          <cell r="CH70">
            <v>0.30075313315913921</v>
          </cell>
          <cell r="CI70">
            <v>4.5458103527789683E-3</v>
          </cell>
          <cell r="CJ70">
            <v>4.5458103527789683E-3</v>
          </cell>
          <cell r="CK70">
            <v>0.20258909200675546</v>
          </cell>
          <cell r="CM70"/>
        </row>
        <row r="71">
          <cell r="T71">
            <v>1.2952085076194422</v>
          </cell>
          <cell r="U71">
            <v>4757811146.5509586</v>
          </cell>
          <cell r="V71">
            <v>34730801.400818907</v>
          </cell>
          <cell r="W71">
            <v>625053.4967083931</v>
          </cell>
          <cell r="X71">
            <v>625053.4967083931</v>
          </cell>
          <cell r="Y71">
            <v>7079869974.9824924</v>
          </cell>
          <cell r="Z71">
            <v>7079869974.9824924</v>
          </cell>
          <cell r="AA71">
            <v>6567660449.5757751</v>
          </cell>
          <cell r="AB71">
            <v>6567660449.5757751</v>
          </cell>
          <cell r="AC71">
            <v>6323492353.9768276</v>
          </cell>
          <cell r="AD71"/>
          <cell r="AE71">
            <v>65</v>
          </cell>
          <cell r="AF71">
            <v>208.94613517861256</v>
          </cell>
          <cell r="AG71">
            <v>646.80961194800557</v>
          </cell>
          <cell r="AH71">
            <v>646.80961194800557</v>
          </cell>
          <cell r="AI71">
            <v>2.5000000000000001E-2</v>
          </cell>
          <cell r="AJ71">
            <v>2.5000000000000001E-2</v>
          </cell>
          <cell r="AK71">
            <v>0.1049393890065977</v>
          </cell>
          <cell r="AL71">
            <v>0.1049393890065977</v>
          </cell>
          <cell r="AM71">
            <v>5918.1858261446177</v>
          </cell>
          <cell r="AN71">
            <v>0.82821707188977145</v>
          </cell>
          <cell r="AO71">
            <v>2625273928.9541154</v>
          </cell>
          <cell r="AP71">
            <v>27419385.159789886</v>
          </cell>
          <cell r="AQ71">
            <v>7922469.6295517255</v>
          </cell>
          <cell r="AR71">
            <v>7922469.6295517255</v>
          </cell>
          <cell r="AS71">
            <v>5589438593.2799034</v>
          </cell>
          <cell r="AT71">
            <v>5589438593.2799034</v>
          </cell>
          <cell r="AU71">
            <v>5185057764.3564224</v>
          </cell>
          <cell r="AV71">
            <v>5185057764.3564224</v>
          </cell>
          <cell r="AW71">
            <v>1731723.0845042386</v>
          </cell>
          <cell r="AX71">
            <v>5605821743.545311</v>
          </cell>
          <cell r="AY71">
            <v>65</v>
          </cell>
          <cell r="AZ71">
            <v>0.86967341867627168</v>
          </cell>
          <cell r="BA71">
            <v>0.55178186945424135</v>
          </cell>
          <cell r="BD71">
            <v>65</v>
          </cell>
          <cell r="BE71">
            <v>191.27598870737592</v>
          </cell>
          <cell r="BF71">
            <v>10138.138694393258</v>
          </cell>
          <cell r="BG71">
            <v>10138.138694393258</v>
          </cell>
          <cell r="BH71">
            <v>2.4401626016260166E-2</v>
          </cell>
          <cell r="BI71">
            <v>2.4401626016260166E-2</v>
          </cell>
          <cell r="BJ71">
            <v>1.1703993718115813</v>
          </cell>
          <cell r="BK71">
            <v>2962342438.6806293</v>
          </cell>
          <cell r="BL71"/>
          <cell r="BM71">
            <v>65</v>
          </cell>
          <cell r="BN71">
            <v>191.27598870737592</v>
          </cell>
          <cell r="BO71">
            <v>582.07723229831242</v>
          </cell>
          <cell r="BP71">
            <v>582.07723229831242</v>
          </cell>
          <cell r="BQ71">
            <v>2.4401626016260166E-2</v>
          </cell>
          <cell r="BR71">
            <v>2.4401626016260166E-2</v>
          </cell>
          <cell r="BS71">
            <v>5613.0948830809584</v>
          </cell>
          <cell r="BT71">
            <v>0.58168139620624049</v>
          </cell>
          <cell r="BU71">
            <v>1308966380.2023554</v>
          </cell>
          <cell r="BX71">
            <v>65</v>
          </cell>
          <cell r="BY71">
            <v>1364002507.2884617</v>
          </cell>
          <cell r="BZ71">
            <v>2178280073.4172101</v>
          </cell>
          <cell r="CA71">
            <v>2178280073.4172101</v>
          </cell>
          <cell r="CB71">
            <v>29877819.78233508</v>
          </cell>
          <cell r="CC71">
            <v>29877819.78233508</v>
          </cell>
          <cell r="CD71">
            <v>1504440417.9965496</v>
          </cell>
          <cell r="CF71">
            <v>0.18724058836715121</v>
          </cell>
          <cell r="CG71">
            <v>0.29901883639926791</v>
          </cell>
          <cell r="CH71">
            <v>0.29901883639926791</v>
          </cell>
          <cell r="CI71">
            <v>4.1014151552355091E-3</v>
          </cell>
          <cell r="CJ71">
            <v>4.1014151552355091E-3</v>
          </cell>
          <cell r="CK71">
            <v>0.20651890852384192</v>
          </cell>
          <cell r="CM71"/>
        </row>
        <row r="72">
          <cell r="T72">
            <v>1.3123955118337651</v>
          </cell>
          <cell r="U72">
            <v>5211282939.2170839</v>
          </cell>
          <cell r="V72">
            <v>37513348.564699315</v>
          </cell>
          <cell r="W72">
            <v>670777.79159255873</v>
          </cell>
          <cell r="X72">
            <v>670777.79159255873</v>
          </cell>
          <cell r="Y72">
            <v>7808137865.8463545</v>
          </cell>
          <cell r="Z72">
            <v>7808137865.8463545</v>
          </cell>
          <cell r="AA72">
            <v>7240864410.3054972</v>
          </cell>
          <cell r="AB72">
            <v>7240864410.3054972</v>
          </cell>
          <cell r="AC72">
            <v>6922121472.3304319</v>
          </cell>
          <cell r="AD72"/>
          <cell r="AE72">
            <v>66</v>
          </cell>
          <cell r="AF72">
            <v>213.34649181448415</v>
          </cell>
          <cell r="AG72">
            <v>659.05809024935832</v>
          </cell>
          <cell r="AH72">
            <v>659.05809024935832</v>
          </cell>
          <cell r="AI72">
            <v>2.5000000000000001E-2</v>
          </cell>
          <cell r="AJ72">
            <v>2.5000000000000001E-2</v>
          </cell>
          <cell r="AK72">
            <v>0.1053019168680781</v>
          </cell>
          <cell r="AL72">
            <v>0.1053019168680781</v>
          </cell>
          <cell r="AM72">
            <v>5985.3500482504596</v>
          </cell>
          <cell r="AN72">
            <v>0.873662545139122</v>
          </cell>
          <cell r="AO72">
            <v>2991812208.5110197</v>
          </cell>
          <cell r="AP72">
            <v>30310148.725533724</v>
          </cell>
          <cell r="AQ72">
            <v>8775964.7705683857</v>
          </cell>
          <cell r="AR72">
            <v>8775964.7705683857</v>
          </cell>
          <cell r="AS72">
            <v>6308842826.3101254</v>
          </cell>
          <cell r="AT72">
            <v>6308842826.3101254</v>
          </cell>
          <cell r="AU72">
            <v>5850495505.6001091</v>
          </cell>
          <cell r="AV72">
            <v>5850495505.6001091</v>
          </cell>
          <cell r="AW72">
            <v>1932675.7951198178</v>
          </cell>
          <cell r="AX72">
            <v>6173865829.566431</v>
          </cell>
          <cell r="AY72">
            <v>66</v>
          </cell>
          <cell r="AZ72">
            <v>0.87444230807478696</v>
          </cell>
          <cell r="BA72">
            <v>0.57410281564187993</v>
          </cell>
          <cell r="BD72">
            <v>66</v>
          </cell>
          <cell r="BE72">
            <v>192.0729505533933</v>
          </cell>
          <cell r="BF72">
            <v>10208.335606182034</v>
          </cell>
          <cell r="BG72">
            <v>10208.335606182034</v>
          </cell>
          <cell r="BH72">
            <v>2.4531707317073173E-2</v>
          </cell>
          <cell r="BI72">
            <v>2.4531707317073173E-2</v>
          </cell>
          <cell r="BJ72">
            <v>1.1763518739276522</v>
          </cell>
          <cell r="BK72">
            <v>3033331233.0099468</v>
          </cell>
          <cell r="BL72"/>
          <cell r="BM72">
            <v>66</v>
          </cell>
          <cell r="BN72">
            <v>192.0729505533933</v>
          </cell>
          <cell r="BO72">
            <v>584.95157690310498</v>
          </cell>
          <cell r="BP72">
            <v>584.95157690310498</v>
          </cell>
          <cell r="BQ72">
            <v>2.4531707317073173E-2</v>
          </cell>
          <cell r="BR72">
            <v>2.4531707317073173E-2</v>
          </cell>
          <cell r="BS72">
            <v>5627.3049955293309</v>
          </cell>
          <cell r="BT72">
            <v>0.59310818852531433</v>
          </cell>
          <cell r="BU72">
            <v>1353643630.8592129</v>
          </cell>
          <cell r="BX72">
            <v>66</v>
          </cell>
          <cell r="BY72">
            <v>1529074619.5789003</v>
          </cell>
          <cell r="BZ72">
            <v>2393895917.8019824</v>
          </cell>
          <cell r="CA72">
            <v>2393895917.8019824</v>
          </cell>
          <cell r="CB72">
            <v>29877819.78233508</v>
          </cell>
          <cell r="CC72">
            <v>29877819.78233508</v>
          </cell>
          <cell r="CD72">
            <v>1623410948.9135482</v>
          </cell>
          <cell r="CF72">
            <v>0.1911335379783812</v>
          </cell>
          <cell r="CG72">
            <v>0.29923575374464395</v>
          </cell>
          <cell r="CH72">
            <v>0.29923575374464395</v>
          </cell>
          <cell r="CI72">
            <v>3.734712046721995E-3</v>
          </cell>
          <cell r="CJ72">
            <v>3.734712046721995E-3</v>
          </cell>
          <cell r="CK72">
            <v>0.20292553043888689</v>
          </cell>
          <cell r="CM72"/>
        </row>
        <row r="73">
          <cell r="T73">
            <v>1.328753371635452</v>
          </cell>
          <cell r="U73">
            <v>5693799306.6127453</v>
          </cell>
          <cell r="V73">
            <v>40429961.609140322</v>
          </cell>
          <cell r="W73">
            <v>718618.26355959265</v>
          </cell>
          <cell r="X73">
            <v>718618.26355959265</v>
          </cell>
          <cell r="Y73">
            <v>8590323304.593956</v>
          </cell>
          <cell r="Z73">
            <v>8590323304.593956</v>
          </cell>
          <cell r="AA73">
            <v>7963423461.6638203</v>
          </cell>
          <cell r="AB73">
            <v>7963423461.6638203</v>
          </cell>
          <cell r="AC73">
            <v>7562055728.5764589</v>
          </cell>
          <cell r="AD73"/>
          <cell r="AE73">
            <v>67</v>
          </cell>
          <cell r="AF73">
            <v>217.786043734906</v>
          </cell>
          <cell r="AG73">
            <v>671.33129232668671</v>
          </cell>
          <cell r="AH73">
            <v>671.33129232668671</v>
          </cell>
          <cell r="AI73">
            <v>2.5000000000000001E-2</v>
          </cell>
          <cell r="AJ73">
            <v>2.5000000000000001E-2</v>
          </cell>
          <cell r="AK73">
            <v>0.10569046460944283</v>
          </cell>
          <cell r="AL73">
            <v>0.10569046460944283</v>
          </cell>
          <cell r="AM73">
            <v>6052.3420039247139</v>
          </cell>
          <cell r="AN73">
            <v>0.91869306313446708</v>
          </cell>
          <cell r="AO73">
            <v>3400216854.779469</v>
          </cell>
          <cell r="AP73">
            <v>33427656.807614677</v>
          </cell>
          <cell r="AQ73">
            <v>9699382.420873167</v>
          </cell>
          <cell r="AR73">
            <v>9699382.420873167</v>
          </cell>
          <cell r="AS73">
            <v>7102514270.6913157</v>
          </cell>
          <cell r="AT73">
            <v>7102514270.6913157</v>
          </cell>
          <cell r="AU73">
            <v>6584190929.0861988</v>
          </cell>
          <cell r="AV73">
            <v>6584190929.0861988</v>
          </cell>
          <cell r="AW73">
            <v>2151728.679956642</v>
          </cell>
          <cell r="AX73">
            <v>6787431570.4649906</v>
          </cell>
          <cell r="AY73">
            <v>67</v>
          </cell>
          <cell r="AZ73">
            <v>0.87971185222104686</v>
          </cell>
          <cell r="BA73">
            <v>0.59717890843649457</v>
          </cell>
          <cell r="BD73">
            <v>67</v>
          </cell>
          <cell r="BE73">
            <v>192.86991239941068</v>
          </cell>
          <cell r="BF73">
            <v>10278.532517970809</v>
          </cell>
          <cell r="BG73">
            <v>10278.532517970809</v>
          </cell>
          <cell r="BH73">
            <v>2.4661788617886184E-2</v>
          </cell>
          <cell r="BI73">
            <v>2.4661788617886184E-2</v>
          </cell>
          <cell r="BJ73">
            <v>1.1823043760437228</v>
          </cell>
          <cell r="BK73">
            <v>3104320027.3392639</v>
          </cell>
          <cell r="BL73"/>
          <cell r="BM73">
            <v>67</v>
          </cell>
          <cell r="BN73">
            <v>192.86991239941068</v>
          </cell>
          <cell r="BO73">
            <v>587.82592150789765</v>
          </cell>
          <cell r="BP73">
            <v>587.82592150789765</v>
          </cell>
          <cell r="BQ73">
            <v>2.4661788617886184E-2</v>
          </cell>
          <cell r="BR73">
            <v>2.4661788617886184E-2</v>
          </cell>
          <cell r="BS73">
            <v>5641.5151079777033</v>
          </cell>
          <cell r="BT73">
            <v>0.60453498084438828</v>
          </cell>
          <cell r="BU73">
            <v>1398320881.5160704</v>
          </cell>
          <cell r="BX73">
            <v>67</v>
          </cell>
          <cell r="BY73">
            <v>1708565533.2833409</v>
          </cell>
          <cell r="BZ73">
            <v>2624830532.7938833</v>
          </cell>
          <cell r="CA73">
            <v>2624830532.7938833</v>
          </cell>
          <cell r="CB73">
            <v>29877819.78233508</v>
          </cell>
          <cell r="CC73">
            <v>29877819.78233508</v>
          </cell>
          <cell r="CD73">
            <v>1747109996.3341453</v>
          </cell>
          <cell r="CF73">
            <v>0.19492841461561519</v>
          </cell>
          <cell r="CG73">
            <v>0.29946410858992895</v>
          </cell>
          <cell r="CH73">
            <v>0.29946410858992895</v>
          </cell>
          <cell r="CI73">
            <v>3.4087285087330685E-3</v>
          </cell>
          <cell r="CJ73">
            <v>3.4087285087330685E-3</v>
          </cell>
          <cell r="CK73">
            <v>0.19932591118706069</v>
          </cell>
          <cell r="CM73"/>
        </row>
        <row r="74">
          <cell r="T74">
            <v>1.3451112314371394</v>
          </cell>
          <cell r="U74">
            <v>6202410593.4611921</v>
          </cell>
          <cell r="V74">
            <v>43521356.967222318</v>
          </cell>
          <cell r="W74">
            <v>768277.08972077235</v>
          </cell>
          <cell r="X74">
            <v>768277.08972077235</v>
          </cell>
          <cell r="Y74">
            <v>9424813347.0024605</v>
          </cell>
          <cell r="Z74">
            <v>9424813347.0024605</v>
          </cell>
          <cell r="AA74">
            <v>8733725178.5587234</v>
          </cell>
          <cell r="AB74">
            <v>8733725178.5587234</v>
          </cell>
          <cell r="AC74">
            <v>8238785053.0717735</v>
          </cell>
          <cell r="AD74"/>
          <cell r="AE74">
            <v>68</v>
          </cell>
          <cell r="AF74">
            <v>221.96995576110322</v>
          </cell>
          <cell r="AG74">
            <v>683.91593747590093</v>
          </cell>
          <cell r="AH74">
            <v>683.91593747590093</v>
          </cell>
          <cell r="AI74">
            <v>2.5000000000000001E-2</v>
          </cell>
          <cell r="AJ74">
            <v>2.5000000000000001E-2</v>
          </cell>
          <cell r="AK74">
            <v>0.10610689976756596</v>
          </cell>
          <cell r="AL74">
            <v>0.10610689976756596</v>
          </cell>
          <cell r="AM74">
            <v>6119.0779383138506</v>
          </cell>
          <cell r="AN74">
            <v>0.96422330002118517</v>
          </cell>
          <cell r="AO74">
            <v>3855895539.8172555</v>
          </cell>
          <cell r="AP74">
            <v>36839263.169360161</v>
          </cell>
          <cell r="AQ74">
            <v>10694177.787443805</v>
          </cell>
          <cell r="AR74">
            <v>10694177.787443805</v>
          </cell>
          <cell r="AS74">
            <v>7977765478.999526</v>
          </cell>
          <cell r="AT74">
            <v>7977765478.999526</v>
          </cell>
          <cell r="AU74">
            <v>7392784203.4914064</v>
          </cell>
          <cell r="AV74">
            <v>7392784203.4914064</v>
          </cell>
          <cell r="AW74">
            <v>2390529.6519393511</v>
          </cell>
          <cell r="AX74">
            <v>7447135594.9750729</v>
          </cell>
          <cell r="AY74">
            <v>68</v>
          </cell>
          <cell r="AZ74">
            <v>0.88615547207433631</v>
          </cell>
          <cell r="BA74">
            <v>0.62167692411113218</v>
          </cell>
          <cell r="BD74">
            <v>68</v>
          </cell>
          <cell r="BE74">
            <v>193.66089756775179</v>
          </cell>
          <cell r="BF74">
            <v>10346.818530715858</v>
          </cell>
          <cell r="BG74">
            <v>10346.818530715858</v>
          </cell>
          <cell r="BH74">
            <v>2.4760542990411343E-2</v>
          </cell>
          <cell r="BI74">
            <v>2.4760542990411343E-2</v>
          </cell>
          <cell r="BJ74">
            <v>1.1880948392564925</v>
          </cell>
          <cell r="BK74">
            <v>3175828369.7424326</v>
          </cell>
          <cell r="BL74"/>
          <cell r="BM74">
            <v>68</v>
          </cell>
          <cell r="BN74">
            <v>193.66089756775179</v>
          </cell>
          <cell r="BO74">
            <v>590.65597025600437</v>
          </cell>
          <cell r="BP74">
            <v>590.65597025600437</v>
          </cell>
          <cell r="BQ74">
            <v>2.4760542990411343E-2</v>
          </cell>
          <cell r="BR74">
            <v>2.4760542990411343E-2</v>
          </cell>
          <cell r="BS74">
            <v>5655.5672459038169</v>
          </cell>
          <cell r="BT74">
            <v>0.61570515719605146</v>
          </cell>
          <cell r="BU74">
            <v>1444594187.0650835</v>
          </cell>
          <cell r="BX74">
            <v>68</v>
          </cell>
          <cell r="BY74">
            <v>1890655062.0949244</v>
          </cell>
          <cell r="BZ74">
            <v>2871723470.1413484</v>
          </cell>
          <cell r="CA74">
            <v>2871723470.1413484</v>
          </cell>
          <cell r="CB74">
            <v>29877819.78233508</v>
          </cell>
          <cell r="CC74">
            <v>29877819.78233508</v>
          </cell>
          <cell r="CD74">
            <v>1881878887.1685307</v>
          </cell>
          <cell r="CF74">
            <v>0.19744226006503185</v>
          </cell>
          <cell r="CG74">
            <v>0.29989583165860234</v>
          </cell>
          <cell r="CH74">
            <v>0.29989583165860234</v>
          </cell>
          <cell r="CI74">
            <v>3.1201589237031205E-3</v>
          </cell>
          <cell r="CJ74">
            <v>3.1201589237031205E-3</v>
          </cell>
          <cell r="CK74">
            <v>0.19652575877035716</v>
          </cell>
          <cell r="CM74"/>
        </row>
        <row r="75">
          <cell r="T75">
            <v>1.3614690912388265</v>
          </cell>
          <cell r="U75">
            <v>6742087694.3306608</v>
          </cell>
          <cell r="V75">
            <v>46799783.74005843</v>
          </cell>
          <cell r="W75">
            <v>820399.8315868522</v>
          </cell>
          <cell r="X75">
            <v>820399.8315868522</v>
          </cell>
          <cell r="Y75">
            <v>10321440072.195602</v>
          </cell>
          <cell r="Z75">
            <v>10321440072.195602</v>
          </cell>
          <cell r="AA75">
            <v>9560747594.709259</v>
          </cell>
          <cell r="AB75">
            <v>9560747594.709259</v>
          </cell>
          <cell r="AC75">
            <v>8960080073.2483845</v>
          </cell>
          <cell r="AD75"/>
          <cell r="AE75">
            <v>69</v>
          </cell>
          <cell r="AF75">
            <v>226.05822566964031</v>
          </cell>
          <cell r="AG75">
            <v>696.82880989540104</v>
          </cell>
          <cell r="AH75">
            <v>696.82880989540104</v>
          </cell>
          <cell r="AI75">
            <v>2.5000000000000001E-2</v>
          </cell>
          <cell r="AJ75">
            <v>2.5000000000000001E-2</v>
          </cell>
          <cell r="AK75">
            <v>0.10655322391890942</v>
          </cell>
          <cell r="AL75">
            <v>0.10655322391890942</v>
          </cell>
          <cell r="AM75">
            <v>6186.536882419874</v>
          </cell>
          <cell r="AN75">
            <v>1.0102891223544048</v>
          </cell>
          <cell r="AO75">
            <v>4368246229.9645195</v>
          </cell>
          <cell r="AP75">
            <v>40583254.007490754</v>
          </cell>
          <cell r="AQ75">
            <v>11775682.194979962</v>
          </cell>
          <cell r="AR75">
            <v>11775682.194979962</v>
          </cell>
          <cell r="AS75">
            <v>8950417944.2279816</v>
          </cell>
          <cell r="AT75">
            <v>8950417944.2279816</v>
          </cell>
          <cell r="AU75">
            <v>8290770108.954092</v>
          </cell>
          <cell r="AV75">
            <v>8290770108.954092</v>
          </cell>
          <cell r="AW75">
            <v>2652739.2515680613</v>
          </cell>
          <cell r="AX75">
            <v>8163636283.3462448</v>
          </cell>
          <cell r="AY75">
            <v>69</v>
          </cell>
          <cell r="AZ75">
            <v>0.89404668949005495</v>
          </cell>
          <cell r="BA75">
            <v>0.6479070620273486</v>
          </cell>
          <cell r="BD75">
            <v>69</v>
          </cell>
          <cell r="BE75">
            <v>194.44315658170294</v>
          </cell>
          <cell r="BF75">
            <v>10412.314565318784</v>
          </cell>
          <cell r="BG75">
            <v>10412.314565318784</v>
          </cell>
          <cell r="BH75">
            <v>2.4813558973213634E-2</v>
          </cell>
          <cell r="BI75">
            <v>2.4813558973213634E-2</v>
          </cell>
          <cell r="BJ75">
            <v>1.1936487201129791</v>
          </cell>
          <cell r="BK75">
            <v>3248095270.1524143</v>
          </cell>
          <cell r="BL75"/>
          <cell r="BM75">
            <v>69</v>
          </cell>
          <cell r="BN75">
            <v>194.44315658170294</v>
          </cell>
          <cell r="BO75">
            <v>593.42134553413041</v>
          </cell>
          <cell r="BP75">
            <v>593.42134553413041</v>
          </cell>
          <cell r="BQ75">
            <v>2.4813558973213634E-2</v>
          </cell>
          <cell r="BR75">
            <v>2.4813558973213634E-2</v>
          </cell>
          <cell r="BS75">
            <v>5669.3887356093646</v>
          </cell>
          <cell r="BT75">
            <v>0.62650066543411309</v>
          </cell>
          <cell r="BU75">
            <v>1493197787.4966893</v>
          </cell>
          <cell r="BX75">
            <v>69</v>
          </cell>
          <cell r="BY75">
            <v>2081985209.6854486</v>
          </cell>
          <cell r="BZ75">
            <v>3135366531.9088984</v>
          </cell>
          <cell r="CA75">
            <v>3135366531.9088984</v>
          </cell>
          <cell r="CB75">
            <v>29877819.78233508</v>
          </cell>
          <cell r="CC75">
            <v>29877819.78233508</v>
          </cell>
          <cell r="CD75">
            <v>2028446620.8186183</v>
          </cell>
          <cell r="CF75">
            <v>0.19940628826052845</v>
          </cell>
          <cell r="CG75">
            <v>0.30029598652081568</v>
          </cell>
          <cell r="CH75">
            <v>0.30029598652081568</v>
          </cell>
          <cell r="CI75">
            <v>2.8616078137330045E-3</v>
          </cell>
          <cell r="CJ75">
            <v>2.8616078137330045E-3</v>
          </cell>
          <cell r="CK75">
            <v>0.19427852307037416</v>
          </cell>
          <cell r="CM75"/>
        </row>
        <row r="76">
          <cell r="T76">
            <v>1.3768298406332398</v>
          </cell>
          <cell r="U76">
            <v>7317222227.69876</v>
          </cell>
          <cell r="V76">
            <v>50338795.890516669</v>
          </cell>
          <cell r="W76">
            <v>875915.47894665692</v>
          </cell>
          <cell r="X76">
            <v>875915.47894665692</v>
          </cell>
          <cell r="Y76">
            <v>11303202176.446295</v>
          </cell>
          <cell r="Z76">
            <v>11303202176.446295</v>
          </cell>
          <cell r="AA76">
            <v>10469323720.314753</v>
          </cell>
          <cell r="AB76">
            <v>10469323720.314753</v>
          </cell>
          <cell r="AC76">
            <v>9748937036.0401917</v>
          </cell>
          <cell r="AD76"/>
          <cell r="AE76">
            <v>70</v>
          </cell>
          <cell r="AF76">
            <v>230.15612562636002</v>
          </cell>
          <cell r="AG76">
            <v>713.33335311828955</v>
          </cell>
          <cell r="AH76">
            <v>713.33335311828955</v>
          </cell>
          <cell r="AI76">
            <v>2.5000000000000001E-2</v>
          </cell>
          <cell r="AJ76">
            <v>2.5000000000000001E-2</v>
          </cell>
          <cell r="AK76">
            <v>0.10664093883889682</v>
          </cell>
          <cell r="AL76">
            <v>0.10664093883889682</v>
          </cell>
          <cell r="AM76">
            <v>6252.8525141348637</v>
          </cell>
          <cell r="AN76">
            <v>1.0558701721066313</v>
          </cell>
          <cell r="AO76">
            <v>4980197111.3009167</v>
          </cell>
          <cell r="AP76">
            <v>44927871.372170597</v>
          </cell>
          <cell r="AQ76">
            <v>12965546.9971077</v>
          </cell>
          <cell r="AR76">
            <v>12965546.9971077</v>
          </cell>
          <cell r="AS76">
            <v>10088219324.544626</v>
          </cell>
          <cell r="AT76">
            <v>10088219324.544626</v>
          </cell>
          <cell r="AU76">
            <v>9343974585.3858967</v>
          </cell>
          <cell r="AV76">
            <v>9343974585.3858967</v>
          </cell>
          <cell r="AW76">
            <v>2958252.123667514</v>
          </cell>
          <cell r="AX76">
            <v>8997413591.5231361</v>
          </cell>
          <cell r="AY76">
            <v>70</v>
          </cell>
          <cell r="AZ76">
            <v>0.90971446139023093</v>
          </cell>
          <cell r="BA76">
            <v>0.68061307369465673</v>
          </cell>
          <cell r="BD76">
            <v>70</v>
          </cell>
          <cell r="BE76">
            <v>195.22541559565406</v>
          </cell>
          <cell r="BF76">
            <v>10477.81059992171</v>
          </cell>
          <cell r="BG76">
            <v>10477.81059992171</v>
          </cell>
          <cell r="BH76">
            <v>2.4866574956015925E-2</v>
          </cell>
          <cell r="BI76">
            <v>2.4866574956015925E-2</v>
          </cell>
          <cell r="BJ76">
            <v>1.1992026009694658</v>
          </cell>
          <cell r="BK76">
            <v>3320362170.5623956</v>
          </cell>
          <cell r="BL76"/>
          <cell r="BM76">
            <v>70</v>
          </cell>
          <cell r="BN76">
            <v>195.22541559565406</v>
          </cell>
          <cell r="BO76">
            <v>596.18672081225645</v>
          </cell>
          <cell r="BP76">
            <v>596.18672081225645</v>
          </cell>
          <cell r="BQ76">
            <v>2.4866574956015925E-2</v>
          </cell>
          <cell r="BR76">
            <v>2.4866574956015925E-2</v>
          </cell>
          <cell r="BS76">
            <v>5683.2102253149114</v>
          </cell>
          <cell r="BT76">
            <v>0.63729617367217484</v>
          </cell>
          <cell r="BU76">
            <v>1541801387.9282951</v>
          </cell>
          <cell r="BX76">
            <v>70</v>
          </cell>
          <cell r="BY76">
            <v>2288268559.1865196</v>
          </cell>
          <cell r="BZ76">
            <v>3425769978.4499974</v>
          </cell>
          <cell r="CA76">
            <v>3425769978.4499974</v>
          </cell>
          <cell r="CB76">
            <v>29877819.78233508</v>
          </cell>
          <cell r="CC76">
            <v>29877819.78233508</v>
          </cell>
          <cell r="CD76">
            <v>2178197599.4911456</v>
          </cell>
          <cell r="CF76">
            <v>0.20111763705654201</v>
          </cell>
          <cell r="CG76">
            <v>0.30109348852393358</v>
          </cell>
          <cell r="CH76">
            <v>0.30109348852393358</v>
          </cell>
          <cell r="CI76">
            <v>2.6259839523209744E-3</v>
          </cell>
          <cell r="CJ76">
            <v>2.6259839523209744E-3</v>
          </cell>
          <cell r="CK76">
            <v>0.19144341799094891</v>
          </cell>
          <cell r="CM76"/>
        </row>
        <row r="77">
          <cell r="T77">
            <v>1.3919666992722726</v>
          </cell>
          <cell r="U77">
            <v>7984914514.2173567</v>
          </cell>
          <cell r="V77">
            <v>54565874.245511904</v>
          </cell>
          <cell r="W77">
            <v>938067.44408403197</v>
          </cell>
          <cell r="X77">
            <v>938067.44408403197</v>
          </cell>
          <cell r="Y77">
            <v>12455777597.046759</v>
          </cell>
          <cell r="Z77">
            <v>12455777597.046759</v>
          </cell>
          <cell r="AA77">
            <v>11530709129.567009</v>
          </cell>
          <cell r="AB77">
            <v>11530709129.567009</v>
          </cell>
          <cell r="AC77">
            <v>10675041622.324581</v>
          </cell>
          <cell r="AD77"/>
          <cell r="AE77">
            <v>71</v>
          </cell>
          <cell r="AF77">
            <v>233.97722868928537</v>
          </cell>
          <cell r="AG77">
            <v>731.32716829590845</v>
          </cell>
          <cell r="AH77">
            <v>731.32716829590845</v>
          </cell>
          <cell r="AI77">
            <v>2.5000000000000001E-2</v>
          </cell>
          <cell r="AJ77">
            <v>2.5000000000000001E-2</v>
          </cell>
          <cell r="AK77">
            <v>0.10723216529982393</v>
          </cell>
          <cell r="AL77">
            <v>0.10723216529982393</v>
          </cell>
          <cell r="AM77">
            <v>6320.7783723382399</v>
          </cell>
          <cell r="AN77">
            <v>1.1089495847539146</v>
          </cell>
          <cell r="AO77">
            <v>5728298524.2313118</v>
          </cell>
          <cell r="AP77">
            <v>50223515.198554859</v>
          </cell>
          <cell r="AQ77">
            <v>14371893.323036123</v>
          </cell>
          <cell r="AR77">
            <v>14371893.323036123</v>
          </cell>
          <cell r="AS77">
            <v>11464545269.455681</v>
          </cell>
          <cell r="AT77">
            <v>11464545269.455681</v>
          </cell>
          <cell r="AU77">
            <v>10613093865.467691</v>
          </cell>
          <cell r="AV77">
            <v>10613093865.467691</v>
          </cell>
          <cell r="AW77">
            <v>3325715.7355760038</v>
          </cell>
          <cell r="AX77">
            <v>9967574495.8249626</v>
          </cell>
          <cell r="AY77">
            <v>71</v>
          </cell>
          <cell r="AZ77">
            <v>0.92285449995785807</v>
          </cell>
          <cell r="BA77">
            <v>0.71739008777513158</v>
          </cell>
          <cell r="BD77">
            <v>71</v>
          </cell>
          <cell r="BE77">
            <v>196.00767460960517</v>
          </cell>
          <cell r="BF77">
            <v>10543.306634524637</v>
          </cell>
          <cell r="BG77">
            <v>10543.306634524637</v>
          </cell>
          <cell r="BH77">
            <v>2.4919590938818216E-2</v>
          </cell>
          <cell r="BI77">
            <v>2.4919590938818216E-2</v>
          </cell>
          <cell r="BJ77">
            <v>1.2047564818259524</v>
          </cell>
          <cell r="BK77">
            <v>3392629070.9723773</v>
          </cell>
          <cell r="BL77"/>
          <cell r="BM77">
            <v>71</v>
          </cell>
          <cell r="BN77">
            <v>196.00767460960517</v>
          </cell>
          <cell r="BO77">
            <v>598.9520960903825</v>
          </cell>
          <cell r="BP77">
            <v>598.9520960903825</v>
          </cell>
          <cell r="BQ77">
            <v>2.4919590938818216E-2</v>
          </cell>
          <cell r="BR77">
            <v>2.4919590938818216E-2</v>
          </cell>
          <cell r="BS77">
            <v>5697.0317150204592</v>
          </cell>
          <cell r="BT77">
            <v>0.64809168191023647</v>
          </cell>
          <cell r="BU77">
            <v>1590404988.359901</v>
          </cell>
          <cell r="BX77">
            <v>71</v>
          </cell>
          <cell r="BY77">
            <v>2496770388.3972445</v>
          </cell>
          <cell r="BZ77">
            <v>3785072322.2370167</v>
          </cell>
          <cell r="CA77">
            <v>3785072322.2370167</v>
          </cell>
          <cell r="CB77">
            <v>29877819.78233508</v>
          </cell>
          <cell r="CC77">
            <v>29877819.78233508</v>
          </cell>
          <cell r="CD77">
            <v>2339784195.4940643</v>
          </cell>
          <cell r="CF77">
            <v>0.20027910218647588</v>
          </cell>
          <cell r="CG77">
            <v>0.30362058518930873</v>
          </cell>
          <cell r="CH77">
            <v>0.30362058518930873</v>
          </cell>
          <cell r="CI77">
            <v>2.396657277378499E-3</v>
          </cell>
          <cell r="CJ77">
            <v>2.396657277378499E-3</v>
          </cell>
          <cell r="CK77">
            <v>0.1876864128801497</v>
          </cell>
          <cell r="CM77"/>
        </row>
        <row r="78">
          <cell r="T78">
            <v>1.4071035579113058</v>
          </cell>
          <cell r="U78">
            <v>8724339270.1028748</v>
          </cell>
          <cell r="V78">
            <v>59260493.072326012</v>
          </cell>
          <cell r="W78">
            <v>1007070.8673824932</v>
          </cell>
          <cell r="X78">
            <v>1007070.8673824932</v>
          </cell>
          <cell r="Y78">
            <v>13748337942.84153</v>
          </cell>
          <cell r="Z78">
            <v>13748337942.84153</v>
          </cell>
          <cell r="AA78">
            <v>12700326001.958241</v>
          </cell>
          <cell r="AB78">
            <v>12700326001.958241</v>
          </cell>
          <cell r="AC78">
            <v>11708716349.238029</v>
          </cell>
          <cell r="AD78"/>
          <cell r="AE78">
            <v>72</v>
          </cell>
          <cell r="AF78">
            <v>237.79833175221071</v>
          </cell>
          <cell r="AG78">
            <v>750.12277986637105</v>
          </cell>
          <cell r="AH78">
            <v>750.12277986637105</v>
          </cell>
          <cell r="AI78">
            <v>2.5000000000000001E-2</v>
          </cell>
          <cell r="AJ78">
            <v>2.5000000000000001E-2</v>
          </cell>
          <cell r="AK78">
            <v>0.10958146973863041</v>
          </cell>
          <cell r="AL78">
            <v>0.10958146973863041</v>
          </cell>
          <cell r="AM78">
            <v>6386.6814302636958</v>
          </cell>
          <cell r="AN78">
            <v>1.1628553121329948</v>
          </cell>
          <cell r="AO78">
            <v>6605034226.2352285</v>
          </cell>
          <cell r="AP78">
            <v>56291108.799765557</v>
          </cell>
          <cell r="AQ78">
            <v>15961042.203887979</v>
          </cell>
          <cell r="AR78">
            <v>15961042.203887979</v>
          </cell>
          <cell r="AS78">
            <v>13059445624.455063</v>
          </cell>
          <cell r="AT78">
            <v>13059445624.455063</v>
          </cell>
          <cell r="AU78">
            <v>12063946749.416775</v>
          </cell>
          <cell r="AV78">
            <v>12063946749.416775</v>
          </cell>
          <cell r="AW78">
            <v>3749284.030611367</v>
          </cell>
          <cell r="AX78">
            <v>11071236508.86982</v>
          </cell>
          <cell r="AY78">
            <v>72</v>
          </cell>
          <cell r="AZ78">
            <v>0.93772855483115292</v>
          </cell>
          <cell r="BA78">
            <v>0.75708131260665013</v>
          </cell>
          <cell r="BD78">
            <v>72</v>
          </cell>
          <cell r="BE78">
            <v>196.78993362355629</v>
          </cell>
          <cell r="BF78">
            <v>10608.802669127563</v>
          </cell>
          <cell r="BG78">
            <v>10608.802669127563</v>
          </cell>
          <cell r="BH78">
            <v>2.4972606921620507E-2</v>
          </cell>
          <cell r="BI78">
            <v>2.4972606921620507E-2</v>
          </cell>
          <cell r="BJ78">
            <v>1.210310362682439</v>
          </cell>
          <cell r="BK78">
            <v>3464895971.382359</v>
          </cell>
          <cell r="BL78"/>
          <cell r="BM78">
            <v>72</v>
          </cell>
          <cell r="BN78">
            <v>196.78993362355629</v>
          </cell>
          <cell r="BO78">
            <v>601.71747136850854</v>
          </cell>
          <cell r="BP78">
            <v>601.71747136850854</v>
          </cell>
          <cell r="BQ78">
            <v>2.4972606921620507E-2</v>
          </cell>
          <cell r="BR78">
            <v>2.4972606921620507E-2</v>
          </cell>
          <cell r="BS78">
            <v>5710.853204726006</v>
          </cell>
          <cell r="BT78">
            <v>0.65888719014829811</v>
          </cell>
          <cell r="BU78">
            <v>1639008588.7915065</v>
          </cell>
          <cell r="BX78">
            <v>72</v>
          </cell>
          <cell r="BY78">
            <v>2723210839.9863758</v>
          </cell>
          <cell r="BZ78">
            <v>4170804633.162137</v>
          </cell>
          <cell r="CA78">
            <v>4170804633.162137</v>
          </cell>
          <cell r="CB78">
            <v>29877819.78233508</v>
          </cell>
          <cell r="CC78">
            <v>29877819.78233508</v>
          </cell>
          <cell r="CD78">
            <v>2517017379.7170177</v>
          </cell>
          <cell r="CF78">
            <v>0.19962557268164599</v>
          </cell>
          <cell r="CG78">
            <v>0.30574175572921103</v>
          </cell>
          <cell r="CH78">
            <v>0.30574175572921103</v>
          </cell>
          <cell r="CI78">
            <v>2.1902001846311292E-3</v>
          </cell>
          <cell r="CJ78">
            <v>2.1902001846311292E-3</v>
          </cell>
          <cell r="CK78">
            <v>0.18451051549066963</v>
          </cell>
          <cell r="CM78"/>
        </row>
        <row r="79">
          <cell r="T79">
            <v>1.4234958346088469</v>
          </cell>
          <cell r="U79">
            <v>9543002971.6267357</v>
          </cell>
          <cell r="V79">
            <v>64411736.661694892</v>
          </cell>
          <cell r="W79">
            <v>1082836.9222361632</v>
          </cell>
          <cell r="X79">
            <v>1082836.9222361632</v>
          </cell>
          <cell r="Y79">
            <v>15195870930.111187</v>
          </cell>
          <cell r="Z79">
            <v>15195870930.111187</v>
          </cell>
          <cell r="AA79">
            <v>14007857382.0266</v>
          </cell>
          <cell r="AB79">
            <v>14007857382.0266</v>
          </cell>
          <cell r="AC79">
            <v>12853966968.652042</v>
          </cell>
          <cell r="AD79"/>
          <cell r="AE79">
            <v>73</v>
          </cell>
          <cell r="AF79">
            <v>241.81567693433641</v>
          </cell>
          <cell r="AG79">
            <v>769.18133112789951</v>
          </cell>
          <cell r="AH79">
            <v>769.18133112789951</v>
          </cell>
          <cell r="AI79">
            <v>2.5000000000000001E-2</v>
          </cell>
          <cell r="AJ79">
            <v>2.5000000000000001E-2</v>
          </cell>
          <cell r="AK79">
            <v>0.11193077417743688</v>
          </cell>
          <cell r="AL79">
            <v>0.11193077417743688</v>
          </cell>
          <cell r="AM79">
            <v>6455.0728962151661</v>
          </cell>
          <cell r="AN79">
            <v>1.2192188442227541</v>
          </cell>
          <cell r="AO79">
            <v>7627420931.6920395</v>
          </cell>
          <cell r="AP79">
            <v>63157823.586826928</v>
          </cell>
          <cell r="AQ79">
            <v>17759382.749706715</v>
          </cell>
          <cell r="AR79">
            <v>17759382.749706715</v>
          </cell>
          <cell r="AS79">
            <v>14900050599.363859</v>
          </cell>
          <cell r="AT79">
            <v>14900050599.363859</v>
          </cell>
          <cell r="AU79">
            <v>13735164291.721302</v>
          </cell>
          <cell r="AV79">
            <v>13735164291.721302</v>
          </cell>
          <cell r="AW79">
            <v>4232387.7307222076</v>
          </cell>
          <cell r="AX79">
            <v>12310805398.026016</v>
          </cell>
          <cell r="AY79">
            <v>73</v>
          </cell>
          <cell r="AZ79">
            <v>0.95318444713415051</v>
          </cell>
          <cell r="BA79">
            <v>0.79926842256781161</v>
          </cell>
          <cell r="BD79">
            <v>73</v>
          </cell>
          <cell r="BE79">
            <v>197.55239379840586</v>
          </cell>
          <cell r="BF79">
            <v>10672.178891246918</v>
          </cell>
          <cell r="BG79">
            <v>10672.178891246918</v>
          </cell>
          <cell r="BH79">
            <v>2.5000000000000001E-2</v>
          </cell>
          <cell r="BI79">
            <v>2.5000000000000001E-2</v>
          </cell>
          <cell r="BJ79">
            <v>1.2156844893592531</v>
          </cell>
          <cell r="BK79">
            <v>3537546876.1300597</v>
          </cell>
          <cell r="BL79"/>
          <cell r="BM79">
            <v>73</v>
          </cell>
          <cell r="BN79">
            <v>197.55239379840586</v>
          </cell>
          <cell r="BO79">
            <v>604.43329280895057</v>
          </cell>
          <cell r="BP79">
            <v>604.43329280895057</v>
          </cell>
          <cell r="BQ79">
            <v>2.5000000000000001E-2</v>
          </cell>
          <cell r="BR79">
            <v>2.5000000000000001E-2</v>
          </cell>
          <cell r="BS79">
            <v>5724.0458249435515</v>
          </cell>
          <cell r="BT79">
            <v>0.66939534343909457</v>
          </cell>
          <cell r="BU79">
            <v>1689296480.5506573</v>
          </cell>
          <cell r="BX79">
            <v>73</v>
          </cell>
          <cell r="BY79">
            <v>2981975019.9365849</v>
          </cell>
          <cell r="BZ79">
            <v>4594323734.4515276</v>
          </cell>
          <cell r="CA79">
            <v>4594323734.4515276</v>
          </cell>
          <cell r="CB79">
            <v>29877819.78233508</v>
          </cell>
          <cell r="CC79">
            <v>29877819.78233508</v>
          </cell>
          <cell r="CD79">
            <v>2727723162.928215</v>
          </cell>
          <cell r="CF79">
            <v>0.19935518297796864</v>
          </cell>
          <cell r="CG79">
            <v>0.30714618419609907</v>
          </cell>
          <cell r="CH79">
            <v>0.30714618419609907</v>
          </cell>
          <cell r="CI79">
            <v>1.9974339791138992E-3</v>
          </cell>
          <cell r="CJ79">
            <v>1.9974339791138992E-3</v>
          </cell>
          <cell r="CK79">
            <v>0.18235758067160532</v>
          </cell>
          <cell r="CM79"/>
        </row>
        <row r="80">
          <cell r="T80">
            <v>1.4406441677762678</v>
          </cell>
          <cell r="U80">
            <v>10437489971.118732</v>
          </cell>
          <cell r="V80">
            <v>69995956.010202155</v>
          </cell>
          <cell r="W80">
            <v>1164772.344920536</v>
          </cell>
          <cell r="X80">
            <v>1164772.344920536</v>
          </cell>
          <cell r="Y80">
            <v>16795697358.647041</v>
          </cell>
          <cell r="Z80">
            <v>16795697358.647041</v>
          </cell>
          <cell r="AA80">
            <v>15449966415.977041</v>
          </cell>
          <cell r="AB80">
            <v>15449966415.977041</v>
          </cell>
          <cell r="AC80">
            <v>14107414771.81311</v>
          </cell>
          <cell r="AD80"/>
          <cell r="AE80">
            <v>74</v>
          </cell>
          <cell r="AF80">
            <v>245.95120595401229</v>
          </cell>
          <cell r="AG80">
            <v>788.68616786453651</v>
          </cell>
          <cell r="AH80">
            <v>788.68616786453651</v>
          </cell>
          <cell r="AI80">
            <v>2.5000000000000001E-2</v>
          </cell>
          <cell r="AJ80">
            <v>2.5000000000000001E-2</v>
          </cell>
          <cell r="AK80">
            <v>0.11428007861624336</v>
          </cell>
          <cell r="AL80">
            <v>0.11428007861624336</v>
          </cell>
          <cell r="AM80">
            <v>6520.5708681037622</v>
          </cell>
          <cell r="AN80">
            <v>1.2775995671526079</v>
          </cell>
          <cell r="AO80">
            <v>8803388040.0881958</v>
          </cell>
          <cell r="AP80">
            <v>70829630.442229465</v>
          </cell>
          <cell r="AQ80">
            <v>19756258.568311714</v>
          </cell>
          <cell r="AR80">
            <v>19756258.568311714</v>
          </cell>
          <cell r="AS80">
            <v>16995739536.13986</v>
          </cell>
          <cell r="AT80">
            <v>16995739536.13986</v>
          </cell>
          <cell r="AU80">
            <v>15633980503.516655</v>
          </cell>
          <cell r="AV80">
            <v>15633980503.516655</v>
          </cell>
          <cell r="AW80">
            <v>4779179.0555644743</v>
          </cell>
          <cell r="AX80">
            <v>13682376907.949827</v>
          </cell>
          <cell r="AY80">
            <v>74</v>
          </cell>
          <cell r="AZ80">
            <v>0.96851859555295783</v>
          </cell>
          <cell r="BA80">
            <v>0.84343918551757069</v>
          </cell>
          <cell r="BD80">
            <v>74</v>
          </cell>
          <cell r="BE80">
            <v>198.29368731929682</v>
          </cell>
          <cell r="BF80">
            <v>10733.288852346284</v>
          </cell>
          <cell r="BG80">
            <v>10733.288852346284</v>
          </cell>
          <cell r="BH80">
            <v>2.5000000000000001E-2</v>
          </cell>
          <cell r="BI80">
            <v>2.5000000000000001E-2</v>
          </cell>
          <cell r="BJ80">
            <v>1.2208664434294199</v>
          </cell>
          <cell r="BK80">
            <v>3610608314.3890147</v>
          </cell>
          <cell r="BL80"/>
          <cell r="BM80">
            <v>74</v>
          </cell>
          <cell r="BN80">
            <v>198.29368731929682</v>
          </cell>
          <cell r="BO80">
            <v>607.09613695465316</v>
          </cell>
          <cell r="BP80">
            <v>607.09613695465316</v>
          </cell>
          <cell r="BQ80">
            <v>2.5000000000000001E-2</v>
          </cell>
          <cell r="BR80">
            <v>2.5000000000000001E-2</v>
          </cell>
          <cell r="BS80">
            <v>5736.566129841528</v>
          </cell>
          <cell r="BT80">
            <v>0.67959628969109154</v>
          </cell>
          <cell r="BU80">
            <v>1741385023.9294691</v>
          </cell>
          <cell r="BX80">
            <v>74</v>
          </cell>
          <cell r="BY80">
            <v>3271445327.2767324</v>
          </cell>
          <cell r="BZ80">
            <v>5055568436.6522846</v>
          </cell>
          <cell r="CA80">
            <v>5055568436.6522846</v>
          </cell>
          <cell r="CB80">
            <v>29877819.78233508</v>
          </cell>
          <cell r="CC80">
            <v>29877819.78233508</v>
          </cell>
          <cell r="CD80">
            <v>2969641811.5662618</v>
          </cell>
          <cell r="CF80">
            <v>0.19933276769176519</v>
          </cell>
          <cell r="CG80">
            <v>0.3080413541778213</v>
          </cell>
          <cell r="CH80">
            <v>0.3080413541778213</v>
          </cell>
          <cell r="CI80">
            <v>1.8204884734437249E-3</v>
          </cell>
          <cell r="CJ80">
            <v>1.8204884734437249E-3</v>
          </cell>
          <cell r="CK80">
            <v>0.1809435470057047</v>
          </cell>
          <cell r="CM80"/>
        </row>
        <row r="81">
          <cell r="T81">
            <v>1.4577891267847454</v>
          </cell>
          <cell r="U81">
            <v>11395187174.365248</v>
          </cell>
          <cell r="V81">
            <v>76000768.733499736</v>
          </cell>
          <cell r="W81">
            <v>1252419.8347702539</v>
          </cell>
          <cell r="X81">
            <v>1252419.8347702539</v>
          </cell>
          <cell r="Y81">
            <v>18543464705.494034</v>
          </cell>
          <cell r="Z81">
            <v>18543464705.494034</v>
          </cell>
          <cell r="AA81">
            <v>17021808320.258339</v>
          </cell>
          <cell r="AB81">
            <v>17021808320.258339</v>
          </cell>
          <cell r="AC81">
            <v>15466787704.440872</v>
          </cell>
          <cell r="AD81"/>
          <cell r="AE81">
            <v>75</v>
          </cell>
          <cell r="AF81">
            <v>250.09025092602022</v>
          </cell>
          <cell r="AG81">
            <v>808.97907814635209</v>
          </cell>
          <cell r="AH81">
            <v>808.97907814635209</v>
          </cell>
          <cell r="AI81">
            <v>2.5000000000000001E-2</v>
          </cell>
          <cell r="AJ81">
            <v>2.5000000000000001E-2</v>
          </cell>
          <cell r="AK81">
            <v>0.11662938305504984</v>
          </cell>
          <cell r="AL81">
            <v>0.11662938305504984</v>
          </cell>
          <cell r="AM81">
            <v>6589.3343869731825</v>
          </cell>
          <cell r="AN81">
            <v>1.3370616112603688</v>
          </cell>
          <cell r="AO81">
            <v>10169289004.679935</v>
          </cell>
          <cell r="AP81">
            <v>79491037.779800579</v>
          </cell>
          <cell r="AQ81">
            <v>21979744.141453911</v>
          </cell>
          <cell r="AR81">
            <v>21979744.141453911</v>
          </cell>
          <cell r="AS81">
            <v>19395057155.824471</v>
          </cell>
          <cell r="AT81">
            <v>19395057155.824471</v>
          </cell>
          <cell r="AU81">
            <v>17803520027.683167</v>
          </cell>
          <cell r="AV81">
            <v>17803520027.683167</v>
          </cell>
          <cell r="AW81">
            <v>5396949.7097001504</v>
          </cell>
          <cell r="AX81">
            <v>15216674706.198059</v>
          </cell>
          <cell r="AY81">
            <v>75</v>
          </cell>
          <cell r="AZ81">
            <v>0.98700201755646533</v>
          </cell>
          <cell r="BA81">
            <v>0.89241965481329633</v>
          </cell>
          <cell r="BD81">
            <v>75</v>
          </cell>
          <cell r="BE81">
            <v>199.03498084018781</v>
          </cell>
          <cell r="BF81">
            <v>10794.39881344565</v>
          </cell>
          <cell r="BG81">
            <v>10794.39881344565</v>
          </cell>
          <cell r="BH81">
            <v>2.5000000000000001E-2</v>
          </cell>
          <cell r="BI81">
            <v>2.5000000000000001E-2</v>
          </cell>
          <cell r="BJ81">
            <v>1.2260483974995866</v>
          </cell>
          <cell r="BK81">
            <v>3683669752.6479692</v>
          </cell>
          <cell r="BL81"/>
          <cell r="BM81">
            <v>75</v>
          </cell>
          <cell r="BN81">
            <v>199.03498084018781</v>
          </cell>
          <cell r="BO81">
            <v>609.75898110035575</v>
          </cell>
          <cell r="BP81">
            <v>609.75898110035575</v>
          </cell>
          <cell r="BQ81">
            <v>2.5000000000000001E-2</v>
          </cell>
          <cell r="BR81">
            <v>2.5000000000000001E-2</v>
          </cell>
          <cell r="BS81">
            <v>5749.0864347395036</v>
          </cell>
          <cell r="BT81">
            <v>0.68979723594308862</v>
          </cell>
          <cell r="BU81">
            <v>1793473567.3082807</v>
          </cell>
          <cell r="BX81">
            <v>75</v>
          </cell>
          <cell r="BY81">
            <v>3586015926.9718614</v>
          </cell>
          <cell r="BZ81">
            <v>5551580913.8123751</v>
          </cell>
          <cell r="CA81">
            <v>5551580913.8123751</v>
          </cell>
          <cell r="CB81">
            <v>29877819.78233508</v>
          </cell>
          <cell r="CC81">
            <v>29877819.78233508</v>
          </cell>
          <cell r="CD81">
            <v>3234819252.7517252</v>
          </cell>
          <cell r="CF81">
            <v>0.19940309441408033</v>
          </cell>
          <cell r="CG81">
            <v>0.30869980380681722</v>
          </cell>
          <cell r="CH81">
            <v>0.30869980380681722</v>
          </cell>
          <cell r="CI81">
            <v>1.661378488068993E-3</v>
          </cell>
          <cell r="CJ81">
            <v>1.661378488068993E-3</v>
          </cell>
          <cell r="CK81">
            <v>0.17987454099614725</v>
          </cell>
          <cell r="CM81"/>
        </row>
        <row r="82">
          <cell r="T82">
            <v>1.4728220958492577</v>
          </cell>
          <cell r="U82">
            <v>12548976131.900667</v>
          </cell>
          <cell r="V82">
            <v>82536535.844644472</v>
          </cell>
          <cell r="W82">
            <v>1356070.9291855185</v>
          </cell>
          <cell r="X82">
            <v>1356070.9291855185</v>
          </cell>
          <cell r="Y82">
            <v>20641608834.818439</v>
          </cell>
          <cell r="Z82">
            <v>20641608834.818439</v>
          </cell>
          <cell r="AA82">
            <v>18908000029.093552</v>
          </cell>
          <cell r="AB82">
            <v>18908000029.093552</v>
          </cell>
          <cell r="AC82">
            <v>17112148173.702394</v>
          </cell>
          <cell r="AD82"/>
          <cell r="AE82">
            <v>76</v>
          </cell>
          <cell r="AF82">
            <v>256.34282853248379</v>
          </cell>
          <cell r="AG82">
            <v>829.87196986578635</v>
          </cell>
          <cell r="AH82">
            <v>829.87196986578635</v>
          </cell>
          <cell r="AI82">
            <v>2.5000000000000001E-2</v>
          </cell>
          <cell r="AJ82">
            <v>2.5000000000000001E-2</v>
          </cell>
          <cell r="AK82">
            <v>0.11897868749385632</v>
          </cell>
          <cell r="AL82">
            <v>0.11897868749385632</v>
          </cell>
          <cell r="AM82">
            <v>6654.5257628160962</v>
          </cell>
          <cell r="AN82">
            <v>1.3963353149613265</v>
          </cell>
          <cell r="AO82">
            <v>11811202560.242668</v>
          </cell>
          <cell r="AP82">
            <v>89060868.087808535</v>
          </cell>
          <cell r="AQ82">
            <v>24606055.181419574</v>
          </cell>
          <cell r="AR82">
            <v>24606055.181419574</v>
          </cell>
          <cell r="AS82">
            <v>22273282767.987572</v>
          </cell>
          <cell r="AT82">
            <v>22273282767.987572</v>
          </cell>
          <cell r="AU82">
            <v>20402635986.141251</v>
          </cell>
          <cell r="AV82">
            <v>20402635986.141251</v>
          </cell>
          <cell r="AW82">
            <v>6137139.2077651266</v>
          </cell>
          <cell r="AX82">
            <v>17042586116.008938</v>
          </cell>
          <cell r="AY82">
            <v>76</v>
          </cell>
          <cell r="AZ82">
            <v>1.0022507588054195</v>
          </cell>
          <cell r="BA82">
            <v>0.94120846482586651</v>
          </cell>
          <cell r="BD82">
            <v>76</v>
          </cell>
          <cell r="BE82">
            <v>199.77627436107878</v>
          </cell>
          <cell r="BF82">
            <v>10855.508774545016</v>
          </cell>
          <cell r="BG82">
            <v>10855.508774545016</v>
          </cell>
          <cell r="BH82">
            <v>2.5000000000000001E-2</v>
          </cell>
          <cell r="BI82">
            <v>2.5000000000000001E-2</v>
          </cell>
          <cell r="BJ82">
            <v>1.2312303515697534</v>
          </cell>
          <cell r="BK82">
            <v>3756731190.9069242</v>
          </cell>
          <cell r="BL82"/>
          <cell r="BM82">
            <v>76</v>
          </cell>
          <cell r="BN82">
            <v>199.77627436107878</v>
          </cell>
          <cell r="BO82">
            <v>612.42182524605835</v>
          </cell>
          <cell r="BP82">
            <v>612.42182524605835</v>
          </cell>
          <cell r="BQ82">
            <v>2.5000000000000001E-2</v>
          </cell>
          <cell r="BR82">
            <v>2.5000000000000001E-2</v>
          </cell>
          <cell r="BS82">
            <v>5761.6067396374801</v>
          </cell>
          <cell r="BT82">
            <v>0.69999818219508558</v>
          </cell>
          <cell r="BU82">
            <v>1845562110.6870925</v>
          </cell>
          <cell r="BX82">
            <v>76</v>
          </cell>
          <cell r="BY82">
            <v>4102082022.7091637</v>
          </cell>
          <cell r="BZ82">
            <v>6129142499.4207592</v>
          </cell>
          <cell r="CA82">
            <v>6129142499.4207592</v>
          </cell>
          <cell r="CB82">
            <v>29877819.78233508</v>
          </cell>
          <cell r="CC82">
            <v>29877819.78233508</v>
          </cell>
          <cell r="CD82">
            <v>3492065646.8743448</v>
          </cell>
          <cell r="CF82">
            <v>0.20600859931920279</v>
          </cell>
          <cell r="CG82">
            <v>0.30780858460250005</v>
          </cell>
          <cell r="CH82">
            <v>0.30780858460250005</v>
          </cell>
          <cell r="CI82">
            <v>1.5004789689713163E-3</v>
          </cell>
          <cell r="CJ82">
            <v>1.5004789689713163E-3</v>
          </cell>
          <cell r="CK82">
            <v>0.17537327353785448</v>
          </cell>
          <cell r="CM82"/>
        </row>
        <row r="83">
          <cell r="T83">
            <v>1.4878550649137701</v>
          </cell>
          <cell r="U83">
            <v>13789649836.802492</v>
          </cell>
          <cell r="V83">
            <v>89551618.696708083</v>
          </cell>
          <cell r="W83">
            <v>1467165.5370077514</v>
          </cell>
          <cell r="X83">
            <v>1467165.5370077514</v>
          </cell>
          <cell r="Y83">
            <v>22942286519.085094</v>
          </cell>
          <cell r="Z83">
            <v>22942286519.085094</v>
          </cell>
          <cell r="AA83">
            <v>20971423037.011261</v>
          </cell>
          <cell r="AB83">
            <v>20971423037.011261</v>
          </cell>
          <cell r="AC83">
            <v>18904512576.883003</v>
          </cell>
          <cell r="AD83"/>
          <cell r="AE83">
            <v>77</v>
          </cell>
          <cell r="AF83">
            <v>262.59540613894745</v>
          </cell>
          <cell r="AG83">
            <v>851.64994456382419</v>
          </cell>
          <cell r="AH83">
            <v>851.64994456382419</v>
          </cell>
          <cell r="AI83">
            <v>2.5000000000000001E-2</v>
          </cell>
          <cell r="AJ83">
            <v>2.5000000000000001E-2</v>
          </cell>
          <cell r="AK83">
            <v>0.12132799193266279</v>
          </cell>
          <cell r="AL83">
            <v>0.12132799193266279</v>
          </cell>
          <cell r="AM83">
            <v>6722.8629024654092</v>
          </cell>
          <cell r="AN83">
            <v>1.4561270788980012</v>
          </cell>
          <cell r="AO83">
            <v>13720268148.230738</v>
          </cell>
          <cell r="AP83">
            <v>99826351.915632293</v>
          </cell>
          <cell r="AQ83">
            <v>27530632.912209794</v>
          </cell>
          <cell r="AR83">
            <v>27530632.912209794</v>
          </cell>
          <cell r="AS83">
            <v>25574576999.663376</v>
          </cell>
          <cell r="AT83">
            <v>25574576999.663376</v>
          </cell>
          <cell r="AU83">
            <v>23377585874.293537</v>
          </cell>
          <cell r="AV83">
            <v>23377585874.293537</v>
          </cell>
          <cell r="AW83">
            <v>6975142.0886159018</v>
          </cell>
          <cell r="AX83">
            <v>19092222218.412468</v>
          </cell>
          <cell r="AY83">
            <v>77</v>
          </cell>
          <cell r="AZ83">
            <v>1.0208403944792537</v>
          </cell>
          <cell r="BA83">
            <v>0.99496856777417331</v>
          </cell>
          <cell r="BD83">
            <v>77</v>
          </cell>
          <cell r="BE83">
            <v>200.51756788196974</v>
          </cell>
          <cell r="BF83">
            <v>10916.618735644382</v>
          </cell>
          <cell r="BG83">
            <v>10916.618735644382</v>
          </cell>
          <cell r="BH83">
            <v>2.5000000000000001E-2</v>
          </cell>
          <cell r="BI83">
            <v>2.5000000000000001E-2</v>
          </cell>
          <cell r="BJ83">
            <v>1.2364123056399201</v>
          </cell>
          <cell r="BK83">
            <v>3829792629.1658792</v>
          </cell>
          <cell r="BL83"/>
          <cell r="BM83">
            <v>77</v>
          </cell>
          <cell r="BN83">
            <v>200.51756788196974</v>
          </cell>
          <cell r="BO83">
            <v>615.08466939176094</v>
          </cell>
          <cell r="BP83">
            <v>615.08466939176094</v>
          </cell>
          <cell r="BQ83">
            <v>2.5000000000000001E-2</v>
          </cell>
          <cell r="BR83">
            <v>2.5000000000000001E-2</v>
          </cell>
          <cell r="BS83">
            <v>5774.1270445354558</v>
          </cell>
          <cell r="BT83">
            <v>0.71019912844708255</v>
          </cell>
          <cell r="BU83">
            <v>1897650654.0659044</v>
          </cell>
          <cell r="BX83">
            <v>77</v>
          </cell>
          <cell r="BY83">
            <v>4662010468.3947735</v>
          </cell>
          <cell r="BZ83">
            <v>6754020177.7683964</v>
          </cell>
          <cell r="CA83">
            <v>6754020177.7683964</v>
          </cell>
          <cell r="CB83">
            <v>29877819.78233508</v>
          </cell>
          <cell r="CC83">
            <v>29877819.78233508</v>
          </cell>
          <cell r="CD83">
            <v>3776256599.6223116</v>
          </cell>
          <cell r="CF83">
            <v>0.2118511818776051</v>
          </cell>
          <cell r="CG83">
            <v>0.30691633293953058</v>
          </cell>
          <cell r="CH83">
            <v>0.30691633293953058</v>
          </cell>
          <cell r="CI83">
            <v>1.3577085413523763E-3</v>
          </cell>
          <cell r="CJ83">
            <v>1.3577085413523763E-3</v>
          </cell>
          <cell r="CK83">
            <v>0.17160073516062929</v>
          </cell>
          <cell r="CM83"/>
        </row>
        <row r="84">
          <cell r="T84">
            <v>1.5027777374678473</v>
          </cell>
          <cell r="U84">
            <v>15027146133.061708</v>
          </cell>
          <cell r="V84">
            <v>96637630.761029571</v>
          </cell>
          <cell r="W84">
            <v>1568578.4255167651</v>
          </cell>
          <cell r="X84">
            <v>1568578.4255167651</v>
          </cell>
          <cell r="Y84">
            <v>25183497672.394379</v>
          </cell>
          <cell r="Z84">
            <v>25183497672.394379</v>
          </cell>
          <cell r="AA84">
            <v>22971973535.069855</v>
          </cell>
          <cell r="AB84">
            <v>22971973535.069855</v>
          </cell>
          <cell r="AC84">
            <v>20627548925.155685</v>
          </cell>
          <cell r="AD84"/>
          <cell r="AE84">
            <v>78</v>
          </cell>
          <cell r="AF84">
            <v>267.11214783437873</v>
          </cell>
          <cell r="AG84">
            <v>866.0189912504128</v>
          </cell>
          <cell r="AH84">
            <v>866.0189912504128</v>
          </cell>
          <cell r="AI84">
            <v>2.5000000000000001E-2</v>
          </cell>
          <cell r="AJ84">
            <v>2.5000000000000001E-2</v>
          </cell>
          <cell r="AK84">
            <v>0.12367729637146926</v>
          </cell>
          <cell r="AL84">
            <v>0.12367729637146926</v>
          </cell>
          <cell r="AM84">
            <v>6788.5499964596729</v>
          </cell>
          <cell r="AN84">
            <v>1.5142182593702571</v>
          </cell>
          <cell r="AO84">
            <v>15483509466.774168</v>
          </cell>
          <cell r="AP84">
            <v>109954326.18322854</v>
          </cell>
          <cell r="AQ84">
            <v>30333570.872374535</v>
          </cell>
          <cell r="AR84">
            <v>30333570.872374535</v>
          </cell>
          <cell r="AS84">
            <v>28653791444.374676</v>
          </cell>
          <cell r="AT84">
            <v>28653791444.374676</v>
          </cell>
          <cell r="AU84">
            <v>26137518596.597824</v>
          </cell>
          <cell r="AV84">
            <v>26137518596.597824</v>
          </cell>
          <cell r="AW84">
            <v>7739340.0539486613</v>
          </cell>
          <cell r="AX84">
            <v>20896712805.272896</v>
          </cell>
          <cell r="AY84">
            <v>78</v>
          </cell>
          <cell r="AZ84">
            <v>1.0210135564111524</v>
          </cell>
          <cell r="BA84">
            <v>1.0303692617128677</v>
          </cell>
          <cell r="BD84">
            <v>78</v>
          </cell>
          <cell r="BE84">
            <v>201.24891924046514</v>
          </cell>
          <cell r="BF84">
            <v>10976.88257223559</v>
          </cell>
          <cell r="BG84">
            <v>10976.88257223559</v>
          </cell>
          <cell r="BH84">
            <v>2.5000000000000001E-2</v>
          </cell>
          <cell r="BI84">
            <v>2.5000000000000001E-2</v>
          </cell>
          <cell r="BJ84">
            <v>1.2415225107143415</v>
          </cell>
          <cell r="BK84">
            <v>3903027423.5406528</v>
          </cell>
          <cell r="BL84"/>
          <cell r="BM84">
            <v>78</v>
          </cell>
          <cell r="BN84">
            <v>201.24891924046514</v>
          </cell>
          <cell r="BO84">
            <v>617.72893036605899</v>
          </cell>
          <cell r="BP84">
            <v>617.72893036605899</v>
          </cell>
          <cell r="BQ84">
            <v>2.5000000000000001E-2</v>
          </cell>
          <cell r="BR84">
            <v>2.5000000000000001E-2</v>
          </cell>
          <cell r="BS84">
            <v>5786.5301791381835</v>
          </cell>
          <cell r="BT84">
            <v>0.7202855725427566</v>
          </cell>
          <cell r="BU84">
            <v>1950626085.3010473</v>
          </cell>
          <cell r="BX84">
            <v>78</v>
          </cell>
          <cell r="BY84">
            <v>5098497684.6008081</v>
          </cell>
          <cell r="BZ84">
            <v>7425807921.5773735</v>
          </cell>
          <cell r="CA84">
            <v>7425807921.5773735</v>
          </cell>
          <cell r="CB84">
            <v>29877819.78233508</v>
          </cell>
          <cell r="CC84">
            <v>29877819.78233508</v>
          </cell>
          <cell r="CD84">
            <v>4084074757.8256168</v>
          </cell>
          <cell r="CF84">
            <v>0.21160909564829361</v>
          </cell>
          <cell r="CG84">
            <v>0.30820225798846368</v>
          </cell>
          <cell r="CH84">
            <v>0.30820225798846368</v>
          </cell>
          <cell r="CI84">
            <v>1.2400551721693375E-3</v>
          </cell>
          <cell r="CJ84">
            <v>1.2400551721693375E-3</v>
          </cell>
          <cell r="CK84">
            <v>0.16950627803044066</v>
          </cell>
          <cell r="CM84"/>
        </row>
        <row r="85">
          <cell r="T85">
            <v>1.516926154702454</v>
          </cell>
          <cell r="U85">
            <v>16353700802.819445</v>
          </cell>
          <cell r="V85">
            <v>104170033.32660586</v>
          </cell>
          <cell r="W85">
            <v>1672533.3264586306</v>
          </cell>
          <cell r="X85">
            <v>1672533.3264586306</v>
          </cell>
          <cell r="Y85">
            <v>27578476807.902374</v>
          </cell>
          <cell r="Z85">
            <v>27578476807.902374</v>
          </cell>
          <cell r="AA85">
            <v>25104148257.02932</v>
          </cell>
          <cell r="AB85">
            <v>25104148257.02932</v>
          </cell>
          <cell r="AC85">
            <v>22462271032.692822</v>
          </cell>
          <cell r="AD85"/>
          <cell r="AE85">
            <v>79</v>
          </cell>
          <cell r="AF85">
            <v>271.3634413408609</v>
          </cell>
          <cell r="AG85">
            <v>878.47779186459911</v>
          </cell>
          <cell r="AH85">
            <v>878.47779186459911</v>
          </cell>
          <cell r="AI85">
            <v>2.5000000000000001E-2</v>
          </cell>
          <cell r="AJ85">
            <v>2.5000000000000001E-2</v>
          </cell>
          <cell r="AK85">
            <v>0.12602660081027575</v>
          </cell>
          <cell r="AL85">
            <v>0.12602660081027575</v>
          </cell>
          <cell r="AM85">
            <v>6856.4683073228825</v>
          </cell>
          <cell r="AN85">
            <v>1.5726387103153896</v>
          </cell>
          <cell r="AO85">
            <v>17359870655.786892</v>
          </cell>
          <cell r="AP85">
            <v>120611119.25123574</v>
          </cell>
          <cell r="AQ85">
            <v>33323675.171038859</v>
          </cell>
          <cell r="AR85">
            <v>33323675.171038859</v>
          </cell>
          <cell r="AS85">
            <v>31931169155.110531</v>
          </cell>
          <cell r="AT85">
            <v>31931169155.110531</v>
          </cell>
          <cell r="AU85">
            <v>29066319002.088013</v>
          </cell>
          <cell r="AV85">
            <v>29066319002.088013</v>
          </cell>
          <cell r="AW85">
            <v>8539121.678664187</v>
          </cell>
          <cell r="AX85">
            <v>22758040966.800625</v>
          </cell>
          <cell r="AY85">
            <v>79</v>
          </cell>
          <cell r="AZ85">
            <v>1.0160469683463556</v>
          </cell>
          <cell r="BA85">
            <v>1.0615255143223594</v>
          </cell>
          <cell r="BD85">
            <v>79</v>
          </cell>
          <cell r="BE85">
            <v>201.94212666925705</v>
          </cell>
          <cell r="BF85">
            <v>11033.90018205283</v>
          </cell>
          <cell r="BG85">
            <v>11033.90018205283</v>
          </cell>
          <cell r="BH85">
            <v>2.5000000000000001E-2</v>
          </cell>
          <cell r="BI85">
            <v>2.5000000000000001E-2</v>
          </cell>
          <cell r="BJ85">
            <v>1.2463574448224355</v>
          </cell>
          <cell r="BK85">
            <v>3976927313.0157065</v>
          </cell>
          <cell r="BL85"/>
          <cell r="BM85">
            <v>79</v>
          </cell>
          <cell r="BN85">
            <v>201.94212666925705</v>
          </cell>
          <cell r="BO85">
            <v>620.30189546371355</v>
          </cell>
          <cell r="BP85">
            <v>620.30189546371355</v>
          </cell>
          <cell r="BQ85">
            <v>2.5000000000000001E-2</v>
          </cell>
          <cell r="BR85">
            <v>2.5000000000000001E-2</v>
          </cell>
          <cell r="BS85">
            <v>5798.483780196043</v>
          </cell>
          <cell r="BT85">
            <v>0.72993271962959905</v>
          </cell>
          <cell r="BU85">
            <v>2007004135.2725282</v>
          </cell>
          <cell r="BX85">
            <v>79</v>
          </cell>
          <cell r="BY85">
            <v>5541355070.8522387</v>
          </cell>
          <cell r="BZ85">
            <v>8169942669.0147362</v>
          </cell>
          <cell r="CA85">
            <v>8169942669.0147362</v>
          </cell>
          <cell r="CB85">
            <v>29877819.78233508</v>
          </cell>
          <cell r="CC85">
            <v>29877819.78233508</v>
          </cell>
          <cell r="CD85">
            <v>4401880340.4329748</v>
          </cell>
          <cell r="CF85">
            <v>0.21035497373367784</v>
          </cell>
          <cell r="CG85">
            <v>0.3101385949054401</v>
          </cell>
          <cell r="CH85">
            <v>0.3101385949054401</v>
          </cell>
          <cell r="CI85">
            <v>1.1341897270925206E-3</v>
          </cell>
          <cell r="CJ85">
            <v>1.1341897270925206E-3</v>
          </cell>
          <cell r="CK85">
            <v>0.16709945700125706</v>
          </cell>
          <cell r="CM85"/>
        </row>
        <row r="86">
          <cell r="T86">
            <v>1.5310745719370602</v>
          </cell>
          <cell r="U86">
            <v>17766167042.60844</v>
          </cell>
          <cell r="V86">
            <v>112150921.01775829</v>
          </cell>
          <cell r="W86">
            <v>1781883.8486856599</v>
          </cell>
          <cell r="X86">
            <v>1781883.8486856599</v>
          </cell>
          <cell r="Y86">
            <v>30155012612.441849</v>
          </cell>
          <cell r="Z86">
            <v>30155012612.441849</v>
          </cell>
          <cell r="AA86">
            <v>27392367901.483978</v>
          </cell>
          <cell r="AB86">
            <v>27392367901.483978</v>
          </cell>
          <cell r="AC86">
            <v>24423530045.658012</v>
          </cell>
          <cell r="AD86"/>
          <cell r="AE86">
            <v>80</v>
          </cell>
          <cell r="AF86">
            <v>275.60083900567065</v>
          </cell>
          <cell r="AG86">
            <v>891.19487646271932</v>
          </cell>
          <cell r="AH86">
            <v>891.19487646271932</v>
          </cell>
          <cell r="AI86">
            <v>2.5000000000000001E-2</v>
          </cell>
          <cell r="AJ86">
            <v>2.5000000000000001E-2</v>
          </cell>
          <cell r="AK86">
            <v>0.12837590524908224</v>
          </cell>
          <cell r="AL86">
            <v>0.12837590524908224</v>
          </cell>
          <cell r="AM86">
            <v>6922.6465623783333</v>
          </cell>
          <cell r="AN86">
            <v>1.6322409249012353</v>
          </cell>
          <cell r="AO86">
            <v>19444949701.368073</v>
          </cell>
          <cell r="AP86">
            <v>132198883.94155641</v>
          </cell>
          <cell r="AQ86">
            <v>36566267.880553439</v>
          </cell>
          <cell r="AR86">
            <v>36566267.880553439</v>
          </cell>
          <cell r="AS86">
            <v>35545486175.518272</v>
          </cell>
          <cell r="AT86">
            <v>35545486175.518272</v>
          </cell>
          <cell r="AU86">
            <v>32288994439.192326</v>
          </cell>
          <cell r="AV86">
            <v>32288994439.192326</v>
          </cell>
          <cell r="AW86">
            <v>9414801.201497931</v>
          </cell>
          <cell r="AX86">
            <v>24760401130.633781</v>
          </cell>
          <cell r="AY86">
            <v>80</v>
          </cell>
          <cell r="AZ86">
            <v>1.0119794427249764</v>
          </cell>
          <cell r="BA86">
            <v>1.0944932384533717</v>
          </cell>
          <cell r="BD86">
            <v>80</v>
          </cell>
          <cell r="BE86">
            <v>202.63533409804893</v>
          </cell>
          <cell r="BF86">
            <v>11090.91779187007</v>
          </cell>
          <cell r="BG86">
            <v>11090.91779187007</v>
          </cell>
          <cell r="BH86">
            <v>2.5000000000000001E-2</v>
          </cell>
          <cell r="BI86">
            <v>2.5000000000000001E-2</v>
          </cell>
          <cell r="BJ86">
            <v>1.2511923789305297</v>
          </cell>
          <cell r="BK86">
            <v>4050827202.4907608</v>
          </cell>
          <cell r="BL86"/>
          <cell r="BM86">
            <v>80</v>
          </cell>
          <cell r="BN86">
            <v>202.63533409804893</v>
          </cell>
          <cell r="BO86">
            <v>622.87486056136822</v>
          </cell>
          <cell r="BP86">
            <v>622.87486056136822</v>
          </cell>
          <cell r="BQ86">
            <v>2.5000000000000001E-2</v>
          </cell>
          <cell r="BR86">
            <v>2.5000000000000001E-2</v>
          </cell>
          <cell r="BS86">
            <v>5810.4373812539015</v>
          </cell>
          <cell r="BT86">
            <v>0.73957986671644149</v>
          </cell>
          <cell r="BU86">
            <v>2063382185.244009</v>
          </cell>
          <cell r="BX86">
            <v>80</v>
          </cell>
          <cell r="BY86">
            <v>6016583121.6791506</v>
          </cell>
          <cell r="BZ86">
            <v>8962729076.7522545</v>
          </cell>
          <cell r="CA86">
            <v>8962729076.7522545</v>
          </cell>
          <cell r="CB86">
            <v>29877819.78233508</v>
          </cell>
          <cell r="CC86">
            <v>29877819.78233508</v>
          </cell>
          <cell r="CD86">
            <v>4747434633.8608866</v>
          </cell>
          <cell r="CF86">
            <v>0.20927805014566422</v>
          </cell>
          <cell r="CG86">
            <v>0.31175543115293602</v>
          </cell>
          <cell r="CH86">
            <v>0.31175543115293602</v>
          </cell>
          <cell r="CI86">
            <v>1.0392562921835893E-3</v>
          </cell>
          <cell r="CJ86">
            <v>1.0392562921835893E-3</v>
          </cell>
          <cell r="CK86">
            <v>0.16513257496409678</v>
          </cell>
          <cell r="CM86"/>
        </row>
        <row r="87">
          <cell r="T87">
            <v>1.5600304873218593</v>
          </cell>
          <cell r="U87">
            <v>19255486285.944012</v>
          </cell>
          <cell r="V87">
            <v>120846119.37214692</v>
          </cell>
          <cell r="W87">
            <v>1906757.0241499497</v>
          </cell>
          <cell r="X87">
            <v>1906757.0241499497</v>
          </cell>
          <cell r="Y87">
            <v>32925929944.573658</v>
          </cell>
          <cell r="Z87">
            <v>32925929944.573658</v>
          </cell>
          <cell r="AA87">
            <v>29847285533.240799</v>
          </cell>
          <cell r="AB87">
            <v>29847285533.240799</v>
          </cell>
          <cell r="AC87">
            <v>26366153341.005035</v>
          </cell>
          <cell r="AD87"/>
          <cell r="AE87">
            <v>81</v>
          </cell>
          <cell r="AF87">
            <v>279.27316465378044</v>
          </cell>
          <cell r="AG87">
            <v>904.18238603221982</v>
          </cell>
          <cell r="AH87">
            <v>904.18238603221982</v>
          </cell>
          <cell r="AI87">
            <v>2.5000000000000001E-2</v>
          </cell>
          <cell r="AJ87">
            <v>2.5000000000000001E-2</v>
          </cell>
          <cell r="AK87">
            <v>0.1307252096878887</v>
          </cell>
          <cell r="AL87">
            <v>0.1307252096878887</v>
          </cell>
          <cell r="AM87">
            <v>6990.1533759886324</v>
          </cell>
          <cell r="AN87">
            <v>1.6981152233457077</v>
          </cell>
          <cell r="AO87">
            <v>21818634258.753517</v>
          </cell>
          <cell r="AP87">
            <v>145371300.21457264</v>
          </cell>
          <cell r="AQ87">
            <v>40160289.259056136</v>
          </cell>
          <cell r="AR87">
            <v>40160289.259056136</v>
          </cell>
          <cell r="AS87">
            <v>39608100547.081459</v>
          </cell>
          <cell r="AT87">
            <v>39608100547.081459</v>
          </cell>
          <cell r="AU87">
            <v>35904658986.036697</v>
          </cell>
          <cell r="AV87">
            <v>35904658986.036697</v>
          </cell>
          <cell r="AW87">
            <v>10389536.31281711</v>
          </cell>
          <cell r="AX87">
            <v>26916734950.23666</v>
          </cell>
          <cell r="AY87">
            <v>81</v>
          </cell>
          <cell r="AZ87">
            <v>1.0200990930337137</v>
          </cell>
          <cell r="BA87">
            <v>1.1331126067005919</v>
          </cell>
          <cell r="BD87">
            <v>81</v>
          </cell>
          <cell r="BE87">
            <v>203.32854152684081</v>
          </cell>
          <cell r="BF87">
            <v>11147.935401687309</v>
          </cell>
          <cell r="BG87">
            <v>11147.935401687309</v>
          </cell>
          <cell r="BH87">
            <v>2.5000000000000001E-2</v>
          </cell>
          <cell r="BI87">
            <v>2.5000000000000001E-2</v>
          </cell>
          <cell r="BJ87">
            <v>1.2560273130386237</v>
          </cell>
          <cell r="BK87">
            <v>4124727091.9658146</v>
          </cell>
          <cell r="BL87"/>
          <cell r="BM87">
            <v>81</v>
          </cell>
          <cell r="BN87">
            <v>203.32854152684081</v>
          </cell>
          <cell r="BO87">
            <v>625.44782565902278</v>
          </cell>
          <cell r="BP87">
            <v>625.44782565902278</v>
          </cell>
          <cell r="BQ87">
            <v>2.5000000000000001E-2</v>
          </cell>
          <cell r="BR87">
            <v>2.5000000000000001E-2</v>
          </cell>
          <cell r="BS87">
            <v>5822.390982311761</v>
          </cell>
          <cell r="BT87">
            <v>0.74922701380328394</v>
          </cell>
          <cell r="BU87">
            <v>2119760235.2154901</v>
          </cell>
          <cell r="BX87">
            <v>81</v>
          </cell>
          <cell r="BY87">
            <v>6460369425.3240232</v>
          </cell>
          <cell r="BZ87">
            <v>9636846066.1681042</v>
          </cell>
          <cell r="CA87">
            <v>9636846066.1681042</v>
          </cell>
          <cell r="CB87">
            <v>29877819.78233508</v>
          </cell>
          <cell r="CC87">
            <v>29877819.78233508</v>
          </cell>
          <cell r="CD87">
            <v>5510890739.0256672</v>
          </cell>
          <cell r="CF87">
            <v>0.20637053821041962</v>
          </cell>
          <cell r="CG87">
            <v>0.30784015253529085</v>
          </cell>
          <cell r="CH87">
            <v>0.30784015253529085</v>
          </cell>
          <cell r="CI87">
            <v>9.5441937497640211E-4</v>
          </cell>
          <cell r="CJ87">
            <v>9.5441937497640211E-4</v>
          </cell>
          <cell r="CK87">
            <v>0.17604031796904601</v>
          </cell>
          <cell r="CM87"/>
        </row>
        <row r="88">
          <cell r="T88">
            <v>1.5945223272819244</v>
          </cell>
          <cell r="U88">
            <v>20943891340.973434</v>
          </cell>
          <cell r="V88">
            <v>131039808.21929607</v>
          </cell>
          <cell r="W88">
            <v>2053702.907990518</v>
          </cell>
          <cell r="X88">
            <v>2053702.907990518</v>
          </cell>
          <cell r="Y88">
            <v>36178292647.085907</v>
          </cell>
          <cell r="Z88">
            <v>36178292647.085907</v>
          </cell>
          <cell r="AA88">
            <v>32727526542.67263</v>
          </cell>
          <cell r="AB88">
            <v>32727526542.67263</v>
          </cell>
          <cell r="AC88">
            <v>28585415953.704052</v>
          </cell>
          <cell r="AD88"/>
          <cell r="AE88">
            <v>82</v>
          </cell>
          <cell r="AF88">
            <v>282.98843280665369</v>
          </cell>
          <cell r="AG88">
            <v>917.45568702740911</v>
          </cell>
          <cell r="AH88">
            <v>917.45568702740911</v>
          </cell>
          <cell r="AI88">
            <v>2.5000000000000001E-2</v>
          </cell>
          <cell r="AJ88">
            <v>2.5000000000000001E-2</v>
          </cell>
          <cell r="AK88">
            <v>0.13307523912360877</v>
          </cell>
          <cell r="AL88">
            <v>0.13307523912360877</v>
          </cell>
          <cell r="AM88">
            <v>7056.8177050953855</v>
          </cell>
          <cell r="AN88">
            <v>1.7879384201909303</v>
          </cell>
          <cell r="AO88">
            <v>24872432098.680466</v>
          </cell>
          <cell r="AP88">
            <v>162027883.94490746</v>
          </cell>
          <cell r="AQ88">
            <v>44701113.41709397</v>
          </cell>
          <cell r="AR88">
            <v>44701113.41709397</v>
          </cell>
          <cell r="AS88">
            <v>44733675071.753891</v>
          </cell>
          <cell r="AT88">
            <v>44733675071.753891</v>
          </cell>
          <cell r="AU88">
            <v>40466877542.93576</v>
          </cell>
          <cell r="AV88">
            <v>40466877542.93576</v>
          </cell>
          <cell r="AW88">
            <v>11623168.525767023</v>
          </cell>
          <cell r="AX88">
            <v>29420514042.890114</v>
          </cell>
          <cell r="AY88">
            <v>82</v>
          </cell>
          <cell r="AZ88">
            <v>1.0285119663784843</v>
          </cell>
          <cell r="BA88">
            <v>1.1875745387401557</v>
          </cell>
          <cell r="BD88">
            <v>82</v>
          </cell>
          <cell r="BE88">
            <v>204.02174895563269</v>
          </cell>
          <cell r="BF88">
            <v>11204.953011504547</v>
          </cell>
          <cell r="BG88">
            <v>11204.953011504547</v>
          </cell>
          <cell r="BH88">
            <v>2.5000000000000001E-2</v>
          </cell>
          <cell r="BI88">
            <v>2.5000000000000001E-2</v>
          </cell>
          <cell r="BJ88">
            <v>1.2608622471467177</v>
          </cell>
          <cell r="BK88">
            <v>4198626981.4408689</v>
          </cell>
          <cell r="BL88"/>
          <cell r="BM88">
            <v>82</v>
          </cell>
          <cell r="BN88">
            <v>204.02174895563269</v>
          </cell>
          <cell r="BO88">
            <v>628.02079075667734</v>
          </cell>
          <cell r="BP88">
            <v>628.02079075667734</v>
          </cell>
          <cell r="BQ88">
            <v>2.5000000000000001E-2</v>
          </cell>
          <cell r="BR88">
            <v>2.5000000000000001E-2</v>
          </cell>
          <cell r="BS88">
            <v>5834.3445833696205</v>
          </cell>
          <cell r="BT88">
            <v>0.75887416089012627</v>
          </cell>
          <cell r="BU88">
            <v>2176138285.1869707</v>
          </cell>
          <cell r="BX88">
            <v>82</v>
          </cell>
          <cell r="BY88">
            <v>6947217451.5597925</v>
          </cell>
          <cell r="BZ88">
            <v>10369615853.929306</v>
          </cell>
          <cell r="CA88">
            <v>10369615853.929306</v>
          </cell>
          <cell r="CB88">
            <v>29877819.78233508</v>
          </cell>
          <cell r="CC88">
            <v>29877819.78233508</v>
          </cell>
          <cell r="CD88">
            <v>6496854331.2927189</v>
          </cell>
          <cell r="CF88">
            <v>0.20287957992098474</v>
          </cell>
          <cell r="CG88">
            <v>0.30282387489034457</v>
          </cell>
          <cell r="CH88">
            <v>0.30282387489034457</v>
          </cell>
          <cell r="CI88">
            <v>8.7252192243299871E-4</v>
          </cell>
          <cell r="CJ88">
            <v>8.7252192243299871E-4</v>
          </cell>
          <cell r="CK88">
            <v>0.18972762645346034</v>
          </cell>
          <cell r="CM88"/>
        </row>
        <row r="89">
          <cell r="T89">
            <v>1.6315712242589491</v>
          </cell>
          <cell r="U89">
            <v>22827208340.878201</v>
          </cell>
          <cell r="V89">
            <v>141866708.1545935</v>
          </cell>
          <cell r="W89">
            <v>2208283.6244738949</v>
          </cell>
          <cell r="X89">
            <v>2208283.6244738949</v>
          </cell>
          <cell r="Y89">
            <v>39692822321.142151</v>
          </cell>
          <cell r="Z89">
            <v>39692822321.142151</v>
          </cell>
          <cell r="AA89">
            <v>35832500307.537102</v>
          </cell>
          <cell r="AB89">
            <v>35832500307.537102</v>
          </cell>
          <cell r="AC89">
            <v>30920799333.962646</v>
          </cell>
          <cell r="AD89"/>
          <cell r="AE89">
            <v>83</v>
          </cell>
          <cell r="AF89">
            <v>286.78428793058134</v>
          </cell>
          <cell r="AG89">
            <v>932.78340141768695</v>
          </cell>
          <cell r="AH89">
            <v>932.78340141768695</v>
          </cell>
          <cell r="AI89">
            <v>2.5000000000000001E-2</v>
          </cell>
          <cell r="AJ89">
            <v>2.5000000000000001E-2</v>
          </cell>
          <cell r="AK89">
            <v>0.13542573166776398</v>
          </cell>
          <cell r="AL89">
            <v>0.13542573166776398</v>
          </cell>
          <cell r="AM89">
            <v>7123.9201449359607</v>
          </cell>
          <cell r="AN89">
            <v>1.8539390821541957</v>
          </cell>
          <cell r="AO89">
            <v>27940852092.969608</v>
          </cell>
          <cell r="AP89">
            <v>178547438.79709983</v>
          </cell>
          <cell r="AQ89">
            <v>49099058.325496584</v>
          </cell>
          <cell r="AR89">
            <v>49099058.325496584</v>
          </cell>
          <cell r="AS89">
            <v>49955707411.956429</v>
          </cell>
          <cell r="AT89">
            <v>49955707411.956429</v>
          </cell>
          <cell r="AU89">
            <v>45097269393.431595</v>
          </cell>
          <cell r="AV89">
            <v>45097269393.431595</v>
          </cell>
          <cell r="AW89">
            <v>12857748.458569732</v>
          </cell>
          <cell r="AX89">
            <v>32095139603.815575</v>
          </cell>
          <cell r="AY89">
            <v>83</v>
          </cell>
          <cell r="AZ89">
            <v>1.0407051503569684</v>
          </cell>
          <cell r="BA89">
            <v>1.22401529244091</v>
          </cell>
          <cell r="BD89">
            <v>83</v>
          </cell>
          <cell r="BE89">
            <v>204.71495638442457</v>
          </cell>
          <cell r="BF89">
            <v>11261.970621321787</v>
          </cell>
          <cell r="BG89">
            <v>11261.970621321787</v>
          </cell>
          <cell r="BH89">
            <v>2.5000000000000001E-2</v>
          </cell>
          <cell r="BI89">
            <v>2.5000000000000001E-2</v>
          </cell>
          <cell r="BJ89">
            <v>1.2656971812548119</v>
          </cell>
          <cell r="BK89">
            <v>4272526870.9159226</v>
          </cell>
          <cell r="BL89"/>
          <cell r="BM89">
            <v>83</v>
          </cell>
          <cell r="BN89">
            <v>204.71495638442457</v>
          </cell>
          <cell r="BO89">
            <v>630.59375585433202</v>
          </cell>
          <cell r="BP89">
            <v>630.59375585433202</v>
          </cell>
          <cell r="BQ89">
            <v>2.5000000000000001E-2</v>
          </cell>
          <cell r="BR89">
            <v>2.5000000000000001E-2</v>
          </cell>
          <cell r="BS89">
            <v>5846.29818442748</v>
          </cell>
          <cell r="BT89">
            <v>0.76852130797696872</v>
          </cell>
          <cell r="BU89">
            <v>2232516335.158452</v>
          </cell>
          <cell r="BX89">
            <v>83</v>
          </cell>
          <cell r="BY89">
            <v>7485722922.6231546</v>
          </cell>
          <cell r="BZ89">
            <v>11180817290.196905</v>
          </cell>
          <cell r="CA89">
            <v>11180817290.196905</v>
          </cell>
          <cell r="CB89">
            <v>29877819.78233508</v>
          </cell>
          <cell r="CC89">
            <v>29877819.78233508</v>
          </cell>
          <cell r="CD89">
            <v>7642435840.2639523</v>
          </cell>
          <cell r="CF89">
            <v>0.19935586779066208</v>
          </cell>
          <cell r="CG89">
            <v>0.29776169336427533</v>
          </cell>
          <cell r="CH89">
            <v>0.29776169336427533</v>
          </cell>
          <cell r="CI89">
            <v>7.9569051005072479E-4</v>
          </cell>
          <cell r="CJ89">
            <v>7.9569051005072479E-4</v>
          </cell>
          <cell r="CK89">
            <v>0.20352936446068576</v>
          </cell>
          <cell r="CM89"/>
        </row>
        <row r="90">
          <cell r="T90">
            <v>1.6698709982184807</v>
          </cell>
          <cell r="U90">
            <v>24886002086.145775</v>
          </cell>
          <cell r="V90">
            <v>153364772.42597008</v>
          </cell>
          <cell r="W90">
            <v>2371244.4227274922</v>
          </cell>
          <cell r="X90">
            <v>2371244.4227274922</v>
          </cell>
          <cell r="Y90">
            <v>43483710694.87294</v>
          </cell>
          <cell r="Z90">
            <v>43483710694.87294</v>
          </cell>
          <cell r="AA90">
            <v>39173611219.655014</v>
          </cell>
          <cell r="AB90">
            <v>39173611219.655014</v>
          </cell>
          <cell r="AC90">
            <v>33387982784.176041</v>
          </cell>
          <cell r="AD90"/>
          <cell r="AE90">
            <v>84</v>
          </cell>
          <cell r="AF90">
            <v>290.61956508792991</v>
          </cell>
          <cell r="AG90">
            <v>949.53139442740417</v>
          </cell>
          <cell r="AH90">
            <v>949.53139442740417</v>
          </cell>
          <cell r="AI90">
            <v>2.5000000000000001E-2</v>
          </cell>
          <cell r="AJ90">
            <v>2.5000000000000001E-2</v>
          </cell>
          <cell r="AK90">
            <v>0.13777622421191918</v>
          </cell>
          <cell r="AL90">
            <v>0.13777622421191918</v>
          </cell>
          <cell r="AM90">
            <v>7191.0650393413598</v>
          </cell>
          <cell r="AN90">
            <v>1.906750671226376</v>
          </cell>
          <cell r="AO90">
            <v>31141314211.509121</v>
          </cell>
          <cell r="AP90">
            <v>195531655.70901468</v>
          </cell>
          <cell r="AQ90">
            <v>53527577.798791766</v>
          </cell>
          <cell r="AR90">
            <v>53527577.798791766</v>
          </cell>
          <cell r="AS90">
            <v>55439341212.757759</v>
          </cell>
          <cell r="AT90">
            <v>55439341212.757759</v>
          </cell>
          <cell r="AU90">
            <v>49944201270.717155</v>
          </cell>
          <cell r="AV90">
            <v>49944201270.717155</v>
          </cell>
          <cell r="AW90">
            <v>14135907.632470349</v>
          </cell>
          <cell r="AX90">
            <v>34971087194.185982</v>
          </cell>
          <cell r="AY90">
            <v>84</v>
          </cell>
          <cell r="AZ90">
            <v>1.0557152524555595</v>
          </cell>
          <cell r="BA90">
            <v>1.2513586595271453</v>
          </cell>
          <cell r="BD90">
            <v>84</v>
          </cell>
          <cell r="BE90">
            <v>205.38256235688169</v>
          </cell>
          <cell r="BF90">
            <v>11316.882463388394</v>
          </cell>
          <cell r="BG90">
            <v>11316.882463388394</v>
          </cell>
          <cell r="BH90">
            <v>2.5000000000000001E-2</v>
          </cell>
          <cell r="BI90">
            <v>2.5000000000000001E-2</v>
          </cell>
          <cell r="BJ90">
            <v>1.270353552137371</v>
          </cell>
          <cell r="BK90">
            <v>4346810778.5295687</v>
          </cell>
          <cell r="BL90"/>
          <cell r="BM90">
            <v>84</v>
          </cell>
          <cell r="BN90">
            <v>205.38256235688169</v>
          </cell>
          <cell r="BO90">
            <v>633.11819767465181</v>
          </cell>
          <cell r="BP90">
            <v>633.11819767465181</v>
          </cell>
          <cell r="BQ90">
            <v>2.5000000000000001E-2</v>
          </cell>
          <cell r="BR90">
            <v>2.5000000000000001E-2</v>
          </cell>
          <cell r="BS90">
            <v>5857.712559632605</v>
          </cell>
          <cell r="BT90">
            <v>0.77788603151481595</v>
          </cell>
          <cell r="BU90">
            <v>2291237802.9546123</v>
          </cell>
          <cell r="BX90">
            <v>84</v>
          </cell>
          <cell r="BY90">
            <v>8073919331.0504398</v>
          </cell>
          <cell r="BZ90">
            <v>12064108391.755268</v>
          </cell>
          <cell r="CA90">
            <v>12064108391.755268</v>
          </cell>
          <cell r="CB90">
            <v>29877819.78233508</v>
          </cell>
          <cell r="CC90">
            <v>29877819.78233508</v>
          </cell>
          <cell r="CD90">
            <v>8921188033.8626289</v>
          </cell>
          <cell r="CF90">
            <v>0.19604943031495503</v>
          </cell>
          <cell r="CG90">
            <v>0.29293847021305008</v>
          </cell>
          <cell r="CH90">
            <v>0.29293847021305008</v>
          </cell>
          <cell r="CI90">
            <v>7.2548774730173148E-4</v>
          </cell>
          <cell r="CJ90">
            <v>7.2548774730173148E-4</v>
          </cell>
          <cell r="CK90">
            <v>0.21662265376434137</v>
          </cell>
          <cell r="CM90"/>
        </row>
        <row r="91">
          <cell r="T91">
            <v>1.7040210318587348</v>
          </cell>
          <cell r="U91">
            <v>26936294443.169868</v>
          </cell>
          <cell r="V91">
            <v>164479364.25804949</v>
          </cell>
          <cell r="W91">
            <v>2525238.444721288</v>
          </cell>
          <cell r="X91">
            <v>2525238.444721288</v>
          </cell>
          <cell r="Y91">
            <v>47190666842.415512</v>
          </cell>
          <cell r="Z91">
            <v>47190666842.415512</v>
          </cell>
          <cell r="AA91">
            <v>42425489029.062515</v>
          </cell>
          <cell r="AB91">
            <v>42425489029.062515</v>
          </cell>
          <cell r="AC91">
            <v>35776669592.119438</v>
          </cell>
          <cell r="AD91"/>
          <cell r="AE91">
            <v>85</v>
          </cell>
          <cell r="AF91">
            <v>294.08207972878699</v>
          </cell>
          <cell r="AG91">
            <v>966.60518423712551</v>
          </cell>
          <cell r="AH91">
            <v>966.60518423712551</v>
          </cell>
          <cell r="AI91">
            <v>2.5000000000000001E-2</v>
          </cell>
          <cell r="AJ91">
            <v>2.5000000000000001E-2</v>
          </cell>
          <cell r="AK91">
            <v>0.14012671675607441</v>
          </cell>
          <cell r="AL91">
            <v>0.14012671675607441</v>
          </cell>
          <cell r="AM91">
            <v>7257.7700307679652</v>
          </cell>
          <cell r="AN91">
            <v>1.9374705899206548</v>
          </cell>
          <cell r="AO91">
            <v>34111768317.24258</v>
          </cell>
          <cell r="AP91">
            <v>211173059.07420853</v>
          </cell>
          <cell r="AQ91">
            <v>57464938.41887176</v>
          </cell>
          <cell r="AR91">
            <v>57464938.41887176</v>
          </cell>
          <cell r="AS91">
            <v>60587524288.032417</v>
          </cell>
          <cell r="AT91">
            <v>60587524288.032417</v>
          </cell>
          <cell r="AU91">
            <v>54469570340.328896</v>
          </cell>
          <cell r="AV91">
            <v>54469570340.328896</v>
          </cell>
          <cell r="AW91">
            <v>15306604.412118895</v>
          </cell>
          <cell r="AX91">
            <v>37818868776.520409</v>
          </cell>
          <cell r="AY91">
            <v>85</v>
          </cell>
          <cell r="AZ91">
            <v>1.0730981812945111</v>
          </cell>
          <cell r="BA91">
            <v>1.2663868220334282</v>
          </cell>
          <cell r="BD91">
            <v>85</v>
          </cell>
          <cell r="BE91">
            <v>206.02934775792292</v>
          </cell>
          <cell r="BF91">
            <v>11370.081774446451</v>
          </cell>
          <cell r="BG91">
            <v>11370.081774446451</v>
          </cell>
          <cell r="BH91">
            <v>2.5000000000000001E-2</v>
          </cell>
          <cell r="BI91">
            <v>2.5000000000000001E-2</v>
          </cell>
          <cell r="BJ91">
            <v>1.2748647051721291</v>
          </cell>
          <cell r="BK91">
            <v>4421406991.7001734</v>
          </cell>
          <cell r="BL91"/>
          <cell r="BM91">
            <v>85</v>
          </cell>
          <cell r="BN91">
            <v>206.02934775792292</v>
          </cell>
          <cell r="BO91">
            <v>635.60317758515396</v>
          </cell>
          <cell r="BP91">
            <v>635.60317758515396</v>
          </cell>
          <cell r="BQ91">
            <v>2.5000000000000001E-2</v>
          </cell>
          <cell r="BR91">
            <v>2.5000000000000001E-2</v>
          </cell>
          <cell r="BS91">
            <v>5868.6884054732545</v>
          </cell>
          <cell r="BT91">
            <v>0.78702107203797445</v>
          </cell>
          <cell r="BU91">
            <v>2351865072.4183831</v>
          </cell>
          <cell r="BX91">
            <v>85</v>
          </cell>
          <cell r="BY91">
            <v>8643431537.9128017</v>
          </cell>
          <cell r="BZ91">
            <v>12969208793.12801</v>
          </cell>
          <cell r="CA91">
            <v>12969208793.12801</v>
          </cell>
          <cell r="CB91">
            <v>29877819.78233508</v>
          </cell>
          <cell r="CC91">
            <v>29877819.78233508</v>
          </cell>
          <cell r="CD91">
            <v>10142962503.969761</v>
          </cell>
          <cell r="CF91">
            <v>0.19300022452480148</v>
          </cell>
          <cell r="CG91">
            <v>0.28959102620336941</v>
          </cell>
          <cell r="CH91">
            <v>0.28959102620336941</v>
          </cell>
          <cell r="CI91">
            <v>6.6714543882355904E-4</v>
          </cell>
          <cell r="CJ91">
            <v>6.6714543882355904E-4</v>
          </cell>
          <cell r="CK91">
            <v>0.22648343219081277</v>
          </cell>
          <cell r="CM91"/>
        </row>
        <row r="92">
          <cell r="T92">
            <v>1.7375387079487807</v>
          </cell>
          <cell r="U92">
            <v>29385343160.265362</v>
          </cell>
          <cell r="V92">
            <v>176134446.17109931</v>
          </cell>
          <cell r="W92">
            <v>2712240.0119744921</v>
          </cell>
          <cell r="X92">
            <v>2712240.0119744921</v>
          </cell>
          <cell r="Y92">
            <v>51628017207.431732</v>
          </cell>
          <cell r="Z92">
            <v>51628017207.431732</v>
          </cell>
          <cell r="AA92">
            <v>46319276399.421906</v>
          </cell>
          <cell r="AB92">
            <v>46319276399.421906</v>
          </cell>
          <cell r="AC92">
            <v>38661530143.089134</v>
          </cell>
          <cell r="AD92"/>
          <cell r="AE92">
            <v>86</v>
          </cell>
          <cell r="AF92">
            <v>300.44502247000332</v>
          </cell>
          <cell r="AG92">
            <v>983.86767349719514</v>
          </cell>
          <cell r="AH92">
            <v>983.86767349719514</v>
          </cell>
          <cell r="AI92">
            <v>2.5000000000000001E-2</v>
          </cell>
          <cell r="AJ92">
            <v>2.5000000000000001E-2</v>
          </cell>
          <cell r="AK92">
            <v>0.14247720930022961</v>
          </cell>
          <cell r="AL92">
            <v>0.14247720930022961</v>
          </cell>
          <cell r="AM92">
            <v>7325.3896513009249</v>
          </cell>
          <cell r="AN92">
            <v>1.9675461585909044</v>
          </cell>
          <cell r="AO92">
            <v>37693601961.413277</v>
          </cell>
          <cell r="AP92">
            <v>227841487.01868826</v>
          </cell>
          <cell r="AQ92">
            <v>62230905.72854358</v>
          </cell>
          <cell r="AR92">
            <v>62230905.72854358</v>
          </cell>
          <cell r="AS92">
            <v>66784234816.515877</v>
          </cell>
          <cell r="AT92">
            <v>66784234816.515877</v>
          </cell>
          <cell r="AU92">
            <v>59917029529.943031</v>
          </cell>
          <cell r="AV92">
            <v>59917029529.943031</v>
          </cell>
          <cell r="AW92">
            <v>16716373.968691774</v>
          </cell>
          <cell r="AX92">
            <v>41264380175.867706</v>
          </cell>
          <cell r="AY92">
            <v>86</v>
          </cell>
          <cell r="AZ92">
            <v>1.0915972803606731</v>
          </cell>
          <cell r="BA92">
            <v>1.2827347891033745</v>
          </cell>
          <cell r="BD92">
            <v>86</v>
          </cell>
          <cell r="BE92">
            <v>206.67613315896415</v>
          </cell>
          <cell r="BF92">
            <v>11423.281085504508</v>
          </cell>
          <cell r="BG92">
            <v>11423.281085504508</v>
          </cell>
          <cell r="BH92">
            <v>2.5000000000000001E-2</v>
          </cell>
          <cell r="BI92">
            <v>2.5000000000000001E-2</v>
          </cell>
          <cell r="BJ92">
            <v>1.2793758582068875</v>
          </cell>
          <cell r="BK92">
            <v>4496003204.8707771</v>
          </cell>
          <cell r="BL92"/>
          <cell r="BM92">
            <v>86</v>
          </cell>
          <cell r="BN92">
            <v>206.67613315896415</v>
          </cell>
          <cell r="BO92">
            <v>638.08815749565611</v>
          </cell>
          <cell r="BP92">
            <v>638.08815749565611</v>
          </cell>
          <cell r="BQ92">
            <v>2.5000000000000001E-2</v>
          </cell>
          <cell r="BR92">
            <v>2.5000000000000001E-2</v>
          </cell>
          <cell r="BS92">
            <v>5879.6642513139041</v>
          </cell>
          <cell r="BT92">
            <v>0.79615611256113294</v>
          </cell>
          <cell r="BU92">
            <v>2412492341.8821535</v>
          </cell>
          <cell r="BX92">
            <v>86</v>
          </cell>
          <cell r="BY92">
            <v>9764164933.6553574</v>
          </cell>
          <cell r="BZ92">
            <v>13935515581.764894</v>
          </cell>
          <cell r="CA92">
            <v>13935515581.764894</v>
          </cell>
          <cell r="CB92">
            <v>29877819.78233508</v>
          </cell>
          <cell r="CC92">
            <v>29877819.78233508</v>
          </cell>
          <cell r="CD92">
            <v>11438807148.45137</v>
          </cell>
          <cell r="CF92">
            <v>0.19872619468152009</v>
          </cell>
          <cell r="CG92">
            <v>0.28362404786339673</v>
          </cell>
          <cell r="CH92">
            <v>0.28362404786339673</v>
          </cell>
          <cell r="CI92">
            <v>6.0809147234477349E-4</v>
          </cell>
          <cell r="CJ92">
            <v>6.0809147234477349E-4</v>
          </cell>
          <cell r="CK92">
            <v>0.232809526646997</v>
          </cell>
          <cell r="CM92"/>
        </row>
        <row r="93">
          <cell r="T93">
            <v>1.7653152221146273</v>
          </cell>
          <cell r="U93">
            <v>31695846774.182529</v>
          </cell>
          <cell r="V93">
            <v>187669524.02830935</v>
          </cell>
          <cell r="W93">
            <v>2905373.4805704532</v>
          </cell>
          <cell r="X93">
            <v>2905373.4805704532</v>
          </cell>
          <cell r="Y93">
            <v>56159563203.480423</v>
          </cell>
          <cell r="Z93">
            <v>56159563203.480423</v>
          </cell>
          <cell r="AA93">
            <v>50281411072.451477</v>
          </cell>
          <cell r="AB93">
            <v>50281411072.451477</v>
          </cell>
          <cell r="AC93">
            <v>41632542882.072433</v>
          </cell>
          <cell r="AD93"/>
          <cell r="AE93">
            <v>87</v>
          </cell>
          <cell r="AF93">
            <v>306.72829049688505</v>
          </cell>
          <cell r="AG93">
            <v>1000.7477813182971</v>
          </cell>
          <cell r="AH93">
            <v>1000.7477813182971</v>
          </cell>
          <cell r="AI93">
            <v>2.5000000000000001E-2</v>
          </cell>
          <cell r="AJ93">
            <v>2.5000000000000001E-2</v>
          </cell>
          <cell r="AK93">
            <v>0.14482770184438482</v>
          </cell>
          <cell r="AL93">
            <v>0.14482770184438482</v>
          </cell>
          <cell r="AM93">
            <v>7391.703930648232</v>
          </cell>
          <cell r="AN93">
            <v>2.0223629547523787</v>
          </cell>
          <cell r="AO93">
            <v>42222452240.354744</v>
          </cell>
          <cell r="AP93">
            <v>248190705.00549114</v>
          </cell>
          <cell r="AQ93">
            <v>68039279.247807741</v>
          </cell>
          <cell r="AR93">
            <v>68039279.247807741</v>
          </cell>
          <cell r="AS93">
            <v>74270351866.879013</v>
          </cell>
          <cell r="AT93">
            <v>74270351866.879013</v>
          </cell>
          <cell r="AU93">
            <v>66496565850.831291</v>
          </cell>
          <cell r="AV93">
            <v>66496565850.831291</v>
          </cell>
          <cell r="AW93">
            <v>18423399.635209233</v>
          </cell>
          <cell r="AX93">
            <v>45057565070.187439</v>
          </cell>
          <cell r="AY93">
            <v>87</v>
          </cell>
          <cell r="AZ93">
            <v>1.1151599099067599</v>
          </cell>
          <cell r="BA93">
            <v>1.3321130853884153</v>
          </cell>
          <cell r="BD93">
            <v>87</v>
          </cell>
          <cell r="BE93">
            <v>207.32291856000538</v>
          </cell>
          <cell r="BF93">
            <v>11476.480396562565</v>
          </cell>
          <cell r="BG93">
            <v>11476.480396562565</v>
          </cell>
          <cell r="BH93">
            <v>2.5000000000000001E-2</v>
          </cell>
          <cell r="BI93">
            <v>2.5000000000000001E-2</v>
          </cell>
          <cell r="BJ93">
            <v>1.2838870112416458</v>
          </cell>
          <cell r="BK93">
            <v>4570599418.0413809</v>
          </cell>
          <cell r="BL93"/>
          <cell r="BM93">
            <v>87</v>
          </cell>
          <cell r="BN93">
            <v>207.32291856000538</v>
          </cell>
          <cell r="BO93">
            <v>640.57313740615825</v>
          </cell>
          <cell r="BP93">
            <v>640.57313740615825</v>
          </cell>
          <cell r="BQ93">
            <v>2.5000000000000001E-2</v>
          </cell>
          <cell r="BR93">
            <v>2.5000000000000001E-2</v>
          </cell>
          <cell r="BS93">
            <v>5890.6400971545527</v>
          </cell>
          <cell r="BT93">
            <v>0.80529115308429144</v>
          </cell>
          <cell r="BU93">
            <v>2473119611.3459244</v>
          </cell>
          <cell r="BX93">
            <v>87</v>
          </cell>
          <cell r="BY93">
            <v>10943342853.602547</v>
          </cell>
          <cell r="BZ93">
            <v>14812108683.500214</v>
          </cell>
          <cell r="CA93">
            <v>14812108683.500214</v>
          </cell>
          <cell r="CB93">
            <v>29877819.78233508</v>
          </cell>
          <cell r="CC93">
            <v>29877819.78233508</v>
          </cell>
          <cell r="CD93">
            <v>12595214065.57547</v>
          </cell>
          <cell r="CF93">
            <v>0.20561485650664985</v>
          </cell>
          <cell r="CG93">
            <v>0.27830523472233082</v>
          </cell>
          <cell r="CH93">
            <v>0.27830523472233082</v>
          </cell>
          <cell r="CI93">
            <v>5.6137541420937852E-4</v>
          </cell>
          <cell r="CJ93">
            <v>5.6137541420937852E-4</v>
          </cell>
          <cell r="CK93">
            <v>0.23665192322026979</v>
          </cell>
          <cell r="CM93"/>
        </row>
        <row r="94">
          <cell r="T94">
            <v>1.7880827004731477</v>
          </cell>
          <cell r="U94">
            <v>33669554279.099243</v>
          </cell>
          <cell r="V94">
            <v>197898299.15917048</v>
          </cell>
          <cell r="W94">
            <v>3068865.0051968703</v>
          </cell>
          <cell r="X94">
            <v>3068865.0051968703</v>
          </cell>
          <cell r="Y94">
            <v>60080591216.703171</v>
          </cell>
          <cell r="Z94">
            <v>60080591216.703171</v>
          </cell>
          <cell r="AA94">
            <v>53681813599.97435</v>
          </cell>
          <cell r="AB94">
            <v>53681813599.97435</v>
          </cell>
          <cell r="AC94">
            <v>44175594925.265282</v>
          </cell>
          <cell r="AD94"/>
          <cell r="AE94">
            <v>88</v>
          </cell>
          <cell r="AF94">
            <v>311.18309888853355</v>
          </cell>
          <cell r="AG94">
            <v>1017.6265919116049</v>
          </cell>
          <cell r="AH94">
            <v>1017.6265919116049</v>
          </cell>
          <cell r="AI94">
            <v>2.5000000000000001E-2</v>
          </cell>
          <cell r="AJ94">
            <v>2.5000000000000001E-2</v>
          </cell>
          <cell r="AK94">
            <v>0.14717819438854002</v>
          </cell>
          <cell r="AL94">
            <v>0.14717819438854002</v>
          </cell>
          <cell r="AM94">
            <v>7459.7921847068637</v>
          </cell>
          <cell r="AN94">
            <v>2.0549964582585343</v>
          </cell>
          <cell r="AO94">
            <v>46281483250.676849</v>
          </cell>
          <cell r="AP94">
            <v>266569785.3475357</v>
          </cell>
          <cell r="AQ94">
            <v>72909390.888974711</v>
          </cell>
          <cell r="AR94">
            <v>72909390.888974711</v>
          </cell>
          <cell r="AS94">
            <v>80928792072.680374</v>
          </cell>
          <cell r="AT94">
            <v>80928792072.680374</v>
          </cell>
          <cell r="AU94">
            <v>72309613519.730316</v>
          </cell>
          <cell r="AV94">
            <v>72309613519.730316</v>
          </cell>
          <cell r="AW94">
            <v>19891850.371060669</v>
          </cell>
          <cell r="AX94">
            <v>48572583295.885132</v>
          </cell>
          <cell r="AY94">
            <v>88</v>
          </cell>
          <cell r="AZ94">
            <v>1.1448795105298504</v>
          </cell>
          <cell r="BA94">
            <v>1.3745796236871066</v>
          </cell>
          <cell r="BD94">
            <v>88</v>
          </cell>
          <cell r="BE94">
            <v>207.9697039610466</v>
          </cell>
          <cell r="BF94">
            <v>11529.679707620622</v>
          </cell>
          <cell r="BG94">
            <v>11529.679707620622</v>
          </cell>
          <cell r="BH94">
            <v>2.5000000000000001E-2</v>
          </cell>
          <cell r="BI94">
            <v>2.5000000000000001E-2</v>
          </cell>
          <cell r="BJ94">
            <v>1.288398164276404</v>
          </cell>
          <cell r="BK94">
            <v>4645195631.2119846</v>
          </cell>
          <cell r="BL94"/>
          <cell r="BM94">
            <v>88</v>
          </cell>
          <cell r="BN94">
            <v>207.9697039610466</v>
          </cell>
          <cell r="BO94">
            <v>643.0581173166604</v>
          </cell>
          <cell r="BP94">
            <v>643.0581173166604</v>
          </cell>
          <cell r="BQ94">
            <v>2.5000000000000001E-2</v>
          </cell>
          <cell r="BR94">
            <v>2.5000000000000001E-2</v>
          </cell>
          <cell r="BS94">
            <v>5901.6159429952022</v>
          </cell>
          <cell r="BT94">
            <v>0.81442619360745006</v>
          </cell>
          <cell r="BU94">
            <v>2533746880.8096948</v>
          </cell>
          <cell r="BX94">
            <v>88</v>
          </cell>
          <cell r="BY94">
            <v>11824941857.389784</v>
          </cell>
          <cell r="BZ94">
            <v>15591939285.570772</v>
          </cell>
          <cell r="CA94">
            <v>15591939285.570772</v>
          </cell>
          <cell r="CB94">
            <v>29877819.78233508</v>
          </cell>
          <cell r="CC94">
            <v>29877819.78233508</v>
          </cell>
          <cell r="CD94">
            <v>13600980967.011208</v>
          </cell>
          <cell r="CF94">
            <v>0.20866480128059139</v>
          </cell>
          <cell r="CG94">
            <v>0.27513783592681784</v>
          </cell>
          <cell r="CH94">
            <v>0.27513783592681784</v>
          </cell>
          <cell r="CI94">
            <v>5.2722875112338628E-4</v>
          </cell>
          <cell r="CJ94">
            <v>5.2722875112338628E-4</v>
          </cell>
          <cell r="CK94">
            <v>0.2400050693635262</v>
          </cell>
          <cell r="CM94"/>
        </row>
        <row r="95">
          <cell r="T95">
            <v>1.810850178831668</v>
          </cell>
          <cell r="U95">
            <v>35701290277.454674</v>
          </cell>
          <cell r="V95">
            <v>208439107.63818607</v>
          </cell>
          <cell r="W95">
            <v>3233884.3386929627</v>
          </cell>
          <cell r="X95">
            <v>3233884.3386929627</v>
          </cell>
          <cell r="Y95">
            <v>64112971836.959381</v>
          </cell>
          <cell r="Z95">
            <v>64112971836.959381</v>
          </cell>
          <cell r="AA95">
            <v>57167599973.719513</v>
          </cell>
          <cell r="AB95">
            <v>57167599973.719513</v>
          </cell>
          <cell r="AC95">
            <v>46758661580.602768</v>
          </cell>
          <cell r="AD95"/>
          <cell r="AE95">
            <v>89</v>
          </cell>
          <cell r="AF95">
            <v>315.27575068568478</v>
          </cell>
          <cell r="AG95">
            <v>1035.1262670458379</v>
          </cell>
          <cell r="AH95">
            <v>1035.1262670458379</v>
          </cell>
          <cell r="AI95">
            <v>2.5000000000000001E-2</v>
          </cell>
          <cell r="AJ95">
            <v>2.5000000000000001E-2</v>
          </cell>
          <cell r="AK95">
            <v>0.14952868693269522</v>
          </cell>
          <cell r="AL95">
            <v>0.14952868693269522</v>
          </cell>
          <cell r="AM95">
            <v>7525.7223076748915</v>
          </cell>
          <cell r="AN95">
            <v>2.0821854066455003</v>
          </cell>
          <cell r="AO95">
            <v>50467115039.506676</v>
          </cell>
          <cell r="AP95">
            <v>285404720.89757556</v>
          </cell>
          <cell r="AQ95">
            <v>77750534.845012724</v>
          </cell>
          <cell r="AR95">
            <v>77750534.845012724</v>
          </cell>
          <cell r="AS95">
            <v>87786524517.28923</v>
          </cell>
          <cell r="AT95">
            <v>87786524517.28923</v>
          </cell>
          <cell r="AU95">
            <v>78276591661.509232</v>
          </cell>
          <cell r="AV95">
            <v>78276591661.509232</v>
          </cell>
          <cell r="AW95">
            <v>21388411.000192896</v>
          </cell>
          <cell r="AX95">
            <v>52223737560.634048</v>
          </cell>
          <cell r="AY95">
            <v>89</v>
          </cell>
          <cell r="AZ95">
            <v>1.1756618964910741</v>
          </cell>
          <cell r="BA95">
            <v>1.4135935885593638</v>
          </cell>
          <cell r="BD95">
            <v>89</v>
          </cell>
          <cell r="BE95">
            <v>208.61648936208783</v>
          </cell>
          <cell r="BF95">
            <v>11582.879018678679</v>
          </cell>
          <cell r="BG95">
            <v>11582.879018678679</v>
          </cell>
          <cell r="BH95">
            <v>2.5000000000000001E-2</v>
          </cell>
          <cell r="BI95">
            <v>2.5000000000000001E-2</v>
          </cell>
          <cell r="BJ95">
            <v>1.2929093173111623</v>
          </cell>
          <cell r="BK95">
            <v>4719791844.3825893</v>
          </cell>
          <cell r="BL95"/>
          <cell r="BM95">
            <v>89</v>
          </cell>
          <cell r="BN95">
            <v>208.61648936208783</v>
          </cell>
          <cell r="BO95">
            <v>645.54309722716266</v>
          </cell>
          <cell r="BP95">
            <v>645.54309722716266</v>
          </cell>
          <cell r="BQ95">
            <v>2.5000000000000001E-2</v>
          </cell>
          <cell r="BR95">
            <v>2.5000000000000001E-2</v>
          </cell>
          <cell r="BS95">
            <v>5912.5917888358508</v>
          </cell>
          <cell r="BT95">
            <v>0.82356123413060855</v>
          </cell>
          <cell r="BU95">
            <v>2594374150.2734652</v>
          </cell>
          <cell r="BX95">
            <v>89</v>
          </cell>
          <cell r="BY95">
            <v>12678010545.861805</v>
          </cell>
          <cell r="BZ95">
            <v>16413703021.218615</v>
          </cell>
          <cell r="CA95">
            <v>16413703021.218615</v>
          </cell>
          <cell r="CB95">
            <v>29877819.78233508</v>
          </cell>
          <cell r="CC95">
            <v>29877819.78233508</v>
          </cell>
          <cell r="CD95">
            <v>14665557782.620956</v>
          </cell>
          <cell r="CF95">
            <v>0.21049073361147841</v>
          </cell>
          <cell r="CG95">
            <v>0.27251376528827398</v>
          </cell>
          <cell r="CH95">
            <v>0.27251376528827398</v>
          </cell>
          <cell r="CI95">
            <v>4.9605607929928961E-4</v>
          </cell>
          <cell r="CJ95">
            <v>4.9605607929928961E-4</v>
          </cell>
          <cell r="CK95">
            <v>0.24348962365337512</v>
          </cell>
          <cell r="CM95"/>
        </row>
        <row r="96">
          <cell r="T96">
            <v>1.8336176571901883</v>
          </cell>
          <cell r="U96">
            <v>37829711834.552513</v>
          </cell>
          <cell r="V96">
            <v>219548941.28357381</v>
          </cell>
          <cell r="W96">
            <v>3407635.4172059302</v>
          </cell>
          <cell r="X96">
            <v>3407635.4172059302</v>
          </cell>
          <cell r="Y96">
            <v>68402448040.461975</v>
          </cell>
          <cell r="Z96">
            <v>68402448040.461975</v>
          </cell>
          <cell r="AA96">
            <v>60867936924.874855</v>
          </cell>
          <cell r="AB96">
            <v>60867936924.874855</v>
          </cell>
          <cell r="AC96">
            <v>49486217072.063988</v>
          </cell>
          <cell r="AD96"/>
          <cell r="AE96">
            <v>90</v>
          </cell>
          <cell r="AF96">
            <v>319.34797239998898</v>
          </cell>
          <cell r="AG96">
            <v>1053.5470795957408</v>
          </cell>
          <cell r="AH96">
            <v>1053.5470795957408</v>
          </cell>
          <cell r="AI96">
            <v>2.5000000000000001E-2</v>
          </cell>
          <cell r="AJ96">
            <v>2.5000000000000001E-2</v>
          </cell>
          <cell r="AK96">
            <v>0.15187917947685042</v>
          </cell>
          <cell r="AL96">
            <v>0.15187917947685042</v>
          </cell>
          <cell r="AM96">
            <v>7594.2729140195461</v>
          </cell>
          <cell r="AN96">
            <v>2.1092212053859924</v>
          </cell>
          <cell r="AO96">
            <v>55098437597.106476</v>
          </cell>
          <cell r="AP96">
            <v>305920811.01764387</v>
          </cell>
          <cell r="AQ96">
            <v>82940038.178034499</v>
          </cell>
          <cell r="AR96">
            <v>82940038.178034499</v>
          </cell>
          <cell r="AS96">
            <v>95312381183.848587</v>
          </cell>
          <cell r="AT96">
            <v>95312381183.848587</v>
          </cell>
          <cell r="AU96">
            <v>84813748224.718399</v>
          </cell>
          <cell r="AV96">
            <v>84813748224.718399</v>
          </cell>
          <cell r="AW96">
            <v>23012403.160469979</v>
          </cell>
          <cell r="AX96">
            <v>56207795606.604065</v>
          </cell>
          <cell r="AY96">
            <v>90</v>
          </cell>
          <cell r="AZ96">
            <v>1.2097218055623138</v>
          </cell>
          <cell r="BA96">
            <v>1.4564857865711056</v>
          </cell>
          <cell r="BD96">
            <v>90</v>
          </cell>
          <cell r="BE96">
            <v>209.2782737018849</v>
          </cell>
          <cell r="BF96">
            <v>11634.255383037138</v>
          </cell>
          <cell r="BG96">
            <v>11634.255383037138</v>
          </cell>
          <cell r="BH96">
            <v>2.5000000000000001E-2</v>
          </cell>
          <cell r="BI96">
            <v>2.5000000000000001E-2</v>
          </cell>
          <cell r="BJ96">
            <v>1.2965057811523839</v>
          </cell>
          <cell r="BK96">
            <v>4792039156.6931295</v>
          </cell>
          <cell r="BL96"/>
          <cell r="BM96">
            <v>90</v>
          </cell>
          <cell r="BN96">
            <v>209.2782737018849</v>
          </cell>
          <cell r="BO96">
            <v>647.73412598902235</v>
          </cell>
          <cell r="BP96">
            <v>647.73412598902235</v>
          </cell>
          <cell r="BQ96">
            <v>2.5000000000000001E-2</v>
          </cell>
          <cell r="BR96">
            <v>2.5000000000000001E-2</v>
          </cell>
          <cell r="BS96">
            <v>5923.2553755909321</v>
          </cell>
          <cell r="BT96">
            <v>0.8316472921249688</v>
          </cell>
          <cell r="BU96">
            <v>2652940205.3423467</v>
          </cell>
          <cell r="BX96">
            <v>90</v>
          </cell>
          <cell r="BY96">
            <v>13572062511.909269</v>
          </cell>
          <cell r="BZ96">
            <v>17279618717.913181</v>
          </cell>
          <cell r="CA96">
            <v>17279618717.913181</v>
          </cell>
          <cell r="CB96">
            <v>29877819.78233508</v>
          </cell>
          <cell r="CC96">
            <v>29877819.78233508</v>
          </cell>
          <cell r="CD96">
            <v>15792234158.854214</v>
          </cell>
          <cell r="CF96">
            <v>0.21211886049865028</v>
          </cell>
          <cell r="CG96">
            <v>0.27006455570615157</v>
          </cell>
          <cell r="CH96">
            <v>0.27006455570615157</v>
          </cell>
          <cell r="CI96">
            <v>4.6696285703457099E-4</v>
          </cell>
          <cell r="CJ96">
            <v>4.6696285703457099E-4</v>
          </cell>
          <cell r="CK96">
            <v>0.24681810237497753</v>
          </cell>
          <cell r="CM96"/>
        </row>
        <row r="97">
          <cell r="T97">
            <v>1.8559497837411869</v>
          </cell>
          <cell r="U97">
            <v>39880013803.213501</v>
          </cell>
          <cell r="V97">
            <v>231056485.79201323</v>
          </cell>
          <cell r="W97">
            <v>3587184.7338046394</v>
          </cell>
          <cell r="X97">
            <v>3587184.7338046394</v>
          </cell>
          <cell r="Y97">
            <v>72796752126.240906</v>
          </cell>
          <cell r="Z97">
            <v>72796752126.240906</v>
          </cell>
          <cell r="AA97">
            <v>64646294180.556282</v>
          </cell>
          <cell r="AB97">
            <v>64646294180.556282</v>
          </cell>
          <cell r="AC97">
            <v>52253489437.515167</v>
          </cell>
          <cell r="AD97"/>
          <cell r="AE97">
            <v>91</v>
          </cell>
          <cell r="AF97">
            <v>322.93692459498209</v>
          </cell>
          <cell r="AG97">
            <v>1073.8008821700166</v>
          </cell>
          <cell r="AH97">
            <v>1073.8008821700166</v>
          </cell>
          <cell r="AI97">
            <v>2.5000000000000001E-2</v>
          </cell>
          <cell r="AJ97">
            <v>2.5000000000000001E-2</v>
          </cell>
          <cell r="AK97">
            <v>0.15422967202100563</v>
          </cell>
          <cell r="AL97">
            <v>0.15422967202100563</v>
          </cell>
          <cell r="AM97">
            <v>7659.8252634231749</v>
          </cell>
          <cell r="AN97">
            <v>2.145522531329632</v>
          </cell>
          <cell r="AO97">
            <v>60513286392.333199</v>
          </cell>
          <cell r="AP97">
            <v>329763078.0802452</v>
          </cell>
          <cell r="AQ97">
            <v>88703543.738973707</v>
          </cell>
          <cell r="AR97">
            <v>88703543.738973707</v>
          </cell>
          <cell r="AS97">
            <v>103895291980.69206</v>
          </cell>
          <cell r="AT97">
            <v>103895291980.69206</v>
          </cell>
          <cell r="AU97">
            <v>92262984448.966141</v>
          </cell>
          <cell r="AV97">
            <v>92262984448.966141</v>
          </cell>
          <cell r="AW97">
            <v>24870004.273687422</v>
          </cell>
          <cell r="AX97">
            <v>60562238909.31971</v>
          </cell>
          <cell r="AY97">
            <v>91</v>
          </cell>
          <cell r="AZ97">
            <v>1.2508665318521197</v>
          </cell>
          <cell r="BA97">
            <v>1.5173837875516754</v>
          </cell>
          <cell r="BD97">
            <v>91</v>
          </cell>
          <cell r="BE97">
            <v>209.95564845566545</v>
          </cell>
          <cell r="BF97">
            <v>11683.736913755743</v>
          </cell>
          <cell r="BG97">
            <v>11683.736913755743</v>
          </cell>
          <cell r="BH97">
            <v>2.5000000000000001E-2</v>
          </cell>
          <cell r="BI97">
            <v>2.5000000000000001E-2</v>
          </cell>
          <cell r="BJ97">
            <v>1.2991514855148432</v>
          </cell>
          <cell r="BK97">
            <v>4861844940.4788361</v>
          </cell>
          <cell r="BL97"/>
          <cell r="BM97">
            <v>91</v>
          </cell>
          <cell r="BN97">
            <v>209.95564845566545</v>
          </cell>
          <cell r="BO97">
            <v>649.61961179395234</v>
          </cell>
          <cell r="BP97">
            <v>649.61961179395234</v>
          </cell>
          <cell r="BQ97">
            <v>2.5000000000000001E-2</v>
          </cell>
          <cell r="BR97">
            <v>2.5000000000000001E-2</v>
          </cell>
          <cell r="BS97">
            <v>5933.5943894883358</v>
          </cell>
          <cell r="BT97">
            <v>0.83864300151856042</v>
          </cell>
          <cell r="BU97">
            <v>2709363763.1153708</v>
          </cell>
          <cell r="BX97">
            <v>91</v>
          </cell>
          <cell r="BY97">
            <v>14401313193.759911</v>
          </cell>
          <cell r="BZ97">
            <v>18089531585.741493</v>
          </cell>
          <cell r="CA97">
            <v>18089531585.741493</v>
          </cell>
          <cell r="CB97">
            <v>29877819.78233508</v>
          </cell>
          <cell r="CC97">
            <v>29877819.78233508</v>
          </cell>
          <cell r="CD97">
            <v>16959165697.704071</v>
          </cell>
          <cell r="CF97">
            <v>0.21303939069214373</v>
          </cell>
          <cell r="CG97">
            <v>0.26759940118533776</v>
          </cell>
          <cell r="CH97">
            <v>0.26759940118533776</v>
          </cell>
          <cell r="CI97">
            <v>4.419841743596247E-4</v>
          </cell>
          <cell r="CJ97">
            <v>4.419841743596247E-4</v>
          </cell>
          <cell r="CK97">
            <v>0.25087783858846152</v>
          </cell>
          <cell r="CM97"/>
        </row>
        <row r="98">
          <cell r="T98">
            <v>1.8781407049996368</v>
          </cell>
          <cell r="U98">
            <v>42004245103.701027</v>
          </cell>
          <cell r="V98">
            <v>243871006.05656102</v>
          </cell>
          <cell r="W98">
            <v>3787046.7694278886</v>
          </cell>
          <cell r="X98">
            <v>3787046.7694278886</v>
          </cell>
          <cell r="Y98">
            <v>77679533866.527344</v>
          </cell>
          <cell r="Z98">
            <v>77679533866.527344</v>
          </cell>
          <cell r="AA98">
            <v>68842199315.363342</v>
          </cell>
          <cell r="AB98">
            <v>68842199315.363342</v>
          </cell>
          <cell r="AC98">
            <v>55328443168.10466</v>
          </cell>
          <cell r="AD98"/>
          <cell r="AE98">
            <v>92</v>
          </cell>
          <cell r="AF98">
            <v>326.49031756864082</v>
          </cell>
          <cell r="AG98">
            <v>1095.0579250157678</v>
          </cell>
          <cell r="AH98">
            <v>1095.0579250157678</v>
          </cell>
          <cell r="AI98">
            <v>2.5000000000000001E-2</v>
          </cell>
          <cell r="AJ98">
            <v>2.5000000000000001E-2</v>
          </cell>
          <cell r="AK98">
            <v>0.15658016456516083</v>
          </cell>
          <cell r="AL98">
            <v>0.15658016456516083</v>
          </cell>
          <cell r="AM98">
            <v>7728.6470626701648</v>
          </cell>
          <cell r="AN98">
            <v>2.2015879608894964</v>
          </cell>
          <cell r="AO98">
            <v>67376977428.761879</v>
          </cell>
          <cell r="AP98">
            <v>359542500.59052259</v>
          </cell>
          <cell r="AQ98">
            <v>95880091.9474096</v>
          </cell>
          <cell r="AR98">
            <v>95880091.9474096</v>
          </cell>
          <cell r="AS98">
            <v>114524044094.85167</v>
          </cell>
          <cell r="AT98">
            <v>114524044094.85167</v>
          </cell>
          <cell r="AU98">
            <v>101495035790.58611</v>
          </cell>
          <cell r="AV98">
            <v>101495035790.58611</v>
          </cell>
          <cell r="AW98">
            <v>27170151.175716124</v>
          </cell>
          <cell r="AX98">
            <v>65588861415.558838</v>
          </cell>
          <cell r="AY98">
            <v>92</v>
          </cell>
          <cell r="AZ98">
            <v>1.2963178682504328</v>
          </cell>
          <cell r="BA98">
            <v>1.6040516205545434</v>
          </cell>
          <cell r="BD98">
            <v>92</v>
          </cell>
          <cell r="BE98">
            <v>210.63302320944604</v>
          </cell>
          <cell r="BF98">
            <v>11733.218444474351</v>
          </cell>
          <cell r="BG98">
            <v>11733.218444474351</v>
          </cell>
          <cell r="BH98">
            <v>2.5000000000000001E-2</v>
          </cell>
          <cell r="BI98">
            <v>2.5000000000000001E-2</v>
          </cell>
          <cell r="BJ98">
            <v>1.3017971898773026</v>
          </cell>
          <cell r="BK98">
            <v>4931650724.2645426</v>
          </cell>
          <cell r="BL98"/>
          <cell r="BM98">
            <v>92</v>
          </cell>
          <cell r="BN98">
            <v>210.63302320944604</v>
          </cell>
          <cell r="BO98">
            <v>651.50509759888234</v>
          </cell>
          <cell r="BP98">
            <v>651.50509759888234</v>
          </cell>
          <cell r="BQ98">
            <v>2.5000000000000001E-2</v>
          </cell>
          <cell r="BR98">
            <v>2.5000000000000001E-2</v>
          </cell>
          <cell r="BS98">
            <v>5943.9334033857394</v>
          </cell>
          <cell r="BT98">
            <v>0.84563871091215204</v>
          </cell>
          <cell r="BU98">
            <v>2765787320.8883953</v>
          </cell>
          <cell r="BX98">
            <v>92</v>
          </cell>
          <cell r="BY98">
            <v>15267882713.160381</v>
          </cell>
          <cell r="BZ98">
            <v>18937072652.739452</v>
          </cell>
          <cell r="CA98">
            <v>18937072652.739452</v>
          </cell>
          <cell r="CB98">
            <v>29877819.78233508</v>
          </cell>
          <cell r="CC98">
            <v>29877819.78233508</v>
          </cell>
          <cell r="CD98">
            <v>18186954823.400101</v>
          </cell>
          <cell r="CF98">
            <v>0.21386962478815502</v>
          </cell>
          <cell r="CG98">
            <v>0.26526694623717562</v>
          </cell>
          <cell r="CH98">
            <v>0.26526694623717562</v>
          </cell>
          <cell r="CI98">
            <v>4.1852287094321198E-4</v>
          </cell>
          <cell r="CJ98">
            <v>4.1852287094321198E-4</v>
          </cell>
          <cell r="CK98">
            <v>0.25475943699560738</v>
          </cell>
          <cell r="CM98"/>
        </row>
        <row r="99">
          <cell r="T99">
            <v>1.9003316262580863</v>
          </cell>
          <cell r="U99">
            <v>44046174135.999718</v>
          </cell>
          <cell r="V99">
            <v>256227287.11574289</v>
          </cell>
          <cell r="W99">
            <v>3979867.0297605451</v>
          </cell>
          <cell r="X99">
            <v>3979867.0297605451</v>
          </cell>
          <cell r="Y99">
            <v>82503614226.21167</v>
          </cell>
          <cell r="Z99">
            <v>82503614226.21167</v>
          </cell>
          <cell r="AA99">
            <v>73113618705.8703</v>
          </cell>
          <cell r="AB99">
            <v>73113618705.8703</v>
          </cell>
          <cell r="AC99">
            <v>58314851871.592026</v>
          </cell>
          <cell r="AD99"/>
          <cell r="AE99">
            <v>93</v>
          </cell>
          <cell r="AF99">
            <v>330.04371054229966</v>
          </cell>
          <cell r="AG99">
            <v>1117.8933963347554</v>
          </cell>
          <cell r="AH99">
            <v>1117.8933963347554</v>
          </cell>
          <cell r="AI99">
            <v>2.5000000000000001E-2</v>
          </cell>
          <cell r="AJ99">
            <v>2.5000000000000001E-2</v>
          </cell>
          <cell r="AK99">
            <v>0.15664093883889682</v>
          </cell>
          <cell r="AL99">
            <v>0.15664093883889682</v>
          </cell>
          <cell r="AM99">
            <v>7794.0125995524631</v>
          </cell>
          <cell r="AN99">
            <v>2.2534640874710972</v>
          </cell>
          <cell r="AO99">
            <v>74552348735.872437</v>
          </cell>
          <cell r="AP99">
            <v>389811491.57517999</v>
          </cell>
          <cell r="AQ99">
            <v>102936809.14390251</v>
          </cell>
          <cell r="AR99">
            <v>102936809.14390251</v>
          </cell>
          <cell r="AS99">
            <v>125516908381.952</v>
          </cell>
          <cell r="AT99">
            <v>125516908381.952</v>
          </cell>
          <cell r="AU99">
            <v>111231434727.40292</v>
          </cell>
          <cell r="AV99">
            <v>111231434727.40292</v>
          </cell>
          <cell r="AW99">
            <v>29528404.711161792</v>
          </cell>
          <cell r="AX99">
            <v>70738373676.76918</v>
          </cell>
          <cell r="AY99">
            <v>93</v>
          </cell>
          <cell r="AZ99">
            <v>1.3451057244538458</v>
          </cell>
          <cell r="BA99">
            <v>1.6925953320186209</v>
          </cell>
          <cell r="BD99">
            <v>93</v>
          </cell>
          <cell r="BE99">
            <v>211.31039796322659</v>
          </cell>
          <cell r="BF99">
            <v>11782.699975192956</v>
          </cell>
          <cell r="BG99">
            <v>11782.699975192956</v>
          </cell>
          <cell r="BH99">
            <v>2.5000000000000001E-2</v>
          </cell>
          <cell r="BI99">
            <v>2.5000000000000001E-2</v>
          </cell>
          <cell r="BJ99">
            <v>1.3044428942397621</v>
          </cell>
          <cell r="BK99">
            <v>5001456508.0502481</v>
          </cell>
          <cell r="BL99"/>
          <cell r="BM99">
            <v>93</v>
          </cell>
          <cell r="BN99">
            <v>211.31039796322659</v>
          </cell>
          <cell r="BO99">
            <v>653.39058340381234</v>
          </cell>
          <cell r="BP99">
            <v>653.39058340381234</v>
          </cell>
          <cell r="BQ99">
            <v>2.5000000000000001E-2</v>
          </cell>
          <cell r="BR99">
            <v>2.5000000000000001E-2</v>
          </cell>
          <cell r="BS99">
            <v>5954.2724172831431</v>
          </cell>
          <cell r="BT99">
            <v>0.85263442030574377</v>
          </cell>
          <cell r="BU99">
            <v>2822210878.6614194</v>
          </cell>
          <cell r="BX99">
            <v>93</v>
          </cell>
          <cell r="BY99">
            <v>16178358954.85713</v>
          </cell>
          <cell r="BZ99">
            <v>19827766893.999859</v>
          </cell>
          <cell r="CA99">
            <v>19827766893.999859</v>
          </cell>
          <cell r="CB99">
            <v>29877819.78233508</v>
          </cell>
          <cell r="CC99">
            <v>29877819.78233508</v>
          </cell>
          <cell r="CD99">
            <v>19481015109.480743</v>
          </cell>
          <cell r="CF99">
            <v>0.21463921967088084</v>
          </cell>
          <cell r="CG99">
            <v>0.26305612490236885</v>
          </cell>
          <cell r="CH99">
            <v>0.26305612490236885</v>
          </cell>
          <cell r="CI99">
            <v>3.963907551712646E-4</v>
          </cell>
          <cell r="CJ99">
            <v>3.963907551712646E-4</v>
          </cell>
          <cell r="CK99">
            <v>0.25845574901403906</v>
          </cell>
          <cell r="CM99"/>
        </row>
        <row r="100">
          <cell r="T100">
            <v>1.9208252170410767</v>
          </cell>
          <cell r="U100">
            <v>46096735142.828552</v>
          </cell>
          <cell r="V100">
            <v>268659227.14726114</v>
          </cell>
          <cell r="W100">
            <v>4172921.6553415097</v>
          </cell>
          <cell r="X100">
            <v>4172921.6553415097</v>
          </cell>
          <cell r="Y100">
            <v>87416805521.940979</v>
          </cell>
          <cell r="Z100">
            <v>87416805521.940979</v>
          </cell>
          <cell r="AA100">
            <v>77467624265.433151</v>
          </cell>
          <cell r="AB100">
            <v>77467624265.433151</v>
          </cell>
          <cell r="AC100">
            <v>61354048258.156609</v>
          </cell>
          <cell r="AD100"/>
          <cell r="AE100">
            <v>94</v>
          </cell>
          <cell r="AF100">
            <v>333.5162786382748</v>
          </cell>
          <cell r="AG100">
            <v>1143.6437947639824</v>
          </cell>
          <cell r="AH100">
            <v>1143.6437947639824</v>
          </cell>
          <cell r="AI100">
            <v>2.5000000000000001E-2</v>
          </cell>
          <cell r="AJ100">
            <v>2.5000000000000001E-2</v>
          </cell>
          <cell r="AK100">
            <v>0.15664093883889682</v>
          </cell>
          <cell r="AL100">
            <v>0.15664093883889682</v>
          </cell>
          <cell r="AM100">
            <v>7862.436174456041</v>
          </cell>
          <cell r="AN100">
            <v>2.2913959602923786</v>
          </cell>
          <cell r="AO100">
            <v>82119816046.592133</v>
          </cell>
          <cell r="AP100">
            <v>421128957.05979663</v>
          </cell>
          <cell r="AQ100">
            <v>109846533.63128577</v>
          </cell>
          <cell r="AR100">
            <v>109846533.63128577</v>
          </cell>
          <cell r="AS100">
            <v>137027670815.02554</v>
          </cell>
          <cell r="AT100">
            <v>137027670815.02554</v>
          </cell>
          <cell r="AU100">
            <v>121432121126.88699</v>
          </cell>
          <cell r="AV100">
            <v>121432121126.88699</v>
          </cell>
          <cell r="AW100">
            <v>31955822.286199838</v>
          </cell>
          <cell r="AX100">
            <v>76335578021.790863</v>
          </cell>
          <cell r="AY100">
            <v>94</v>
          </cell>
          <cell r="AZ100">
            <v>1.402906334470944</v>
          </cell>
          <cell r="BA100">
            <v>1.7814670777040449</v>
          </cell>
          <cell r="BD100">
            <v>94</v>
          </cell>
          <cell r="BE100">
            <v>211.98777271700718</v>
          </cell>
          <cell r="BF100">
            <v>11832.181505911563</v>
          </cell>
          <cell r="BG100">
            <v>11832.181505911563</v>
          </cell>
          <cell r="BH100">
            <v>2.5000000000000001E-2</v>
          </cell>
          <cell r="BI100">
            <v>2.5000000000000001E-2</v>
          </cell>
          <cell r="BJ100">
            <v>1.3070885986022214</v>
          </cell>
          <cell r="BK100">
            <v>5071262291.8359547</v>
          </cell>
          <cell r="BL100"/>
          <cell r="BM100">
            <v>94</v>
          </cell>
          <cell r="BN100">
            <v>211.98777271700718</v>
          </cell>
          <cell r="BO100">
            <v>655.27606920874234</v>
          </cell>
          <cell r="BP100">
            <v>655.27606920874234</v>
          </cell>
          <cell r="BQ100">
            <v>2.5000000000000001E-2</v>
          </cell>
          <cell r="BR100">
            <v>2.5000000000000001E-2</v>
          </cell>
          <cell r="BS100">
            <v>5964.6114311805459</v>
          </cell>
          <cell r="BT100">
            <v>0.85963012969933539</v>
          </cell>
          <cell r="BU100">
            <v>2878634436.434444</v>
          </cell>
          <cell r="BX100">
            <v>94</v>
          </cell>
          <cell r="BY100">
            <v>17111296415.738047</v>
          </cell>
          <cell r="BZ100">
            <v>20761666760.465286</v>
          </cell>
          <cell r="CA100">
            <v>20761666760.465286</v>
          </cell>
          <cell r="CB100">
            <v>29877819.78233508</v>
          </cell>
          <cell r="CC100">
            <v>29877819.78233508</v>
          </cell>
          <cell r="CD100">
            <v>20738379867.363251</v>
          </cell>
          <cell r="CF100">
            <v>0.21541861623700367</v>
          </cell>
          <cell r="CG100">
            <v>0.26137408970367138</v>
          </cell>
          <cell r="CH100">
            <v>0.26137408970367138</v>
          </cell>
          <cell r="CI100">
            <v>3.7613974051489707E-4</v>
          </cell>
          <cell r="CJ100">
            <v>3.7613974051489707E-4</v>
          </cell>
          <cell r="CK100">
            <v>0.26108092487462398</v>
          </cell>
          <cell r="CM100"/>
        </row>
        <row r="101">
          <cell r="T101">
            <v>1.9407959838665474</v>
          </cell>
          <cell r="U101">
            <v>48203314238.718842</v>
          </cell>
          <cell r="V101">
            <v>281787027.06606841</v>
          </cell>
          <cell r="W101">
            <v>4376613.7483648378</v>
          </cell>
          <cell r="X101">
            <v>4376613.7483648378</v>
          </cell>
          <cell r="Y101">
            <v>92639462971.608154</v>
          </cell>
          <cell r="Z101">
            <v>92639462971.608154</v>
          </cell>
          <cell r="AA101">
            <v>82095874663.765701</v>
          </cell>
          <cell r="AB101">
            <v>82095874663.765701</v>
          </cell>
          <cell r="AC101">
            <v>64578059863.2696</v>
          </cell>
          <cell r="AD101"/>
          <cell r="AE101">
            <v>95</v>
          </cell>
          <cell r="AF101">
            <v>336.97594433130132</v>
          </cell>
          <cell r="AG101">
            <v>1172.2120066579776</v>
          </cell>
          <cell r="AH101">
            <v>1172.2120066579776</v>
          </cell>
          <cell r="AI101">
            <v>2.5000000000000001E-2</v>
          </cell>
          <cell r="AJ101">
            <v>2.5000000000000001E-2</v>
          </cell>
          <cell r="AK101">
            <v>0.15664093883889682</v>
          </cell>
          <cell r="AL101">
            <v>0.15664093883889682</v>
          </cell>
          <cell r="AM101">
            <v>7928.2838700936845</v>
          </cell>
          <cell r="AN101">
            <v>2.3293217630179979</v>
          </cell>
          <cell r="AO101">
            <v>90689289327.957809</v>
          </cell>
          <cell r="AP101">
            <v>456009358.49953169</v>
          </cell>
          <cell r="AQ101">
            <v>117249630.48876134</v>
          </cell>
          <cell r="AR101">
            <v>117249630.48876134</v>
          </cell>
          <cell r="AS101">
            <v>149916277272.4787</v>
          </cell>
          <cell r="AT101">
            <v>149916277272.4787</v>
          </cell>
          <cell r="AU101">
            <v>132853834793.83641</v>
          </cell>
          <cell r="AV101">
            <v>132853834793.83641</v>
          </cell>
          <cell r="AW101">
            <v>34671166.392914042</v>
          </cell>
          <cell r="AX101">
            <v>82564218431.412903</v>
          </cell>
          <cell r="AY101">
            <v>95</v>
          </cell>
          <cell r="AZ101">
            <v>1.4679029833880473</v>
          </cell>
          <cell r="BA101">
            <v>1.8813911607578329</v>
          </cell>
          <cell r="BD101">
            <v>95</v>
          </cell>
          <cell r="BE101">
            <v>212.66514747078773</v>
          </cell>
          <cell r="BF101">
            <v>11881.663036630169</v>
          </cell>
          <cell r="BG101">
            <v>11881.663036630169</v>
          </cell>
          <cell r="BH101">
            <v>2.5000000000000001E-2</v>
          </cell>
          <cell r="BI101">
            <v>2.5000000000000001E-2</v>
          </cell>
          <cell r="BJ101">
            <v>1.3097343029646809</v>
          </cell>
          <cell r="BK101">
            <v>5141068075.6216612</v>
          </cell>
          <cell r="BL101"/>
          <cell r="BM101">
            <v>95</v>
          </cell>
          <cell r="BN101">
            <v>212.66514747078773</v>
          </cell>
          <cell r="BO101">
            <v>657.16155501367234</v>
          </cell>
          <cell r="BP101">
            <v>657.16155501367234</v>
          </cell>
          <cell r="BQ101">
            <v>2.5000000000000001E-2</v>
          </cell>
          <cell r="BR101">
            <v>2.5000000000000001E-2</v>
          </cell>
          <cell r="BS101">
            <v>5974.9504450779496</v>
          </cell>
          <cell r="BT101">
            <v>0.86662583909292701</v>
          </cell>
          <cell r="BU101">
            <v>2935057994.207468</v>
          </cell>
          <cell r="BX101">
            <v>95</v>
          </cell>
          <cell r="BY101">
            <v>18086185326.018459</v>
          </cell>
          <cell r="BZ101">
            <v>21741152917.349335</v>
          </cell>
          <cell r="CA101">
            <v>21741152917.349335</v>
          </cell>
          <cell r="CB101">
            <v>29877819.78233508</v>
          </cell>
          <cell r="CC101">
            <v>29877819.78233508</v>
          </cell>
          <cell r="CD101">
            <v>22028053242.933899</v>
          </cell>
          <cell r="CF101">
            <v>0.21619633329080276</v>
          </cell>
          <cell r="CG101">
            <v>0.2598866182955516</v>
          </cell>
          <cell r="CH101">
            <v>0.2598866182955516</v>
          </cell>
          <cell r="CI101">
            <v>3.5714966794970143E-4</v>
          </cell>
          <cell r="CJ101">
            <v>3.5714966794970143E-4</v>
          </cell>
          <cell r="CK101">
            <v>0.26331613078219462</v>
          </cell>
          <cell r="CM101"/>
        </row>
        <row r="102">
          <cell r="T102">
            <v>1.9607667506920179</v>
          </cell>
          <cell r="U102">
            <v>50411671554.12896</v>
          </cell>
          <cell r="V102">
            <v>295806007.95824516</v>
          </cell>
          <cell r="W102">
            <v>4596519.7829324761</v>
          </cell>
          <cell r="X102">
            <v>4596519.7829324761</v>
          </cell>
          <cell r="Y102">
            <v>98297808770.635712</v>
          </cell>
          <cell r="Z102">
            <v>98297808770.635712</v>
          </cell>
          <cell r="AA102">
            <v>87110226351.702148</v>
          </cell>
          <cell r="AB102">
            <v>87110226351.702148</v>
          </cell>
          <cell r="AC102">
            <v>68060244169.083656</v>
          </cell>
          <cell r="AD102"/>
          <cell r="AE102">
            <v>96</v>
          </cell>
          <cell r="AF102">
            <v>340.61260177015674</v>
          </cell>
          <cell r="AG102">
            <v>1202.6132948850413</v>
          </cell>
          <cell r="AH102">
            <v>1202.6132948850413</v>
          </cell>
          <cell r="AI102">
            <v>2.5000000000000001E-2</v>
          </cell>
          <cell r="AJ102">
            <v>2.5000000000000001E-2</v>
          </cell>
          <cell r="AK102">
            <v>0.15664093883889682</v>
          </cell>
          <cell r="AL102">
            <v>0.15664093883889682</v>
          </cell>
          <cell r="AM102">
            <v>7996.3157135581278</v>
          </cell>
          <cell r="AN102">
            <v>2.3698444378560666</v>
          </cell>
          <cell r="AO102">
            <v>100551170565.57304</v>
          </cell>
          <cell r="AP102">
            <v>495300120.14460373</v>
          </cell>
          <cell r="AQ102">
            <v>125472380.55918033</v>
          </cell>
          <cell r="AR102">
            <v>125472380.55918033</v>
          </cell>
          <cell r="AS102">
            <v>164590695199.53625</v>
          </cell>
          <cell r="AT102">
            <v>164590695199.53625</v>
          </cell>
          <cell r="AU102">
            <v>145858111116.90463</v>
          </cell>
          <cell r="AV102">
            <v>145858111116.90463</v>
          </cell>
          <cell r="AW102">
            <v>37741069.364106409</v>
          </cell>
          <cell r="AX102">
            <v>89555916175.96843</v>
          </cell>
          <cell r="AY102">
            <v>96</v>
          </cell>
          <cell r="AZ102">
            <v>1.5397305145795022</v>
          </cell>
          <cell r="BA102">
            <v>1.9946010014289521</v>
          </cell>
          <cell r="BD102">
            <v>96</v>
          </cell>
          <cell r="BE102">
            <v>213.34252222456831</v>
          </cell>
          <cell r="BF102">
            <v>11931.144567348776</v>
          </cell>
          <cell r="BG102">
            <v>11931.144567348776</v>
          </cell>
          <cell r="BH102">
            <v>2.5000000000000001E-2</v>
          </cell>
          <cell r="BI102">
            <v>2.5000000000000001E-2</v>
          </cell>
          <cell r="BJ102">
            <v>1.3123800073271403</v>
          </cell>
          <cell r="BK102">
            <v>5210873859.4073677</v>
          </cell>
          <cell r="BL102"/>
          <cell r="BM102">
            <v>96</v>
          </cell>
          <cell r="BN102">
            <v>213.34252222456831</v>
          </cell>
          <cell r="BO102">
            <v>659.04704081860234</v>
          </cell>
          <cell r="BP102">
            <v>659.04704081860234</v>
          </cell>
          <cell r="BQ102">
            <v>2.5000000000000001E-2</v>
          </cell>
          <cell r="BR102">
            <v>2.5000000000000001E-2</v>
          </cell>
          <cell r="BS102">
            <v>5985.2894589753532</v>
          </cell>
          <cell r="BT102">
            <v>0.87362154848651874</v>
          </cell>
          <cell r="BU102">
            <v>2991481551.9804926</v>
          </cell>
          <cell r="BX102">
            <v>96</v>
          </cell>
          <cell r="BY102">
            <v>19161930445.31794</v>
          </cell>
          <cell r="BZ102">
            <v>22769854044.769638</v>
          </cell>
          <cell r="CA102">
            <v>22769854044.769638</v>
          </cell>
          <cell r="CB102">
            <v>29877819.78233508</v>
          </cell>
          <cell r="CC102">
            <v>29877819.78233508</v>
          </cell>
          <cell r="CD102">
            <v>23387268509.319256</v>
          </cell>
          <cell r="CF102">
            <v>0.21738197565250555</v>
          </cell>
          <cell r="CG102">
            <v>0.25831196244534177</v>
          </cell>
          <cell r="CH102">
            <v>0.25831196244534177</v>
          </cell>
          <cell r="CI102">
            <v>3.3894807785718104E-4</v>
          </cell>
          <cell r="CJ102">
            <v>3.3894807785718104E-4</v>
          </cell>
          <cell r="CK102">
            <v>0.26531620330109668</v>
          </cell>
          <cell r="CM102"/>
        </row>
        <row r="103">
          <cell r="T103">
            <v>1.9797300440290024</v>
          </cell>
          <cell r="U103">
            <v>52675372696.13887</v>
          </cell>
          <cell r="V103">
            <v>311848951.23553801</v>
          </cell>
          <cell r="W103">
            <v>4849116.7292974629</v>
          </cell>
          <cell r="X103">
            <v>4849116.7292974629</v>
          </cell>
          <cell r="Y103">
            <v>104758425481.50656</v>
          </cell>
          <cell r="Z103">
            <v>104758425481.50656</v>
          </cell>
          <cell r="AA103">
            <v>92835539978.669495</v>
          </cell>
          <cell r="AB103">
            <v>92835539978.669495</v>
          </cell>
          <cell r="AC103">
            <v>72071888749.596451</v>
          </cell>
          <cell r="AD103"/>
          <cell r="AE103">
            <v>97</v>
          </cell>
          <cell r="AF103">
            <v>344.32498712314919</v>
          </cell>
          <cell r="AG103">
            <v>1230.3068971018783</v>
          </cell>
          <cell r="AH103">
            <v>1230.3068971018783</v>
          </cell>
          <cell r="AI103">
            <v>2.5000000000000001E-2</v>
          </cell>
          <cell r="AJ103">
            <v>2.5000000000000001E-2</v>
          </cell>
          <cell r="AK103">
            <v>0.15664093883889682</v>
          </cell>
          <cell r="AL103">
            <v>0.15664093883889682</v>
          </cell>
          <cell r="AM103">
            <v>8062.6384257945538</v>
          </cell>
          <cell r="AN103">
            <v>2.4538396052013258</v>
          </cell>
          <cell r="AO103">
            <v>113613254897.17329</v>
          </cell>
          <cell r="AP103">
            <v>546524933.83973682</v>
          </cell>
          <cell r="AQ103">
            <v>136807546.73168424</v>
          </cell>
          <cell r="AR103">
            <v>136807546.73168424</v>
          </cell>
          <cell r="AS103">
            <v>183592381274.97302</v>
          </cell>
          <cell r="AT103">
            <v>183592381274.97302</v>
          </cell>
          <cell r="AU103">
            <v>162697155606.26407</v>
          </cell>
          <cell r="AV103">
            <v>162697155606.26407</v>
          </cell>
          <cell r="AW103">
            <v>41751907.857133403</v>
          </cell>
          <cell r="AX103">
            <v>97465596298.162476</v>
          </cell>
          <cell r="AY103">
            <v>97</v>
          </cell>
          <cell r="AZ103">
            <v>1.6053542948894044</v>
          </cell>
          <cell r="BA103">
            <v>2.1568571626926754</v>
          </cell>
          <cell r="BD103">
            <v>97</v>
          </cell>
          <cell r="BE103">
            <v>213.98039758615667</v>
          </cell>
          <cell r="BF103">
            <v>11977.320135029246</v>
          </cell>
          <cell r="BG103">
            <v>11977.320135029246</v>
          </cell>
          <cell r="BH103">
            <v>2.5000000000000001E-2</v>
          </cell>
          <cell r="BI103">
            <v>2.5000000000000001E-2</v>
          </cell>
          <cell r="BJ103">
            <v>1.3147311848760828</v>
          </cell>
          <cell r="BK103">
            <v>5280179511.596736</v>
          </cell>
          <cell r="BL103"/>
          <cell r="BM103">
            <v>97</v>
          </cell>
          <cell r="BN103">
            <v>213.98039758615667</v>
          </cell>
          <cell r="BO103">
            <v>660.81053143558108</v>
          </cell>
          <cell r="BP103">
            <v>660.81053143558108</v>
          </cell>
          <cell r="BQ103">
            <v>2.5000000000000001E-2</v>
          </cell>
          <cell r="BR103">
            <v>2.5000000000000001E-2</v>
          </cell>
          <cell r="BS103">
            <v>5994.9155602928331</v>
          </cell>
          <cell r="BT103">
            <v>0.88009227178053051</v>
          </cell>
          <cell r="BU103">
            <v>3050126666.1608005</v>
          </cell>
          <cell r="BX103">
            <v>97</v>
          </cell>
          <cell r="BY103">
            <v>20319633924.230804</v>
          </cell>
          <cell r="BZ103">
            <v>23855086368.786407</v>
          </cell>
          <cell r="CA103">
            <v>23855086368.786407</v>
          </cell>
          <cell r="CB103">
            <v>29877819.78233508</v>
          </cell>
          <cell r="CC103">
            <v>29877819.78233508</v>
          </cell>
          <cell r="CD103">
            <v>24753988877.02837</v>
          </cell>
          <cell r="CF103">
            <v>0.21885886166920862</v>
          </cell>
          <cell r="CG103">
            <v>0.25693853871389982</v>
          </cell>
          <cell r="CH103">
            <v>0.25693853871389982</v>
          </cell>
          <cell r="CI103">
            <v>3.2180823980898325E-4</v>
          </cell>
          <cell r="CJ103">
            <v>3.2180823980898325E-4</v>
          </cell>
          <cell r="CK103">
            <v>0.26662044442337385</v>
          </cell>
          <cell r="CM103"/>
        </row>
        <row r="104">
          <cell r="T104">
            <v>1.9944790100065575</v>
          </cell>
          <cell r="U104">
            <v>54837910434.012321</v>
          </cell>
          <cell r="V104">
            <v>326541987.08130413</v>
          </cell>
          <cell r="W104">
            <v>5078555.2943904418</v>
          </cell>
          <cell r="X104">
            <v>5078555.2943904418</v>
          </cell>
          <cell r="Y104">
            <v>110823985899.7836</v>
          </cell>
          <cell r="Z104">
            <v>110823985899.7836</v>
          </cell>
          <cell r="AA104">
            <v>98210759910.773193</v>
          </cell>
          <cell r="AB104">
            <v>98210759910.773193</v>
          </cell>
          <cell r="AC104">
            <v>75869348335.842529</v>
          </cell>
          <cell r="AD104"/>
          <cell r="AE104">
            <v>98</v>
          </cell>
          <cell r="AF104">
            <v>347.87129998996056</v>
          </cell>
          <cell r="AG104">
            <v>1254.210236385484</v>
          </cell>
          <cell r="AH104">
            <v>1254.210236385484</v>
          </cell>
          <cell r="AI104">
            <v>2.5000000000000001E-2</v>
          </cell>
          <cell r="AJ104">
            <v>2.5000000000000001E-2</v>
          </cell>
          <cell r="AK104">
            <v>0.15664093883889682</v>
          </cell>
          <cell r="AL104">
            <v>0.15664093883889682</v>
          </cell>
          <cell r="AM104">
            <v>8130.2848669690393</v>
          </cell>
          <cell r="AN104">
            <v>2.518916278762676</v>
          </cell>
          <cell r="AO104">
            <v>125910956236.02077</v>
          </cell>
          <cell r="AP104">
            <v>593508830.64051723</v>
          </cell>
          <cell r="AQ104">
            <v>147238179.04841965</v>
          </cell>
          <cell r="AR104">
            <v>147238179.04841965</v>
          </cell>
          <cell r="AS104">
            <v>201428964361.40302</v>
          </cell>
          <cell r="AT104">
            <v>201428964361.40302</v>
          </cell>
          <cell r="AU104">
            <v>178503701137.96878</v>
          </cell>
          <cell r="AV104">
            <v>178503701137.96878</v>
          </cell>
          <cell r="AW104">
            <v>45427099.879251957</v>
          </cell>
          <cell r="AX104">
            <v>104957104244.73048</v>
          </cell>
          <cell r="AY104">
            <v>98</v>
          </cell>
          <cell r="AZ104">
            <v>1.6626747523590804</v>
          </cell>
          <cell r="BA104">
            <v>2.2960567833366339</v>
          </cell>
          <cell r="BD104">
            <v>98</v>
          </cell>
          <cell r="BE104">
            <v>214.61804010666015</v>
          </cell>
          <cell r="BF104">
            <v>12023.476214713124</v>
          </cell>
          <cell r="BG104">
            <v>12023.476214713124</v>
          </cell>
          <cell r="BH104">
            <v>2.5000000000000001E-2</v>
          </cell>
          <cell r="BI104">
            <v>2.5000000000000001E-2</v>
          </cell>
          <cell r="BJ104">
            <v>1.3170806262478596</v>
          </cell>
          <cell r="BK104">
            <v>5349482215.6095123</v>
          </cell>
          <cell r="BL104"/>
          <cell r="BM104">
            <v>98</v>
          </cell>
          <cell r="BN104">
            <v>214.61804010666015</v>
          </cell>
          <cell r="BO104">
            <v>662.57330291511641</v>
          </cell>
          <cell r="BP104">
            <v>662.57330291511641</v>
          </cell>
          <cell r="BQ104">
            <v>2.5000000000000001E-2</v>
          </cell>
          <cell r="BR104">
            <v>2.5000000000000001E-2</v>
          </cell>
          <cell r="BS104">
            <v>6004.5374591320142</v>
          </cell>
          <cell r="BT104">
            <v>0.8865599003855813</v>
          </cell>
          <cell r="BU104">
            <v>3108784875.9756317</v>
          </cell>
          <cell r="BX104">
            <v>98</v>
          </cell>
          <cell r="BY104">
            <v>21477653974.571388</v>
          </cell>
          <cell r="BZ104">
            <v>24991667043.670986</v>
          </cell>
          <cell r="CA104">
            <v>24991667043.670986</v>
          </cell>
          <cell r="CB104">
            <v>29877819.78233508</v>
          </cell>
          <cell r="CC104">
            <v>29877819.78233508</v>
          </cell>
          <cell r="CD104">
            <v>25872983314.372982</v>
          </cell>
          <cell r="CF104">
            <v>0.22052399710584913</v>
          </cell>
          <cell r="CG104">
            <v>0.25660448377341127</v>
          </cell>
          <cell r="CH104">
            <v>0.25660448377341127</v>
          </cell>
          <cell r="CI104">
            <v>3.0677355408600813E-4</v>
          </cell>
          <cell r="CJ104">
            <v>3.0677355408600813E-4</v>
          </cell>
          <cell r="CK104">
            <v>0.26565348823915635</v>
          </cell>
          <cell r="CM104"/>
        </row>
        <row r="105">
          <cell r="T105">
            <v>2.0092279759841127</v>
          </cell>
          <cell r="U105">
            <v>57069098284.128036</v>
          </cell>
          <cell r="V105">
            <v>341156976.42549169</v>
          </cell>
          <cell r="W105">
            <v>5306846.8952596933</v>
          </cell>
          <cell r="X105">
            <v>5306846.8952596933</v>
          </cell>
          <cell r="Y105">
            <v>116964458795.00519</v>
          </cell>
          <cell r="Z105">
            <v>116964458795.00519</v>
          </cell>
          <cell r="AA105">
            <v>103652366295.48267</v>
          </cell>
          <cell r="AB105">
            <v>103652366295.48267</v>
          </cell>
          <cell r="AC105">
            <v>79680616571.21405</v>
          </cell>
          <cell r="AD105"/>
          <cell r="AE105">
            <v>99</v>
          </cell>
          <cell r="AF105">
            <v>351.41761285677188</v>
          </cell>
          <cell r="AG105">
            <v>1269.2208620900194</v>
          </cell>
          <cell r="AH105">
            <v>1269.2208620900194</v>
          </cell>
          <cell r="AI105">
            <v>2.5000000000000001E-2</v>
          </cell>
          <cell r="AJ105">
            <v>2.5000000000000001E-2</v>
          </cell>
          <cell r="AK105">
            <v>0.15664093883889682</v>
          </cell>
          <cell r="AL105">
            <v>0.15664093883889682</v>
          </cell>
          <cell r="AM105">
            <v>8197.0754516970574</v>
          </cell>
          <cell r="AN105">
            <v>2.5963624485362296</v>
          </cell>
          <cell r="AO105">
            <v>138298525071.94962</v>
          </cell>
          <cell r="AP105">
            <v>639856251.44482255</v>
          </cell>
          <cell r="AQ105">
            <v>158457840.60114008</v>
          </cell>
          <cell r="AR105">
            <v>158457840.60114008</v>
          </cell>
          <cell r="AS105">
            <v>219372445321.19211</v>
          </cell>
          <cell r="AT105">
            <v>219372445321.19211</v>
          </cell>
          <cell r="AU105">
            <v>194404978160.24576</v>
          </cell>
          <cell r="AV105">
            <v>194404978160.24576</v>
          </cell>
          <cell r="AW105">
            <v>49070671.177258477</v>
          </cell>
          <cell r="AX105">
            <v>111845232470.6926</v>
          </cell>
          <cell r="AY105">
            <v>99</v>
          </cell>
          <cell r="AZ105">
            <v>1.6966794924710584</v>
          </cell>
          <cell r="BA105">
            <v>2.4233522033834722</v>
          </cell>
          <cell r="BD105">
            <v>99</v>
          </cell>
          <cell r="BE105">
            <v>215.25568262716362</v>
          </cell>
          <cell r="BF105">
            <v>12069.632294397003</v>
          </cell>
          <cell r="BG105">
            <v>12069.632294397003</v>
          </cell>
          <cell r="BH105">
            <v>2.5000000000000001E-2</v>
          </cell>
          <cell r="BI105">
            <v>2.5000000000000001E-2</v>
          </cell>
          <cell r="BJ105">
            <v>1.3194300676196364</v>
          </cell>
          <cell r="BK105">
            <v>5418784919.6222887</v>
          </cell>
          <cell r="BL105"/>
          <cell r="BM105">
            <v>99</v>
          </cell>
          <cell r="BN105">
            <v>215.25568262716362</v>
          </cell>
          <cell r="BO105">
            <v>664.33607439465186</v>
          </cell>
          <cell r="BP105">
            <v>664.33607439465186</v>
          </cell>
          <cell r="BQ105">
            <v>2.5000000000000001E-2</v>
          </cell>
          <cell r="BR105">
            <v>2.5000000000000001E-2</v>
          </cell>
          <cell r="BS105">
            <v>6014.1593579711944</v>
          </cell>
          <cell r="BT105">
            <v>0.89302752899063209</v>
          </cell>
          <cell r="BU105">
            <v>3167443085.7904634</v>
          </cell>
          <cell r="BX105">
            <v>99</v>
          </cell>
          <cell r="BY105">
            <v>22687503349.671555</v>
          </cell>
          <cell r="BZ105">
            <v>26179339378.830101</v>
          </cell>
          <cell r="CA105">
            <v>26179339378.830101</v>
          </cell>
          <cell r="CB105">
            <v>29877819.78233508</v>
          </cell>
          <cell r="CC105">
            <v>29877819.78233508</v>
          </cell>
          <cell r="CD105">
            <v>27048190017.252445</v>
          </cell>
          <cell r="CF105">
            <v>0.22209091151022256</v>
          </cell>
          <cell r="CG105">
            <v>0.25627294708317971</v>
          </cell>
          <cell r="CH105">
            <v>0.25627294708317971</v>
          </cell>
          <cell r="CI105">
            <v>2.924778512261033E-4</v>
          </cell>
          <cell r="CJ105">
            <v>2.924778512261033E-4</v>
          </cell>
          <cell r="CK105">
            <v>0.26477823862096589</v>
          </cell>
          <cell r="CM105"/>
        </row>
        <row r="106">
          <cell r="T106">
            <v>2.023976941961668</v>
          </cell>
          <cell r="U106">
            <v>59370408031.875359</v>
          </cell>
          <cell r="V106">
            <v>356255370.96677238</v>
          </cell>
          <cell r="W106">
            <v>5542714.5676980522</v>
          </cell>
          <cell r="X106">
            <v>5542714.5676980522</v>
          </cell>
          <cell r="Y106">
            <v>123373255739.98811</v>
          </cell>
          <cell r="Z106">
            <v>123373255739.98811</v>
          </cell>
          <cell r="AA106">
            <v>109331757926.90968</v>
          </cell>
          <cell r="AB106">
            <v>109331757926.90968</v>
          </cell>
          <cell r="AC106">
            <v>83636608056.577438</v>
          </cell>
          <cell r="AD106"/>
          <cell r="AE106">
            <v>100</v>
          </cell>
          <cell r="AF106">
            <v>354.96331406967727</v>
          </cell>
          <cell r="AG106">
            <v>1282.7316888906832</v>
          </cell>
          <cell r="AH106">
            <v>1282.7316888906832</v>
          </cell>
          <cell r="AI106">
            <v>2.5000000000000001E-2</v>
          </cell>
          <cell r="AJ106">
            <v>2.5000000000000001E-2</v>
          </cell>
          <cell r="AK106">
            <v>0.15664093883889682</v>
          </cell>
          <cell r="AL106">
            <v>0.15664093883889682</v>
          </cell>
          <cell r="AM106">
            <v>8264.3426622219631</v>
          </cell>
          <cell r="AN106">
            <v>2.6770218776377752</v>
          </cell>
          <cell r="AO106">
            <v>151613901571.82187</v>
          </cell>
          <cell r="AP106">
            <v>688846514.20973444</v>
          </cell>
          <cell r="AQ106">
            <v>170496357.55281669</v>
          </cell>
          <cell r="AR106">
            <v>170496357.55281669</v>
          </cell>
          <cell r="AS106">
            <v>238551455189.495</v>
          </cell>
          <cell r="AT106">
            <v>238551455189.495</v>
          </cell>
          <cell r="AU106">
            <v>211401164664.54224</v>
          </cell>
          <cell r="AV106">
            <v>211401164664.54224</v>
          </cell>
          <cell r="AW106">
            <v>52926430.960604444</v>
          </cell>
          <cell r="AX106">
            <v>118955550416.21576</v>
          </cell>
          <cell r="AY106">
            <v>100</v>
          </cell>
          <cell r="AZ106">
            <v>1.7271637448662365</v>
          </cell>
          <cell r="BA106">
            <v>2.5536947883265673</v>
          </cell>
          <cell r="BD106">
            <v>100</v>
          </cell>
          <cell r="BE106">
            <v>215.89332514766707</v>
          </cell>
          <cell r="BF106">
            <v>12115.788374080881</v>
          </cell>
          <cell r="BG106">
            <v>12115.788374080881</v>
          </cell>
          <cell r="BH106">
            <v>2.5000000000000001E-2</v>
          </cell>
          <cell r="BI106">
            <v>2.5000000000000001E-2</v>
          </cell>
          <cell r="BJ106">
            <v>1.3217795089914131</v>
          </cell>
          <cell r="BK106">
            <v>5488087623.6350651</v>
          </cell>
          <cell r="BL106"/>
          <cell r="BM106">
            <v>100</v>
          </cell>
          <cell r="BN106">
            <v>215.89332514766707</v>
          </cell>
          <cell r="BO106">
            <v>666.09884587418719</v>
          </cell>
          <cell r="BP106">
            <v>666.09884587418719</v>
          </cell>
          <cell r="BQ106">
            <v>2.5000000000000001E-2</v>
          </cell>
          <cell r="BR106">
            <v>2.5000000000000001E-2</v>
          </cell>
          <cell r="BS106">
            <v>6023.7812568103745</v>
          </cell>
          <cell r="BT106">
            <v>0.89949515759568299</v>
          </cell>
          <cell r="BU106">
            <v>3226101295.6052947</v>
          </cell>
          <cell r="BX106">
            <v>100</v>
          </cell>
          <cell r="BY106">
            <v>23950678450.612495</v>
          </cell>
          <cell r="BZ106">
            <v>27419798899.080921</v>
          </cell>
          <cell r="CA106">
            <v>27419798899.080921</v>
          </cell>
          <cell r="CB106">
            <v>29877819.78233508</v>
          </cell>
          <cell r="CC106">
            <v>29877819.78233508</v>
          </cell>
          <cell r="CD106">
            <v>28281743503.957031</v>
          </cell>
          <cell r="CF106">
            <v>0.22356278856492109</v>
          </cell>
          <cell r="CG106">
            <v>0.25594459532360841</v>
          </cell>
          <cell r="CH106">
            <v>0.25594459532360841</v>
          </cell>
          <cell r="CI106">
            <v>2.7888849664750007E-4</v>
          </cell>
          <cell r="CJ106">
            <v>2.7888849664750007E-4</v>
          </cell>
          <cell r="CK106">
            <v>0.26399024379456709</v>
          </cell>
          <cell r="CM106"/>
        </row>
        <row r="107">
          <cell r="V107">
            <v>372438526.10287809</v>
          </cell>
          <cell r="W107">
            <v>5796565.337396808</v>
          </cell>
          <cell r="X107">
            <v>5796565.337396808</v>
          </cell>
          <cell r="AP107">
            <v>744957452.3651762</v>
          </cell>
        </row>
        <row r="108">
          <cell r="V108">
            <v>388610778.5029676</v>
          </cell>
          <cell r="W108">
            <v>6051501.144340137</v>
          </cell>
          <cell r="X108">
            <v>6051501.144340137</v>
          </cell>
          <cell r="AP108">
            <v>801519529.1949656</v>
          </cell>
        </row>
        <row r="109">
          <cell r="V109">
            <v>405378929.38547075</v>
          </cell>
          <cell r="W109">
            <v>6315674.3155099973</v>
          </cell>
          <cell r="X109">
            <v>6315674.3155099973</v>
          </cell>
          <cell r="AP109">
            <v>861742965.29816628</v>
          </cell>
        </row>
        <row r="110">
          <cell r="V110">
            <v>422710579.90752912</v>
          </cell>
          <cell r="W110">
            <v>6588823.6162775382</v>
          </cell>
          <cell r="X110">
            <v>6588823.6162775382</v>
          </cell>
          <cell r="AP110">
            <v>925487599.41753459</v>
          </cell>
        </row>
        <row r="111">
          <cell r="V111">
            <v>439311273.4734081</v>
          </cell>
          <cell r="W111">
            <v>6846495.1623906922</v>
          </cell>
          <cell r="X111">
            <v>6846495.1623906922</v>
          </cell>
          <cell r="AP111">
            <v>987560221.03186202</v>
          </cell>
        </row>
        <row r="112">
          <cell r="V112">
            <v>456311460.18470049</v>
          </cell>
          <cell r="W112">
            <v>7111403.2893235777</v>
          </cell>
          <cell r="X112">
            <v>7111403.2893235777</v>
          </cell>
          <cell r="AP112">
            <v>1052588172.3251535</v>
          </cell>
        </row>
        <row r="113">
          <cell r="V113">
            <v>473996832.94609749</v>
          </cell>
          <cell r="W113">
            <v>7387807.4651411586</v>
          </cell>
          <cell r="X113">
            <v>7387807.4651411586</v>
          </cell>
          <cell r="AP113">
            <v>1122230779.1049137</v>
          </cell>
        </row>
        <row r="114">
          <cell r="V114">
            <v>491066112.55653572</v>
          </cell>
          <cell r="W114">
            <v>7647677.5973047661</v>
          </cell>
          <cell r="X114">
            <v>7647677.5973047661</v>
          </cell>
          <cell r="AP114">
            <v>1190083087.6174605</v>
          </cell>
        </row>
        <row r="115">
          <cell r="V115">
            <v>507692634.65986657</v>
          </cell>
          <cell r="W115">
            <v>7896436.1419291981</v>
          </cell>
          <cell r="X115">
            <v>7896436.1419291981</v>
          </cell>
          <cell r="AP115">
            <v>1257253279.8832092</v>
          </cell>
        </row>
        <row r="116">
          <cell r="V116">
            <v>524571558.95039475</v>
          </cell>
          <cell r="W116">
            <v>8148636.6929089371</v>
          </cell>
          <cell r="X116">
            <v>8148636.6929089371</v>
          </cell>
          <cell r="AP116">
            <v>1326091016.1645963</v>
          </cell>
        </row>
        <row r="117">
          <cell r="V117">
            <v>542107428.70770407</v>
          </cell>
          <cell r="W117">
            <v>8430565.3393049128</v>
          </cell>
          <cell r="X117">
            <v>8430565.3393049128</v>
          </cell>
          <cell r="AP117">
            <v>1412633244.5009589</v>
          </cell>
        </row>
        <row r="118">
          <cell r="V118">
            <v>560047970.84289408</v>
          </cell>
          <cell r="W118">
            <v>8719283.7304115705</v>
          </cell>
          <cell r="X118">
            <v>8719283.7304115705</v>
          </cell>
          <cell r="AP118">
            <v>1503136043.8212283</v>
          </cell>
        </row>
        <row r="119">
          <cell r="V119">
            <v>578596375.95809889</v>
          </cell>
          <cell r="W119">
            <v>9017648.8580787852</v>
          </cell>
          <cell r="X119">
            <v>9017648.8580787852</v>
          </cell>
          <cell r="AP119">
            <v>1599295721.3881068</v>
          </cell>
        </row>
        <row r="120">
          <cell r="V120">
            <v>599514163.33196223</v>
          </cell>
          <cell r="W120">
            <v>9353306.2306840587</v>
          </cell>
          <cell r="X120">
            <v>9353306.2306840587</v>
          </cell>
          <cell r="AP120">
            <v>1705452997.4215996</v>
          </cell>
        </row>
        <row r="121">
          <cell r="V121">
            <v>621526476.68946087</v>
          </cell>
          <cell r="W121">
            <v>9702533.5487520993</v>
          </cell>
          <cell r="X121">
            <v>9702533.5487520993</v>
          </cell>
          <cell r="AP121">
            <v>1818277110.7859862</v>
          </cell>
        </row>
        <row r="122">
          <cell r="V122">
            <v>643983225.2766391</v>
          </cell>
          <cell r="W122">
            <v>10054628.218503188</v>
          </cell>
          <cell r="X122">
            <v>10054628.218503188</v>
          </cell>
          <cell r="AP122">
            <v>1935245223.2099819</v>
          </cell>
        </row>
        <row r="123">
          <cell r="V123">
            <v>666971148.34824681</v>
          </cell>
          <cell r="W123">
            <v>10410499.014993344</v>
          </cell>
          <cell r="X123">
            <v>10410499.014993344</v>
          </cell>
          <cell r="AP123">
            <v>2057115100.2631836</v>
          </cell>
        </row>
        <row r="124">
          <cell r="V124">
            <v>690669612.38745987</v>
          </cell>
          <cell r="W124">
            <v>10775631.684309736</v>
          </cell>
          <cell r="X124">
            <v>10775631.684309736</v>
          </cell>
          <cell r="AP124">
            <v>2185520046.7808194</v>
          </cell>
        </row>
        <row r="125">
          <cell r="V125">
            <v>715123234.88314605</v>
          </cell>
          <cell r="W125">
            <v>11150929.957543124</v>
          </cell>
          <cell r="X125">
            <v>11150929.957543124</v>
          </cell>
          <cell r="AP125">
            <v>2320993653.554399</v>
          </cell>
        </row>
        <row r="126">
          <cell r="V126">
            <v>740363853.45005786</v>
          </cell>
          <cell r="W126">
            <v>11538146.669417324</v>
          </cell>
          <cell r="X126">
            <v>11538146.669417324</v>
          </cell>
          <cell r="AP126">
            <v>2463977916.1085429</v>
          </cell>
        </row>
        <row r="127">
          <cell r="V127">
            <v>763681268.58566177</v>
          </cell>
          <cell r="W127">
            <v>11895054.215698425</v>
          </cell>
          <cell r="X127">
            <v>11895054.215698425</v>
          </cell>
          <cell r="AP127">
            <v>2589237977.5202761</v>
          </cell>
        </row>
        <row r="128">
          <cell r="V128">
            <v>787353703.51546347</v>
          </cell>
          <cell r="W128">
            <v>12257173.765559372</v>
          </cell>
          <cell r="X128">
            <v>12257173.765559372</v>
          </cell>
          <cell r="AP128">
            <v>2720477227.1621532</v>
          </cell>
        </row>
        <row r="129">
          <cell r="V129">
            <v>811065117.56831121</v>
          </cell>
          <cell r="W129">
            <v>12609709.441286787</v>
          </cell>
          <cell r="X129">
            <v>12609709.441286787</v>
          </cell>
          <cell r="AP129">
            <v>2854736625.9708195</v>
          </cell>
        </row>
        <row r="130">
          <cell r="V130">
            <v>835438577.96819103</v>
          </cell>
          <cell r="W130">
            <v>12967746.973301273</v>
          </cell>
          <cell r="X130">
            <v>12967746.973301273</v>
          </cell>
          <cell r="AP130">
            <v>2995185666.3723488</v>
          </cell>
        </row>
        <row r="131">
          <cell r="V131">
            <v>860347747.4755646</v>
          </cell>
          <cell r="W131">
            <v>13333123.281908404</v>
          </cell>
          <cell r="X131">
            <v>13333123.281908404</v>
          </cell>
          <cell r="AP131">
            <v>3140644244.8071828</v>
          </cell>
        </row>
        <row r="132">
          <cell r="V132">
            <v>885246493.88579869</v>
          </cell>
          <cell r="W132">
            <v>13697365.947050471</v>
          </cell>
          <cell r="X132">
            <v>13697365.947050471</v>
          </cell>
          <cell r="AP132">
            <v>3293323625.5721498</v>
          </cell>
        </row>
        <row r="133">
          <cell r="V133">
            <v>910605822.6759584</v>
          </cell>
          <cell r="W133">
            <v>14067769.358553506</v>
          </cell>
          <cell r="X133">
            <v>14067769.358553506</v>
          </cell>
          <cell r="AP133">
            <v>3450978081.5429945</v>
          </cell>
        </row>
        <row r="134">
          <cell r="V134">
            <v>936829292.47771025</v>
          </cell>
          <cell r="W134">
            <v>14450542.178956162</v>
          </cell>
          <cell r="X134">
            <v>14450542.178956162</v>
          </cell>
          <cell r="AP134">
            <v>3617660949.3116827</v>
          </cell>
        </row>
        <row r="135">
          <cell r="V135">
            <v>963500811.76934648</v>
          </cell>
          <cell r="W135">
            <v>14841419.151168233</v>
          </cell>
          <cell r="X135">
            <v>14841419.151168233</v>
          </cell>
          <cell r="AP135">
            <v>3789211828.6916366</v>
          </cell>
        </row>
        <row r="136">
          <cell r="V136">
            <v>991063774.49454594</v>
          </cell>
          <cell r="W136">
            <v>15245129.381944366</v>
          </cell>
          <cell r="X136">
            <v>15245129.381944366</v>
          </cell>
          <cell r="AP136">
            <v>3970369289.0981479</v>
          </cell>
        </row>
        <row r="137">
          <cell r="V137">
            <v>1018515452.1093944</v>
          </cell>
          <cell r="W137">
            <v>15646216.302174658</v>
          </cell>
          <cell r="X137">
            <v>15646216.302174658</v>
          </cell>
          <cell r="AP137">
            <v>4150516826.155591</v>
          </cell>
        </row>
        <row r="138">
          <cell r="V138">
            <v>1046815662.0477178</v>
          </cell>
          <cell r="W138">
            <v>16059427.216223858</v>
          </cell>
          <cell r="X138">
            <v>16059427.216223858</v>
          </cell>
          <cell r="AP138">
            <v>4339923345.2571487</v>
          </cell>
        </row>
        <row r="139">
          <cell r="V139">
            <v>1075673342.0754423</v>
          </cell>
          <cell r="W139">
            <v>16480266.265798805</v>
          </cell>
          <cell r="X139">
            <v>16480266.265798805</v>
          </cell>
          <cell r="AP139">
            <v>4535545294.5976982</v>
          </cell>
        </row>
        <row r="140">
          <cell r="V140">
            <v>1105363785.7616117</v>
          </cell>
          <cell r="W140">
            <v>16912927.510005087</v>
          </cell>
          <cell r="X140">
            <v>16912927.510005087</v>
          </cell>
          <cell r="AP140">
            <v>4740531424.7978497</v>
          </cell>
        </row>
        <row r="141">
          <cell r="V141">
            <v>1132670615.1106284</v>
          </cell>
          <cell r="W141">
            <v>17308227.638492212</v>
          </cell>
          <cell r="X141">
            <v>17308227.638492212</v>
          </cell>
          <cell r="AP141">
            <v>4939638877.5203447</v>
          </cell>
        </row>
        <row r="142">
          <cell r="V142">
            <v>1159172793.3954587</v>
          </cell>
          <cell r="W142">
            <v>17657761.028892763</v>
          </cell>
          <cell r="X142">
            <v>17657761.028892763</v>
          </cell>
          <cell r="AP142">
            <v>5140556734.3399715</v>
          </cell>
        </row>
        <row r="143">
          <cell r="V143">
            <v>1186170369.7950525</v>
          </cell>
          <cell r="W143">
            <v>18012912.502878111</v>
          </cell>
          <cell r="X143">
            <v>18012912.502878111</v>
          </cell>
          <cell r="AP143">
            <v>5348255463.5193682</v>
          </cell>
        </row>
        <row r="144">
          <cell r="V144">
            <v>1213728988.0184667</v>
          </cell>
          <cell r="W144">
            <v>18374637.904015779</v>
          </cell>
          <cell r="X144">
            <v>18374637.904015779</v>
          </cell>
          <cell r="AP144">
            <v>5563617244.6054859</v>
          </cell>
        </row>
        <row r="145">
          <cell r="V145">
            <v>1241857407.2771926</v>
          </cell>
          <cell r="W145">
            <v>18741756.885921013</v>
          </cell>
          <cell r="X145">
            <v>18741756.885921013</v>
          </cell>
          <cell r="AP145">
            <v>5786880665.5283575</v>
          </cell>
        </row>
        <row r="146">
          <cell r="V146">
            <v>1270507010.0650535</v>
          </cell>
          <cell r="W146">
            <v>19113240.310535043</v>
          </cell>
          <cell r="X146">
            <v>19113240.310535043</v>
          </cell>
          <cell r="AP146">
            <v>6017590111.2247133</v>
          </cell>
        </row>
        <row r="147">
          <cell r="V147">
            <v>1299715093.512476</v>
          </cell>
          <cell r="W147">
            <v>19480341.900861077</v>
          </cell>
          <cell r="X147">
            <v>19480341.900861077</v>
          </cell>
          <cell r="AP147">
            <v>6256318391.1641626</v>
          </cell>
        </row>
        <row r="148">
          <cell r="V148">
            <v>1329397025.6208715</v>
          </cell>
          <cell r="W148">
            <v>19852069.439545099</v>
          </cell>
          <cell r="X148">
            <v>19852069.439545099</v>
          </cell>
          <cell r="AP148">
            <v>6502136384.1881037</v>
          </cell>
        </row>
        <row r="149">
          <cell r="V149">
            <v>1360112745.7573624</v>
          </cell>
          <cell r="W149">
            <v>20236716.248429</v>
          </cell>
          <cell r="X149">
            <v>20236716.248429</v>
          </cell>
          <cell r="AP149">
            <v>6762225776.5478382</v>
          </cell>
        </row>
        <row r="150">
          <cell r="V150">
            <v>1391822009.5367808</v>
          </cell>
          <cell r="W150">
            <v>20633558.209785864</v>
          </cell>
          <cell r="X150">
            <v>20633558.209785864</v>
          </cell>
          <cell r="AP150">
            <v>7036437530.0764322</v>
          </cell>
        </row>
        <row r="151">
          <cell r="V151">
            <v>1424389137.4921279</v>
          </cell>
          <cell r="W151">
            <v>21040472.769343257</v>
          </cell>
          <cell r="X151">
            <v>21040472.769343257</v>
          </cell>
          <cell r="AP151">
            <v>7323359514.8706532</v>
          </cell>
        </row>
        <row r="152">
          <cell r="V152">
            <v>1457370688.3362098</v>
          </cell>
          <cell r="W152">
            <v>21450838.583257794</v>
          </cell>
          <cell r="X152">
            <v>21450838.583257794</v>
          </cell>
          <cell r="AP152">
            <v>7617422850.3170347</v>
          </cell>
        </row>
        <row r="153">
          <cell r="V153">
            <v>1491303249.2738304</v>
          </cell>
          <cell r="W153">
            <v>21872502.600319412</v>
          </cell>
          <cell r="X153">
            <v>21872502.600319412</v>
          </cell>
          <cell r="AP153">
            <v>7925857317.8826418</v>
          </cell>
        </row>
        <row r="154">
          <cell r="V154">
            <v>1525596127.5070119</v>
          </cell>
          <cell r="W154">
            <v>22296726.173157528</v>
          </cell>
          <cell r="X154">
            <v>22296726.173157528</v>
          </cell>
          <cell r="AP154">
            <v>8240985954.425993</v>
          </cell>
        </row>
        <row r="155">
          <cell r="V155">
            <v>1560911409.9652603</v>
          </cell>
          <cell r="W155">
            <v>22733139.037602611</v>
          </cell>
          <cell r="X155">
            <v>22733139.037602611</v>
          </cell>
          <cell r="AP155">
            <v>8571926536.5481405</v>
          </cell>
        </row>
        <row r="156">
          <cell r="V156">
            <v>1593210688.4072037</v>
          </cell>
          <cell r="W156">
            <v>23284123.985482972</v>
          </cell>
          <cell r="X156">
            <v>23284123.985482972</v>
          </cell>
          <cell r="AP156">
            <v>8896786599.4195042</v>
          </cell>
        </row>
        <row r="157">
          <cell r="V157">
            <v>1623107587.8542674</v>
          </cell>
          <cell r="W157">
            <v>23843835.856090374</v>
          </cell>
          <cell r="X157">
            <v>23843835.856090374</v>
          </cell>
          <cell r="AP157">
            <v>9228588606.4590855</v>
          </cell>
        </row>
        <row r="158">
          <cell r="V158">
            <v>1653263066.4081237</v>
          </cell>
          <cell r="W158">
            <v>24411263.644332632</v>
          </cell>
          <cell r="X158">
            <v>24411263.644332632</v>
          </cell>
          <cell r="AP158">
            <v>9567737764.4484768</v>
          </cell>
        </row>
        <row r="159">
          <cell r="V159">
            <v>1685438700.8552709</v>
          </cell>
          <cell r="W159">
            <v>25012578.781062309</v>
          </cell>
          <cell r="X159">
            <v>25012578.781062309</v>
          </cell>
          <cell r="AP159">
            <v>9939974735.6044388</v>
          </cell>
        </row>
        <row r="160">
          <cell r="V160">
            <v>1717259313.8946066</v>
          </cell>
          <cell r="W160">
            <v>25623188.3803057</v>
          </cell>
          <cell r="X160">
            <v>25623188.3803057</v>
          </cell>
          <cell r="AP160">
            <v>10323637999.94525</v>
          </cell>
        </row>
        <row r="161">
          <cell r="V161">
            <v>1749772056.9657145</v>
          </cell>
          <cell r="W161">
            <v>26249021.390749283</v>
          </cell>
          <cell r="X161">
            <v>26249021.390749283</v>
          </cell>
          <cell r="AP161">
            <v>10722915212.591988</v>
          </cell>
        </row>
        <row r="162">
          <cell r="V162">
            <v>1775020081.6574278</v>
          </cell>
          <cell r="W162">
            <v>26672342.993611977</v>
          </cell>
          <cell r="X162">
            <v>26672342.993611977</v>
          </cell>
          <cell r="AP162">
            <v>11016346911.032249</v>
          </cell>
        </row>
        <row r="163">
          <cell r="V163">
            <v>1796032491.0013103</v>
          </cell>
          <cell r="W163">
            <v>26981468.76965357</v>
          </cell>
          <cell r="X163">
            <v>26981468.76965357</v>
          </cell>
          <cell r="AP163">
            <v>11246787047.052246</v>
          </cell>
        </row>
        <row r="164">
          <cell r="V164">
            <v>1811576298.4661908</v>
          </cell>
          <cell r="W164">
            <v>27208333.468258806</v>
          </cell>
          <cell r="X164">
            <v>27208333.468258806</v>
          </cell>
          <cell r="AP164">
            <v>11393745570.776894</v>
          </cell>
        </row>
        <row r="165">
          <cell r="V165">
            <v>1824115673.7068663</v>
          </cell>
          <cell r="W165">
            <v>27389998.547780748</v>
          </cell>
          <cell r="X165">
            <v>27389998.547780748</v>
          </cell>
          <cell r="AP165">
            <v>11494258373.648552</v>
          </cell>
        </row>
        <row r="166">
          <cell r="V166">
            <v>1836689705.4447069</v>
          </cell>
          <cell r="W166">
            <v>27572119.700566817</v>
          </cell>
          <cell r="X166">
            <v>27572119.700566817</v>
          </cell>
          <cell r="AP166">
            <v>11595200496.753036</v>
          </cell>
        </row>
      </sheetData>
      <sheetData sheetId="15">
        <row r="7">
          <cell r="M7">
            <v>60</v>
          </cell>
          <cell r="V7">
            <v>25211.862454755537</v>
          </cell>
          <cell r="W7">
            <v>1890.8896841066655</v>
          </cell>
          <cell r="X7">
            <v>1890.8896841066655</v>
          </cell>
          <cell r="AP7">
            <v>18630.906248060655</v>
          </cell>
        </row>
        <row r="8">
          <cell r="V8">
            <v>33094.832300854454</v>
          </cell>
          <cell r="W8">
            <v>2355.1430763519029</v>
          </cell>
          <cell r="X8">
            <v>2355.1430763519029</v>
          </cell>
          <cell r="AP8">
            <v>26138.00984776246</v>
          </cell>
        </row>
        <row r="9">
          <cell r="V9">
            <v>41901.069276733586</v>
          </cell>
          <cell r="W9">
            <v>2849.3778344521152</v>
          </cell>
          <cell r="X9">
            <v>2849.3778344521152</v>
          </cell>
          <cell r="AP9">
            <v>35133.692316512366</v>
          </cell>
        </row>
        <row r="10">
          <cell r="V10">
            <v>52158.772975354921</v>
          </cell>
          <cell r="W10">
            <v>3408.7384376828959</v>
          </cell>
          <cell r="X10">
            <v>3408.7384376828959</v>
          </cell>
          <cell r="AP10">
            <v>46191.951241598283</v>
          </cell>
        </row>
        <row r="11">
          <cell r="V11">
            <v>64004.533016983725</v>
          </cell>
          <cell r="W11">
            <v>4038.7119369710836</v>
          </cell>
          <cell r="X11">
            <v>4038.7119369710836</v>
          </cell>
          <cell r="AP11">
            <v>59619.999475666722</v>
          </cell>
        </row>
        <row r="12">
          <cell r="V12">
            <v>77582.946579772586</v>
          </cell>
          <cell r="W12">
            <v>4745.0882906831212</v>
          </cell>
          <cell r="X12">
            <v>4745.0882906831212</v>
          </cell>
          <cell r="AP12">
            <v>75755.226086863258</v>
          </cell>
        </row>
        <row r="13">
          <cell r="V13">
            <v>93046.909834803388</v>
          </cell>
          <cell r="W13">
            <v>5533.9710079988372</v>
          </cell>
          <cell r="X13">
            <v>5533.9710079988372</v>
          </cell>
          <cell r="AP13">
            <v>94967.138384556092</v>
          </cell>
        </row>
        <row r="14">
          <cell r="V14">
            <v>110266.52003334294</v>
          </cell>
          <cell r="W14">
            <v>6394.8885807046536</v>
          </cell>
          <cell r="X14">
            <v>6394.8885807046536</v>
          </cell>
          <cell r="AP14">
            <v>117349.27018985653</v>
          </cell>
        </row>
        <row r="15">
          <cell r="V15">
            <v>128876.37568874929</v>
          </cell>
          <cell r="W15">
            <v>7305.3777386152224</v>
          </cell>
          <cell r="X15">
            <v>7305.3777386152224</v>
          </cell>
          <cell r="AP15">
            <v>142710.51270677024</v>
          </cell>
        </row>
        <row r="16">
          <cell r="V16">
            <v>149653.29082946057</v>
          </cell>
          <cell r="W16">
            <v>8308.4760060872632</v>
          </cell>
          <cell r="X16">
            <v>8308.4760060872632</v>
          </cell>
          <cell r="AP16">
            <v>172057.46319364951</v>
          </cell>
        </row>
        <row r="17">
          <cell r="V17">
            <v>177274.87920157809</v>
          </cell>
          <cell r="W17">
            <v>9656.4713021028474</v>
          </cell>
          <cell r="X17">
            <v>9656.4713021028474</v>
          </cell>
          <cell r="AP17">
            <v>206506.22262844123</v>
          </cell>
        </row>
        <row r="18">
          <cell r="V18">
            <v>208626.14969516307</v>
          </cell>
          <cell r="W18">
            <v>10895.178539989054</v>
          </cell>
          <cell r="X18">
            <v>10895.178539989054</v>
          </cell>
          <cell r="AP18">
            <v>237100.33415743706</v>
          </cell>
        </row>
        <row r="19">
          <cell r="V19">
            <v>242664.52498890966</v>
          </cell>
          <cell r="W19">
            <v>12182.555997304695</v>
          </cell>
          <cell r="X19">
            <v>12182.555997304695</v>
          </cell>
          <cell r="AP19">
            <v>269719.32564286003</v>
          </cell>
        </row>
        <row r="20">
          <cell r="V20">
            <v>280477.69139500929</v>
          </cell>
          <cell r="W20">
            <v>13569.001272793648</v>
          </cell>
          <cell r="X20">
            <v>13569.001272793648</v>
          </cell>
          <cell r="AP20">
            <v>305235.41663368949</v>
          </cell>
        </row>
        <row r="21">
          <cell r="V21">
            <v>322280.88681957271</v>
          </cell>
          <cell r="W21">
            <v>15057.350507831388</v>
          </cell>
          <cell r="X21">
            <v>15057.350507831388</v>
          </cell>
          <cell r="AP21">
            <v>343553.37681636255</v>
          </cell>
        </row>
        <row r="22">
          <cell r="V22">
            <v>368484.99344479077</v>
          </cell>
          <cell r="W22">
            <v>16659.255567550976</v>
          </cell>
          <cell r="X22">
            <v>16659.255567550976</v>
          </cell>
          <cell r="AP22">
            <v>385397.06958968547</v>
          </cell>
        </row>
        <row r="23">
          <cell r="V23">
            <v>419229.15046801692</v>
          </cell>
          <cell r="W23">
            <v>18373.352796654799</v>
          </cell>
          <cell r="X23">
            <v>18373.352796654799</v>
          </cell>
          <cell r="AP23">
            <v>430357.39920614637</v>
          </cell>
        </row>
        <row r="24">
          <cell r="V24">
            <v>475126.93297206098</v>
          </cell>
          <cell r="W24">
            <v>20418.900120325849</v>
          </cell>
          <cell r="X24">
            <v>20418.900120325849</v>
          </cell>
          <cell r="AP24">
            <v>479846.4933657134</v>
          </cell>
        </row>
        <row r="25">
          <cell r="V25">
            <v>536376.65889090579</v>
          </cell>
          <cell r="W25">
            <v>22453.80571459428</v>
          </cell>
          <cell r="X25">
            <v>22453.80571459428</v>
          </cell>
          <cell r="AP25">
            <v>533673.03331246809</v>
          </cell>
        </row>
        <row r="26">
          <cell r="V26">
            <v>599899.23502509936</v>
          </cell>
          <cell r="W26">
            <v>24468.40793111005</v>
          </cell>
          <cell r="X26">
            <v>24468.40793111005</v>
          </cell>
          <cell r="AP26">
            <v>589755.26634478627</v>
          </cell>
        </row>
        <row r="27">
          <cell r="V27">
            <v>672780.9612959912</v>
          </cell>
          <cell r="W27">
            <v>26346.508498513627</v>
          </cell>
          <cell r="X27">
            <v>26346.508498513627</v>
          </cell>
          <cell r="AP27">
            <v>650629.88550000603</v>
          </cell>
        </row>
        <row r="28">
          <cell r="V28">
            <v>750969.12804521876</v>
          </cell>
          <cell r="W28">
            <v>28308.233515098229</v>
          </cell>
          <cell r="X28">
            <v>28308.233515098229</v>
          </cell>
          <cell r="AP28">
            <v>716027.24919813219</v>
          </cell>
        </row>
        <row r="29">
          <cell r="V29">
            <v>834570.11776524666</v>
          </cell>
          <cell r="W29">
            <v>30352.895912289463</v>
          </cell>
          <cell r="X29">
            <v>30352.895912289463</v>
          </cell>
          <cell r="AP29">
            <v>786062.60728173878</v>
          </cell>
        </row>
        <row r="30">
          <cell r="V30">
            <v>923272.61051904596</v>
          </cell>
          <cell r="W30">
            <v>32465.432388564346</v>
          </cell>
          <cell r="X30">
            <v>32465.432388564346</v>
          </cell>
          <cell r="AP30">
            <v>859100.63076860784</v>
          </cell>
        </row>
        <row r="31">
          <cell r="V31">
            <v>1017544.3005622404</v>
          </cell>
          <cell r="W31">
            <v>34672.651816668498</v>
          </cell>
          <cell r="X31">
            <v>34672.651816668498</v>
          </cell>
          <cell r="AP31">
            <v>936297.74859109055</v>
          </cell>
        </row>
        <row r="32">
          <cell r="V32">
            <v>1120527.9215830811</v>
          </cell>
          <cell r="W32">
            <v>37073.017950953072</v>
          </cell>
          <cell r="X32">
            <v>37073.017950953072</v>
          </cell>
          <cell r="AP32">
            <v>1020725.6355478121</v>
          </cell>
        </row>
        <row r="33">
          <cell r="V33">
            <v>1232459.6690860819</v>
          </cell>
          <cell r="W33">
            <v>39653.967562189748</v>
          </cell>
          <cell r="X33">
            <v>39653.967562189748</v>
          </cell>
          <cell r="AP33">
            <v>1113011.8543084229</v>
          </cell>
        </row>
        <row r="34">
          <cell r="V34">
            <v>1359644.4876548359</v>
          </cell>
          <cell r="W34">
            <v>42614.754867021606</v>
          </cell>
          <cell r="X34">
            <v>42614.754867021606</v>
          </cell>
          <cell r="AP34">
            <v>1214679.3368820858</v>
          </cell>
        </row>
        <row r="35">
          <cell r="V35">
            <v>1528746.5537696825</v>
          </cell>
          <cell r="W35">
            <v>46772.375325549103</v>
          </cell>
          <cell r="X35">
            <v>46772.375325549103</v>
          </cell>
          <cell r="AP35">
            <v>1336231.0248496998</v>
          </cell>
        </row>
        <row r="36">
          <cell r="V36">
            <v>1713570.8471797328</v>
          </cell>
          <cell r="W36">
            <v>51213.921392443925</v>
          </cell>
          <cell r="X36">
            <v>51213.921392443925</v>
          </cell>
          <cell r="AP36">
            <v>1467583.6730071215</v>
          </cell>
        </row>
        <row r="37">
          <cell r="V37">
            <v>1950113.2467459808</v>
          </cell>
          <cell r="W37">
            <v>56556.051486711411</v>
          </cell>
          <cell r="X37">
            <v>56556.051486711411</v>
          </cell>
          <cell r="AP37">
            <v>1616918.5126664222</v>
          </cell>
        </row>
        <row r="38">
          <cell r="V38">
            <v>2210571.2024646862</v>
          </cell>
          <cell r="W38">
            <v>62323.627608358693</v>
          </cell>
          <cell r="X38">
            <v>62323.627608358693</v>
          </cell>
          <cell r="AP38">
            <v>1779598.8619133083</v>
          </cell>
        </row>
        <row r="39">
          <cell r="V39">
            <v>2495226.2179171699</v>
          </cell>
          <cell r="W39">
            <v>68502.713968138269</v>
          </cell>
          <cell r="X39">
            <v>68502.713968138269</v>
          </cell>
          <cell r="AP39">
            <v>1951869.0733388884</v>
          </cell>
        </row>
        <row r="40">
          <cell r="V40">
            <v>2807750.3743997794</v>
          </cell>
          <cell r="W40">
            <v>75261.333028209105</v>
          </cell>
          <cell r="X40">
            <v>75261.333028209105</v>
          </cell>
          <cell r="AP40">
            <v>2141267.3744764072</v>
          </cell>
        </row>
        <row r="41">
          <cell r="V41">
            <v>3163969.5592974508</v>
          </cell>
          <cell r="W41">
            <v>82907.631149368593</v>
          </cell>
          <cell r="X41">
            <v>82907.631149368593</v>
          </cell>
          <cell r="AP41">
            <v>2346102.8592363978</v>
          </cell>
        </row>
        <row r="42">
          <cell r="V42">
            <v>3562988.9315810478</v>
          </cell>
          <cell r="W42">
            <v>91379.602504138675</v>
          </cell>
          <cell r="X42">
            <v>91379.602504138675</v>
          </cell>
          <cell r="AP42">
            <v>2568810.7783203591</v>
          </cell>
        </row>
        <row r="43">
          <cell r="V43">
            <v>3997859.0676299408</v>
          </cell>
          <cell r="W43">
            <v>100455.09160745391</v>
          </cell>
          <cell r="X43">
            <v>100455.09160745391</v>
          </cell>
          <cell r="AP43">
            <v>2805614.2454620926</v>
          </cell>
        </row>
        <row r="44">
          <cell r="V44">
            <v>4471811.1643434707</v>
          </cell>
          <cell r="W44">
            <v>110177.81335747321</v>
          </cell>
          <cell r="X44">
            <v>110177.81335747321</v>
          </cell>
          <cell r="AP44">
            <v>3061087.3036607546</v>
          </cell>
        </row>
        <row r="45">
          <cell r="V45">
            <v>4984944.4793352168</v>
          </cell>
          <cell r="W45">
            <v>120549.29866567628</v>
          </cell>
          <cell r="X45">
            <v>120549.29866567628</v>
          </cell>
          <cell r="AP45">
            <v>3333233.0614809548</v>
          </cell>
        </row>
        <row r="46">
          <cell r="V46">
            <v>5494453.4650948448</v>
          </cell>
          <cell r="W46">
            <v>130539.29447144852</v>
          </cell>
          <cell r="X46">
            <v>130539.29447144852</v>
          </cell>
          <cell r="AP46">
            <v>3607763.0876538968</v>
          </cell>
        </row>
        <row r="47">
          <cell r="V47">
            <v>5845980.5500776097</v>
          </cell>
          <cell r="W47">
            <v>137121.71863751666</v>
          </cell>
          <cell r="X47">
            <v>137121.71863751666</v>
          </cell>
          <cell r="AP47">
            <v>3860401.1251412099</v>
          </cell>
        </row>
        <row r="48">
          <cell r="V48">
            <v>6214643.1825293703</v>
          </cell>
          <cell r="W48">
            <v>144010.31812731648</v>
          </cell>
          <cell r="X48">
            <v>144010.31812731648</v>
          </cell>
          <cell r="AP48">
            <v>4127999.663526034</v>
          </cell>
        </row>
        <row r="49">
          <cell r="V49">
            <v>6609799.3311576582</v>
          </cell>
          <cell r="W49">
            <v>151650.8434411512</v>
          </cell>
          <cell r="X49">
            <v>151650.8434411512</v>
          </cell>
          <cell r="AP49">
            <v>4422610.8558436623</v>
          </cell>
        </row>
        <row r="50">
          <cell r="V50">
            <v>7033033.1497111116</v>
          </cell>
          <cell r="W50">
            <v>159812.24501650457</v>
          </cell>
          <cell r="X50">
            <v>159812.24501650457</v>
          </cell>
          <cell r="AP50">
            <v>4732904.6358104944</v>
          </cell>
        </row>
        <row r="51">
          <cell r="V51">
            <v>7488776.0023980327</v>
          </cell>
          <cell r="W51">
            <v>168583.36476748923</v>
          </cell>
          <cell r="X51">
            <v>168583.36476748923</v>
          </cell>
          <cell r="AP51">
            <v>5072924.8103755023</v>
          </cell>
        </row>
        <row r="52">
          <cell r="V52">
            <v>7966402.3510044627</v>
          </cell>
          <cell r="W52">
            <v>177727.22982735879</v>
          </cell>
          <cell r="X52">
            <v>177727.22982735879</v>
          </cell>
          <cell r="AP52">
            <v>5436441.9157975214</v>
          </cell>
        </row>
        <row r="53">
          <cell r="V53">
            <v>8464096.0147443898</v>
          </cell>
          <cell r="W53">
            <v>187198.81200723228</v>
          </cell>
          <cell r="X53">
            <v>187198.81200723228</v>
          </cell>
          <cell r="AP53">
            <v>5828632.9802582003</v>
          </cell>
        </row>
        <row r="54">
          <cell r="V54">
            <v>8969897.8687686492</v>
          </cell>
          <cell r="W54">
            <v>196732.38967565668</v>
          </cell>
          <cell r="X54">
            <v>196732.38967565668</v>
          </cell>
          <cell r="AP54">
            <v>6240194.9327808255</v>
          </cell>
        </row>
        <row r="55">
          <cell r="V55">
            <v>9477922.4315241501</v>
          </cell>
          <cell r="W55">
            <v>206203.11209915555</v>
          </cell>
          <cell r="X55">
            <v>206203.11209915555</v>
          </cell>
          <cell r="AP55">
            <v>6664026.2775157327</v>
          </cell>
        </row>
        <row r="56">
          <cell r="V56">
            <v>10092589.107571105</v>
          </cell>
          <cell r="W56">
            <v>217676.98893774228</v>
          </cell>
          <cell r="X56">
            <v>217676.98893774228</v>
          </cell>
          <cell r="AP56">
            <v>7148054.7106147138</v>
          </cell>
        </row>
        <row r="57">
          <cell r="V57">
            <v>11023444.046002818</v>
          </cell>
          <cell r="W57">
            <v>234112.74345959636</v>
          </cell>
          <cell r="X57">
            <v>234112.74345959636</v>
          </cell>
          <cell r="AP57">
            <v>7720783.4219043395</v>
          </cell>
        </row>
        <row r="58">
          <cell r="V58">
            <v>12021888.640989173</v>
          </cell>
          <cell r="W58">
            <v>251874.02451127593</v>
          </cell>
          <cell r="X58">
            <v>251874.02451127593</v>
          </cell>
          <cell r="AP58">
            <v>8349739.0676217852</v>
          </cell>
        </row>
        <row r="59">
          <cell r="V59">
            <v>13082066.254317643</v>
          </cell>
          <cell r="W59">
            <v>270731.95528295351</v>
          </cell>
          <cell r="X59">
            <v>270731.95528295351</v>
          </cell>
          <cell r="AP59">
            <v>9017872.017045673</v>
          </cell>
        </row>
        <row r="60">
          <cell r="V60">
            <v>14280120.47402744</v>
          </cell>
          <cell r="W60">
            <v>291518.66342576046</v>
          </cell>
          <cell r="X60">
            <v>291518.66342576046</v>
          </cell>
          <cell r="AP60">
            <v>9785354.9790595677</v>
          </cell>
        </row>
        <row r="61">
          <cell r="V61">
            <v>15582392.821850967</v>
          </cell>
          <cell r="W61">
            <v>313838.40726927039</v>
          </cell>
          <cell r="X61">
            <v>313838.40726927039</v>
          </cell>
          <cell r="AP61">
            <v>10606370.035738952</v>
          </cell>
        </row>
        <row r="62">
          <cell r="V62">
            <v>16958048.205066949</v>
          </cell>
          <cell r="W62">
            <v>337200.93911725422</v>
          </cell>
          <cell r="X62">
            <v>337200.93911725422</v>
          </cell>
          <cell r="AP62">
            <v>11480078.901364589</v>
          </cell>
        </row>
        <row r="63">
          <cell r="V63">
            <v>18419761.144007303</v>
          </cell>
          <cell r="W63">
            <v>361841.18001786381</v>
          </cell>
          <cell r="X63">
            <v>361841.18001786381</v>
          </cell>
          <cell r="AP63">
            <v>12419859.565587152</v>
          </cell>
        </row>
        <row r="64">
          <cell r="V64">
            <v>19955374.49546086</v>
          </cell>
          <cell r="W64">
            <v>387616.68641440995</v>
          </cell>
          <cell r="X64">
            <v>387616.68641440995</v>
          </cell>
          <cell r="AP64">
            <v>13401719.618583659</v>
          </cell>
        </row>
        <row r="65">
          <cell r="V65">
            <v>21574189.396045137</v>
          </cell>
          <cell r="W65">
            <v>414625.82470136293</v>
          </cell>
          <cell r="X65">
            <v>414625.82470136293</v>
          </cell>
          <cell r="AP65">
            <v>14454291.177268486</v>
          </cell>
        </row>
        <row r="66">
          <cell r="V66">
            <v>23760355.933115549</v>
          </cell>
          <cell r="W66">
            <v>452709.7071564293</v>
          </cell>
          <cell r="X66">
            <v>452709.7071564293</v>
          </cell>
          <cell r="AP66">
            <v>16497252.318706712</v>
          </cell>
        </row>
        <row r="67">
          <cell r="V67">
            <v>26430660.452101864</v>
          </cell>
          <cell r="W67">
            <v>497906.23919307149</v>
          </cell>
          <cell r="X67">
            <v>497906.23919307149</v>
          </cell>
          <cell r="AP67">
            <v>19416358.33423049</v>
          </cell>
        </row>
        <row r="68">
          <cell r="V68">
            <v>29302686.60467612</v>
          </cell>
          <cell r="W68">
            <v>545950.81483047421</v>
          </cell>
          <cell r="X68">
            <v>545950.81483047421</v>
          </cell>
          <cell r="AP68">
            <v>22676540.723482721</v>
          </cell>
        </row>
        <row r="69">
          <cell r="V69">
            <v>32414819.593805343</v>
          </cell>
          <cell r="W69">
            <v>597535.79694120795</v>
          </cell>
          <cell r="X69">
            <v>597535.79694120795</v>
          </cell>
          <cell r="AP69">
            <v>26381414.498799335</v>
          </cell>
        </row>
        <row r="70">
          <cell r="V70">
            <v>35758711.135250375</v>
          </cell>
          <cell r="W70">
            <v>652525.59629230679</v>
          </cell>
          <cell r="X70">
            <v>652525.59629230679</v>
          </cell>
          <cell r="AP70">
            <v>30553439.477469187</v>
          </cell>
        </row>
        <row r="71">
          <cell r="V71">
            <v>39360138.052825019</v>
          </cell>
          <cell r="W71">
            <v>712274.88913160842</v>
          </cell>
          <cell r="X71">
            <v>712274.88913160842</v>
          </cell>
          <cell r="AP71">
            <v>35259095.81394171</v>
          </cell>
        </row>
        <row r="72">
          <cell r="V72">
            <v>42964761.082432114</v>
          </cell>
          <cell r="W72">
            <v>771511.47565759963</v>
          </cell>
          <cell r="X72">
            <v>771511.47565759963</v>
          </cell>
          <cell r="AP72">
            <v>40039231.794525728</v>
          </cell>
        </row>
        <row r="73">
          <cell r="V73">
            <v>46804674.910664439</v>
          </cell>
          <cell r="W73">
            <v>834293.08185219415</v>
          </cell>
          <cell r="X73">
            <v>834293.08185219415</v>
          </cell>
          <cell r="AP73">
            <v>45338901.368294969</v>
          </cell>
        </row>
        <row r="74">
          <cell r="V74">
            <v>50925676.995371193</v>
          </cell>
          <cell r="W74">
            <v>900450.24307600386</v>
          </cell>
          <cell r="X74">
            <v>900450.24307600386</v>
          </cell>
          <cell r="AP74">
            <v>51261219.070648246</v>
          </cell>
        </row>
        <row r="75">
          <cell r="V75">
            <v>55318577.823192276</v>
          </cell>
          <cell r="W75">
            <v>970256.9624912492</v>
          </cell>
          <cell r="X75">
            <v>970256.9624912492</v>
          </cell>
          <cell r="AP75">
            <v>57827229.323878489</v>
          </cell>
        </row>
        <row r="76">
          <cell r="V76">
            <v>60132290.310909748</v>
          </cell>
          <cell r="W76">
            <v>1045083.6321951447</v>
          </cell>
          <cell r="X76">
            <v>1045083.6321951447</v>
          </cell>
          <cell r="AP76">
            <v>65719091.876928098</v>
          </cell>
        </row>
        <row r="77">
          <cell r="V77">
            <v>65412928.839988634</v>
          </cell>
          <cell r="W77">
            <v>1121637.4841550998</v>
          </cell>
          <cell r="X77">
            <v>1121637.4841550998</v>
          </cell>
          <cell r="AP77">
            <v>73067970.274923697</v>
          </cell>
        </row>
        <row r="78">
          <cell r="V78">
            <v>71048792.51907061</v>
          </cell>
          <cell r="W78">
            <v>1202625.160129278</v>
          </cell>
          <cell r="X78">
            <v>1202625.160129278</v>
          </cell>
          <cell r="AP78">
            <v>81288116.752018973</v>
          </cell>
        </row>
        <row r="79">
          <cell r="V79">
            <v>76972882.884808183</v>
          </cell>
          <cell r="W79">
            <v>1286197.5124298218</v>
          </cell>
          <cell r="X79">
            <v>1286197.5124298218</v>
          </cell>
          <cell r="AP79">
            <v>90204464.293724492</v>
          </cell>
        </row>
        <row r="80">
          <cell r="V80">
            <v>83312944.23753202</v>
          </cell>
          <cell r="W80">
            <v>1374958.5146552941</v>
          </cell>
          <cell r="X80">
            <v>1374958.5146552941</v>
          </cell>
          <cell r="AP80">
            <v>100172424.88499679</v>
          </cell>
        </row>
        <row r="81">
          <cell r="V81">
            <v>90256347.78641367</v>
          </cell>
          <cell r="W81">
            <v>1477863.0896357922</v>
          </cell>
          <cell r="X81">
            <v>1477863.0896357922</v>
          </cell>
          <cell r="AP81">
            <v>111389655.52107424</v>
          </cell>
        </row>
        <row r="82">
          <cell r="V82">
            <v>97256867.825531736</v>
          </cell>
          <cell r="W82">
            <v>1585644.5760294877</v>
          </cell>
          <cell r="X82">
            <v>1585644.5760294877</v>
          </cell>
          <cell r="AP82">
            <v>123702619.1275824</v>
          </cell>
        </row>
        <row r="83">
          <cell r="V83">
            <v>104695327.72882083</v>
          </cell>
          <cell r="W83">
            <v>1699938.9284386896</v>
          </cell>
          <cell r="X83">
            <v>1699938.9284386896</v>
          </cell>
          <cell r="AP83">
            <v>137312951.56417418</v>
          </cell>
        </row>
        <row r="84">
          <cell r="V84">
            <v>112888582.8362948</v>
          </cell>
          <cell r="W84">
            <v>1813857.2498640786</v>
          </cell>
          <cell r="X84">
            <v>1813857.2498640786</v>
          </cell>
          <cell r="AP84">
            <v>150867884.62329832</v>
          </cell>
        </row>
        <row r="85">
          <cell r="V85">
            <v>122891272.86923936</v>
          </cell>
          <cell r="W85">
            <v>1953982.5407694713</v>
          </cell>
          <cell r="X85">
            <v>1953982.5407694713</v>
          </cell>
          <cell r="AP85">
            <v>166763741.38662294</v>
          </cell>
        </row>
        <row r="86">
          <cell r="V86">
            <v>133826523.89922251</v>
          </cell>
          <cell r="W86">
            <v>2106371.7609074293</v>
          </cell>
          <cell r="X86">
            <v>2106371.7609074293</v>
          </cell>
          <cell r="AP86">
            <v>185339203.47545609</v>
          </cell>
        </row>
        <row r="87">
          <cell r="V87">
            <v>145806848.95482719</v>
          </cell>
          <cell r="W87">
            <v>2287407.9985921504</v>
          </cell>
          <cell r="X87">
            <v>2287407.9985921504</v>
          </cell>
          <cell r="AP87">
            <v>208415335.73242009</v>
          </cell>
        </row>
        <row r="88">
          <cell r="V88">
            <v>158189590.67661673</v>
          </cell>
          <cell r="W88">
            <v>2473825.0960981576</v>
          </cell>
          <cell r="X88">
            <v>2473825.0960981576</v>
          </cell>
          <cell r="AP88">
            <v>230796651.65940788</v>
          </cell>
        </row>
        <row r="89">
          <cell r="V89">
            <v>169811046.96122253</v>
          </cell>
          <cell r="W89">
            <v>2658866.3023065142</v>
          </cell>
          <cell r="X89">
            <v>2658866.3023065142</v>
          </cell>
          <cell r="AP89">
            <v>252615702.80861601</v>
          </cell>
        </row>
        <row r="90">
          <cell r="V90">
            <v>181996279.0091975</v>
          </cell>
          <cell r="W90">
            <v>2854937.4995617336</v>
          </cell>
          <cell r="X90">
            <v>2854937.4995617336</v>
          </cell>
          <cell r="AP90">
            <v>276503587.66185659</v>
          </cell>
        </row>
        <row r="91">
          <cell r="V91">
            <v>194520783.91916347</v>
          </cell>
          <cell r="W91">
            <v>3071050.5352686821</v>
          </cell>
          <cell r="X91">
            <v>3071050.5352686821</v>
          </cell>
          <cell r="AP91">
            <v>303734804.81381989</v>
          </cell>
        </row>
        <row r="92">
          <cell r="V92">
            <v>207940618.9719243</v>
          </cell>
          <cell r="W92">
            <v>3317321.2321955487</v>
          </cell>
          <cell r="X92">
            <v>3317321.2321955487</v>
          </cell>
          <cell r="AP92">
            <v>334433469.88887823</v>
          </cell>
        </row>
        <row r="93">
          <cell r="V93">
            <v>221615634.24249944</v>
          </cell>
          <cell r="W93">
            <v>3574833.7906307653</v>
          </cell>
          <cell r="X93">
            <v>3574833.7906307653</v>
          </cell>
          <cell r="AP93">
            <v>365697104.95339864</v>
          </cell>
        </row>
        <row r="94">
          <cell r="V94">
            <v>235985610.66592944</v>
          </cell>
          <cell r="W94">
            <v>3827295.4287637593</v>
          </cell>
          <cell r="X94">
            <v>3827295.4287637593</v>
          </cell>
          <cell r="AP94">
            <v>399816372.76564395</v>
          </cell>
        </row>
        <row r="95">
          <cell r="V95">
            <v>251184195.91993022</v>
          </cell>
          <cell r="W95">
            <v>4093779.3736743685</v>
          </cell>
          <cell r="X95">
            <v>4093779.3736743685</v>
          </cell>
          <cell r="AP95">
            <v>436958405.3331179</v>
          </cell>
        </row>
        <row r="96">
          <cell r="V96">
            <v>267181572.692514</v>
          </cell>
          <cell r="W96">
            <v>4374882.8538196776</v>
          </cell>
          <cell r="X96">
            <v>4374882.8538196776</v>
          </cell>
          <cell r="AP96">
            <v>476974947.05831492</v>
          </cell>
        </row>
        <row r="97">
          <cell r="V97">
            <v>284673977.89450884</v>
          </cell>
          <cell r="W97">
            <v>4676913.1245642509</v>
          </cell>
          <cell r="X97">
            <v>4676913.1245642509</v>
          </cell>
          <cell r="AP97">
            <v>530493903.12244356</v>
          </cell>
        </row>
        <row r="98">
          <cell r="V98">
            <v>301695738.96031398</v>
          </cell>
          <cell r="W98">
            <v>4972029.3105714228</v>
          </cell>
          <cell r="X98">
            <v>4972029.3105714228</v>
          </cell>
          <cell r="AP98">
            <v>585661116.32332063</v>
          </cell>
        </row>
        <row r="99">
          <cell r="V99">
            <v>319414793.73655689</v>
          </cell>
          <cell r="W99">
            <v>5280073.047957506</v>
          </cell>
          <cell r="X99">
            <v>5280073.047957506</v>
          </cell>
          <cell r="AP99">
            <v>644772722.79825461</v>
          </cell>
        </row>
        <row r="100">
          <cell r="V100">
            <v>335940192.39561522</v>
          </cell>
          <cell r="W100">
            <v>5561137.1039880784</v>
          </cell>
          <cell r="X100">
            <v>5561137.1039880784</v>
          </cell>
          <cell r="AP100">
            <v>703449207.83274662</v>
          </cell>
        </row>
        <row r="101">
          <cell r="V101">
            <v>353375263.64069211</v>
          </cell>
          <cell r="W101">
            <v>5857293.7292901687</v>
          </cell>
          <cell r="X101">
            <v>5857293.7292901687</v>
          </cell>
          <cell r="AP101">
            <v>768969910.86894584</v>
          </cell>
        </row>
        <row r="102">
          <cell r="V102">
            <v>373436016.99490786</v>
          </cell>
          <cell r="W102">
            <v>6195046.59627809</v>
          </cell>
          <cell r="X102">
            <v>6195046.59627809</v>
          </cell>
          <cell r="AP102">
            <v>853629621.02713776</v>
          </cell>
        </row>
        <row r="103">
          <cell r="V103">
            <v>391834714.56653577</v>
          </cell>
          <cell r="W103">
            <v>6502859.9796201494</v>
          </cell>
          <cell r="X103">
            <v>6502859.9796201494</v>
          </cell>
          <cell r="AP103">
            <v>927912389.3881768</v>
          </cell>
        </row>
        <row r="104">
          <cell r="V104">
            <v>409252604.9714011</v>
          </cell>
          <cell r="W104">
            <v>6787843.362027036</v>
          </cell>
          <cell r="X104">
            <v>6787843.362027036</v>
          </cell>
          <cell r="AP104">
            <v>1000005602.9943446</v>
          </cell>
        </row>
        <row r="105">
          <cell r="V105">
            <v>425783266.28051531</v>
          </cell>
          <cell r="W105">
            <v>7057856.6976884138</v>
          </cell>
          <cell r="X105">
            <v>7057856.6976884138</v>
          </cell>
          <cell r="AP105">
            <v>1065363869.9208063</v>
          </cell>
        </row>
        <row r="106">
          <cell r="V106">
            <v>442556839.70146137</v>
          </cell>
          <cell r="W106">
            <v>7331471.5960442405</v>
          </cell>
          <cell r="X106">
            <v>7331471.5960442405</v>
          </cell>
          <cell r="AP106">
            <v>1132037794.8084922</v>
          </cell>
        </row>
        <row r="107">
          <cell r="V107">
            <v>460556742.49596107</v>
          </cell>
          <cell r="W107">
            <v>7624715.7824289249</v>
          </cell>
          <cell r="X107">
            <v>7624715.7824289249</v>
          </cell>
          <cell r="AP107">
            <v>1208043447.7652564</v>
          </cell>
        </row>
        <row r="108">
          <cell r="V108">
            <v>479084806.02765596</v>
          </cell>
          <cell r="W108">
            <v>7926215.0554706482</v>
          </cell>
          <cell r="X108">
            <v>7926215.0554706482</v>
          </cell>
          <cell r="AP108">
            <v>1288296944.4754522</v>
          </cell>
        </row>
        <row r="109">
          <cell r="V109">
            <v>498243593.89852035</v>
          </cell>
          <cell r="W109">
            <v>8237840.9498808654</v>
          </cell>
          <cell r="X109">
            <v>8237840.9498808654</v>
          </cell>
          <cell r="AP109">
            <v>1373107519.8901813</v>
          </cell>
        </row>
        <row r="110">
          <cell r="V110">
            <v>517127741.37047184</v>
          </cell>
          <cell r="W110">
            <v>8544753.2585260365</v>
          </cell>
          <cell r="X110">
            <v>8544753.2585260365</v>
          </cell>
          <cell r="AP110">
            <v>1455164848.545845</v>
          </cell>
        </row>
        <row r="111">
          <cell r="V111">
            <v>536198948.8675921</v>
          </cell>
          <cell r="W111">
            <v>8855301.2055124436</v>
          </cell>
          <cell r="X111">
            <v>8855301.2055124436</v>
          </cell>
          <cell r="AP111">
            <v>1539666817.8419528</v>
          </cell>
        </row>
        <row r="112">
          <cell r="V112">
            <v>557118255.23676729</v>
          </cell>
          <cell r="W112">
            <v>9198837.9166391175</v>
          </cell>
          <cell r="X112">
            <v>9198837.9166391175</v>
          </cell>
          <cell r="AP112">
            <v>1631280273.1476953</v>
          </cell>
        </row>
        <row r="113">
          <cell r="V113">
            <v>578552456.26929593</v>
          </cell>
          <cell r="W113">
            <v>9549392.326059239</v>
          </cell>
          <cell r="X113">
            <v>9549392.326059239</v>
          </cell>
          <cell r="AP113">
            <v>1726602949.3175571</v>
          </cell>
        </row>
        <row r="114">
          <cell r="V114">
            <v>600206641.48111093</v>
          </cell>
          <cell r="W114">
            <v>9903391.133231679</v>
          </cell>
          <cell r="X114">
            <v>9903391.133231679</v>
          </cell>
          <cell r="AP114">
            <v>1827208599.2925653</v>
          </cell>
        </row>
        <row r="115">
          <cell r="V115">
            <v>621777034.45934188</v>
          </cell>
          <cell r="W115">
            <v>10255825.056551972</v>
          </cell>
          <cell r="X115">
            <v>10255825.056551972</v>
          </cell>
          <cell r="AP115">
            <v>1929814213.1799746</v>
          </cell>
        </row>
        <row r="116">
          <cell r="V116">
            <v>644105866.61117816</v>
          </cell>
          <cell r="W116">
            <v>10620587.832161583</v>
          </cell>
          <cell r="X116">
            <v>10620587.832161583</v>
          </cell>
          <cell r="AP116">
            <v>2038487727.9947722</v>
          </cell>
        </row>
        <row r="117">
          <cell r="V117">
            <v>667537869.27809119</v>
          </cell>
          <cell r="W117">
            <v>11029388.746380713</v>
          </cell>
          <cell r="X117">
            <v>11029388.746380713</v>
          </cell>
          <cell r="AP117">
            <v>2145452287.6796756</v>
          </cell>
        </row>
        <row r="118">
          <cell r="V118">
            <v>691448249.35679054</v>
          </cell>
          <cell r="W118">
            <v>11447256.81276104</v>
          </cell>
          <cell r="X118">
            <v>11447256.81276104</v>
          </cell>
          <cell r="AP118">
            <v>2257575792.2765989</v>
          </cell>
        </row>
        <row r="119">
          <cell r="V119">
            <v>718013827.5464555</v>
          </cell>
          <cell r="W119">
            <v>11910213.627635255</v>
          </cell>
          <cell r="X119">
            <v>11910213.627635255</v>
          </cell>
          <cell r="AP119">
            <v>2380798979.1767077</v>
          </cell>
        </row>
        <row r="120">
          <cell r="V120">
            <v>746359270.1426878</v>
          </cell>
          <cell r="W120">
            <v>12403700.72461753</v>
          </cell>
          <cell r="X120">
            <v>12403700.72461753</v>
          </cell>
          <cell r="AP120">
            <v>2513363906.7359123</v>
          </cell>
        </row>
        <row r="121">
          <cell r="V121">
            <v>775456846.9588418</v>
          </cell>
          <cell r="W121">
            <v>12907307.734832603</v>
          </cell>
          <cell r="X121">
            <v>12907307.734832603</v>
          </cell>
          <cell r="AP121">
            <v>2649609321.5555234</v>
          </cell>
        </row>
        <row r="122">
          <cell r="V122">
            <v>799874658.56247211</v>
          </cell>
          <cell r="W122">
            <v>13289437.726057662</v>
          </cell>
          <cell r="X122">
            <v>13289437.726057662</v>
          </cell>
          <cell r="AP122">
            <v>2784694655.6475372</v>
          </cell>
        </row>
        <row r="123">
          <cell r="V123">
            <v>825102055.97029591</v>
          </cell>
          <cell r="W123">
            <v>13677722.352886939</v>
          </cell>
          <cell r="X123">
            <v>13677722.352886939</v>
          </cell>
          <cell r="AP123">
            <v>2925292490.376399</v>
          </cell>
        </row>
        <row r="124">
          <cell r="V124">
            <v>850703841.5482986</v>
          </cell>
          <cell r="W124">
            <v>14065823.970931429</v>
          </cell>
          <cell r="X124">
            <v>14065823.970931429</v>
          </cell>
          <cell r="AP124">
            <v>3070735540.2401729</v>
          </cell>
        </row>
        <row r="125">
          <cell r="V125">
            <v>877104973.72235405</v>
          </cell>
          <cell r="W125">
            <v>14465385.493892357</v>
          </cell>
          <cell r="X125">
            <v>14465385.493892357</v>
          </cell>
          <cell r="AP125">
            <v>3223597468.2808585</v>
          </cell>
        </row>
        <row r="126">
          <cell r="V126">
            <v>904147083.09084773</v>
          </cell>
          <cell r="W126">
            <v>14873733.558146574</v>
          </cell>
          <cell r="X126">
            <v>14873733.558146574</v>
          </cell>
          <cell r="AP126">
            <v>3382405293.5548091</v>
          </cell>
        </row>
        <row r="127">
          <cell r="V127">
            <v>929794273.22414184</v>
          </cell>
          <cell r="W127">
            <v>15244297.140990157</v>
          </cell>
          <cell r="X127">
            <v>15244297.140990157</v>
          </cell>
          <cell r="AP127">
            <v>3543393516.4559412</v>
          </cell>
        </row>
        <row r="128">
          <cell r="V128">
            <v>955749997.84023404</v>
          </cell>
          <cell r="W128">
            <v>15617709.478059335</v>
          </cell>
          <cell r="X128">
            <v>15617709.478059335</v>
          </cell>
          <cell r="AP128">
            <v>3709187623.7953587</v>
          </cell>
        </row>
        <row r="129">
          <cell r="V129">
            <v>983040005.37667239</v>
          </cell>
          <cell r="W129">
            <v>16010666.579669047</v>
          </cell>
          <cell r="X129">
            <v>16010666.579669047</v>
          </cell>
          <cell r="AP129">
            <v>3885806931.2605515</v>
          </cell>
        </row>
        <row r="130">
          <cell r="V130">
            <v>1011137804.1893785</v>
          </cell>
          <cell r="W130">
            <v>16414447.70302872</v>
          </cell>
          <cell r="X130">
            <v>16414447.70302872</v>
          </cell>
          <cell r="AP130">
            <v>4068978796.8817587</v>
          </cell>
        </row>
        <row r="131">
          <cell r="V131">
            <v>1039677862.5582732</v>
          </cell>
          <cell r="W131">
            <v>16816087.720806096</v>
          </cell>
          <cell r="X131">
            <v>16816087.720806096</v>
          </cell>
          <cell r="AP131">
            <v>4259616904.6270919</v>
          </cell>
        </row>
        <row r="132">
          <cell r="V132">
            <v>1062853911.5568523</v>
          </cell>
          <cell r="W132">
            <v>17116230.798831724</v>
          </cell>
          <cell r="X132">
            <v>17116230.798831724</v>
          </cell>
          <cell r="AP132">
            <v>4447593650.644206</v>
          </cell>
        </row>
        <row r="133">
          <cell r="V133">
            <v>1086708298.1947544</v>
          </cell>
          <cell r="W133">
            <v>17424890.799556486</v>
          </cell>
          <cell r="X133">
            <v>17424890.799556486</v>
          </cell>
          <cell r="AP133">
            <v>4645126507.8622227</v>
          </cell>
        </row>
        <row r="134">
          <cell r="V134">
            <v>1110656587.27718</v>
          </cell>
          <cell r="W134">
            <v>17725544.911477059</v>
          </cell>
          <cell r="X134">
            <v>17725544.911477059</v>
          </cell>
          <cell r="AP134">
            <v>4845740082.4656439</v>
          </cell>
        </row>
        <row r="135">
          <cell r="V135">
            <v>1135544678.1320162</v>
          </cell>
          <cell r="W135">
            <v>18037462.082386807</v>
          </cell>
          <cell r="X135">
            <v>18037462.082386807</v>
          </cell>
          <cell r="AP135">
            <v>5059170122.8511391</v>
          </cell>
        </row>
        <row r="136">
          <cell r="V136">
            <v>1160929112.3707643</v>
          </cell>
          <cell r="W136">
            <v>18354495.959282041</v>
          </cell>
          <cell r="X136">
            <v>18354495.959282041</v>
          </cell>
          <cell r="AP136">
            <v>5280601365.9138498</v>
          </cell>
        </row>
        <row r="137">
          <cell r="V137">
            <v>1188451609.1484318</v>
          </cell>
          <cell r="W137">
            <v>18702419.764037184</v>
          </cell>
          <cell r="X137">
            <v>18702419.764037184</v>
          </cell>
          <cell r="AP137">
            <v>5529888913.3608513</v>
          </cell>
        </row>
        <row r="138">
          <cell r="V138">
            <v>1216554477.7513099</v>
          </cell>
          <cell r="W138">
            <v>19056415.392975606</v>
          </cell>
          <cell r="X138">
            <v>19056415.392975606</v>
          </cell>
          <cell r="AP138">
            <v>5789204136.8652859</v>
          </cell>
        </row>
        <row r="139">
          <cell r="V139">
            <v>1245364061.46925</v>
          </cell>
          <cell r="W139">
            <v>19418379.466140185</v>
          </cell>
          <cell r="X139">
            <v>19418379.466140185</v>
          </cell>
          <cell r="AP139">
            <v>6060337628.0047989</v>
          </cell>
        </row>
        <row r="140">
          <cell r="V140">
            <v>1272023506.2023482</v>
          </cell>
          <cell r="W140">
            <v>19743870.359655585</v>
          </cell>
          <cell r="X140">
            <v>19743870.359655585</v>
          </cell>
          <cell r="AP140">
            <v>6327318340.9656649</v>
          </cell>
        </row>
        <row r="141">
          <cell r="V141">
            <v>1296861031.2502294</v>
          </cell>
          <cell r="W141">
            <v>20038464.061340265</v>
          </cell>
          <cell r="X141">
            <v>20038464.061340265</v>
          </cell>
          <cell r="AP141">
            <v>6593496045.7103148</v>
          </cell>
        </row>
        <row r="142">
          <cell r="V142">
            <v>1327821096.0054708</v>
          </cell>
          <cell r="W142">
            <v>20424788.670773998</v>
          </cell>
          <cell r="X142">
            <v>20424788.670773998</v>
          </cell>
          <cell r="AP142">
            <v>6879807304.0042629</v>
          </cell>
        </row>
        <row r="143">
          <cell r="V143">
            <v>1359353058.781189</v>
          </cell>
          <cell r="W143">
            <v>20816625.292226303</v>
          </cell>
          <cell r="X143">
            <v>20816625.292226303</v>
          </cell>
          <cell r="AP143">
            <v>7176219337.052784</v>
          </cell>
        </row>
        <row r="144">
          <cell r="V144">
            <v>1391590850.2601917</v>
          </cell>
          <cell r="W144">
            <v>21237569.003209937</v>
          </cell>
          <cell r="X144">
            <v>21237569.003209937</v>
          </cell>
          <cell r="AP144">
            <v>7484723346.5244246</v>
          </cell>
        </row>
        <row r="145">
          <cell r="V145">
            <v>1424360597.0289934</v>
          </cell>
          <cell r="W145">
            <v>21716958.968712885</v>
          </cell>
          <cell r="X145">
            <v>21716958.968712885</v>
          </cell>
          <cell r="AP145">
            <v>7803195765.4314137</v>
          </cell>
        </row>
        <row r="146">
          <cell r="V146">
            <v>1457484885.8275661</v>
          </cell>
          <cell r="W146">
            <v>22201027.763085444</v>
          </cell>
          <cell r="X146">
            <v>22201027.763085444</v>
          </cell>
          <cell r="AP146">
            <v>8134983591.9359522</v>
          </cell>
        </row>
        <row r="147">
          <cell r="V147">
            <v>1491602600.4962444</v>
          </cell>
          <cell r="W147">
            <v>22699494.675825756</v>
          </cell>
          <cell r="X147">
            <v>22699494.675825756</v>
          </cell>
          <cell r="AP147">
            <v>8461547194.2115316</v>
          </cell>
        </row>
        <row r="148">
          <cell r="V148">
            <v>1526922411.3753338</v>
          </cell>
          <cell r="W148">
            <v>23215502.077017128</v>
          </cell>
          <cell r="X148">
            <v>23215502.077017128</v>
          </cell>
          <cell r="AP148">
            <v>8807129977.6873779</v>
          </cell>
        </row>
        <row r="149">
          <cell r="V149">
            <v>1562784595.3274865</v>
          </cell>
          <cell r="W149">
            <v>23738990.304308824</v>
          </cell>
          <cell r="X149">
            <v>23738990.304308824</v>
          </cell>
          <cell r="AP149">
            <v>9167322084.9979858</v>
          </cell>
        </row>
        <row r="150">
          <cell r="V150">
            <v>1599629812.7226219</v>
          </cell>
          <cell r="W150">
            <v>24276636.744262286</v>
          </cell>
          <cell r="X150">
            <v>24276636.744262286</v>
          </cell>
          <cell r="AP150">
            <v>9551854825.3509083</v>
          </cell>
        </row>
        <row r="151">
          <cell r="V151">
            <v>1636974979.7495751</v>
          </cell>
          <cell r="W151">
            <v>24821088.446805947</v>
          </cell>
          <cell r="X151">
            <v>24821088.446805947</v>
          </cell>
          <cell r="AP151">
            <v>9946978287.7880039</v>
          </cell>
        </row>
        <row r="152">
          <cell r="V152">
            <v>1675282250.7895799</v>
          </cell>
          <cell r="W152">
            <v>25379338.805678219</v>
          </cell>
          <cell r="X152">
            <v>25379338.805678219</v>
          </cell>
          <cell r="AP152">
            <v>10359821697.095074</v>
          </cell>
        </row>
        <row r="153">
          <cell r="V153">
            <v>1713821560.8934731</v>
          </cell>
          <cell r="W153">
            <v>25940311.343896471</v>
          </cell>
          <cell r="X153">
            <v>25940311.343896471</v>
          </cell>
          <cell r="AP153">
            <v>10779557163.951267</v>
          </cell>
        </row>
        <row r="154">
          <cell r="V154">
            <v>1753637913.1960421</v>
          </cell>
          <cell r="W154">
            <v>26519812.592208717</v>
          </cell>
          <cell r="X154">
            <v>26519812.592208717</v>
          </cell>
          <cell r="AP154">
            <v>11222443121.255901</v>
          </cell>
        </row>
        <row r="155">
          <cell r="V155">
            <v>1794090821.7061296</v>
          </cell>
          <cell r="W155">
            <v>27184947.081311703</v>
          </cell>
          <cell r="X155">
            <v>27184947.081311703</v>
          </cell>
          <cell r="AP155">
            <v>11678956988.219351</v>
          </cell>
        </row>
        <row r="156">
          <cell r="V156">
            <v>1832290714.5244141</v>
          </cell>
          <cell r="W156">
            <v>27876419.130230531</v>
          </cell>
          <cell r="X156">
            <v>27876419.130230531</v>
          </cell>
          <cell r="AP156">
            <v>12139321803.523827</v>
          </cell>
        </row>
        <row r="157">
          <cell r="V157">
            <v>1862810307.8729203</v>
          </cell>
          <cell r="W157">
            <v>28502454.058869049</v>
          </cell>
          <cell r="X157">
            <v>28502454.058869049</v>
          </cell>
          <cell r="AP157">
            <v>12539303470.582615</v>
          </cell>
        </row>
        <row r="158">
          <cell r="V158">
            <v>1893812844.0557642</v>
          </cell>
          <cell r="W158">
            <v>29140420.709014013</v>
          </cell>
          <cell r="X158">
            <v>29140420.709014013</v>
          </cell>
          <cell r="AP158">
            <v>12951429774.500616</v>
          </cell>
        </row>
        <row r="159">
          <cell r="V159">
            <v>1927406535.5970633</v>
          </cell>
          <cell r="W159">
            <v>29823031.597932123</v>
          </cell>
          <cell r="X159">
            <v>29823031.597932123</v>
          </cell>
          <cell r="AP159">
            <v>13411265097.272518</v>
          </cell>
        </row>
        <row r="160">
          <cell r="V160">
            <v>1960764413.3154681</v>
          </cell>
          <cell r="W160">
            <v>30517394.931550246</v>
          </cell>
          <cell r="X160">
            <v>30517394.931550246</v>
          </cell>
          <cell r="AP160">
            <v>13885826264.435457</v>
          </cell>
        </row>
        <row r="161">
          <cell r="V161">
            <v>1990587773.9055941</v>
          </cell>
          <cell r="W161">
            <v>31002607.275314234</v>
          </cell>
          <cell r="X161">
            <v>31002607.275314234</v>
          </cell>
          <cell r="AP161">
            <v>14305404991.418758</v>
          </cell>
        </row>
        <row r="162">
          <cell r="V162">
            <v>2012931190.5441837</v>
          </cell>
          <cell r="W162">
            <v>31345006.447451908</v>
          </cell>
          <cell r="X162">
            <v>31345006.447451908</v>
          </cell>
          <cell r="AP162">
            <v>14598877085.470436</v>
          </cell>
        </row>
        <row r="163">
          <cell r="V163">
            <v>2031338551.5667074</v>
          </cell>
          <cell r="W163">
            <v>31626024.106316488</v>
          </cell>
          <cell r="X163">
            <v>31626024.106316488</v>
          </cell>
          <cell r="AP163">
            <v>14825017904.979836</v>
          </cell>
        </row>
        <row r="164">
          <cell r="V164">
            <v>2044159770.7123485</v>
          </cell>
          <cell r="W164">
            <v>31820007.658882782</v>
          </cell>
          <cell r="X164">
            <v>31820007.658882782</v>
          </cell>
          <cell r="AP164">
            <v>14953805673.779036</v>
          </cell>
        </row>
        <row r="165">
          <cell r="V165">
            <v>2054037425.0389504</v>
          </cell>
          <cell r="W165">
            <v>31968131.463102069</v>
          </cell>
          <cell r="X165">
            <v>31968131.463102069</v>
          </cell>
          <cell r="AP165">
            <v>15030879504.709303</v>
          </cell>
        </row>
        <row r="166">
          <cell r="V166">
            <v>2063934840.636929</v>
          </cell>
          <cell r="W166">
            <v>32116531.738435373</v>
          </cell>
          <cell r="X166">
            <v>32116531.738435373</v>
          </cell>
          <cell r="AP166">
            <v>15108150825.307249</v>
          </cell>
        </row>
      </sheetData>
      <sheetData sheetId="16">
        <row r="7">
          <cell r="M7">
            <v>60</v>
          </cell>
          <cell r="V7">
            <v>25391.091506638739</v>
          </cell>
          <cell r="W7">
            <v>1904.3318629979053</v>
          </cell>
          <cell r="X7">
            <v>1904.3318629979053</v>
          </cell>
          <cell r="AP7">
            <v>18723.681654733096</v>
          </cell>
        </row>
        <row r="8">
          <cell r="V8">
            <v>33648.979409717256</v>
          </cell>
          <cell r="W8">
            <v>2393.7798642974781</v>
          </cell>
          <cell r="X8">
            <v>2393.7798642974781</v>
          </cell>
          <cell r="AP8">
            <v>26616.385289331913</v>
          </cell>
        </row>
        <row r="9">
          <cell r="V9">
            <v>43016.624234273811</v>
          </cell>
          <cell r="W9">
            <v>2923.7115777546628</v>
          </cell>
          <cell r="X9">
            <v>2923.7115777546628</v>
          </cell>
          <cell r="AP9">
            <v>36231.159510627069</v>
          </cell>
        </row>
        <row r="10">
          <cell r="V10">
            <v>54033.266244635946</v>
          </cell>
          <cell r="W10">
            <v>3529.0829369971952</v>
          </cell>
          <cell r="X10">
            <v>3529.0829369971952</v>
          </cell>
          <cell r="AP10">
            <v>48184.630072235057</v>
          </cell>
        </row>
        <row r="11">
          <cell r="V11">
            <v>66870.979052585448</v>
          </cell>
          <cell r="W11">
            <v>4216.9169539827762</v>
          </cell>
          <cell r="X11">
            <v>4216.9169539827762</v>
          </cell>
          <cell r="AP11">
            <v>62852.094502936219</v>
          </cell>
        </row>
        <row r="12">
          <cell r="V12">
            <v>81713.058620424577</v>
          </cell>
          <cell r="W12">
            <v>4994.6661231281296</v>
          </cell>
          <cell r="X12">
            <v>4994.6661231281296</v>
          </cell>
          <cell r="AP12">
            <v>80648.914062463562</v>
          </cell>
        </row>
        <row r="13">
          <cell r="V13">
            <v>98754.473201562825</v>
          </cell>
          <cell r="W13">
            <v>5870.2290032425517</v>
          </cell>
          <cell r="X13">
            <v>5870.2290032425517</v>
          </cell>
          <cell r="AP13">
            <v>102033.32254758468</v>
          </cell>
        </row>
        <row r="14">
          <cell r="V14">
            <v>117436.36214930247</v>
          </cell>
          <cell r="W14">
            <v>6807.5658246165267</v>
          </cell>
          <cell r="X14">
            <v>6807.5658246165267</v>
          </cell>
          <cell r="AP14">
            <v>126683.08734044795</v>
          </cell>
        </row>
        <row r="15">
          <cell r="V15">
            <v>138156.48204538276</v>
          </cell>
          <cell r="W15">
            <v>7828.6028280905848</v>
          </cell>
          <cell r="X15">
            <v>7828.6028280905848</v>
          </cell>
          <cell r="AP15">
            <v>155247.85218808069</v>
          </cell>
        </row>
        <row r="16">
          <cell r="V16">
            <v>161305.07713097474</v>
          </cell>
          <cell r="W16">
            <v>8953.1375021424428</v>
          </cell>
          <cell r="X16">
            <v>8953.1375021424428</v>
          </cell>
          <cell r="AP16">
            <v>188439.09775975719</v>
          </cell>
        </row>
        <row r="17">
          <cell r="V17">
            <v>190789.26722462042</v>
          </cell>
          <cell r="W17">
            <v>10391.277408826263</v>
          </cell>
          <cell r="X17">
            <v>10391.277408826263</v>
          </cell>
          <cell r="AP17">
            <v>226166.28239145983</v>
          </cell>
        </row>
        <row r="18">
          <cell r="V18">
            <v>223274.29773815238</v>
          </cell>
          <cell r="W18">
            <v>11639.476236542429</v>
          </cell>
          <cell r="X18">
            <v>11639.476236542429</v>
          </cell>
          <cell r="AP18">
            <v>258618.84232909142</v>
          </cell>
        </row>
        <row r="19">
          <cell r="V19">
            <v>260938.88970280814</v>
          </cell>
          <cell r="W19">
            <v>13056.628880932454</v>
          </cell>
          <cell r="X19">
            <v>13056.628880932454</v>
          </cell>
          <cell r="AP19">
            <v>296537.70769377059</v>
          </cell>
        </row>
        <row r="20">
          <cell r="V20">
            <v>300997.78320288681</v>
          </cell>
          <cell r="W20">
            <v>14492.521685828729</v>
          </cell>
          <cell r="X20">
            <v>14492.521685828729</v>
          </cell>
          <cell r="AP20">
            <v>334568.23955655075</v>
          </cell>
        </row>
        <row r="21">
          <cell r="V21">
            <v>345511.85797865305</v>
          </cell>
          <cell r="W21">
            <v>16044.060544847171</v>
          </cell>
          <cell r="X21">
            <v>16044.060544847171</v>
          </cell>
          <cell r="AP21">
            <v>377080.20754605968</v>
          </cell>
        </row>
        <row r="22">
          <cell r="V22">
            <v>394442.19190158485</v>
          </cell>
          <cell r="W22">
            <v>17700.846327321109</v>
          </cell>
          <cell r="X22">
            <v>17700.846327321109</v>
          </cell>
          <cell r="AP22">
            <v>422887.95147942007</v>
          </cell>
        </row>
        <row r="23">
          <cell r="V23">
            <v>448137.11018181738</v>
          </cell>
          <cell r="W23">
            <v>19738.36517282384</v>
          </cell>
          <cell r="X23">
            <v>19738.36517282384</v>
          </cell>
          <cell r="AP23">
            <v>472451.85494518897</v>
          </cell>
        </row>
        <row r="24">
          <cell r="V24">
            <v>507524.12449477764</v>
          </cell>
          <cell r="W24">
            <v>21743.254986659987</v>
          </cell>
          <cell r="X24">
            <v>21743.254986659987</v>
          </cell>
          <cell r="AP24">
            <v>528437.78952381446</v>
          </cell>
        </row>
        <row r="25">
          <cell r="V25">
            <v>572228.69965502142</v>
          </cell>
          <cell r="W25">
            <v>23880.754109146917</v>
          </cell>
          <cell r="X25">
            <v>23880.754109146917</v>
          </cell>
          <cell r="AP25">
            <v>588317.18676808581</v>
          </cell>
        </row>
        <row r="26">
          <cell r="V26">
            <v>639783.69334148546</v>
          </cell>
          <cell r="W26">
            <v>26033.216627395923</v>
          </cell>
          <cell r="X26">
            <v>26033.216627395923</v>
          </cell>
          <cell r="AP26">
            <v>650648.11977718794</v>
          </cell>
        </row>
        <row r="27">
          <cell r="V27">
            <v>717336.57324233791</v>
          </cell>
          <cell r="W27">
            <v>28100.999007405175</v>
          </cell>
          <cell r="X27">
            <v>28100.999007405175</v>
          </cell>
          <cell r="AP27">
            <v>718057.30173864786</v>
          </cell>
        </row>
        <row r="28">
          <cell r="V28">
            <v>800167.96969322534</v>
          </cell>
          <cell r="W28">
            <v>30253.643551410765</v>
          </cell>
          <cell r="X28">
            <v>30253.643551410765</v>
          </cell>
          <cell r="AP28">
            <v>789273.25260429084</v>
          </cell>
        </row>
        <row r="29">
          <cell r="V29">
            <v>887931.2802371385</v>
          </cell>
          <cell r="W29">
            <v>32475.299774644205</v>
          </cell>
          <cell r="X29">
            <v>32475.299774644205</v>
          </cell>
          <cell r="AP29">
            <v>862561.80445989431</v>
          </cell>
        </row>
        <row r="30">
          <cell r="V30">
            <v>982033.20196594042</v>
          </cell>
          <cell r="W30">
            <v>34813.222212541034</v>
          </cell>
          <cell r="X30">
            <v>34813.222212541034</v>
          </cell>
          <cell r="AP30">
            <v>942757.74151956371</v>
          </cell>
        </row>
        <row r="31">
          <cell r="V31">
            <v>1085207.5559883094</v>
          </cell>
          <cell r="W31">
            <v>37356.448263057682</v>
          </cell>
          <cell r="X31">
            <v>37356.448263057682</v>
          </cell>
          <cell r="AP31">
            <v>1030119.6326095823</v>
          </cell>
        </row>
        <row r="32">
          <cell r="V32">
            <v>1196805.1086865875</v>
          </cell>
          <cell r="W32">
            <v>40071.479572262673</v>
          </cell>
          <cell r="X32">
            <v>40071.479572262673</v>
          </cell>
          <cell r="AP32">
            <v>1125373.652732342</v>
          </cell>
        </row>
        <row r="33">
          <cell r="V33">
            <v>1315543.3676108338</v>
          </cell>
          <cell r="W33">
            <v>42907.826365579815</v>
          </cell>
          <cell r="X33">
            <v>42907.826365579815</v>
          </cell>
          <cell r="AP33">
            <v>1226131.2845586075</v>
          </cell>
        </row>
        <row r="34">
          <cell r="V34">
            <v>1458502.1923368229</v>
          </cell>
          <cell r="W34">
            <v>46406.727426378129</v>
          </cell>
          <cell r="X34">
            <v>46406.727426378129</v>
          </cell>
          <cell r="AP34">
            <v>1340524.7756447203</v>
          </cell>
        </row>
        <row r="35">
          <cell r="V35">
            <v>1675653.2909409823</v>
          </cell>
          <cell r="W35">
            <v>52066.707162104329</v>
          </cell>
          <cell r="X35">
            <v>52066.707162104329</v>
          </cell>
          <cell r="AP35">
            <v>1491426.508622013</v>
          </cell>
        </row>
        <row r="36">
          <cell r="V36">
            <v>1916382.6573249002</v>
          </cell>
          <cell r="W36">
            <v>58207.457175497686</v>
          </cell>
          <cell r="X36">
            <v>58207.457175497686</v>
          </cell>
          <cell r="AP36">
            <v>1654087.0917169664</v>
          </cell>
        </row>
        <row r="37">
          <cell r="V37">
            <v>2222648.2211886737</v>
          </cell>
          <cell r="W37">
            <v>65558.326596686238</v>
          </cell>
          <cell r="X37">
            <v>65558.326596686238</v>
          </cell>
          <cell r="AP37">
            <v>1840913.606444627</v>
          </cell>
        </row>
        <row r="38">
          <cell r="V38">
            <v>2564666.9639364858</v>
          </cell>
          <cell r="W38">
            <v>73610.30883984176</v>
          </cell>
          <cell r="X38">
            <v>73610.30883984176</v>
          </cell>
          <cell r="AP38">
            <v>2042743.1933978649</v>
          </cell>
        </row>
        <row r="39">
          <cell r="V39">
            <v>2945978.5242326492</v>
          </cell>
          <cell r="W39">
            <v>82464.665544517309</v>
          </cell>
          <cell r="X39">
            <v>82464.665544517309</v>
          </cell>
          <cell r="AP39">
            <v>2262844.9033892052</v>
          </cell>
        </row>
        <row r="40">
          <cell r="V40">
            <v>3369542.768547493</v>
          </cell>
          <cell r="W40">
            <v>92125.953264876822</v>
          </cell>
          <cell r="X40">
            <v>92125.953264876822</v>
          </cell>
          <cell r="AP40">
            <v>2501626.6789782015</v>
          </cell>
        </row>
        <row r="41">
          <cell r="V41">
            <v>3755928.6640090928</v>
          </cell>
          <cell r="W41">
            <v>100409.02125285141</v>
          </cell>
          <cell r="X41">
            <v>100409.02125285141</v>
          </cell>
          <cell r="AP41">
            <v>2728454.2845122553</v>
          </cell>
        </row>
        <row r="42">
          <cell r="V42">
            <v>4152303.8121456737</v>
          </cell>
          <cell r="W42">
            <v>108670.13111565242</v>
          </cell>
          <cell r="X42">
            <v>108670.13111565242</v>
          </cell>
          <cell r="AP42">
            <v>2953626.6441321434</v>
          </cell>
        </row>
        <row r="43">
          <cell r="V43">
            <v>4578334.9826380508</v>
          </cell>
          <cell r="W43">
            <v>117402.29072818678</v>
          </cell>
          <cell r="X43">
            <v>117402.29072818678</v>
          </cell>
          <cell r="AP43">
            <v>3197649.1736474535</v>
          </cell>
        </row>
        <row r="44">
          <cell r="V44">
            <v>5034354.5466663083</v>
          </cell>
          <cell r="W44">
            <v>126614.76396520616</v>
          </cell>
          <cell r="X44">
            <v>126614.76396520616</v>
          </cell>
          <cell r="AP44">
            <v>3453970.0509598227</v>
          </cell>
        </row>
        <row r="45">
          <cell r="V45">
            <v>5522785.0365749206</v>
          </cell>
          <cell r="W45">
            <v>136363.98028738462</v>
          </cell>
          <cell r="X45">
            <v>136363.98028738462</v>
          </cell>
          <cell r="AP45">
            <v>3729054.3187167393</v>
          </cell>
        </row>
        <row r="46">
          <cell r="V46">
            <v>6031881.2871037284</v>
          </cell>
          <cell r="W46">
            <v>146367.93244331985</v>
          </cell>
          <cell r="X46">
            <v>146367.93244331985</v>
          </cell>
          <cell r="AP46">
            <v>4018263.5565835941</v>
          </cell>
        </row>
        <row r="47">
          <cell r="V47">
            <v>6440670.3345250804</v>
          </cell>
          <cell r="W47">
            <v>154378.4059318424</v>
          </cell>
          <cell r="X47">
            <v>154378.4059318424</v>
          </cell>
          <cell r="AP47">
            <v>4305424.5303418636</v>
          </cell>
        </row>
        <row r="48">
          <cell r="V48">
            <v>6868539.0752392635</v>
          </cell>
          <cell r="W48">
            <v>162694.24101963907</v>
          </cell>
          <cell r="X48">
            <v>162694.24101963907</v>
          </cell>
          <cell r="AP48">
            <v>4611867.9468194954</v>
          </cell>
        </row>
        <row r="49">
          <cell r="V49">
            <v>7315287.5772605799</v>
          </cell>
          <cell r="W49">
            <v>171304.42626147196</v>
          </cell>
          <cell r="X49">
            <v>171304.42626147196</v>
          </cell>
          <cell r="AP49">
            <v>4932615.7299830941</v>
          </cell>
        </row>
        <row r="50">
          <cell r="V50">
            <v>7810470.473416565</v>
          </cell>
          <cell r="W50">
            <v>180694.04620032362</v>
          </cell>
          <cell r="X50">
            <v>180694.04620032362</v>
          </cell>
          <cell r="AP50">
            <v>5291664.474438549</v>
          </cell>
        </row>
        <row r="51">
          <cell r="V51">
            <v>8360379.0884384476</v>
          </cell>
          <cell r="W51">
            <v>191180.39205134986</v>
          </cell>
          <cell r="X51">
            <v>191180.39205134986</v>
          </cell>
          <cell r="AP51">
            <v>5689751.1129865684</v>
          </cell>
        </row>
        <row r="52">
          <cell r="V52">
            <v>8951148.9723063894</v>
          </cell>
          <cell r="W52">
            <v>202583.32476102497</v>
          </cell>
          <cell r="X52">
            <v>202583.32476102497</v>
          </cell>
          <cell r="AP52">
            <v>6134322.9369475255</v>
          </cell>
        </row>
        <row r="53">
          <cell r="V53">
            <v>9545583.7475060076</v>
          </cell>
          <cell r="W53">
            <v>213893.89004392794</v>
          </cell>
          <cell r="X53">
            <v>213893.89004392794</v>
          </cell>
          <cell r="AP53">
            <v>6585932.6085552042</v>
          </cell>
        </row>
        <row r="54">
          <cell r="V54">
            <v>10162071.745650925</v>
          </cell>
          <cell r="W54">
            <v>225529.62732649304</v>
          </cell>
          <cell r="X54">
            <v>225529.62732649304</v>
          </cell>
          <cell r="AP54">
            <v>7063283.2067688908</v>
          </cell>
        </row>
        <row r="55">
          <cell r="V55">
            <v>10802899.285982631</v>
          </cell>
          <cell r="W55">
            <v>237538.11506124958</v>
          </cell>
          <cell r="X55">
            <v>237538.11506124958</v>
          </cell>
          <cell r="AP55">
            <v>7563602.3845486594</v>
          </cell>
        </row>
        <row r="56">
          <cell r="V56">
            <v>12278907.067597546</v>
          </cell>
          <cell r="W56">
            <v>257141.35251134686</v>
          </cell>
          <cell r="X56">
            <v>257141.35251134686</v>
          </cell>
          <cell r="AP56">
            <v>8270607.9148499118</v>
          </cell>
        </row>
        <row r="57">
          <cell r="V57">
            <v>14389504.595009856</v>
          </cell>
          <cell r="W57">
            <v>284407.14372099348</v>
          </cell>
          <cell r="X57">
            <v>284407.14372099348</v>
          </cell>
          <cell r="AP57">
            <v>9136905.19700226</v>
          </cell>
        </row>
        <row r="58">
          <cell r="V58">
            <v>16703732.994525367</v>
          </cell>
          <cell r="W58">
            <v>313261.18032422056</v>
          </cell>
          <cell r="X58">
            <v>313261.18032422056</v>
          </cell>
          <cell r="AP58">
            <v>10065358.644887624</v>
          </cell>
        </row>
        <row r="59">
          <cell r="V59">
            <v>19232813.346872579</v>
          </cell>
          <cell r="W59">
            <v>343808.35963828105</v>
          </cell>
          <cell r="X59">
            <v>343808.35963828105</v>
          </cell>
          <cell r="AP59">
            <v>11069425.019900979</v>
          </cell>
        </row>
        <row r="60">
          <cell r="V60">
            <v>20405891.94991466</v>
          </cell>
          <cell r="W60">
            <v>365537.54940180021</v>
          </cell>
          <cell r="X60">
            <v>365537.54940180021</v>
          </cell>
          <cell r="AP60">
            <v>11879391.832458984</v>
          </cell>
        </row>
        <row r="61">
          <cell r="V61">
            <v>21226309.338833585</v>
          </cell>
          <cell r="W61">
            <v>386233.02291909908</v>
          </cell>
          <cell r="X61">
            <v>386233.02291909908</v>
          </cell>
          <cell r="AP61">
            <v>12679523.436624171</v>
          </cell>
        </row>
        <row r="62">
          <cell r="V62">
            <v>22062347.132384285</v>
          </cell>
          <cell r="W62">
            <v>407724.29487166402</v>
          </cell>
          <cell r="X62">
            <v>407724.29487166402</v>
          </cell>
          <cell r="AP62">
            <v>13521175.346649565</v>
          </cell>
        </row>
        <row r="63">
          <cell r="V63">
            <v>22928291.057158388</v>
          </cell>
          <cell r="W63">
            <v>430175.25999907724</v>
          </cell>
          <cell r="X63">
            <v>430175.25999907724</v>
          </cell>
          <cell r="AP63">
            <v>14418492.795846282</v>
          </cell>
        </row>
        <row r="64">
          <cell r="V64">
            <v>23828946.42212642</v>
          </cell>
          <cell r="W64">
            <v>453695.29629322456</v>
          </cell>
          <cell r="X64">
            <v>453695.29629322456</v>
          </cell>
          <cell r="AP64">
            <v>15380518.441671226</v>
          </cell>
        </row>
        <row r="65">
          <cell r="V65">
            <v>24765906.233154941</v>
          </cell>
          <cell r="W65">
            <v>478412.53175828129</v>
          </cell>
          <cell r="X65">
            <v>478412.53175828129</v>
          </cell>
          <cell r="AP65">
            <v>16405601.963032985</v>
          </cell>
        </row>
        <row r="66">
          <cell r="V66">
            <v>27377377.666062571</v>
          </cell>
          <cell r="W66">
            <v>525765.76445496397</v>
          </cell>
          <cell r="X66">
            <v>525765.76445496397</v>
          </cell>
          <cell r="AP66">
            <v>19288580.23810681</v>
          </cell>
        </row>
        <row r="67">
          <cell r="V67">
            <v>30504376.864052057</v>
          </cell>
          <cell r="W67">
            <v>578342.70303229371</v>
          </cell>
          <cell r="X67">
            <v>578342.70303229371</v>
          </cell>
          <cell r="AP67">
            <v>22796693.991752103</v>
          </cell>
        </row>
        <row r="68">
          <cell r="V68">
            <v>33896413.196294576</v>
          </cell>
          <cell r="W68">
            <v>634821.34668638802</v>
          </cell>
          <cell r="X68">
            <v>634821.34668638802</v>
          </cell>
          <cell r="AP68">
            <v>26829752.539045051</v>
          </cell>
        </row>
        <row r="69">
          <cell r="V69">
            <v>37571651.697517768</v>
          </cell>
          <cell r="W69">
            <v>695499.12559897592</v>
          </cell>
          <cell r="X69">
            <v>695499.12559897592</v>
          </cell>
          <cell r="AP69">
            <v>31402618.624332037</v>
          </cell>
        </row>
        <row r="70">
          <cell r="V70">
            <v>41568503.287198558</v>
          </cell>
          <cell r="W70">
            <v>760998.16012835922</v>
          </cell>
          <cell r="X70">
            <v>760998.16012835922</v>
          </cell>
          <cell r="AP70">
            <v>36650567.377194822</v>
          </cell>
        </row>
        <row r="71">
          <cell r="V71">
            <v>45936336.240729034</v>
          </cell>
          <cell r="W71">
            <v>833465.00774841174</v>
          </cell>
          <cell r="X71">
            <v>833465.00774841174</v>
          </cell>
          <cell r="AP71">
            <v>42525221.395908922</v>
          </cell>
        </row>
        <row r="72">
          <cell r="V72">
            <v>50591567.31089358</v>
          </cell>
          <cell r="W72">
            <v>906779.10556165036</v>
          </cell>
          <cell r="X72">
            <v>906779.10556165036</v>
          </cell>
          <cell r="AP72">
            <v>48915401.315855846</v>
          </cell>
        </row>
        <row r="73">
          <cell r="V73">
            <v>55514025.98191829</v>
          </cell>
          <cell r="W73">
            <v>983518.94617214357</v>
          </cell>
          <cell r="X73">
            <v>983518.94617214357</v>
          </cell>
          <cell r="AP73">
            <v>55949099.893189721</v>
          </cell>
        </row>
        <row r="74">
          <cell r="V74">
            <v>60793453.008038074</v>
          </cell>
          <cell r="W74">
            <v>1064467.4451996966</v>
          </cell>
          <cell r="X74">
            <v>1064467.4451996966</v>
          </cell>
          <cell r="AP74">
            <v>63815460.685578004</v>
          </cell>
        </row>
        <row r="75">
          <cell r="V75">
            <v>66689043.512764648</v>
          </cell>
          <cell r="W75">
            <v>1154284.9248804713</v>
          </cell>
          <cell r="X75">
            <v>1154284.9248804713</v>
          </cell>
          <cell r="AP75">
            <v>73004974.3285795</v>
          </cell>
        </row>
        <row r="76">
          <cell r="V76">
            <v>72269477.47245726</v>
          </cell>
          <cell r="W76">
            <v>1240484.8679708387</v>
          </cell>
          <cell r="X76">
            <v>1240484.8679708387</v>
          </cell>
          <cell r="AP76">
            <v>83226407.324970528</v>
          </cell>
        </row>
        <row r="77">
          <cell r="V77">
            <v>77964159.607996598</v>
          </cell>
          <cell r="W77">
            <v>1321082.2498369985</v>
          </cell>
          <cell r="X77">
            <v>1321082.2498369985</v>
          </cell>
          <cell r="AP77">
            <v>91911486.571972772</v>
          </cell>
        </row>
        <row r="78">
          <cell r="V78">
            <v>83998082.458414406</v>
          </cell>
          <cell r="W78">
            <v>1405843.3899978085</v>
          </cell>
          <cell r="X78">
            <v>1405843.3899978085</v>
          </cell>
          <cell r="AP78">
            <v>101403477.01640761</v>
          </cell>
        </row>
        <row r="79">
          <cell r="V79">
            <v>90679209.73997426</v>
          </cell>
          <cell r="W79">
            <v>1496912.1767404538</v>
          </cell>
          <cell r="X79">
            <v>1496912.1767404538</v>
          </cell>
          <cell r="AP79">
            <v>112305510.95049463</v>
          </cell>
        </row>
        <row r="80">
          <cell r="V80">
            <v>97918698.008221805</v>
          </cell>
          <cell r="W80">
            <v>1594366.1524195119</v>
          </cell>
          <cell r="X80">
            <v>1594366.1524195119</v>
          </cell>
          <cell r="AP80">
            <v>124716234.91866176</v>
          </cell>
        </row>
        <row r="81">
          <cell r="V81">
            <v>105696710.05175287</v>
          </cell>
          <cell r="W81">
            <v>1709488.74539512</v>
          </cell>
          <cell r="X81">
            <v>1709488.74539512</v>
          </cell>
          <cell r="AP81">
            <v>137489535.34879503</v>
          </cell>
        </row>
        <row r="82">
          <cell r="V82">
            <v>114158311.71961921</v>
          </cell>
          <cell r="W82">
            <v>1849323.8414705601</v>
          </cell>
          <cell r="X82">
            <v>1849323.8414705601</v>
          </cell>
          <cell r="AP82">
            <v>151935866.31216416</v>
          </cell>
        </row>
        <row r="83">
          <cell r="V83">
            <v>123223213.82186684</v>
          </cell>
          <cell r="W83">
            <v>2001744.3568252802</v>
          </cell>
          <cell r="X83">
            <v>2001744.3568252802</v>
          </cell>
          <cell r="AP83">
            <v>168043214.72695288</v>
          </cell>
        </row>
        <row r="84">
          <cell r="V84">
            <v>132959561.56443162</v>
          </cell>
          <cell r="W84">
            <v>2157924.5367590841</v>
          </cell>
          <cell r="X84">
            <v>2157924.5367590841</v>
          </cell>
          <cell r="AP84">
            <v>185322148.6326606</v>
          </cell>
        </row>
        <row r="85">
          <cell r="V85">
            <v>143285001.6161229</v>
          </cell>
          <cell r="W85">
            <v>2321570.218904342</v>
          </cell>
          <cell r="X85">
            <v>2321570.218904342</v>
          </cell>
          <cell r="AP85">
            <v>204145824.40986231</v>
          </cell>
        </row>
        <row r="86">
          <cell r="V86">
            <v>154151174.36940533</v>
          </cell>
          <cell r="W86">
            <v>2493554.035860999</v>
          </cell>
          <cell r="X86">
            <v>2493554.035860999</v>
          </cell>
          <cell r="AP86">
            <v>224147047.27248484</v>
          </cell>
        </row>
        <row r="87">
          <cell r="V87">
            <v>165233137.4235158</v>
          </cell>
          <cell r="W87">
            <v>2686849.7015514094</v>
          </cell>
          <cell r="X87">
            <v>2686849.7015514094</v>
          </cell>
          <cell r="AP87">
            <v>247073605.45989165</v>
          </cell>
        </row>
        <row r="88">
          <cell r="V88">
            <v>177128847.47887009</v>
          </cell>
          <cell r="W88">
            <v>2894999.0984329027</v>
          </cell>
          <cell r="X88">
            <v>2894999.0984329027</v>
          </cell>
          <cell r="AP88">
            <v>272039165.08044833</v>
          </cell>
        </row>
        <row r="89">
          <cell r="V89">
            <v>190087434.96839982</v>
          </cell>
          <cell r="W89">
            <v>3123390.7907912643</v>
          </cell>
          <cell r="X89">
            <v>3123390.7907912643</v>
          </cell>
          <cell r="AP89">
            <v>301160420.94170481</v>
          </cell>
        </row>
        <row r="90">
          <cell r="V90">
            <v>203908816.41826606</v>
          </cell>
          <cell r="W90">
            <v>3368243.1826537726</v>
          </cell>
          <cell r="X90">
            <v>3368243.1826537726</v>
          </cell>
          <cell r="AP90">
            <v>333324064.68143785</v>
          </cell>
        </row>
        <row r="91">
          <cell r="V91">
            <v>218519775.36132672</v>
          </cell>
          <cell r="W91">
            <v>3649044.545813615</v>
          </cell>
          <cell r="X91">
            <v>3649044.545813615</v>
          </cell>
          <cell r="AP91">
            <v>365951919.06468415</v>
          </cell>
        </row>
        <row r="92">
          <cell r="V92">
            <v>233965135.7399976</v>
          </cell>
          <cell r="W92">
            <v>3958906.2053826014</v>
          </cell>
          <cell r="X92">
            <v>3958906.2053826014</v>
          </cell>
          <cell r="AP92">
            <v>401151018.4119308</v>
          </cell>
        </row>
        <row r="93">
          <cell r="V93">
            <v>251219277.41493285</v>
          </cell>
          <cell r="W93">
            <v>4294257.9912328012</v>
          </cell>
          <cell r="X93">
            <v>4294257.9912328012</v>
          </cell>
          <cell r="AP93">
            <v>447464474.7393142</v>
          </cell>
        </row>
        <row r="94">
          <cell r="V94">
            <v>269898591.09408092</v>
          </cell>
          <cell r="W94">
            <v>4647333.8439061213</v>
          </cell>
          <cell r="X94">
            <v>4647333.8439061213</v>
          </cell>
          <cell r="AP94">
            <v>503227357.92275792</v>
          </cell>
        </row>
        <row r="95">
          <cell r="V95">
            <v>289722323.50767374</v>
          </cell>
          <cell r="W95">
            <v>5017793.7422767356</v>
          </cell>
          <cell r="X95">
            <v>5017793.7422767356</v>
          </cell>
          <cell r="AP95">
            <v>564657192.19995821</v>
          </cell>
        </row>
        <row r="96">
          <cell r="V96">
            <v>311734409.5743171</v>
          </cell>
          <cell r="W96">
            <v>5429609.9609309798</v>
          </cell>
          <cell r="X96">
            <v>5429609.9609309798</v>
          </cell>
          <cell r="AP96">
            <v>638769596.81525409</v>
          </cell>
        </row>
        <row r="97">
          <cell r="V97">
            <v>330227467.28922135</v>
          </cell>
          <cell r="W97">
            <v>5771254.9376357934</v>
          </cell>
          <cell r="X97">
            <v>5771254.9376357934</v>
          </cell>
          <cell r="AP97">
            <v>704744938.93856525</v>
          </cell>
        </row>
        <row r="98">
          <cell r="V98">
            <v>347810427.67123884</v>
          </cell>
          <cell r="W98">
            <v>6088653.6081163157</v>
          </cell>
          <cell r="X98">
            <v>6088653.6081163157</v>
          </cell>
          <cell r="AP98">
            <v>769889393.22700632</v>
          </cell>
        </row>
        <row r="99">
          <cell r="V99">
            <v>366604733.93519044</v>
          </cell>
          <cell r="W99">
            <v>6428090.4730325416</v>
          </cell>
          <cell r="X99">
            <v>6428090.4730325416</v>
          </cell>
          <cell r="AP99">
            <v>843043693.10953629</v>
          </cell>
        </row>
        <row r="100">
          <cell r="V100">
            <v>387162690.9032923</v>
          </cell>
          <cell r="W100">
            <v>6798961.4438794488</v>
          </cell>
          <cell r="X100">
            <v>6798961.4438794488</v>
          </cell>
          <cell r="AP100">
            <v>929808623.06452847</v>
          </cell>
        </row>
        <row r="101">
          <cell r="V101">
            <v>408223049.74258351</v>
          </cell>
          <cell r="W101">
            <v>7174133.7217702856</v>
          </cell>
          <cell r="X101">
            <v>7174133.7217702856</v>
          </cell>
          <cell r="AP101">
            <v>1020701367.0127553</v>
          </cell>
        </row>
        <row r="102">
          <cell r="V102">
            <v>430550245.88973153</v>
          </cell>
          <cell r="W102">
            <v>7570434.0005700272</v>
          </cell>
          <cell r="X102">
            <v>7570434.0005700272</v>
          </cell>
          <cell r="AP102">
            <v>1107790903.6395948</v>
          </cell>
        </row>
        <row r="103">
          <cell r="V103">
            <v>453062685.83406669</v>
          </cell>
          <cell r="W103">
            <v>7971185.3848394202</v>
          </cell>
          <cell r="X103">
            <v>7971185.3848394202</v>
          </cell>
          <cell r="AP103">
            <v>1194746281.4615166</v>
          </cell>
        </row>
        <row r="104">
          <cell r="V104">
            <v>475260629.18075198</v>
          </cell>
          <cell r="W104">
            <v>8367088.2915303372</v>
          </cell>
          <cell r="X104">
            <v>8367088.2915303372</v>
          </cell>
          <cell r="AP104">
            <v>1284388869.769887</v>
          </cell>
        </row>
        <row r="105">
          <cell r="V105">
            <v>498233498.10863698</v>
          </cell>
          <cell r="W105">
            <v>8777018.214285925</v>
          </cell>
          <cell r="X105">
            <v>8777018.214285925</v>
          </cell>
          <cell r="AP105">
            <v>1379511420.1750212</v>
          </cell>
        </row>
        <row r="106">
          <cell r="V106">
            <v>522046598.84026396</v>
          </cell>
          <cell r="W106">
            <v>9201272.8615057133</v>
          </cell>
          <cell r="X106">
            <v>9201272.8615057133</v>
          </cell>
          <cell r="AP106">
            <v>1480181463.6578887</v>
          </cell>
        </row>
        <row r="107">
          <cell r="V107">
            <v>545091030.564358</v>
          </cell>
          <cell r="W107">
            <v>9585042.9642467983</v>
          </cell>
          <cell r="X107">
            <v>9585042.9642467983</v>
          </cell>
          <cell r="AP107">
            <v>1576449173.4385056</v>
          </cell>
        </row>
        <row r="108">
          <cell r="V108">
            <v>568455901.7856468</v>
          </cell>
          <cell r="W108">
            <v>9972990.3008073848</v>
          </cell>
          <cell r="X108">
            <v>9972990.3008073848</v>
          </cell>
          <cell r="AP108">
            <v>1676620212.0177646</v>
          </cell>
        </row>
        <row r="109">
          <cell r="V109">
            <v>592930106.40633667</v>
          </cell>
          <cell r="W109">
            <v>10378927.335217498</v>
          </cell>
          <cell r="X109">
            <v>10378927.335217498</v>
          </cell>
          <cell r="AP109">
            <v>1784632080.5180337</v>
          </cell>
        </row>
        <row r="110">
          <cell r="V110">
            <v>618585467.79801393</v>
          </cell>
          <cell r="W110">
            <v>10804498.837575084</v>
          </cell>
          <cell r="X110">
            <v>10804498.837575084</v>
          </cell>
          <cell r="AP110">
            <v>1900997827.7269468</v>
          </cell>
        </row>
        <row r="111">
          <cell r="V111">
            <v>645143959.73547733</v>
          </cell>
          <cell r="W111">
            <v>11244806.085422268</v>
          </cell>
          <cell r="X111">
            <v>11244806.085422268</v>
          </cell>
          <cell r="AP111">
            <v>2025556844.202842</v>
          </cell>
        </row>
        <row r="112">
          <cell r="V112">
            <v>667744534.83300185</v>
          </cell>
          <cell r="W112">
            <v>11577554.987778295</v>
          </cell>
          <cell r="X112">
            <v>11577554.987778295</v>
          </cell>
          <cell r="AP112">
            <v>2152178735.2614498</v>
          </cell>
        </row>
        <row r="113">
          <cell r="V113">
            <v>689673811.06909227</v>
          </cell>
          <cell r="W113">
            <v>11897570.221578723</v>
          </cell>
          <cell r="X113">
            <v>11897570.221578723</v>
          </cell>
          <cell r="AP113">
            <v>2273500176.7160449</v>
          </cell>
        </row>
        <row r="114">
          <cell r="V114">
            <v>711201374.4500041</v>
          </cell>
          <cell r="W114">
            <v>12207991.491610561</v>
          </cell>
          <cell r="X114">
            <v>12207991.491610561</v>
          </cell>
          <cell r="AP114">
            <v>2392083835.808846</v>
          </cell>
        </row>
        <row r="115">
          <cell r="V115">
            <v>733398044.22524512</v>
          </cell>
          <cell r="W115">
            <v>12527284.012703501</v>
          </cell>
          <cell r="X115">
            <v>12527284.012703501</v>
          </cell>
          <cell r="AP115">
            <v>2517787418.5323853</v>
          </cell>
        </row>
        <row r="116">
          <cell r="V116">
            <v>756264230.04665029</v>
          </cell>
          <cell r="W116">
            <v>12855357.385775439</v>
          </cell>
          <cell r="X116">
            <v>12855357.385775439</v>
          </cell>
          <cell r="AP116">
            <v>2650117339.8195453</v>
          </cell>
        </row>
        <row r="117">
          <cell r="V117">
            <v>777852099.32150686</v>
          </cell>
          <cell r="W117">
            <v>13190471.049634155</v>
          </cell>
          <cell r="X117">
            <v>13190471.049634155</v>
          </cell>
          <cell r="AP117">
            <v>2793072857.129899</v>
          </cell>
        </row>
        <row r="118">
          <cell r="V118">
            <v>802024619.66686797</v>
          </cell>
          <cell r="W118">
            <v>13566890.827185348</v>
          </cell>
          <cell r="X118">
            <v>13566890.827185348</v>
          </cell>
          <cell r="AP118">
            <v>2949539480.2772312</v>
          </cell>
        </row>
        <row r="119">
          <cell r="V119">
            <v>827995588.67800212</v>
          </cell>
          <cell r="W119">
            <v>13972082.525099751</v>
          </cell>
          <cell r="X119">
            <v>13972082.525099751</v>
          </cell>
          <cell r="AP119">
            <v>3118166064.2037463</v>
          </cell>
        </row>
        <row r="120">
          <cell r="V120">
            <v>854348204.03602052</v>
          </cell>
          <cell r="W120">
            <v>14380597.285947558</v>
          </cell>
          <cell r="X120">
            <v>14380597.285947558</v>
          </cell>
          <cell r="AP120">
            <v>3292556287.7415919</v>
          </cell>
        </row>
        <row r="121">
          <cell r="V121">
            <v>881636605.98908186</v>
          </cell>
          <cell r="W121">
            <v>14800781.426651374</v>
          </cell>
          <cell r="X121">
            <v>14800781.426651374</v>
          </cell>
          <cell r="AP121">
            <v>3474128276.2614241</v>
          </cell>
        </row>
        <row r="122">
          <cell r="V122">
            <v>910446847.19349742</v>
          </cell>
          <cell r="W122">
            <v>15241324.333137009</v>
          </cell>
          <cell r="X122">
            <v>15241324.333137009</v>
          </cell>
          <cell r="AP122">
            <v>3667069238.1025553</v>
          </cell>
        </row>
        <row r="123">
          <cell r="V123">
            <v>938993698.50970888</v>
          </cell>
          <cell r="W123">
            <v>15657502.329876866</v>
          </cell>
          <cell r="X123">
            <v>15657502.329876866</v>
          </cell>
          <cell r="AP123">
            <v>3863236118.3792205</v>
          </cell>
        </row>
        <row r="124">
          <cell r="V124">
            <v>968460337.46595764</v>
          </cell>
          <cell r="W124">
            <v>16085995.845191117</v>
          </cell>
          <cell r="X124">
            <v>16085995.845191117</v>
          </cell>
          <cell r="AP124">
            <v>4070103461.2631497</v>
          </cell>
        </row>
        <row r="125">
          <cell r="V125">
            <v>998294852.98079073</v>
          </cell>
          <cell r="W125">
            <v>16517551.079228943</v>
          </cell>
          <cell r="X125">
            <v>16517551.079228943</v>
          </cell>
          <cell r="AP125">
            <v>4285552429.4195871</v>
          </cell>
        </row>
        <row r="126">
          <cell r="V126">
            <v>1028727937.3574172</v>
          </cell>
          <cell r="W126">
            <v>16955956.223987564</v>
          </cell>
          <cell r="X126">
            <v>16955956.223987564</v>
          </cell>
          <cell r="AP126">
            <v>4511891210.0053635</v>
          </cell>
        </row>
        <row r="127">
          <cell r="V127">
            <v>1058019058.4203715</v>
          </cell>
          <cell r="W127">
            <v>17372574.782380238</v>
          </cell>
          <cell r="X127">
            <v>17372574.782380238</v>
          </cell>
          <cell r="AP127">
            <v>4726211570.7743235</v>
          </cell>
        </row>
        <row r="128">
          <cell r="V128">
            <v>1088255337.5172012</v>
          </cell>
          <cell r="W128">
            <v>17801815.018327966</v>
          </cell>
          <cell r="X128">
            <v>17801815.018327966</v>
          </cell>
          <cell r="AP128">
            <v>4954189965.9322262</v>
          </cell>
        </row>
        <row r="129">
          <cell r="V129">
            <v>1118934866.9568892</v>
          </cell>
          <cell r="W129">
            <v>18235375.553620789</v>
          </cell>
          <cell r="X129">
            <v>18235375.553620789</v>
          </cell>
          <cell r="AP129">
            <v>5192242791.0432806</v>
          </cell>
        </row>
        <row r="130">
          <cell r="V130">
            <v>1150597903.7681451</v>
          </cell>
          <cell r="W130">
            <v>18677412.278289694</v>
          </cell>
          <cell r="X130">
            <v>18677412.278289694</v>
          </cell>
          <cell r="AP130">
            <v>5442532159.1511936</v>
          </cell>
        </row>
        <row r="131">
          <cell r="V131">
            <v>1182182151.3719342</v>
          </cell>
          <cell r="W131">
            <v>19102343.385783266</v>
          </cell>
          <cell r="X131">
            <v>19102343.385783266</v>
          </cell>
          <cell r="AP131">
            <v>5698173837.1019392</v>
          </cell>
        </row>
        <row r="132">
          <cell r="V132">
            <v>1208582037.6469145</v>
          </cell>
          <cell r="W132">
            <v>19435497.732011706</v>
          </cell>
          <cell r="X132">
            <v>19435497.732011706</v>
          </cell>
          <cell r="AP132">
            <v>5957574849.829812</v>
          </cell>
        </row>
        <row r="133">
          <cell r="V133">
            <v>1235029819.9866743</v>
          </cell>
          <cell r="W133">
            <v>19818485.597845711</v>
          </cell>
          <cell r="X133">
            <v>19818485.597845711</v>
          </cell>
          <cell r="AP133">
            <v>6220994508.8854361</v>
          </cell>
        </row>
        <row r="134">
          <cell r="V134">
            <v>1262137322.9138889</v>
          </cell>
          <cell r="W134">
            <v>20223251.365780592</v>
          </cell>
          <cell r="X134">
            <v>20223251.365780592</v>
          </cell>
          <cell r="AP134">
            <v>6496211064.2695704</v>
          </cell>
        </row>
        <row r="135">
          <cell r="V135">
            <v>1290222494.9364431</v>
          </cell>
          <cell r="W135">
            <v>20642719.920269772</v>
          </cell>
          <cell r="X135">
            <v>20642719.920269772</v>
          </cell>
          <cell r="AP135">
            <v>6787752649.1381655</v>
          </cell>
        </row>
        <row r="136">
          <cell r="V136">
            <v>1319033456.2379498</v>
          </cell>
          <cell r="W136">
            <v>21072814.910383303</v>
          </cell>
          <cell r="X136">
            <v>21072814.910383303</v>
          </cell>
          <cell r="AP136">
            <v>7092754163.705039</v>
          </cell>
        </row>
        <row r="137">
          <cell r="V137">
            <v>1344525724.26106</v>
          </cell>
          <cell r="W137">
            <v>21448981.767919395</v>
          </cell>
          <cell r="X137">
            <v>21448981.767919395</v>
          </cell>
          <cell r="AP137">
            <v>7356025254.3455172</v>
          </cell>
        </row>
        <row r="138">
          <cell r="V138">
            <v>1370579181.3063538</v>
          </cell>
          <cell r="W138">
            <v>21833271.396600824</v>
          </cell>
          <cell r="X138">
            <v>21833271.396600824</v>
          </cell>
          <cell r="AP138">
            <v>7629379191.639678</v>
          </cell>
        </row>
        <row r="139">
          <cell r="V139">
            <v>1394448551.7041273</v>
          </cell>
          <cell r="W139">
            <v>22181989.593059178</v>
          </cell>
          <cell r="X139">
            <v>22181989.593059178</v>
          </cell>
          <cell r="AP139">
            <v>7894509919.7662907</v>
          </cell>
        </row>
        <row r="140">
          <cell r="V140">
            <v>1415365327.8567653</v>
          </cell>
          <cell r="W140">
            <v>22483089.085068978</v>
          </cell>
          <cell r="X140">
            <v>22483089.085068978</v>
          </cell>
          <cell r="AP140">
            <v>8146897761.720787</v>
          </cell>
        </row>
        <row r="141">
          <cell r="V141">
            <v>1437020603.1349733</v>
          </cell>
          <cell r="W141">
            <v>22795329.171505339</v>
          </cell>
          <cell r="X141">
            <v>22795329.171505339</v>
          </cell>
          <cell r="AP141">
            <v>8412795150.7226686</v>
          </cell>
        </row>
        <row r="142">
          <cell r="V142">
            <v>1465020411.63852</v>
          </cell>
          <cell r="W142">
            <v>23207476.592484958</v>
          </cell>
          <cell r="X142">
            <v>23207476.592484958</v>
          </cell>
          <cell r="AP142">
            <v>8696900388.2569027</v>
          </cell>
        </row>
        <row r="143">
          <cell r="V143">
            <v>1493537911.2283692</v>
          </cell>
          <cell r="W143">
            <v>23628671.755648188</v>
          </cell>
          <cell r="X143">
            <v>23628671.755648188</v>
          </cell>
          <cell r="AP143">
            <v>8990467390.4410133</v>
          </cell>
        </row>
        <row r="144">
          <cell r="V144">
            <v>1522223629.0670955</v>
          </cell>
          <cell r="W144">
            <v>24059590.825362597</v>
          </cell>
          <cell r="X144">
            <v>24059590.825362597</v>
          </cell>
          <cell r="AP144">
            <v>9288416121.9937248</v>
          </cell>
        </row>
        <row r="145">
          <cell r="V145">
            <v>1551520920.8605771</v>
          </cell>
          <cell r="W145">
            <v>24499560.271152593</v>
          </cell>
          <cell r="X145">
            <v>24499560.271152593</v>
          </cell>
          <cell r="AP145">
            <v>9597466414.6989307</v>
          </cell>
        </row>
        <row r="146">
          <cell r="V146">
            <v>1580617875.1458597</v>
          </cell>
          <cell r="W146">
            <v>24935754.358724844</v>
          </cell>
          <cell r="X146">
            <v>24935754.358724844</v>
          </cell>
          <cell r="AP146">
            <v>9905365006.2822399</v>
          </cell>
        </row>
        <row r="147">
          <cell r="V147">
            <v>1612255004.5540943</v>
          </cell>
          <cell r="W147">
            <v>25411386.165084049</v>
          </cell>
          <cell r="X147">
            <v>25411386.165084049</v>
          </cell>
          <cell r="AP147">
            <v>10227595013.634153</v>
          </cell>
        </row>
        <row r="148">
          <cell r="V148">
            <v>1645767842.2720437</v>
          </cell>
          <cell r="W148">
            <v>25915892.299454939</v>
          </cell>
          <cell r="X148">
            <v>25915892.299454939</v>
          </cell>
          <cell r="AP148">
            <v>10580280898.757973</v>
          </cell>
        </row>
        <row r="149">
          <cell r="V149">
            <v>1680100067.5784209</v>
          </cell>
          <cell r="W149">
            <v>26432584.453502711</v>
          </cell>
          <cell r="X149">
            <v>26432584.453502711</v>
          </cell>
          <cell r="AP149">
            <v>10947492390.951427</v>
          </cell>
        </row>
        <row r="150">
          <cell r="V150">
            <v>1714734406.1507816</v>
          </cell>
          <cell r="W150">
            <v>26953308.442197811</v>
          </cell>
          <cell r="X150">
            <v>26953308.442197811</v>
          </cell>
          <cell r="AP150">
            <v>11321213471.950024</v>
          </cell>
        </row>
        <row r="151">
          <cell r="V151">
            <v>1750224337.388643</v>
          </cell>
          <cell r="W151">
            <v>27486755.30101743</v>
          </cell>
          <cell r="X151">
            <v>27486755.30101743</v>
          </cell>
          <cell r="AP151">
            <v>11710428358.753904</v>
          </cell>
        </row>
        <row r="152">
          <cell r="V152">
            <v>1785735944.2649212</v>
          </cell>
          <cell r="W152">
            <v>28019816.036545448</v>
          </cell>
          <cell r="X152">
            <v>28019816.036545448</v>
          </cell>
          <cell r="AP152">
            <v>12101759646.73687</v>
          </cell>
        </row>
        <row r="153">
          <cell r="V153">
            <v>1821756279.4187179</v>
          </cell>
          <cell r="W153">
            <v>28561391.342716735</v>
          </cell>
          <cell r="X153">
            <v>28561391.342716735</v>
          </cell>
          <cell r="AP153">
            <v>12504690675.38336</v>
          </cell>
        </row>
        <row r="154">
          <cell r="V154">
            <v>1858555679.4401567</v>
          </cell>
          <cell r="W154">
            <v>29183910.713362157</v>
          </cell>
          <cell r="X154">
            <v>29183910.713362157</v>
          </cell>
          <cell r="AP154">
            <v>12925018952.371067</v>
          </cell>
        </row>
        <row r="155">
          <cell r="V155">
            <v>1896009147.9823186</v>
          </cell>
          <cell r="W155">
            <v>29873994.739767496</v>
          </cell>
          <cell r="X155">
            <v>29873994.739767496</v>
          </cell>
          <cell r="AP155">
            <v>13358383696.451202</v>
          </cell>
        </row>
        <row r="156">
          <cell r="V156">
            <v>1934049895.5174162</v>
          </cell>
          <cell r="W156">
            <v>30576337.61244601</v>
          </cell>
          <cell r="X156">
            <v>30576337.61244601</v>
          </cell>
          <cell r="AP156">
            <v>13803836836.558168</v>
          </cell>
        </row>
        <row r="157">
          <cell r="V157">
            <v>1964189207.9712954</v>
          </cell>
          <cell r="W157">
            <v>31236938.988911171</v>
          </cell>
          <cell r="X157">
            <v>31236938.988911171</v>
          </cell>
          <cell r="AP157">
            <v>14217134693.19816</v>
          </cell>
        </row>
        <row r="158">
          <cell r="V158">
            <v>1996395046.899256</v>
          </cell>
          <cell r="W158">
            <v>31947644.715033665</v>
          </cell>
          <cell r="X158">
            <v>31947644.715033665</v>
          </cell>
          <cell r="AP158">
            <v>14686153239.258133</v>
          </cell>
        </row>
        <row r="159">
          <cell r="V159">
            <v>2029522785.0670726</v>
          </cell>
          <cell r="W159">
            <v>32679063.17274113</v>
          </cell>
          <cell r="X159">
            <v>32679063.17274113</v>
          </cell>
          <cell r="AP159">
            <v>15176887242.922653</v>
          </cell>
        </row>
        <row r="160">
          <cell r="V160">
            <v>2050391033.2103753</v>
          </cell>
          <cell r="W160">
            <v>33044716.332232408</v>
          </cell>
          <cell r="X160">
            <v>33044716.332232408</v>
          </cell>
          <cell r="AP160">
            <v>15452317975.394468</v>
          </cell>
        </row>
        <row r="161">
          <cell r="V161">
            <v>2066498700.7689919</v>
          </cell>
          <cell r="W161">
            <v>33303110.261185531</v>
          </cell>
          <cell r="X161">
            <v>33303110.261185531</v>
          </cell>
          <cell r="AP161">
            <v>15642910813.859684</v>
          </cell>
        </row>
        <row r="162">
          <cell r="V162">
            <v>2073801784.0816839</v>
          </cell>
          <cell r="W162">
            <v>33419603.351535935</v>
          </cell>
          <cell r="X162">
            <v>33419603.351535935</v>
          </cell>
          <cell r="AP162">
            <v>15674786958.598503</v>
          </cell>
        </row>
        <row r="163">
          <cell r="V163">
            <v>2079556260.6939673</v>
          </cell>
          <cell r="W163">
            <v>33511137.824862268</v>
          </cell>
          <cell r="X163">
            <v>33511137.824862268</v>
          </cell>
          <cell r="AP163">
            <v>15678626638.620621</v>
          </cell>
        </row>
        <row r="164">
          <cell r="V164">
            <v>2085316870.0116205</v>
          </cell>
          <cell r="W164">
            <v>33602769.422867052</v>
          </cell>
          <cell r="X164">
            <v>33602769.422867052</v>
          </cell>
          <cell r="AP164">
            <v>15682467934.164446</v>
          </cell>
        </row>
        <row r="165">
          <cell r="V165">
            <v>2091083612.4582891</v>
          </cell>
          <cell r="W165">
            <v>33694498.152288862</v>
          </cell>
          <cell r="X165">
            <v>33694498.152288862</v>
          </cell>
          <cell r="AP165">
            <v>15686310841.642353</v>
          </cell>
        </row>
        <row r="166">
          <cell r="V166">
            <v>2096850755.6996405</v>
          </cell>
          <cell r="W166">
            <v>33786231.64882414</v>
          </cell>
          <cell r="X166">
            <v>33786231.64882414</v>
          </cell>
          <cell r="AP166">
            <v>15690152974.198065</v>
          </cell>
        </row>
      </sheetData>
      <sheetData sheetId="17">
        <row r="7">
          <cell r="M7">
            <v>60</v>
          </cell>
          <cell r="V7">
            <v>25583.495659324144</v>
          </cell>
          <cell r="W7">
            <v>1918.7621744493104</v>
          </cell>
          <cell r="X7">
            <v>1918.7621744493104</v>
          </cell>
          <cell r="AP7">
            <v>18823.688474268303</v>
          </cell>
        </row>
        <row r="8">
          <cell r="V8">
            <v>34396.788192804946</v>
          </cell>
          <cell r="W8">
            <v>2448.7835901223161</v>
          </cell>
          <cell r="X8">
            <v>2448.7835901223161</v>
          </cell>
          <cell r="AP8">
            <v>27137.505812314779</v>
          </cell>
        </row>
        <row r="9">
          <cell r="V9">
            <v>44577.651168280805</v>
          </cell>
          <cell r="W9">
            <v>3035.1502644549137</v>
          </cell>
          <cell r="X9">
            <v>3035.1502644549137</v>
          </cell>
          <cell r="AP9">
            <v>37430.560563398838</v>
          </cell>
        </row>
        <row r="10">
          <cell r="V10">
            <v>56685.056647087476</v>
          </cell>
          <cell r="W10">
            <v>3713.2035670502933</v>
          </cell>
          <cell r="X10">
            <v>3713.2035670502933</v>
          </cell>
          <cell r="AP10">
            <v>50366.860438246251</v>
          </cell>
        </row>
        <row r="11">
          <cell r="V11">
            <v>70939.51835768891</v>
          </cell>
          <cell r="W11">
            <v>4492.3763274507837</v>
          </cell>
          <cell r="X11">
            <v>4492.3763274507837</v>
          </cell>
          <cell r="AP11">
            <v>66398.294207250394</v>
          </cell>
        </row>
        <row r="12">
          <cell r="V12">
            <v>87577.327783872985</v>
          </cell>
          <cell r="W12">
            <v>5382.7362849534675</v>
          </cell>
          <cell r="X12">
            <v>5382.7362849534675</v>
          </cell>
          <cell r="AP12">
            <v>86028.50216155927</v>
          </cell>
        </row>
        <row r="13">
          <cell r="V13">
            <v>106679.0687747803</v>
          </cell>
          <cell r="W13">
            <v>6384.7082915192532</v>
          </cell>
          <cell r="X13">
            <v>6384.7082915192532</v>
          </cell>
          <cell r="AP13">
            <v>109639.83159239349</v>
          </cell>
        </row>
        <row r="14">
          <cell r="V14">
            <v>127627.77153710707</v>
          </cell>
          <cell r="W14">
            <v>7458.6081009752343</v>
          </cell>
          <cell r="X14">
            <v>7458.6081009752343</v>
          </cell>
          <cell r="AP14">
            <v>136877.06470487081</v>
          </cell>
        </row>
        <row r="15">
          <cell r="V15">
            <v>151314.81205071602</v>
          </cell>
          <cell r="W15">
            <v>8654.9531315137046</v>
          </cell>
          <cell r="X15">
            <v>8654.9531315137046</v>
          </cell>
          <cell r="AP15">
            <v>168957.33118182217</v>
          </cell>
        </row>
        <row r="16">
          <cell r="V16">
            <v>177959.53936125012</v>
          </cell>
          <cell r="W16">
            <v>9982.735982450562</v>
          </cell>
          <cell r="X16">
            <v>9982.735982450562</v>
          </cell>
          <cell r="AP16">
            <v>206473.35244944581</v>
          </cell>
        </row>
        <row r="17">
          <cell r="V17">
            <v>211530.96501191164</v>
          </cell>
          <cell r="W17">
            <v>11657.43062407777</v>
          </cell>
          <cell r="X17">
            <v>11657.43062407777</v>
          </cell>
          <cell r="AP17">
            <v>248472.27006453546</v>
          </cell>
        </row>
        <row r="18">
          <cell r="V18">
            <v>248982.17310950393</v>
          </cell>
          <cell r="W18">
            <v>13069.149697695835</v>
          </cell>
          <cell r="X18">
            <v>13069.149697695835</v>
          </cell>
          <cell r="AP18">
            <v>285235.99499636324</v>
          </cell>
        </row>
        <row r="19">
          <cell r="V19">
            <v>290581.4319973957</v>
          </cell>
          <cell r="W19">
            <v>14573.18528415967</v>
          </cell>
          <cell r="X19">
            <v>14573.18528415967</v>
          </cell>
          <cell r="AP19">
            <v>325216.30708472023</v>
          </cell>
        </row>
        <row r="20">
          <cell r="V20">
            <v>336497.9625386697</v>
          </cell>
          <cell r="W20">
            <v>16169.203581644942</v>
          </cell>
          <cell r="X20">
            <v>16169.203581644942</v>
          </cell>
          <cell r="AP20">
            <v>367937.51633538067</v>
          </cell>
        </row>
        <row r="21">
          <cell r="V21">
            <v>387318.10933210654</v>
          </cell>
          <cell r="W21">
            <v>17876.479211136648</v>
          </cell>
          <cell r="X21">
            <v>17876.479211136648</v>
          </cell>
          <cell r="AP21">
            <v>414720.96468876046</v>
          </cell>
        </row>
        <row r="22">
          <cell r="V22">
            <v>445983.78250979737</v>
          </cell>
          <cell r="W22">
            <v>20149.251109903489</v>
          </cell>
          <cell r="X22">
            <v>20149.251109903489</v>
          </cell>
          <cell r="AP22">
            <v>469190.5513793329</v>
          </cell>
        </row>
        <row r="23">
          <cell r="V23">
            <v>508209.84416307847</v>
          </cell>
          <cell r="W23">
            <v>22210.996442125077</v>
          </cell>
          <cell r="X23">
            <v>22210.996442125077</v>
          </cell>
          <cell r="AP23">
            <v>525586.97104955115</v>
          </cell>
        </row>
        <row r="24">
          <cell r="V24">
            <v>576851.37072729704</v>
          </cell>
          <cell r="W24">
            <v>24432.073998237989</v>
          </cell>
          <cell r="X24">
            <v>24432.073998237989</v>
          </cell>
          <cell r="AP24">
            <v>588350.26750442048</v>
          </cell>
        </row>
        <row r="25">
          <cell r="V25">
            <v>651515.72536344081</v>
          </cell>
          <cell r="W25">
            <v>26786.145769338036</v>
          </cell>
          <cell r="X25">
            <v>26786.145769338036</v>
          </cell>
          <cell r="AP25">
            <v>654730.92667622946</v>
          </cell>
        </row>
        <row r="26">
          <cell r="V26">
            <v>723948.36632524477</v>
          </cell>
          <cell r="W26">
            <v>28965.85238855028</v>
          </cell>
          <cell r="X26">
            <v>28965.85238855028</v>
          </cell>
          <cell r="AP26">
            <v>721066.60776050994</v>
          </cell>
        </row>
        <row r="27">
          <cell r="V27">
            <v>811941.05471440754</v>
          </cell>
          <cell r="W27">
            <v>31313.214543764021</v>
          </cell>
          <cell r="X27">
            <v>31313.214543764021</v>
          </cell>
          <cell r="AP27">
            <v>794513.93688176898</v>
          </cell>
        </row>
        <row r="28">
          <cell r="V28">
            <v>905799.90818376851</v>
          </cell>
          <cell r="W28">
            <v>33756.140787692464</v>
          </cell>
          <cell r="X28">
            <v>33756.140787692464</v>
          </cell>
          <cell r="AP28">
            <v>871606.37258349627</v>
          </cell>
        </row>
        <row r="29">
          <cell r="V29">
            <v>1006002.3589267638</v>
          </cell>
          <cell r="W29">
            <v>36339.797365283739</v>
          </cell>
          <cell r="X29">
            <v>36339.797365283739</v>
          </cell>
          <cell r="AP29">
            <v>953793.32872350269</v>
          </cell>
        </row>
        <row r="30">
          <cell r="V30">
            <v>1117286.8355426649</v>
          </cell>
          <cell r="W30">
            <v>39203.699375915719</v>
          </cell>
          <cell r="X30">
            <v>39203.699375915719</v>
          </cell>
          <cell r="AP30">
            <v>1045492.4802379656</v>
          </cell>
        </row>
        <row r="31">
          <cell r="V31">
            <v>1237171.6490757824</v>
          </cell>
          <cell r="W31">
            <v>42242.402261249452</v>
          </cell>
          <cell r="X31">
            <v>42242.402261249452</v>
          </cell>
          <cell r="AP31">
            <v>1145270.9078944316</v>
          </cell>
        </row>
        <row r="32">
          <cell r="V32">
            <v>1364405.323839417</v>
          </cell>
          <cell r="W32">
            <v>45406.919448346569</v>
          </cell>
          <cell r="X32">
            <v>45406.919448346569</v>
          </cell>
          <cell r="AP32">
            <v>1248879.5777375554</v>
          </cell>
        </row>
        <row r="33">
          <cell r="V33">
            <v>1500505.4204606037</v>
          </cell>
          <cell r="W33">
            <v>48743.37804063224</v>
          </cell>
          <cell r="X33">
            <v>48743.37804063224</v>
          </cell>
          <cell r="AP33">
            <v>1361141.7428971212</v>
          </cell>
        </row>
        <row r="34">
          <cell r="V34">
            <v>1719181.5501929964</v>
          </cell>
          <cell r="W34">
            <v>54580.325570277229</v>
          </cell>
          <cell r="X34">
            <v>54580.325570277229</v>
          </cell>
          <cell r="AP34">
            <v>1511728.4009602703</v>
          </cell>
        </row>
        <row r="35">
          <cell r="V35">
            <v>2004477.3052687105</v>
          </cell>
          <cell r="W35">
            <v>62236.635673888813</v>
          </cell>
          <cell r="X35">
            <v>62236.635673888813</v>
          </cell>
          <cell r="AP35">
            <v>1695735.4537337013</v>
          </cell>
        </row>
        <row r="36">
          <cell r="V36">
            <v>2324286.8692916632</v>
          </cell>
          <cell r="W36">
            <v>70659.877141587524</v>
          </cell>
          <cell r="X36">
            <v>70659.877141587524</v>
          </cell>
          <cell r="AP36">
            <v>1893601.3299171266</v>
          </cell>
        </row>
        <row r="37">
          <cell r="V37">
            <v>2729636.9329868229</v>
          </cell>
          <cell r="W37">
            <v>80780.680921581443</v>
          </cell>
          <cell r="X37">
            <v>80780.680921581443</v>
          </cell>
          <cell r="AP37">
            <v>2121472.0067294557</v>
          </cell>
        </row>
        <row r="38">
          <cell r="V38">
            <v>3187656.2219603839</v>
          </cell>
          <cell r="W38">
            <v>92019.669189229186</v>
          </cell>
          <cell r="X38">
            <v>92019.669189229186</v>
          </cell>
          <cell r="AP38">
            <v>2370661.468779048</v>
          </cell>
        </row>
        <row r="39">
          <cell r="V39">
            <v>3703039.6262369743</v>
          </cell>
          <cell r="W39">
            <v>104438.26044376675</v>
          </cell>
          <cell r="X39">
            <v>104438.26044376675</v>
          </cell>
          <cell r="AP39">
            <v>2642665.2014864162</v>
          </cell>
        </row>
        <row r="40">
          <cell r="V40">
            <v>4231146.0759365335</v>
          </cell>
          <cell r="W40">
            <v>116689.83383669838</v>
          </cell>
          <cell r="X40">
            <v>116689.83383669838</v>
          </cell>
          <cell r="AP40">
            <v>2922196.8082435713</v>
          </cell>
        </row>
        <row r="41">
          <cell r="V41">
            <v>4706498.8450031094</v>
          </cell>
          <cell r="W41">
            <v>126959.65029156514</v>
          </cell>
          <cell r="X41">
            <v>126959.65029156514</v>
          </cell>
          <cell r="AP41">
            <v>3177486.4782540635</v>
          </cell>
        </row>
        <row r="42">
          <cell r="V42">
            <v>5223320.9859022768</v>
          </cell>
          <cell r="W42">
            <v>137994.85645393364</v>
          </cell>
          <cell r="X42">
            <v>137994.85645393364</v>
          </cell>
          <cell r="AP42">
            <v>3445957.3120632716</v>
          </cell>
        </row>
        <row r="43">
          <cell r="V43">
            <v>5776706.2496808944</v>
          </cell>
          <cell r="W43">
            <v>149599.27522433965</v>
          </cell>
          <cell r="X43">
            <v>149599.27522433965</v>
          </cell>
          <cell r="AP43">
            <v>3727182.7727086181</v>
          </cell>
        </row>
        <row r="44">
          <cell r="V44">
            <v>6371667.6177587043</v>
          </cell>
          <cell r="W44">
            <v>161926.20931875036</v>
          </cell>
          <cell r="X44">
            <v>161926.20931875036</v>
          </cell>
          <cell r="AP44">
            <v>4031601.8544484526</v>
          </cell>
        </row>
        <row r="45">
          <cell r="V45">
            <v>7007763.7329799607</v>
          </cell>
          <cell r="W45">
            <v>174944.26015240201</v>
          </cell>
          <cell r="X45">
            <v>174944.26015240201</v>
          </cell>
          <cell r="AP45">
            <v>4352596.0771732032</v>
          </cell>
        </row>
        <row r="46">
          <cell r="V46">
            <v>7714847.0495651904</v>
          </cell>
          <cell r="W46">
            <v>188977.55732668185</v>
          </cell>
          <cell r="X46">
            <v>188977.55732668185</v>
          </cell>
          <cell r="AP46">
            <v>4707085.9363664398</v>
          </cell>
        </row>
        <row r="47">
          <cell r="V47">
            <v>8341402.9030465456</v>
          </cell>
          <cell r="W47">
            <v>201354.01857982928</v>
          </cell>
          <cell r="X47">
            <v>201354.01857982928</v>
          </cell>
          <cell r="AP47">
            <v>5073090.8228371702</v>
          </cell>
        </row>
        <row r="48">
          <cell r="V48">
            <v>9012081.2416900136</v>
          </cell>
          <cell r="W48">
            <v>214468.63444278645</v>
          </cell>
          <cell r="X48">
            <v>214468.63444278645</v>
          </cell>
          <cell r="AP48">
            <v>5475815.8362409668</v>
          </cell>
        </row>
        <row r="49">
          <cell r="V49">
            <v>9723042.1804066803</v>
          </cell>
          <cell r="W49">
            <v>228234.17246648503</v>
          </cell>
          <cell r="X49">
            <v>228234.17246648503</v>
          </cell>
          <cell r="AP49">
            <v>5903832.5534028187</v>
          </cell>
        </row>
        <row r="50">
          <cell r="V50">
            <v>10507573.87371533</v>
          </cell>
          <cell r="W50">
            <v>243161.77085583049</v>
          </cell>
          <cell r="X50">
            <v>243161.77085583049</v>
          </cell>
          <cell r="AP50">
            <v>6372188.1855867459</v>
          </cell>
        </row>
        <row r="51">
          <cell r="V51">
            <v>11319440.261850774</v>
          </cell>
          <cell r="W51">
            <v>258388.56081608593</v>
          </cell>
          <cell r="X51">
            <v>258388.56081608593</v>
          </cell>
          <cell r="AP51">
            <v>6870098.0387396058</v>
          </cell>
        </row>
        <row r="52">
          <cell r="V52">
            <v>12136668.820818184</v>
          </cell>
          <cell r="W52">
            <v>273419.88811783219</v>
          </cell>
          <cell r="X52">
            <v>273419.88811783219</v>
          </cell>
          <cell r="AP52">
            <v>7371422.1247027013</v>
          </cell>
        </row>
        <row r="53">
          <cell r="V53">
            <v>12997066.758448068</v>
          </cell>
          <cell r="W53">
            <v>289115.78146499908</v>
          </cell>
          <cell r="X53">
            <v>289115.78146499908</v>
          </cell>
          <cell r="AP53">
            <v>7907199.6862299638</v>
          </cell>
        </row>
        <row r="54">
          <cell r="V54">
            <v>13895883.439466808</v>
          </cell>
          <cell r="W54">
            <v>305358.40185250615</v>
          </cell>
          <cell r="X54">
            <v>305358.40185250615</v>
          </cell>
          <cell r="AP54">
            <v>8461142.1708719078</v>
          </cell>
        </row>
        <row r="55">
          <cell r="V55">
            <v>15021071.002913862</v>
          </cell>
          <cell r="W55">
            <v>329636.33581297495</v>
          </cell>
          <cell r="X55">
            <v>329636.33581297495</v>
          </cell>
          <cell r="AP55">
            <v>9229333.8559137415</v>
          </cell>
        </row>
        <row r="56">
          <cell r="V56">
            <v>16035197.413031138</v>
          </cell>
          <cell r="W56">
            <v>347060.19865992008</v>
          </cell>
          <cell r="X56">
            <v>347060.19865992008</v>
          </cell>
          <cell r="AP56">
            <v>9893295.9263578635</v>
          </cell>
        </row>
        <row r="57">
          <cell r="V57">
            <v>17462225.928809807</v>
          </cell>
          <cell r="W57">
            <v>373480.91837852716</v>
          </cell>
          <cell r="X57">
            <v>373480.91837852716</v>
          </cell>
          <cell r="AP57">
            <v>10673871.216386272</v>
          </cell>
        </row>
        <row r="58">
          <cell r="V58">
            <v>18980236.745759375</v>
          </cell>
          <cell r="W58">
            <v>401443.28698488668</v>
          </cell>
          <cell r="X58">
            <v>401443.28698488668</v>
          </cell>
          <cell r="AP58">
            <v>11515425.114075636</v>
          </cell>
        </row>
        <row r="59">
          <cell r="V59">
            <v>20619862.748473398</v>
          </cell>
          <cell r="W59">
            <v>431522.87021891825</v>
          </cell>
          <cell r="X59">
            <v>431522.87021891825</v>
          </cell>
          <cell r="AP59">
            <v>12424240.954321343</v>
          </cell>
        </row>
        <row r="60">
          <cell r="V60">
            <v>22499830.219845872</v>
          </cell>
          <cell r="W60">
            <v>466038.11161936598</v>
          </cell>
          <cell r="X60">
            <v>466038.11161936598</v>
          </cell>
          <cell r="AP60">
            <v>13472385.984281469</v>
          </cell>
        </row>
        <row r="61">
          <cell r="V61">
            <v>24514919.264466248</v>
          </cell>
          <cell r="W61">
            <v>502879.32139771048</v>
          </cell>
          <cell r="X61">
            <v>502879.32139771048</v>
          </cell>
          <cell r="AP61">
            <v>14566882.342119472</v>
          </cell>
        </row>
        <row r="62">
          <cell r="V62">
            <v>26642763.888349965</v>
          </cell>
          <cell r="W62">
            <v>541560.89891246287</v>
          </cell>
          <cell r="X62">
            <v>541560.89891246287</v>
          </cell>
          <cell r="AP62">
            <v>15744065.105213623</v>
          </cell>
        </row>
        <row r="63">
          <cell r="V63">
            <v>28896352.792305417</v>
          </cell>
          <cell r="W63">
            <v>582329.32522253494</v>
          </cell>
          <cell r="X63">
            <v>582329.32522253494</v>
          </cell>
          <cell r="AP63">
            <v>17000681.287971929</v>
          </cell>
        </row>
        <row r="64">
          <cell r="V64">
            <v>31300339.83444424</v>
          </cell>
          <cell r="W64">
            <v>625915.78709870274</v>
          </cell>
          <cell r="X64">
            <v>625915.78709870274</v>
          </cell>
          <cell r="AP64">
            <v>18358663.992569793</v>
          </cell>
        </row>
        <row r="65">
          <cell r="V65">
            <v>33878010.834035814</v>
          </cell>
          <cell r="W65">
            <v>673164.45196561283</v>
          </cell>
          <cell r="X65">
            <v>673164.45196561283</v>
          </cell>
          <cell r="AP65">
            <v>19816701.031820662</v>
          </cell>
        </row>
        <row r="66">
          <cell r="V66">
            <v>37627907.93449574</v>
          </cell>
          <cell r="W66">
            <v>744336.20688476204</v>
          </cell>
          <cell r="X66">
            <v>744336.20688476204</v>
          </cell>
          <cell r="AP66">
            <v>24166444.103034478</v>
          </cell>
        </row>
        <row r="67">
          <cell r="V67">
            <v>41693039.270883203</v>
          </cell>
          <cell r="W67">
            <v>815268.47804048669</v>
          </cell>
          <cell r="X67">
            <v>815268.47804048669</v>
          </cell>
          <cell r="AP67">
            <v>28603921.984082047</v>
          </cell>
        </row>
        <row r="68">
          <cell r="V68">
            <v>46095725.141836151</v>
          </cell>
          <cell r="W68">
            <v>891505.09821284085</v>
          </cell>
          <cell r="X68">
            <v>891505.09821284085</v>
          </cell>
          <cell r="AP68">
            <v>33670913.175897561</v>
          </cell>
        </row>
        <row r="69">
          <cell r="V69">
            <v>50868253.636263236</v>
          </cell>
          <cell r="W69">
            <v>973567.22876205947</v>
          </cell>
          <cell r="X69">
            <v>973567.22876205947</v>
          </cell>
          <cell r="AP69">
            <v>39467652.405058131</v>
          </cell>
        </row>
        <row r="70">
          <cell r="V70">
            <v>56022572.980456635</v>
          </cell>
          <cell r="W70">
            <v>1061577.0512347987</v>
          </cell>
          <cell r="X70">
            <v>1061577.0512347987</v>
          </cell>
          <cell r="AP70">
            <v>46042476.279654555</v>
          </cell>
        </row>
        <row r="71">
          <cell r="V71">
            <v>61126418.566827565</v>
          </cell>
          <cell r="W71">
            <v>1152294.3479832883</v>
          </cell>
          <cell r="X71">
            <v>1152294.3479832883</v>
          </cell>
          <cell r="AP71">
            <v>53521432.034630381</v>
          </cell>
        </row>
        <row r="72">
          <cell r="V72">
            <v>65992266.674426034</v>
          </cell>
          <cell r="W72">
            <v>1241412.5465956749</v>
          </cell>
          <cell r="X72">
            <v>1241412.5465956749</v>
          </cell>
          <cell r="AP72">
            <v>61757419.477448165</v>
          </cell>
        </row>
        <row r="73">
          <cell r="V73">
            <v>71190816.241071135</v>
          </cell>
          <cell r="W73">
            <v>1337206.9288927913</v>
          </cell>
          <cell r="X73">
            <v>1337206.9288927913</v>
          </cell>
          <cell r="AP73">
            <v>71108782.851507097</v>
          </cell>
        </row>
        <row r="74">
          <cell r="V74">
            <v>77065359.708487824</v>
          </cell>
          <cell r="W74">
            <v>1445479.3558864314</v>
          </cell>
          <cell r="X74">
            <v>1445479.3558864314</v>
          </cell>
          <cell r="AP74">
            <v>82005451.378407151</v>
          </cell>
        </row>
        <row r="75">
          <cell r="V75">
            <v>83163537.617056563</v>
          </cell>
          <cell r="W75">
            <v>1556940.4403150463</v>
          </cell>
          <cell r="X75">
            <v>1556940.4403150463</v>
          </cell>
          <cell r="AP75">
            <v>94244053.241382375</v>
          </cell>
        </row>
        <row r="76">
          <cell r="V76">
            <v>89254507.460656822</v>
          </cell>
          <cell r="W76">
            <v>1666589.6069838179</v>
          </cell>
          <cell r="X76">
            <v>1666589.6069838179</v>
          </cell>
          <cell r="AP76">
            <v>107613237.78604876</v>
          </cell>
        </row>
        <row r="77">
          <cell r="V77">
            <v>95867259.808799788</v>
          </cell>
          <cell r="W77">
            <v>1776613.6437821873</v>
          </cell>
          <cell r="X77">
            <v>1776613.6437821873</v>
          </cell>
          <cell r="AP77">
            <v>120794400.53548089</v>
          </cell>
        </row>
        <row r="78">
          <cell r="V78">
            <v>103076313.86898449</v>
          </cell>
          <cell r="W78">
            <v>1896609.5132631632</v>
          </cell>
          <cell r="X78">
            <v>1896609.5132631632</v>
          </cell>
          <cell r="AP78">
            <v>135478693.77781758</v>
          </cell>
        </row>
        <row r="79">
          <cell r="V79">
            <v>113074826.8747208</v>
          </cell>
          <cell r="W79">
            <v>2067988.5699238013</v>
          </cell>
          <cell r="X79">
            <v>2067988.5699238013</v>
          </cell>
          <cell r="AP79">
            <v>153418235.13432747</v>
          </cell>
        </row>
        <row r="80">
          <cell r="V80">
            <v>123954527.1823062</v>
          </cell>
          <cell r="W80">
            <v>2253753.8258880982</v>
          </cell>
          <cell r="X80">
            <v>2253753.8258880982</v>
          </cell>
          <cell r="AP80">
            <v>173817247.93757635</v>
          </cell>
        </row>
        <row r="81">
          <cell r="V81">
            <v>135401094.37552205</v>
          </cell>
          <cell r="W81">
            <v>2456426.7722758008</v>
          </cell>
          <cell r="X81">
            <v>2456426.7722758008</v>
          </cell>
          <cell r="AP81">
            <v>195527274.12012902</v>
          </cell>
        </row>
        <row r="82">
          <cell r="V82">
            <v>146481738.71724972</v>
          </cell>
          <cell r="W82">
            <v>2671106.9453727882</v>
          </cell>
          <cell r="X82">
            <v>2671106.9453727882</v>
          </cell>
          <cell r="AP82">
            <v>217803686.76937979</v>
          </cell>
        </row>
        <row r="83">
          <cell r="V83">
            <v>158165385.7348004</v>
          </cell>
          <cell r="W83">
            <v>2894652.0468448354</v>
          </cell>
          <cell r="X83">
            <v>2894652.0468448354</v>
          </cell>
          <cell r="AP83">
            <v>242123665.20693469</v>
          </cell>
        </row>
        <row r="84">
          <cell r="V84">
            <v>171286228.72973385</v>
          </cell>
          <cell r="W84">
            <v>3140116.8866903307</v>
          </cell>
          <cell r="X84">
            <v>3140116.8866903307</v>
          </cell>
          <cell r="AP84">
            <v>269459861.26437312</v>
          </cell>
        </row>
        <row r="85">
          <cell r="V85">
            <v>185211310.01432347</v>
          </cell>
          <cell r="W85">
            <v>3399189.431841779</v>
          </cell>
          <cell r="X85">
            <v>3399189.431841779</v>
          </cell>
          <cell r="AP85">
            <v>298460859.49202168</v>
          </cell>
        </row>
        <row r="86">
          <cell r="V86">
            <v>199717364.776573</v>
          </cell>
          <cell r="W86">
            <v>3664146.1844588588</v>
          </cell>
          <cell r="X86">
            <v>3664146.1844588588</v>
          </cell>
          <cell r="AP86">
            <v>329771907.80254513</v>
          </cell>
        </row>
        <row r="87">
          <cell r="V87">
            <v>216674703.25616112</v>
          </cell>
          <cell r="W87">
            <v>4005766.1202637078</v>
          </cell>
          <cell r="X87">
            <v>4005766.1202637078</v>
          </cell>
          <cell r="AP87">
            <v>376965005.30486542</v>
          </cell>
        </row>
        <row r="88">
          <cell r="V88">
            <v>234944665.05705878</v>
          </cell>
          <cell r="W88">
            <v>4375106.8888273714</v>
          </cell>
          <cell r="X88">
            <v>4375106.8888273714</v>
          </cell>
          <cell r="AP88">
            <v>429391326.36299539</v>
          </cell>
        </row>
        <row r="89">
          <cell r="V89">
            <v>253156742.9503164</v>
          </cell>
          <cell r="W89">
            <v>4739741.4154148586</v>
          </cell>
          <cell r="X89">
            <v>4739741.4154148586</v>
          </cell>
          <cell r="AP89">
            <v>483698917.1184122</v>
          </cell>
        </row>
        <row r="90">
          <cell r="V90">
            <v>271985037.76210541</v>
          </cell>
          <cell r="W90">
            <v>5117972.742200532</v>
          </cell>
          <cell r="X90">
            <v>5117972.742200532</v>
          </cell>
          <cell r="AP90">
            <v>541617707.71917856</v>
          </cell>
        </row>
        <row r="91">
          <cell r="V91">
            <v>289811459.046377</v>
          </cell>
          <cell r="W91">
            <v>5483545.224598458</v>
          </cell>
          <cell r="X91">
            <v>5483545.224598458</v>
          </cell>
          <cell r="AP91">
            <v>596527479.56249011</v>
          </cell>
        </row>
        <row r="92">
          <cell r="V92">
            <v>311819412.00554109</v>
          </cell>
          <cell r="W92">
            <v>5945671.5652752081</v>
          </cell>
          <cell r="X92">
            <v>5945671.5652752081</v>
          </cell>
          <cell r="AP92">
            <v>658209351.89583981</v>
          </cell>
        </row>
        <row r="93">
          <cell r="V93">
            <v>334401770.88083351</v>
          </cell>
          <cell r="W93">
            <v>6416442.5214736732</v>
          </cell>
          <cell r="X93">
            <v>6416442.5214736732</v>
          </cell>
          <cell r="AP93">
            <v>724390791.47232163</v>
          </cell>
        </row>
        <row r="94">
          <cell r="V94">
            <v>358629181.58616227</v>
          </cell>
          <cell r="W94">
            <v>6890140.2234772742</v>
          </cell>
          <cell r="X94">
            <v>6890140.2234772742</v>
          </cell>
          <cell r="AP94">
            <v>800014145.24726367</v>
          </cell>
        </row>
        <row r="95">
          <cell r="V95">
            <v>383903388.78748524</v>
          </cell>
          <cell r="W95">
            <v>7384937.2799708992</v>
          </cell>
          <cell r="X95">
            <v>7384937.2799708992</v>
          </cell>
          <cell r="AP95">
            <v>882006065.1796509</v>
          </cell>
        </row>
        <row r="96">
          <cell r="V96">
            <v>409308466.63649738</v>
          </cell>
          <cell r="W96">
            <v>7883148.7333557792</v>
          </cell>
          <cell r="X96">
            <v>7883148.7333557792</v>
          </cell>
          <cell r="AP96">
            <v>966516729.59110892</v>
          </cell>
        </row>
        <row r="97">
          <cell r="V97">
            <v>430786750.12258738</v>
          </cell>
          <cell r="W97">
            <v>8246870.2955691321</v>
          </cell>
          <cell r="X97">
            <v>8246870.2955691321</v>
          </cell>
          <cell r="AP97">
            <v>1065602147.5873961</v>
          </cell>
        </row>
        <row r="98">
          <cell r="V98">
            <v>453845978.0433318</v>
          </cell>
          <cell r="W98">
            <v>8636813.7641028278</v>
          </cell>
          <cell r="X98">
            <v>8636813.7641028278</v>
          </cell>
          <cell r="AP98">
            <v>1177897240.1809969</v>
          </cell>
        </row>
        <row r="99">
          <cell r="V99">
            <v>478726089.82664621</v>
          </cell>
          <cell r="W99">
            <v>9057285.5532493461</v>
          </cell>
          <cell r="X99">
            <v>9057285.5532493461</v>
          </cell>
          <cell r="AP99">
            <v>1305982990.2500942</v>
          </cell>
        </row>
        <row r="100">
          <cell r="V100">
            <v>505047938.90788019</v>
          </cell>
          <cell r="W100">
            <v>9488105.3687072601</v>
          </cell>
          <cell r="X100">
            <v>9488105.3687072601</v>
          </cell>
          <cell r="AP100">
            <v>1447505645.5276656</v>
          </cell>
        </row>
        <row r="101">
          <cell r="V101">
            <v>530289105.08540106</v>
          </cell>
          <cell r="W101">
            <v>9889783.4449486062</v>
          </cell>
          <cell r="X101">
            <v>9889783.4449486062</v>
          </cell>
          <cell r="AP101">
            <v>1581809120.6339712</v>
          </cell>
        </row>
        <row r="102">
          <cell r="V102">
            <v>555082173.79619122</v>
          </cell>
          <cell r="W102">
            <v>10281681.90080855</v>
          </cell>
          <cell r="X102">
            <v>10281681.90080855</v>
          </cell>
          <cell r="AP102">
            <v>1714545908.4243221</v>
          </cell>
        </row>
        <row r="103">
          <cell r="V103">
            <v>580728078.56054151</v>
          </cell>
          <cell r="W103">
            <v>10685354.714522965</v>
          </cell>
          <cell r="X103">
            <v>10685354.714522965</v>
          </cell>
          <cell r="AP103">
            <v>1855664166.312098</v>
          </cell>
        </row>
        <row r="104">
          <cell r="V104">
            <v>604582961.75436842</v>
          </cell>
          <cell r="W104">
            <v>11051010.430904701</v>
          </cell>
          <cell r="X104">
            <v>11051010.430904701</v>
          </cell>
          <cell r="AP104">
            <v>2004628005.1335919</v>
          </cell>
        </row>
        <row r="105">
          <cell r="V105">
            <v>629140256.95689797</v>
          </cell>
          <cell r="W105">
            <v>11424925.405962335</v>
          </cell>
          <cell r="X105">
            <v>11424925.405962335</v>
          </cell>
          <cell r="AP105">
            <v>2162618282.1310878</v>
          </cell>
        </row>
        <row r="106">
          <cell r="V106">
            <v>654198502.11844575</v>
          </cell>
          <cell r="W106">
            <v>11803181.921841115</v>
          </cell>
          <cell r="X106">
            <v>11803181.921841115</v>
          </cell>
          <cell r="AP106">
            <v>2327832017.9099379</v>
          </cell>
        </row>
        <row r="107">
          <cell r="V107">
            <v>673743753.79034507</v>
          </cell>
          <cell r="W107">
            <v>12078210.716808351</v>
          </cell>
          <cell r="X107">
            <v>12078210.716808351</v>
          </cell>
          <cell r="AP107">
            <v>2441655865.3460851</v>
          </cell>
        </row>
        <row r="108">
          <cell r="V108">
            <v>693850515.51884818</v>
          </cell>
          <cell r="W108">
            <v>12360275.95059542</v>
          </cell>
          <cell r="X108">
            <v>12360275.95059542</v>
          </cell>
          <cell r="AP108">
            <v>2562081832.1008234</v>
          </cell>
        </row>
        <row r="109">
          <cell r="V109">
            <v>714721270.48800802</v>
          </cell>
          <cell r="W109">
            <v>12652860.336946893</v>
          </cell>
          <cell r="X109">
            <v>12652860.336946893</v>
          </cell>
          <cell r="AP109">
            <v>2690293932.1782265</v>
          </cell>
        </row>
        <row r="110">
          <cell r="V110">
            <v>736664780.76477814</v>
          </cell>
          <cell r="W110">
            <v>12961208.725502953</v>
          </cell>
          <cell r="X110">
            <v>12961208.725502953</v>
          </cell>
          <cell r="AP110">
            <v>2829721884.4968772</v>
          </cell>
        </row>
        <row r="111">
          <cell r="V111">
            <v>758745543.70905042</v>
          </cell>
          <cell r="W111">
            <v>13268668.291670591</v>
          </cell>
          <cell r="X111">
            <v>13268668.291670591</v>
          </cell>
          <cell r="AP111">
            <v>2973669416.2422433</v>
          </cell>
        </row>
        <row r="112">
          <cell r="V112">
            <v>781945495.22231126</v>
          </cell>
          <cell r="W112">
            <v>13597952.451049378</v>
          </cell>
          <cell r="X112">
            <v>13597952.451049378</v>
          </cell>
          <cell r="AP112">
            <v>3128448236.8127384</v>
          </cell>
        </row>
        <row r="113">
          <cell r="V113">
            <v>804536269.71151042</v>
          </cell>
          <cell r="W113">
            <v>13914426.769809563</v>
          </cell>
          <cell r="X113">
            <v>13914426.769809563</v>
          </cell>
          <cell r="AP113">
            <v>3278662609.0692015</v>
          </cell>
        </row>
        <row r="114">
          <cell r="V114">
            <v>826201161.2771672</v>
          </cell>
          <cell r="W114">
            <v>14212113.44868781</v>
          </cell>
          <cell r="X114">
            <v>14212113.44868781</v>
          </cell>
          <cell r="AP114">
            <v>3420061827.4297771</v>
          </cell>
        </row>
        <row r="115">
          <cell r="V115">
            <v>848116736.13180804</v>
          </cell>
          <cell r="W115">
            <v>14511389.318574831</v>
          </cell>
          <cell r="X115">
            <v>14511389.318574831</v>
          </cell>
          <cell r="AP115">
            <v>3565269379.2542243</v>
          </cell>
        </row>
        <row r="116">
          <cell r="V116">
            <v>870868838.16929793</v>
          </cell>
          <cell r="W116">
            <v>14822233.214899164</v>
          </cell>
          <cell r="X116">
            <v>14822233.214899164</v>
          </cell>
          <cell r="AP116">
            <v>3719969193.6956673</v>
          </cell>
        </row>
        <row r="117">
          <cell r="V117">
            <v>891950755.41696537</v>
          </cell>
          <cell r="W117">
            <v>15137274.733390039</v>
          </cell>
          <cell r="X117">
            <v>15137274.733390039</v>
          </cell>
          <cell r="AP117">
            <v>3868191741.3557763</v>
          </cell>
        </row>
        <row r="118">
          <cell r="V118">
            <v>914510661.55079305</v>
          </cell>
          <cell r="W118">
            <v>15475574.314897019</v>
          </cell>
          <cell r="X118">
            <v>15475574.314897019</v>
          </cell>
          <cell r="AP118">
            <v>4025802167.9841881</v>
          </cell>
        </row>
        <row r="119">
          <cell r="V119">
            <v>937337265.08010507</v>
          </cell>
          <cell r="W119">
            <v>15816761.118749812</v>
          </cell>
          <cell r="X119">
            <v>15816761.118749812</v>
          </cell>
          <cell r="AP119">
            <v>4186216913.4423614</v>
          </cell>
        </row>
        <row r="120">
          <cell r="V120">
            <v>960623045.92686498</v>
          </cell>
          <cell r="W120">
            <v>16164066.771949947</v>
          </cell>
          <cell r="X120">
            <v>16164066.771949947</v>
          </cell>
          <cell r="AP120">
            <v>4351695079.5118227</v>
          </cell>
        </row>
        <row r="121">
          <cell r="V121">
            <v>984858926.37633419</v>
          </cell>
          <cell r="W121">
            <v>16535504.538460638</v>
          </cell>
          <cell r="X121">
            <v>16535504.538460638</v>
          </cell>
          <cell r="AP121">
            <v>4522870304.0468979</v>
          </cell>
        </row>
        <row r="122">
          <cell r="V122">
            <v>1010007281.9853234</v>
          </cell>
          <cell r="W122">
            <v>16933948.488726445</v>
          </cell>
          <cell r="X122">
            <v>16933948.488726445</v>
          </cell>
          <cell r="AP122">
            <v>4701237003.9869556</v>
          </cell>
        </row>
        <row r="123">
          <cell r="V123">
            <v>1034771957.0129464</v>
          </cell>
          <cell r="W123">
            <v>17310628.20441661</v>
          </cell>
          <cell r="X123">
            <v>17310628.20441661</v>
          </cell>
          <cell r="AP123">
            <v>4880731242.447011</v>
          </cell>
        </row>
        <row r="124">
          <cell r="V124">
            <v>1059986908.8374212</v>
          </cell>
          <cell r="W124">
            <v>17693470.055099409</v>
          </cell>
          <cell r="X124">
            <v>17693470.055099409</v>
          </cell>
          <cell r="AP124">
            <v>5065466198.1707745</v>
          </cell>
        </row>
        <row r="125">
          <cell r="V125">
            <v>1085833479.0331059</v>
          </cell>
          <cell r="W125">
            <v>18085470.459782913</v>
          </cell>
          <cell r="X125">
            <v>18085470.459782913</v>
          </cell>
          <cell r="AP125">
            <v>5257731429.9473276</v>
          </cell>
        </row>
        <row r="126">
          <cell r="V126">
            <v>1111746150.3398123</v>
          </cell>
          <cell r="W126">
            <v>18477187.634571046</v>
          </cell>
          <cell r="X126">
            <v>18477187.634571046</v>
          </cell>
          <cell r="AP126">
            <v>5450548969.4657612</v>
          </cell>
        </row>
        <row r="127">
          <cell r="V127">
            <v>1138400929.9506903</v>
          </cell>
          <cell r="W127">
            <v>18879851.103502892</v>
          </cell>
          <cell r="X127">
            <v>18879851.103502892</v>
          </cell>
          <cell r="AP127">
            <v>5652640406.7420321</v>
          </cell>
        </row>
        <row r="128">
          <cell r="V128">
            <v>1165408743.0008593</v>
          </cell>
          <cell r="W128">
            <v>19286968.685825236</v>
          </cell>
          <cell r="X128">
            <v>19286968.685825236</v>
          </cell>
          <cell r="AP128">
            <v>5860392853.9670181</v>
          </cell>
        </row>
        <row r="129">
          <cell r="V129">
            <v>1193711630.2955863</v>
          </cell>
          <cell r="W129">
            <v>19709328.020126574</v>
          </cell>
          <cell r="X129">
            <v>19709328.020126574</v>
          </cell>
          <cell r="AP129">
            <v>6081691608.327281</v>
          </cell>
        </row>
        <row r="130">
          <cell r="V130">
            <v>1221832530.6826949</v>
          </cell>
          <cell r="W130">
            <v>20112470.835790832</v>
          </cell>
          <cell r="X130">
            <v>20112470.835790832</v>
          </cell>
          <cell r="AP130">
            <v>6303919100.2680416</v>
          </cell>
        </row>
        <row r="131">
          <cell r="V131">
            <v>1250470177.3130262</v>
          </cell>
          <cell r="W131">
            <v>20519886.656180546</v>
          </cell>
          <cell r="X131">
            <v>20519886.656180546</v>
          </cell>
          <cell r="AP131">
            <v>6533723510.3887329</v>
          </cell>
        </row>
        <row r="132">
          <cell r="V132">
            <v>1272984917.7476182</v>
          </cell>
          <cell r="W132">
            <v>20875105.660105214</v>
          </cell>
          <cell r="X132">
            <v>20875105.660105214</v>
          </cell>
          <cell r="AP132">
            <v>6755180444.8345022</v>
          </cell>
        </row>
        <row r="133">
          <cell r="V133">
            <v>1295887182.1075437</v>
          </cell>
          <cell r="W133">
            <v>21248903.802786686</v>
          </cell>
          <cell r="X133">
            <v>21248903.802786686</v>
          </cell>
          <cell r="AP133">
            <v>6983516308.9118996</v>
          </cell>
        </row>
        <row r="134">
          <cell r="V134">
            <v>1319253422.8191299</v>
          </cell>
          <cell r="W134">
            <v>21630267.838028189</v>
          </cell>
          <cell r="X134">
            <v>21630267.838028189</v>
          </cell>
          <cell r="AP134">
            <v>7219785359.5613613</v>
          </cell>
        </row>
        <row r="135">
          <cell r="V135">
            <v>1343584150.3729324</v>
          </cell>
          <cell r="W135">
            <v>22027402.258985266</v>
          </cell>
          <cell r="X135">
            <v>22027402.258985266</v>
          </cell>
          <cell r="AP135">
            <v>7471087646.9940195</v>
          </cell>
        </row>
        <row r="136">
          <cell r="V136">
            <v>1368423390.1730635</v>
          </cell>
          <cell r="W136">
            <v>22432829.106206484</v>
          </cell>
          <cell r="X136">
            <v>22432829.106206484</v>
          </cell>
          <cell r="AP136">
            <v>7731425304.3178816</v>
          </cell>
        </row>
        <row r="137">
          <cell r="V137">
            <v>1393629104.0580144</v>
          </cell>
          <cell r="W137">
            <v>22844218.87535996</v>
          </cell>
          <cell r="X137">
            <v>22844218.87535996</v>
          </cell>
          <cell r="AP137">
            <v>7998947288.580122</v>
          </cell>
        </row>
        <row r="138">
          <cell r="V138">
            <v>1416859575.2568402</v>
          </cell>
          <cell r="W138">
            <v>23223188.752605423</v>
          </cell>
          <cell r="X138">
            <v>23223188.752605423</v>
          </cell>
          <cell r="AP138">
            <v>8259311384.3601618</v>
          </cell>
        </row>
        <row r="139">
          <cell r="V139">
            <v>1436720411.3775718</v>
          </cell>
          <cell r="W139">
            <v>23546893.861893572</v>
          </cell>
          <cell r="X139">
            <v>23546893.861893572</v>
          </cell>
          <cell r="AP139">
            <v>8501901216.2879143</v>
          </cell>
        </row>
        <row r="140">
          <cell r="V140">
            <v>1457079564.6502171</v>
          </cell>
          <cell r="W140">
            <v>23878735.871165626</v>
          </cell>
          <cell r="X140">
            <v>23878735.871165626</v>
          </cell>
          <cell r="AP140">
            <v>8754252081.1825733</v>
          </cell>
        </row>
        <row r="141">
          <cell r="V141">
            <v>1477760471.4022288</v>
          </cell>
          <cell r="W141">
            <v>24215820.101171874</v>
          </cell>
          <cell r="X141">
            <v>24215820.101171874</v>
          </cell>
          <cell r="AP141">
            <v>9013947730.2087841</v>
          </cell>
        </row>
        <row r="142">
          <cell r="V142">
            <v>1505251040.4972651</v>
          </cell>
          <cell r="W142">
            <v>24662243.828864478</v>
          </cell>
          <cell r="X142">
            <v>24662243.828864478</v>
          </cell>
          <cell r="AP142">
            <v>9297125140.0098248</v>
          </cell>
        </row>
        <row r="143">
          <cell r="V143">
            <v>1532720166.0713329</v>
          </cell>
          <cell r="W143">
            <v>25089048.468632974</v>
          </cell>
          <cell r="X143">
            <v>25089048.468632974</v>
          </cell>
          <cell r="AP143">
            <v>9581431689.1492348</v>
          </cell>
        </row>
        <row r="144">
          <cell r="V144">
            <v>1560724406.4067008</v>
          </cell>
          <cell r="W144">
            <v>25524032.493088864</v>
          </cell>
          <cell r="X144">
            <v>25524032.493088864</v>
          </cell>
          <cell r="AP144">
            <v>9875387010.6056309</v>
          </cell>
        </row>
        <row r="145">
          <cell r="V145">
            <v>1588415925.7837591</v>
          </cell>
          <cell r="W145">
            <v>25953328.61495924</v>
          </cell>
          <cell r="X145">
            <v>25953328.61495924</v>
          </cell>
          <cell r="AP145">
            <v>10165903223.543913</v>
          </cell>
        </row>
        <row r="146">
          <cell r="V146">
            <v>1616837434.525363</v>
          </cell>
          <cell r="W146">
            <v>26393981.758842461</v>
          </cell>
          <cell r="X146">
            <v>26393981.758842461</v>
          </cell>
          <cell r="AP146">
            <v>10469210068.961075</v>
          </cell>
        </row>
        <row r="147">
          <cell r="V147">
            <v>1648952451.2744608</v>
          </cell>
          <cell r="W147">
            <v>26894304.051062722</v>
          </cell>
          <cell r="X147">
            <v>26894304.051062722</v>
          </cell>
          <cell r="AP147">
            <v>10804701001.771046</v>
          </cell>
        </row>
        <row r="148">
          <cell r="V148">
            <v>1682187662.2435682</v>
          </cell>
          <cell r="W148">
            <v>27412212.026848525</v>
          </cell>
          <cell r="X148">
            <v>27412212.026848525</v>
          </cell>
          <cell r="AP148">
            <v>11159252148.345497</v>
          </cell>
        </row>
        <row r="149">
          <cell r="V149">
            <v>1715791582.73474</v>
          </cell>
          <cell r="W149">
            <v>27935433.534460854</v>
          </cell>
          <cell r="X149">
            <v>27935433.534460854</v>
          </cell>
          <cell r="AP149">
            <v>11521051827.031509</v>
          </cell>
        </row>
        <row r="150">
          <cell r="V150">
            <v>1750086804.5721974</v>
          </cell>
          <cell r="W150">
            <v>28469211.796969965</v>
          </cell>
          <cell r="X150">
            <v>28469211.796969965</v>
          </cell>
          <cell r="AP150">
            <v>11895447705.134155</v>
          </cell>
        </row>
        <row r="151">
          <cell r="V151">
            <v>1784484225.019882</v>
          </cell>
          <cell r="W151">
            <v>29003954.045930974</v>
          </cell>
          <cell r="X151">
            <v>29003954.045930974</v>
          </cell>
          <cell r="AP151">
            <v>12272859581.354881</v>
          </cell>
        </row>
        <row r="152">
          <cell r="V152">
            <v>1819232863.6168342</v>
          </cell>
          <cell r="W152">
            <v>29543711.122448836</v>
          </cell>
          <cell r="X152">
            <v>29543711.122448836</v>
          </cell>
          <cell r="AP152">
            <v>12657373687.984289</v>
          </cell>
        </row>
        <row r="153">
          <cell r="V153">
            <v>1854283843.8506172</v>
          </cell>
          <cell r="W153">
            <v>30149100.315001853</v>
          </cell>
          <cell r="X153">
            <v>30149100.315001853</v>
          </cell>
          <cell r="AP153">
            <v>13049934882.884684</v>
          </cell>
        </row>
        <row r="154">
          <cell r="V154">
            <v>1889977559.1671622</v>
          </cell>
          <cell r="W154">
            <v>30844974.703555088</v>
          </cell>
          <cell r="X154">
            <v>30844974.703555088</v>
          </cell>
          <cell r="AP154">
            <v>13460218688.577663</v>
          </cell>
        </row>
        <row r="155">
          <cell r="V155">
            <v>1926234383.495208</v>
          </cell>
          <cell r="W155">
            <v>31553255.083365832</v>
          </cell>
          <cell r="X155">
            <v>31553255.083365832</v>
          </cell>
          <cell r="AP155">
            <v>13881770180.18157</v>
          </cell>
        </row>
        <row r="156">
          <cell r="V156">
            <v>1964107688.2981029</v>
          </cell>
          <cell r="W156">
            <v>32291313.147810683</v>
          </cell>
          <cell r="X156">
            <v>32291313.147810683</v>
          </cell>
          <cell r="AP156">
            <v>14333128955.323597</v>
          </cell>
        </row>
        <row r="157">
          <cell r="V157">
            <v>1999012580.3716931</v>
          </cell>
          <cell r="W157">
            <v>33058899.591100331</v>
          </cell>
          <cell r="X157">
            <v>33058899.591100331</v>
          </cell>
          <cell r="AP157">
            <v>14827619538.021147</v>
          </cell>
        </row>
        <row r="158">
          <cell r="V158">
            <v>2033032619.7515924</v>
          </cell>
          <cell r="W158">
            <v>33840072.434746869</v>
          </cell>
          <cell r="X158">
            <v>33840072.434746869</v>
          </cell>
          <cell r="AP158">
            <v>15337623224.479279</v>
          </cell>
        </row>
        <row r="159">
          <cell r="V159">
            <v>2054453950.8662155</v>
          </cell>
          <cell r="W159">
            <v>34227820.088765904</v>
          </cell>
          <cell r="X159">
            <v>34227820.088765904</v>
          </cell>
          <cell r="AP159">
            <v>15624863312.269379</v>
          </cell>
        </row>
        <row r="160">
          <cell r="V160">
            <v>2070661844.1576827</v>
          </cell>
          <cell r="W160">
            <v>34501647.875296406</v>
          </cell>
          <cell r="X160">
            <v>34501647.875296406</v>
          </cell>
          <cell r="AP160">
            <v>15818465088.777515</v>
          </cell>
        </row>
        <row r="161">
          <cell r="V161">
            <v>2077748214.7365263</v>
          </cell>
          <cell r="W161">
            <v>34623518.599932589</v>
          </cell>
          <cell r="X161">
            <v>34623518.599932589</v>
          </cell>
          <cell r="AP161">
            <v>15846348152.898346</v>
          </cell>
        </row>
        <row r="162">
          <cell r="V162">
            <v>2083518920.8703184</v>
          </cell>
          <cell r="W162">
            <v>34723472.930922732</v>
          </cell>
          <cell r="X162">
            <v>34723472.930922732</v>
          </cell>
          <cell r="AP162">
            <v>15850209100.599335</v>
          </cell>
        </row>
        <row r="163">
          <cell r="V163">
            <v>2089295765.47644</v>
          </cell>
          <cell r="W163">
            <v>34823534.927618697</v>
          </cell>
          <cell r="X163">
            <v>34823534.927618697</v>
          </cell>
          <cell r="AP163">
            <v>15854071677.428762</v>
          </cell>
        </row>
        <row r="164">
          <cell r="V164">
            <v>2095078748.9650588</v>
          </cell>
          <cell r="W164">
            <v>34923704.597115114</v>
          </cell>
          <cell r="X164">
            <v>34923704.597115114</v>
          </cell>
          <cell r="AP164">
            <v>15857935879.766453</v>
          </cell>
        </row>
        <row r="165">
          <cell r="V165">
            <v>2100867871.7463145</v>
          </cell>
          <cell r="W165">
            <v>35023981.946506992</v>
          </cell>
          <cell r="X165">
            <v>35023981.946506992</v>
          </cell>
          <cell r="AP165">
            <v>15861801704.002953</v>
          </cell>
        </row>
        <row r="166">
          <cell r="V166">
            <v>2106657378.9268892</v>
          </cell>
          <cell r="W166">
            <v>35124271.024790607</v>
          </cell>
          <cell r="X166">
            <v>35124271.024790607</v>
          </cell>
          <cell r="AP166">
            <v>15865666748.440336</v>
          </cell>
        </row>
      </sheetData>
      <sheetData sheetId="18">
        <row r="7">
          <cell r="M7">
            <v>60</v>
          </cell>
          <cell r="V7">
            <v>25733.356195046705</v>
          </cell>
          <cell r="W7">
            <v>1930.0017146285027</v>
          </cell>
          <cell r="X7">
            <v>1930.0017146285027</v>
          </cell>
          <cell r="AP7">
            <v>18904.325877052539</v>
          </cell>
        </row>
        <row r="8">
          <cell r="V8">
            <v>34857.624190189083</v>
          </cell>
          <cell r="W8">
            <v>2480.0267399032546</v>
          </cell>
          <cell r="X8">
            <v>2480.0267399032546</v>
          </cell>
          <cell r="AP8">
            <v>27591.896947544254</v>
          </cell>
        </row>
        <row r="9">
          <cell r="V9">
            <v>45530.472837275876</v>
          </cell>
          <cell r="W9">
            <v>3096.5672038006924</v>
          </cell>
          <cell r="X9">
            <v>3096.5672038006924</v>
          </cell>
          <cell r="AP9">
            <v>38506.105897648005</v>
          </cell>
        </row>
        <row r="10">
          <cell r="V10">
            <v>58317.871039791105</v>
          </cell>
          <cell r="W10">
            <v>3814.4498471524662</v>
          </cell>
          <cell r="X10">
            <v>3814.4498471524662</v>
          </cell>
          <cell r="AP10">
            <v>52357.730583215787</v>
          </cell>
        </row>
        <row r="11">
          <cell r="V11">
            <v>73478.174108929408</v>
          </cell>
          <cell r="W11">
            <v>4644.7744706109625</v>
          </cell>
          <cell r="X11">
            <v>4644.7744706109625</v>
          </cell>
          <cell r="AP11">
            <v>69677.261746677017</v>
          </cell>
        </row>
        <row r="12">
          <cell r="V12">
            <v>91289.575503721804</v>
          </cell>
          <cell r="W12">
            <v>5599.4401412638708</v>
          </cell>
          <cell r="X12">
            <v>5599.4401412638708</v>
          </cell>
          <cell r="AP12">
            <v>91059.731259259788</v>
          </cell>
        </row>
        <row r="13">
          <cell r="V13">
            <v>111388.5511211033</v>
          </cell>
          <cell r="W13">
            <v>6651.6206862043637</v>
          </cell>
          <cell r="X13">
            <v>6651.6206862043637</v>
          </cell>
          <cell r="AP13">
            <v>116477.15891968455</v>
          </cell>
        </row>
        <row r="14">
          <cell r="V14">
            <v>133939.31660504069</v>
          </cell>
          <cell r="W14">
            <v>7808.6148919141006</v>
          </cell>
          <cell r="X14">
            <v>7808.6148919141006</v>
          </cell>
          <cell r="AP14">
            <v>146404.3166186469</v>
          </cell>
        </row>
        <row r="15">
          <cell r="V15">
            <v>159562.43465631019</v>
          </cell>
          <cell r="W15">
            <v>9103.4813954120327</v>
          </cell>
          <cell r="X15">
            <v>9103.4813954120327</v>
          </cell>
          <cell r="AP15">
            <v>181864.61643694557</v>
          </cell>
        </row>
        <row r="16">
          <cell r="V16">
            <v>188518.48986446898</v>
          </cell>
          <cell r="W16">
            <v>10546.921392793814</v>
          </cell>
          <cell r="X16">
            <v>10546.921392793814</v>
          </cell>
          <cell r="AP16">
            <v>223567.02217562054</v>
          </cell>
        </row>
        <row r="17">
          <cell r="V17">
            <v>224102.08953733841</v>
          </cell>
          <cell r="W17">
            <v>12316.176068012546</v>
          </cell>
          <cell r="X17">
            <v>12316.176068012546</v>
          </cell>
          <cell r="AP17">
            <v>269375.10709600151</v>
          </cell>
        </row>
        <row r="18">
          <cell r="V18">
            <v>265611.02003880276</v>
          </cell>
          <cell r="W18">
            <v>13855.372336948736</v>
          </cell>
          <cell r="X18">
            <v>13855.372336948736</v>
          </cell>
          <cell r="AP18">
            <v>309785.62260215369</v>
          </cell>
        </row>
        <row r="19">
          <cell r="V19">
            <v>311958.68226738786</v>
          </cell>
          <cell r="W19">
            <v>15502.502213951586</v>
          </cell>
          <cell r="X19">
            <v>15502.502213951586</v>
          </cell>
          <cell r="AP19">
            <v>354418.87165515218</v>
          </cell>
        </row>
        <row r="20">
          <cell r="V20">
            <v>362878.55203909718</v>
          </cell>
          <cell r="W20">
            <v>17234.747652391852</v>
          </cell>
          <cell r="X20">
            <v>17234.747652391852</v>
          </cell>
          <cell r="AP20">
            <v>400732.00174527569</v>
          </cell>
        </row>
        <row r="21">
          <cell r="V21">
            <v>419873.29955539317</v>
          </cell>
          <cell r="W21">
            <v>19431.475171075985</v>
          </cell>
          <cell r="X21">
            <v>19431.475171075985</v>
          </cell>
          <cell r="AP21">
            <v>453793.75714370963</v>
          </cell>
        </row>
        <row r="22">
          <cell r="V22">
            <v>483179.73674510355</v>
          </cell>
          <cell r="W22">
            <v>21550.499860889646</v>
          </cell>
          <cell r="X22">
            <v>21550.499860889646</v>
          </cell>
          <cell r="AP22">
            <v>513171.84850348183</v>
          </cell>
        </row>
        <row r="23">
          <cell r="V23">
            <v>551914.54391336651</v>
          </cell>
          <cell r="W23">
            <v>23777.187227978167</v>
          </cell>
          <cell r="X23">
            <v>23777.187227978167</v>
          </cell>
          <cell r="AP23">
            <v>573875.26242681977</v>
          </cell>
        </row>
        <row r="24">
          <cell r="V24">
            <v>627772.06383137894</v>
          </cell>
          <cell r="W24">
            <v>26176.661864443726</v>
          </cell>
          <cell r="X24">
            <v>26176.661864443726</v>
          </cell>
          <cell r="AP24">
            <v>641557.73811243742</v>
          </cell>
        </row>
        <row r="25">
          <cell r="V25">
            <v>710524.19404443004</v>
          </cell>
          <cell r="W25">
            <v>28728.697306343322</v>
          </cell>
          <cell r="X25">
            <v>28728.697306343322</v>
          </cell>
          <cell r="AP25">
            <v>713906.83182464237</v>
          </cell>
        </row>
        <row r="26">
          <cell r="V26">
            <v>790087.56722425763</v>
          </cell>
          <cell r="W26">
            <v>31057.642231788319</v>
          </cell>
          <cell r="X26">
            <v>31057.642231788319</v>
          </cell>
          <cell r="AP26">
            <v>783941.81787407573</v>
          </cell>
        </row>
        <row r="27">
          <cell r="V27">
            <v>889636.93417280586</v>
          </cell>
          <cell r="W27">
            <v>33683.619868244015</v>
          </cell>
          <cell r="X27">
            <v>33683.619868244015</v>
          </cell>
          <cell r="AP27">
            <v>864109.0101807547</v>
          </cell>
        </row>
        <row r="28">
          <cell r="V28">
            <v>1003190.6949965421</v>
          </cell>
          <cell r="W28">
            <v>36712.531215743671</v>
          </cell>
          <cell r="X28">
            <v>36712.531215743671</v>
          </cell>
          <cell r="AP28">
            <v>956939.90729089384</v>
          </cell>
        </row>
        <row r="29">
          <cell r="V29">
            <v>1123370.0445042951</v>
          </cell>
          <cell r="W29">
            <v>39826.796514096146</v>
          </cell>
          <cell r="X29">
            <v>39826.796514096146</v>
          </cell>
          <cell r="AP29">
            <v>1051483.7219325567</v>
          </cell>
        </row>
        <row r="30">
          <cell r="V30">
            <v>1253721.9261959249</v>
          </cell>
          <cell r="W30">
            <v>43148.768826545522</v>
          </cell>
          <cell r="X30">
            <v>43148.768826545522</v>
          </cell>
          <cell r="AP30">
            <v>1156565.8316185619</v>
          </cell>
        </row>
        <row r="31">
          <cell r="V31">
            <v>1392844.0604761129</v>
          </cell>
          <cell r="W31">
            <v>46621.69295779003</v>
          </cell>
          <cell r="X31">
            <v>46621.69295779003</v>
          </cell>
          <cell r="AP31">
            <v>1265774.3861693894</v>
          </cell>
        </row>
        <row r="32">
          <cell r="V32">
            <v>1542534.4430147819</v>
          </cell>
          <cell r="W32">
            <v>50299.687223405948</v>
          </cell>
          <cell r="X32">
            <v>50299.687223405948</v>
          </cell>
          <cell r="AP32">
            <v>1384669.3807609433</v>
          </cell>
        </row>
        <row r="33">
          <cell r="V33">
            <v>1702338.7166778999</v>
          </cell>
          <cell r="W33">
            <v>54160.242705241668</v>
          </cell>
          <cell r="X33">
            <v>54160.242705241668</v>
          </cell>
          <cell r="AP33">
            <v>1510286.8116425797</v>
          </cell>
        </row>
        <row r="34">
          <cell r="V34">
            <v>1983570.6185911926</v>
          </cell>
          <cell r="W34">
            <v>61593.236106209151</v>
          </cell>
          <cell r="X34">
            <v>61593.236106209151</v>
          </cell>
          <cell r="AP34">
            <v>1695079.2900101675</v>
          </cell>
        </row>
        <row r="35">
          <cell r="V35">
            <v>2321957.5650104447</v>
          </cell>
          <cell r="W35">
            <v>70435.838490668277</v>
          </cell>
          <cell r="X35">
            <v>70435.838490668277</v>
          </cell>
          <cell r="AP35">
            <v>1904112.1272261853</v>
          </cell>
        </row>
        <row r="36">
          <cell r="V36">
            <v>2703776.8860433982</v>
          </cell>
          <cell r="W36">
            <v>80285.07735998831</v>
          </cell>
          <cell r="X36">
            <v>80285.07735998831</v>
          </cell>
          <cell r="AP36">
            <v>2133333.9284612909</v>
          </cell>
        </row>
        <row r="37">
          <cell r="V37">
            <v>3184416.6752531822</v>
          </cell>
          <cell r="W37">
            <v>92018.691536309489</v>
          </cell>
          <cell r="X37">
            <v>92018.691536309489</v>
          </cell>
          <cell r="AP37">
            <v>2393351.4680287428</v>
          </cell>
        </row>
        <row r="38">
          <cell r="V38">
            <v>3729658.2442114865</v>
          </cell>
          <cell r="W38">
            <v>105066.66623277889</v>
          </cell>
          <cell r="X38">
            <v>105066.66623277889</v>
          </cell>
          <cell r="AP38">
            <v>2681272.5539624835</v>
          </cell>
        </row>
        <row r="39">
          <cell r="V39">
            <v>4342225.9432428479</v>
          </cell>
          <cell r="W39">
            <v>119440.04659178702</v>
          </cell>
          <cell r="X39">
            <v>119440.04659178702</v>
          </cell>
          <cell r="AP39">
            <v>2991748.3967239424</v>
          </cell>
        </row>
        <row r="40">
          <cell r="V40">
            <v>4924985.7981581474</v>
          </cell>
          <cell r="W40">
            <v>132245.73589444286</v>
          </cell>
          <cell r="X40">
            <v>132245.73589444286</v>
          </cell>
          <cell r="AP40">
            <v>3295390.2860919987</v>
          </cell>
        </row>
        <row r="41">
          <cell r="V41">
            <v>5488597.8596485835</v>
          </cell>
          <cell r="W41">
            <v>143925.6221733421</v>
          </cell>
          <cell r="X41">
            <v>143925.6221733421</v>
          </cell>
          <cell r="AP41">
            <v>3584567.1620889832</v>
          </cell>
        </row>
        <row r="42">
          <cell r="V42">
            <v>6101392.1500034686</v>
          </cell>
          <cell r="W42">
            <v>156414.09895750909</v>
          </cell>
          <cell r="X42">
            <v>156414.09895750909</v>
          </cell>
          <cell r="AP42">
            <v>3885439.3626930933</v>
          </cell>
        </row>
        <row r="43">
          <cell r="V43">
            <v>6761689.9326859294</v>
          </cell>
          <cell r="W43">
            <v>169669.97057884897</v>
          </cell>
          <cell r="X43">
            <v>169669.97057884897</v>
          </cell>
          <cell r="AP43">
            <v>4210505.2383018974</v>
          </cell>
        </row>
        <row r="44">
          <cell r="V44">
            <v>7470239.6256165747</v>
          </cell>
          <cell r="W44">
            <v>183694.27027838456</v>
          </cell>
          <cell r="X44">
            <v>183694.27027838456</v>
          </cell>
          <cell r="AP44">
            <v>4555198.0359552922</v>
          </cell>
        </row>
        <row r="45">
          <cell r="V45">
            <v>8235958.8553562183</v>
          </cell>
          <cell r="W45">
            <v>198593.23938028724</v>
          </cell>
          <cell r="X45">
            <v>198593.23938028724</v>
          </cell>
          <cell r="AP45">
            <v>4927934.0435089879</v>
          </cell>
        </row>
        <row r="46">
          <cell r="V46">
            <v>9080066.6344677061</v>
          </cell>
          <cell r="W46">
            <v>214408.21615000267</v>
          </cell>
          <cell r="X46">
            <v>214408.21615000267</v>
          </cell>
          <cell r="AP46">
            <v>5329088.6125319907</v>
          </cell>
        </row>
        <row r="47">
          <cell r="V47">
            <v>9835814.4089023508</v>
          </cell>
          <cell r="W47">
            <v>228420.98444661137</v>
          </cell>
          <cell r="X47">
            <v>228420.98444661137</v>
          </cell>
          <cell r="AP47">
            <v>5763595.7047091397</v>
          </cell>
        </row>
        <row r="48">
          <cell r="V48">
            <v>10631185.050901694</v>
          </cell>
          <cell r="W48">
            <v>242982.52269024547</v>
          </cell>
          <cell r="X48">
            <v>242982.52269024547</v>
          </cell>
          <cell r="AP48">
            <v>6220497.6102143545</v>
          </cell>
        </row>
        <row r="49">
          <cell r="V49">
            <v>11494327.378328422</v>
          </cell>
          <cell r="W49">
            <v>258608.10021254723</v>
          </cell>
          <cell r="X49">
            <v>258608.10021254723</v>
          </cell>
          <cell r="AP49">
            <v>6717193.739625412</v>
          </cell>
        </row>
        <row r="50">
          <cell r="V50">
            <v>12395174.878427889</v>
          </cell>
          <cell r="W50">
            <v>274497.79618757148</v>
          </cell>
          <cell r="X50">
            <v>274497.79618757148</v>
          </cell>
          <cell r="AP50">
            <v>7219678.4778290978</v>
          </cell>
        </row>
        <row r="51">
          <cell r="V51">
            <v>13336735.033047121</v>
          </cell>
          <cell r="W51">
            <v>290898.53364122915</v>
          </cell>
          <cell r="X51">
            <v>290898.53364122915</v>
          </cell>
          <cell r="AP51">
            <v>7756285.7862178404</v>
          </cell>
        </row>
        <row r="52">
          <cell r="V52">
            <v>14324474.295671389</v>
          </cell>
          <cell r="W52">
            <v>307919.64753593615</v>
          </cell>
          <cell r="X52">
            <v>307919.64753593615</v>
          </cell>
          <cell r="AP52">
            <v>8316113.4340793518</v>
          </cell>
        </row>
        <row r="53">
          <cell r="V53">
            <v>15363292.578092983</v>
          </cell>
          <cell r="W53">
            <v>325706.56098958862</v>
          </cell>
          <cell r="X53">
            <v>325706.56098958862</v>
          </cell>
          <cell r="AP53">
            <v>8909568.2584849503</v>
          </cell>
        </row>
        <row r="54">
          <cell r="V54">
            <v>16455662.66117214</v>
          </cell>
          <cell r="W54">
            <v>344338.91286153113</v>
          </cell>
          <cell r="X54">
            <v>344338.91286153113</v>
          </cell>
          <cell r="AP54">
            <v>9540592.5587482955</v>
          </cell>
        </row>
        <row r="55">
          <cell r="V55">
            <v>17627590.896145202</v>
          </cell>
          <cell r="W55">
            <v>363245.4714408936</v>
          </cell>
          <cell r="X55">
            <v>363245.4714408936</v>
          </cell>
          <cell r="AP55">
            <v>10211046.758106846</v>
          </cell>
        </row>
        <row r="56">
          <cell r="V56">
            <v>18884362.353277665</v>
          </cell>
          <cell r="W56">
            <v>382419.38253087748</v>
          </cell>
          <cell r="X56">
            <v>382419.38253087748</v>
          </cell>
          <cell r="AP56">
            <v>10944101.564943809</v>
          </cell>
        </row>
        <row r="57">
          <cell r="V57">
            <v>20624312.502408728</v>
          </cell>
          <cell r="W57">
            <v>413823.70207722945</v>
          </cell>
          <cell r="X57">
            <v>413823.70207722945</v>
          </cell>
          <cell r="AP57">
            <v>11788484.44499984</v>
          </cell>
        </row>
        <row r="58">
          <cell r="V58">
            <v>22473195.401799444</v>
          </cell>
          <cell r="W58">
            <v>447055.1601128921</v>
          </cell>
          <cell r="X58">
            <v>447055.1601128921</v>
          </cell>
          <cell r="AP58">
            <v>12697343.4537558</v>
          </cell>
        </row>
        <row r="59">
          <cell r="V59">
            <v>24355848.060165599</v>
          </cell>
          <cell r="W59">
            <v>482118.08819373383</v>
          </cell>
          <cell r="X59">
            <v>482118.08819373383</v>
          </cell>
          <cell r="AP59">
            <v>13670223.213904317</v>
          </cell>
        </row>
        <row r="60">
          <cell r="V60">
            <v>26259728.673618279</v>
          </cell>
          <cell r="W60">
            <v>519391.64950148977</v>
          </cell>
          <cell r="X60">
            <v>519391.64950148977</v>
          </cell>
          <cell r="AP60">
            <v>14706419.414143531</v>
          </cell>
        </row>
        <row r="61">
          <cell r="V61">
            <v>28300778.910878081</v>
          </cell>
          <cell r="W61">
            <v>559342.14052121958</v>
          </cell>
          <cell r="X61">
            <v>559342.14052121958</v>
          </cell>
          <cell r="AP61">
            <v>15806103.220386337</v>
          </cell>
        </row>
        <row r="62">
          <cell r="V62">
            <v>30435454.209794305</v>
          </cell>
          <cell r="W62">
            <v>601163.95620278851</v>
          </cell>
          <cell r="X62">
            <v>601163.95620278851</v>
          </cell>
          <cell r="AP62">
            <v>16968426.455645133</v>
          </cell>
        </row>
        <row r="63">
          <cell r="V63">
            <v>32687996.004357107</v>
          </cell>
          <cell r="W63">
            <v>645695.81218529982</v>
          </cell>
          <cell r="X63">
            <v>645695.81218529982</v>
          </cell>
          <cell r="AP63">
            <v>18217550.749257021</v>
          </cell>
        </row>
        <row r="64">
          <cell r="V64">
            <v>35875362.395344965</v>
          </cell>
          <cell r="W64">
            <v>725906.33642366016</v>
          </cell>
          <cell r="X64">
            <v>725906.33642366016</v>
          </cell>
          <cell r="AP64">
            <v>20325768.202171315</v>
          </cell>
        </row>
        <row r="65">
          <cell r="V65">
            <v>38410384.187880665</v>
          </cell>
          <cell r="W65">
            <v>780036.33414862945</v>
          </cell>
          <cell r="X65">
            <v>780036.33414862945</v>
          </cell>
          <cell r="AP65">
            <v>21866322.766611058</v>
          </cell>
        </row>
        <row r="66">
          <cell r="V66">
            <v>42480440.734758228</v>
          </cell>
          <cell r="W66">
            <v>867167.00635508902</v>
          </cell>
          <cell r="X66">
            <v>867167.00635508902</v>
          </cell>
          <cell r="AP66">
            <v>27844429.243927963</v>
          </cell>
        </row>
        <row r="67">
          <cell r="V67">
            <v>46433760.150616296</v>
          </cell>
          <cell r="W67">
            <v>943166.32885430183</v>
          </cell>
          <cell r="X67">
            <v>943166.32885430183</v>
          </cell>
          <cell r="AP67">
            <v>32766300.106364299</v>
          </cell>
        </row>
        <row r="68">
          <cell r="V68">
            <v>50672237.927834757</v>
          </cell>
          <cell r="W68">
            <v>1024376.5519813029</v>
          </cell>
          <cell r="X68">
            <v>1024376.5519813029</v>
          </cell>
          <cell r="AP68">
            <v>38378187.961451195</v>
          </cell>
        </row>
        <row r="69">
          <cell r="V69">
            <v>55198034.076201126</v>
          </cell>
          <cell r="W69">
            <v>1110801.8372294062</v>
          </cell>
          <cell r="X69">
            <v>1110801.8372294062</v>
          </cell>
          <cell r="AP69">
            <v>44695141.616218962</v>
          </cell>
        </row>
        <row r="70">
          <cell r="V70">
            <v>60031337.974557951</v>
          </cell>
          <cell r="W70">
            <v>1202810.4591517663</v>
          </cell>
          <cell r="X70">
            <v>1202810.4591517663</v>
          </cell>
          <cell r="AP70">
            <v>51763286.778768733</v>
          </cell>
        </row>
        <row r="71">
          <cell r="V71">
            <v>64840641.942830265</v>
          </cell>
          <cell r="W71">
            <v>1294055.5461036854</v>
          </cell>
          <cell r="X71">
            <v>1294055.5461036854</v>
          </cell>
          <cell r="AP71">
            <v>59652115.5732411</v>
          </cell>
        </row>
        <row r="72">
          <cell r="V72">
            <v>69827208.135071352</v>
          </cell>
          <cell r="W72">
            <v>1388523.7441862407</v>
          </cell>
          <cell r="X72">
            <v>1388523.7441862407</v>
          </cell>
          <cell r="AP72">
            <v>68704960.884643883</v>
          </cell>
        </row>
        <row r="73">
          <cell r="V73">
            <v>75287917.349850327</v>
          </cell>
          <cell r="W73">
            <v>1491899.5876021711</v>
          </cell>
          <cell r="X73">
            <v>1491899.5876021711</v>
          </cell>
          <cell r="AP73">
            <v>79036190.724487975</v>
          </cell>
        </row>
        <row r="74">
          <cell r="V74">
            <v>81212754.053348064</v>
          </cell>
          <cell r="W74">
            <v>1604802.3891611383</v>
          </cell>
          <cell r="X74">
            <v>1604802.3891611383</v>
          </cell>
          <cell r="AP74">
            <v>90879697.934038907</v>
          </cell>
        </row>
        <row r="75">
          <cell r="V75">
            <v>87687371.841234162</v>
          </cell>
          <cell r="W75">
            <v>1727809.7650926516</v>
          </cell>
          <cell r="X75">
            <v>1727809.7650926516</v>
          </cell>
          <cell r="AP75">
            <v>104069321.48077106</v>
          </cell>
        </row>
        <row r="76">
          <cell r="V76">
            <v>94805778.367536411</v>
          </cell>
          <cell r="W76">
            <v>1862527.910476556</v>
          </cell>
          <cell r="X76">
            <v>1862527.910476556</v>
          </cell>
          <cell r="AP76">
            <v>118941785.31358844</v>
          </cell>
        </row>
        <row r="77">
          <cell r="V77">
            <v>102519532.39670748</v>
          </cell>
          <cell r="W77">
            <v>1995149.5669306698</v>
          </cell>
          <cell r="X77">
            <v>1995149.5669306698</v>
          </cell>
          <cell r="AP77">
            <v>134379708.65246293</v>
          </cell>
        </row>
        <row r="78">
          <cell r="V78">
            <v>111188011.03426041</v>
          </cell>
          <cell r="W78">
            <v>2144753.8406584067</v>
          </cell>
          <cell r="X78">
            <v>2144753.8406584067</v>
          </cell>
          <cell r="AP78">
            <v>151986583.99950644</v>
          </cell>
        </row>
        <row r="79">
          <cell r="V79">
            <v>121887829.79845576</v>
          </cell>
          <cell r="W79">
            <v>2332899.5317421355</v>
          </cell>
          <cell r="X79">
            <v>2332899.5317421355</v>
          </cell>
          <cell r="AP79">
            <v>172544939.38579401</v>
          </cell>
        </row>
        <row r="80">
          <cell r="V80">
            <v>133824413.38750826</v>
          </cell>
          <cell r="W80">
            <v>2551975.7030412927</v>
          </cell>
          <cell r="X80">
            <v>2551975.7030412927</v>
          </cell>
          <cell r="AP80">
            <v>196559952.64523256</v>
          </cell>
        </row>
        <row r="81">
          <cell r="V81">
            <v>146644793.53078234</v>
          </cell>
          <cell r="W81">
            <v>2789073.9453833131</v>
          </cell>
          <cell r="X81">
            <v>2789073.9453833131</v>
          </cell>
          <cell r="AP81">
            <v>223116730.27054307</v>
          </cell>
        </row>
        <row r="82">
          <cell r="V82">
            <v>160006115.82964453</v>
          </cell>
          <cell r="W82">
            <v>3058035.0865399949</v>
          </cell>
          <cell r="X82">
            <v>3058035.0865399949</v>
          </cell>
          <cell r="AP82">
            <v>252717937.61082751</v>
          </cell>
        </row>
        <row r="83">
          <cell r="V83">
            <v>174192691.56478089</v>
          </cell>
          <cell r="W83">
            <v>3344668.4212897685</v>
          </cell>
          <cell r="X83">
            <v>3344668.4212897685</v>
          </cell>
          <cell r="AP83">
            <v>284926694.52103382</v>
          </cell>
        </row>
        <row r="84">
          <cell r="V84">
            <v>188880703.219953</v>
          </cell>
          <cell r="W84">
            <v>3633929.7817058861</v>
          </cell>
          <cell r="X84">
            <v>3633929.7817058861</v>
          </cell>
          <cell r="AP84">
            <v>318681688.66983044</v>
          </cell>
        </row>
        <row r="85">
          <cell r="V85">
            <v>204598340.18051857</v>
          </cell>
          <cell r="W85">
            <v>3943079.3703064248</v>
          </cell>
          <cell r="X85">
            <v>3943079.3703064248</v>
          </cell>
          <cell r="AP85">
            <v>356267779.20179808</v>
          </cell>
        </row>
        <row r="86">
          <cell r="V86">
            <v>221532472.71541184</v>
          </cell>
          <cell r="W86">
            <v>4276338.5858832961</v>
          </cell>
          <cell r="X86">
            <v>4276338.5858832961</v>
          </cell>
          <cell r="AP86">
            <v>399280871.31411827</v>
          </cell>
        </row>
        <row r="87">
          <cell r="V87">
            <v>243701998.78449556</v>
          </cell>
          <cell r="W87">
            <v>4739367.9810584038</v>
          </cell>
          <cell r="X87">
            <v>4739367.9810584038</v>
          </cell>
          <cell r="AP87">
            <v>460920465.69278049</v>
          </cell>
        </row>
        <row r="88">
          <cell r="V88">
            <v>267395722.11400282</v>
          </cell>
          <cell r="W88">
            <v>5234040.6645601587</v>
          </cell>
          <cell r="X88">
            <v>5234040.6645601587</v>
          </cell>
          <cell r="AP88">
            <v>528103298.89143831</v>
          </cell>
        </row>
        <row r="89">
          <cell r="V89">
            <v>290025545.05198848</v>
          </cell>
          <cell r="W89">
            <v>5693249.3625876661</v>
          </cell>
          <cell r="X89">
            <v>5693249.3625876661</v>
          </cell>
          <cell r="AP89">
            <v>590886659.85455024</v>
          </cell>
        </row>
        <row r="90">
          <cell r="V90">
            <v>313888951.54800051</v>
          </cell>
          <cell r="W90">
            <v>6186075.1438896433</v>
          </cell>
          <cell r="X90">
            <v>6186075.1438896433</v>
          </cell>
          <cell r="AP90">
            <v>658946962.99175143</v>
          </cell>
        </row>
        <row r="91">
          <cell r="V91">
            <v>338382754.36272472</v>
          </cell>
          <cell r="W91">
            <v>6692427.7149716215</v>
          </cell>
          <cell r="X91">
            <v>6692427.7149716215</v>
          </cell>
          <cell r="AP91">
            <v>731577990.57851434</v>
          </cell>
        </row>
        <row r="92">
          <cell r="V92">
            <v>358153535.04132158</v>
          </cell>
          <cell r="W92">
            <v>7059421.1999340579</v>
          </cell>
          <cell r="X92">
            <v>7059421.1999340579</v>
          </cell>
          <cell r="AP92">
            <v>804277054.17041922</v>
          </cell>
        </row>
        <row r="93">
          <cell r="V93">
            <v>378684415.14191383</v>
          </cell>
          <cell r="W93">
            <v>7446801.8084980715</v>
          </cell>
          <cell r="X93">
            <v>7446801.8084980715</v>
          </cell>
          <cell r="AP93">
            <v>884385351.92470312</v>
          </cell>
        </row>
        <row r="94">
          <cell r="V94">
            <v>398824763.24743366</v>
          </cell>
          <cell r="W94">
            <v>7810225.3038787376</v>
          </cell>
          <cell r="X94">
            <v>7810225.3038787376</v>
          </cell>
          <cell r="AP94">
            <v>969639746.19257808</v>
          </cell>
        </row>
        <row r="95">
          <cell r="V95">
            <v>419451029.83981776</v>
          </cell>
          <cell r="W95">
            <v>8160066.404108366</v>
          </cell>
          <cell r="X95">
            <v>8160066.404108366</v>
          </cell>
          <cell r="AP95">
            <v>1061618543.2919261</v>
          </cell>
        </row>
        <row r="96">
          <cell r="V96">
            <v>441249905.20443225</v>
          </cell>
          <cell r="W96">
            <v>8528609.7482356876</v>
          </cell>
          <cell r="X96">
            <v>8528609.7482356876</v>
          </cell>
          <cell r="AP96">
            <v>1162974619.5063872</v>
          </cell>
        </row>
        <row r="97">
          <cell r="V97">
            <v>463750622.88858664</v>
          </cell>
          <cell r="W97">
            <v>8906475.2780709974</v>
          </cell>
          <cell r="X97">
            <v>8906475.2780709974</v>
          </cell>
          <cell r="AP97">
            <v>1274344226.9258049</v>
          </cell>
        </row>
        <row r="98">
          <cell r="V98">
            <v>487382936.78369766</v>
          </cell>
          <cell r="W98">
            <v>9301675.8367063757</v>
          </cell>
          <cell r="X98">
            <v>9301675.8367063757</v>
          </cell>
          <cell r="AP98">
            <v>1394551584.7301021</v>
          </cell>
        </row>
        <row r="99">
          <cell r="V99">
            <v>512207475.45816159</v>
          </cell>
          <cell r="W99">
            <v>9701546.7750649992</v>
          </cell>
          <cell r="X99">
            <v>9701546.7750649992</v>
          </cell>
          <cell r="AP99">
            <v>1525726240.5180132</v>
          </cell>
        </row>
        <row r="100">
          <cell r="V100">
            <v>537278309.14542115</v>
          </cell>
          <cell r="W100">
            <v>10100058.795242384</v>
          </cell>
          <cell r="X100">
            <v>10100058.795242384</v>
          </cell>
          <cell r="AP100">
            <v>1666843164.0992632</v>
          </cell>
        </row>
        <row r="101">
          <cell r="V101">
            <v>558815413.44035363</v>
          </cell>
          <cell r="W101">
            <v>10429915.515330527</v>
          </cell>
          <cell r="X101">
            <v>10429915.515330527</v>
          </cell>
          <cell r="AP101">
            <v>1789887117.9097531</v>
          </cell>
        </row>
        <row r="102">
          <cell r="V102">
            <v>580553318.58316433</v>
          </cell>
          <cell r="W102">
            <v>10759381.389300779</v>
          </cell>
          <cell r="X102">
            <v>10759381.389300779</v>
          </cell>
          <cell r="AP102">
            <v>1919928102.8626299</v>
          </cell>
        </row>
        <row r="103">
          <cell r="V103">
            <v>603423224.82244825</v>
          </cell>
          <cell r="W103">
            <v>11107069.596985653</v>
          </cell>
          <cell r="X103">
            <v>11107069.596985653</v>
          </cell>
          <cell r="AP103">
            <v>2061420113.2733848</v>
          </cell>
        </row>
        <row r="104">
          <cell r="V104">
            <v>626827386.68792915</v>
          </cell>
          <cell r="W104">
            <v>11460675.58365164</v>
          </cell>
          <cell r="X104">
            <v>11460675.58365164</v>
          </cell>
          <cell r="AP104">
            <v>2211793843.8695545</v>
          </cell>
        </row>
        <row r="105">
          <cell r="V105">
            <v>650547859.6829083</v>
          </cell>
          <cell r="W105">
            <v>11815339.316757854</v>
          </cell>
          <cell r="X105">
            <v>11815339.316757854</v>
          </cell>
          <cell r="AP105">
            <v>2367129947.2533193</v>
          </cell>
        </row>
        <row r="106">
          <cell r="V106">
            <v>674980819.8936913</v>
          </cell>
          <cell r="W106">
            <v>12178702.110770719</v>
          </cell>
          <cell r="X106">
            <v>12178702.110770719</v>
          </cell>
          <cell r="AP106">
            <v>2531305049.7411537</v>
          </cell>
        </row>
        <row r="107">
          <cell r="V107">
            <v>694241401.64432061</v>
          </cell>
          <cell r="W107">
            <v>12445141.911609609</v>
          </cell>
          <cell r="X107">
            <v>12445141.911609609</v>
          </cell>
          <cell r="AP107">
            <v>2644936737.57618</v>
          </cell>
        </row>
        <row r="108">
          <cell r="V108">
            <v>713991676.03103673</v>
          </cell>
          <cell r="W108">
            <v>12717408.4779278</v>
          </cell>
          <cell r="X108">
            <v>12717408.4779278</v>
          </cell>
          <cell r="AP108">
            <v>2764468041.7057872</v>
          </cell>
        </row>
        <row r="109">
          <cell r="V109">
            <v>734572204.55968165</v>
          </cell>
          <cell r="W109">
            <v>13012503.347853318</v>
          </cell>
          <cell r="X109">
            <v>13012503.347853318</v>
          </cell>
          <cell r="AP109">
            <v>2892504329.0710516</v>
          </cell>
        </row>
        <row r="110">
          <cell r="V110">
            <v>755834672.08088398</v>
          </cell>
          <cell r="W110">
            <v>13345840.593283195</v>
          </cell>
          <cell r="X110">
            <v>13345840.593283195</v>
          </cell>
          <cell r="AP110">
            <v>3027730900.1825204</v>
          </cell>
        </row>
        <row r="111">
          <cell r="V111">
            <v>777839283.28303885</v>
          </cell>
          <cell r="W111">
            <v>13694486.378314456</v>
          </cell>
          <cell r="X111">
            <v>13694486.378314456</v>
          </cell>
          <cell r="AP111">
            <v>3171128236.6184959</v>
          </cell>
        </row>
        <row r="112">
          <cell r="V112">
            <v>798446614.26160622</v>
          </cell>
          <cell r="W112">
            <v>14017105.25793772</v>
          </cell>
          <cell r="X112">
            <v>14017105.25793772</v>
          </cell>
          <cell r="AP112">
            <v>3302587092.6346955</v>
          </cell>
        </row>
        <row r="113">
          <cell r="V113">
            <v>818979834.72384381</v>
          </cell>
          <cell r="W113">
            <v>14339500.473504625</v>
          </cell>
          <cell r="X113">
            <v>14339500.473504625</v>
          </cell>
          <cell r="AP113">
            <v>3433205889.8526697</v>
          </cell>
        </row>
        <row r="114">
          <cell r="V114">
            <v>839624844.87714553</v>
          </cell>
          <cell r="W114">
            <v>14663538.511948366</v>
          </cell>
          <cell r="X114">
            <v>14663538.511948366</v>
          </cell>
          <cell r="AP114">
            <v>3565030224.9802332</v>
          </cell>
        </row>
        <row r="115">
          <cell r="V115">
            <v>860759024.67435837</v>
          </cell>
          <cell r="W115">
            <v>14994458.642246285</v>
          </cell>
          <cell r="X115">
            <v>14994458.642246285</v>
          </cell>
          <cell r="AP115">
            <v>3703188201.0265751</v>
          </cell>
        </row>
        <row r="116">
          <cell r="V116">
            <v>885164046.67319608</v>
          </cell>
          <cell r="W116">
            <v>15380829.624169299</v>
          </cell>
          <cell r="X116">
            <v>15380829.624169299</v>
          </cell>
          <cell r="AP116">
            <v>3858393944.7406678</v>
          </cell>
        </row>
        <row r="117">
          <cell r="V117">
            <v>907687220.14634013</v>
          </cell>
          <cell r="W117">
            <v>15770075.806895256</v>
          </cell>
          <cell r="X117">
            <v>15770075.806895256</v>
          </cell>
          <cell r="AP117">
            <v>4016801931.1210666</v>
          </cell>
        </row>
        <row r="118">
          <cell r="V118">
            <v>930249912.82828927</v>
          </cell>
          <cell r="W118">
            <v>16159931.259007901</v>
          </cell>
          <cell r="X118">
            <v>16159931.259007901</v>
          </cell>
          <cell r="AP118">
            <v>4175537170.7093954</v>
          </cell>
        </row>
        <row r="119">
          <cell r="V119">
            <v>953403693.68033266</v>
          </cell>
          <cell r="W119">
            <v>16559977.576287538</v>
          </cell>
          <cell r="X119">
            <v>16559977.576287538</v>
          </cell>
          <cell r="AP119">
            <v>4340844068.2907515</v>
          </cell>
        </row>
        <row r="120">
          <cell r="V120">
            <v>977045662.99142838</v>
          </cell>
          <cell r="W120">
            <v>16972542.213390425</v>
          </cell>
          <cell r="X120">
            <v>16972542.213390425</v>
          </cell>
          <cell r="AP120">
            <v>4511621568.6506701</v>
          </cell>
        </row>
        <row r="121">
          <cell r="V121">
            <v>1001818272.1213672</v>
          </cell>
          <cell r="W121">
            <v>17408318.84374436</v>
          </cell>
          <cell r="X121">
            <v>17408318.84374436</v>
          </cell>
          <cell r="AP121">
            <v>4688946756.0212154</v>
          </cell>
        </row>
        <row r="122">
          <cell r="V122">
            <v>1027293592.6356115</v>
          </cell>
          <cell r="W122">
            <v>17849386.236366667</v>
          </cell>
          <cell r="X122">
            <v>17849386.236366667</v>
          </cell>
          <cell r="AP122">
            <v>4873484474.9398336</v>
          </cell>
        </row>
        <row r="123">
          <cell r="V123">
            <v>1052840970.4858823</v>
          </cell>
          <cell r="W123">
            <v>18282137.601819336</v>
          </cell>
          <cell r="X123">
            <v>18282137.601819336</v>
          </cell>
          <cell r="AP123">
            <v>5059712512.6077461</v>
          </cell>
        </row>
        <row r="124">
          <cell r="V124">
            <v>1078486105.972374</v>
          </cell>
          <cell r="W124">
            <v>18712158.347154528</v>
          </cell>
          <cell r="X124">
            <v>18712158.347154528</v>
          </cell>
          <cell r="AP124">
            <v>5250796870.9433422</v>
          </cell>
        </row>
        <row r="125">
          <cell r="V125">
            <v>1104314079.9059396</v>
          </cell>
          <cell r="W125">
            <v>19144814.792782515</v>
          </cell>
          <cell r="X125">
            <v>19144814.792782515</v>
          </cell>
          <cell r="AP125">
            <v>5443873782.5532551</v>
          </cell>
        </row>
        <row r="126">
          <cell r="V126">
            <v>1130857590.5282125</v>
          </cell>
          <cell r="W126">
            <v>19589336.873617917</v>
          </cell>
          <cell r="X126">
            <v>19589336.873617917</v>
          </cell>
          <cell r="AP126">
            <v>5645630085.3539829</v>
          </cell>
        </row>
        <row r="127">
          <cell r="V127">
            <v>1157836617.3625493</v>
          </cell>
          <cell r="W127">
            <v>20040592.573178232</v>
          </cell>
          <cell r="X127">
            <v>20040592.573178232</v>
          </cell>
          <cell r="AP127">
            <v>5852590765.8424673</v>
          </cell>
        </row>
        <row r="128">
          <cell r="V128">
            <v>1185164024.3052835</v>
          </cell>
          <cell r="W128">
            <v>20491481.08211397</v>
          </cell>
          <cell r="X128">
            <v>20491481.08211397</v>
          </cell>
          <cell r="AP128">
            <v>6068400991.1599636</v>
          </cell>
        </row>
        <row r="129">
          <cell r="V129">
            <v>1213038524.8075871</v>
          </cell>
          <cell r="W129">
            <v>20940898.333624728</v>
          </cell>
          <cell r="X129">
            <v>20940898.333624728</v>
          </cell>
          <cell r="AP129">
            <v>6290611018.6713362</v>
          </cell>
        </row>
        <row r="130">
          <cell r="V130">
            <v>1241532608.4860692</v>
          </cell>
          <cell r="W130">
            <v>21393292.729439456</v>
          </cell>
          <cell r="X130">
            <v>21393292.729439456</v>
          </cell>
          <cell r="AP130">
            <v>6520892348.6369944</v>
          </cell>
        </row>
        <row r="131">
          <cell r="V131">
            <v>1269791383.3953743</v>
          </cell>
          <cell r="W131">
            <v>21899851.318492446</v>
          </cell>
          <cell r="X131">
            <v>21899851.318492446</v>
          </cell>
          <cell r="AP131">
            <v>6747926097.7160788</v>
          </cell>
        </row>
        <row r="132">
          <cell r="V132">
            <v>1292653887.4839129</v>
          </cell>
          <cell r="W132">
            <v>22321821.040898003</v>
          </cell>
          <cell r="X132">
            <v>22321821.040898003</v>
          </cell>
          <cell r="AP132">
            <v>6976504640.9862041</v>
          </cell>
        </row>
        <row r="133">
          <cell r="V133">
            <v>1315900971.7283435</v>
          </cell>
          <cell r="W133">
            <v>22751087.163053934</v>
          </cell>
          <cell r="X133">
            <v>22751087.163053934</v>
          </cell>
          <cell r="AP133">
            <v>7212059640.2368717</v>
          </cell>
        </row>
        <row r="134">
          <cell r="V134">
            <v>1339747042.8066468</v>
          </cell>
          <cell r="W134">
            <v>23191373.877742335</v>
          </cell>
          <cell r="X134">
            <v>23191373.877742335</v>
          </cell>
          <cell r="AP134">
            <v>7457574746.5136194</v>
          </cell>
        </row>
        <row r="135">
          <cell r="V135">
            <v>1364422027.0063887</v>
          </cell>
          <cell r="W135">
            <v>23646691.767733105</v>
          </cell>
          <cell r="X135">
            <v>23646691.767733105</v>
          </cell>
          <cell r="AP135">
            <v>7716510333.5131407</v>
          </cell>
        </row>
        <row r="136">
          <cell r="V136">
            <v>1389569100.7391582</v>
          </cell>
          <cell r="W136">
            <v>24110888.702872206</v>
          </cell>
          <cell r="X136">
            <v>24110888.702872206</v>
          </cell>
          <cell r="AP136">
            <v>7984123745.9975996</v>
          </cell>
        </row>
        <row r="137">
          <cell r="V137">
            <v>1412584237.5774722</v>
          </cell>
          <cell r="W137">
            <v>24538745.495285425</v>
          </cell>
          <cell r="X137">
            <v>24538745.495285425</v>
          </cell>
          <cell r="AP137">
            <v>8243034493.4715538</v>
          </cell>
        </row>
        <row r="138">
          <cell r="V138">
            <v>1432468900.7554429</v>
          </cell>
          <cell r="W138">
            <v>24912756.57107532</v>
          </cell>
          <cell r="X138">
            <v>24912756.57107532</v>
          </cell>
          <cell r="AP138">
            <v>8486414007.1929588</v>
          </cell>
        </row>
        <row r="139">
          <cell r="V139">
            <v>1452686991.2556586</v>
          </cell>
          <cell r="W139">
            <v>25293037.17100326</v>
          </cell>
          <cell r="X139">
            <v>25293037.17100326</v>
          </cell>
          <cell r="AP139">
            <v>8737140942.9197788</v>
          </cell>
        </row>
        <row r="140">
          <cell r="V140">
            <v>1473053485.9984474</v>
          </cell>
          <cell r="W140">
            <v>25676373.851622447</v>
          </cell>
          <cell r="X140">
            <v>25676373.851622447</v>
          </cell>
          <cell r="AP140">
            <v>8992577439.9617786</v>
          </cell>
        </row>
        <row r="141">
          <cell r="V141">
            <v>1494253746.1681638</v>
          </cell>
          <cell r="W141">
            <v>26063993.870089717</v>
          </cell>
          <cell r="X141">
            <v>26063993.870089717</v>
          </cell>
          <cell r="AP141">
            <v>9263185482.3826027</v>
          </cell>
        </row>
        <row r="142">
          <cell r="V142">
            <v>1521637725.6192117</v>
          </cell>
          <cell r="W142">
            <v>26446420.008260217</v>
          </cell>
          <cell r="X142">
            <v>26446420.008260217</v>
          </cell>
          <cell r="AP142">
            <v>9547315696.3827152</v>
          </cell>
        </row>
        <row r="143">
          <cell r="V143">
            <v>1549509179.6965423</v>
          </cell>
          <cell r="W143">
            <v>26834938.325825419</v>
          </cell>
          <cell r="X143">
            <v>26834938.325825419</v>
          </cell>
          <cell r="AP143">
            <v>9840375953.1519012</v>
          </cell>
        </row>
        <row r="144">
          <cell r="V144">
            <v>1577042701.0572674</v>
          </cell>
          <cell r="W144">
            <v>27215254.106936146</v>
          </cell>
          <cell r="X144">
            <v>27215254.106936146</v>
          </cell>
          <cell r="AP144">
            <v>10129567609.552919</v>
          </cell>
        </row>
        <row r="145">
          <cell r="V145">
            <v>1605387244.8256259</v>
          </cell>
          <cell r="W145">
            <v>27607225.945106886</v>
          </cell>
          <cell r="X145">
            <v>27607225.945106886</v>
          </cell>
          <cell r="AP145">
            <v>10432840450.411943</v>
          </cell>
        </row>
        <row r="146">
          <cell r="V146">
            <v>1635312271.4030771</v>
          </cell>
          <cell r="W146">
            <v>28023931.788857274</v>
          </cell>
          <cell r="X146">
            <v>28023931.788857274</v>
          </cell>
          <cell r="AP146">
            <v>10762795238.160315</v>
          </cell>
        </row>
        <row r="147">
          <cell r="V147">
            <v>1668126205.966795</v>
          </cell>
          <cell r="W147">
            <v>28487473.862386636</v>
          </cell>
          <cell r="X147">
            <v>28487473.862386636</v>
          </cell>
          <cell r="AP147">
            <v>11112496044.305216</v>
          </cell>
        </row>
        <row r="148">
          <cell r="V148">
            <v>1701597713.1735988</v>
          </cell>
          <cell r="W148">
            <v>28959410.044105951</v>
          </cell>
          <cell r="X148">
            <v>28959410.044105951</v>
          </cell>
          <cell r="AP148">
            <v>11474085250.648785</v>
          </cell>
        </row>
        <row r="149">
          <cell r="V149">
            <v>1735833332.0717692</v>
          </cell>
          <cell r="W149">
            <v>29441478.157014653</v>
          </cell>
          <cell r="X149">
            <v>29441478.157014653</v>
          </cell>
          <cell r="AP149">
            <v>11849509969.282366</v>
          </cell>
        </row>
        <row r="150">
          <cell r="V150">
            <v>1770064393.6943955</v>
          </cell>
          <cell r="W150">
            <v>29920598.839552354</v>
          </cell>
          <cell r="X150">
            <v>29920598.839552354</v>
          </cell>
          <cell r="AP150">
            <v>12226198623.534956</v>
          </cell>
        </row>
        <row r="151">
          <cell r="V151">
            <v>1804730399.2922187</v>
          </cell>
          <cell r="W151">
            <v>30404222.944180638</v>
          </cell>
          <cell r="X151">
            <v>30404222.944180638</v>
          </cell>
          <cell r="AP151">
            <v>12611405567.863985</v>
          </cell>
        </row>
        <row r="152">
          <cell r="V152">
            <v>1839758185.4443092</v>
          </cell>
          <cell r="W152">
            <v>30912540.906495869</v>
          </cell>
          <cell r="X152">
            <v>30912540.906495869</v>
          </cell>
          <cell r="AP152">
            <v>13003961125.221039</v>
          </cell>
        </row>
        <row r="153">
          <cell r="V153">
            <v>1875314322.5377183</v>
          </cell>
          <cell r="W153">
            <v>31452464.957126342</v>
          </cell>
          <cell r="X153">
            <v>31452464.957126342</v>
          </cell>
          <cell r="AP153">
            <v>13406761246.213535</v>
          </cell>
        </row>
        <row r="154">
          <cell r="V154">
            <v>1910730049.843183</v>
          </cell>
          <cell r="W154">
            <v>32000766.952203654</v>
          </cell>
          <cell r="X154">
            <v>32000766.952203654</v>
          </cell>
          <cell r="AP154">
            <v>13823170974.135557</v>
          </cell>
        </row>
        <row r="155">
          <cell r="V155">
            <v>1947282588.8923702</v>
          </cell>
          <cell r="W155">
            <v>32571555.39067537</v>
          </cell>
          <cell r="X155">
            <v>32571555.39067537</v>
          </cell>
          <cell r="AP155">
            <v>14264470163.909901</v>
          </cell>
        </row>
        <row r="156">
          <cell r="V156">
            <v>1988965197.4426405</v>
          </cell>
          <cell r="W156">
            <v>33227399.70175669</v>
          </cell>
          <cell r="X156">
            <v>33227399.70175669</v>
          </cell>
          <cell r="AP156">
            <v>14798822684.410643</v>
          </cell>
        </row>
        <row r="157">
          <cell r="V157">
            <v>2027865496.627311</v>
          </cell>
          <cell r="W157">
            <v>33880232.094987594</v>
          </cell>
          <cell r="X157">
            <v>33880232.094987594</v>
          </cell>
          <cell r="AP157">
            <v>15343118740.124937</v>
          </cell>
        </row>
        <row r="158">
          <cell r="V158">
            <v>2049171104.1469374</v>
          </cell>
          <cell r="W158">
            <v>34243981.264178589</v>
          </cell>
          <cell r="X158">
            <v>34243981.264178589</v>
          </cell>
          <cell r="AP158">
            <v>15629056796.836645</v>
          </cell>
        </row>
        <row r="159">
          <cell r="V159">
            <v>2065375267.8081005</v>
          </cell>
          <cell r="W159">
            <v>34519065.290730909</v>
          </cell>
          <cell r="X159">
            <v>34519065.290730909</v>
          </cell>
          <cell r="AP159">
            <v>15823147510.744009</v>
          </cell>
        </row>
        <row r="160">
          <cell r="V160">
            <v>2071983646.6648719</v>
          </cell>
          <cell r="W160">
            <v>34633802.46825733</v>
          </cell>
          <cell r="X160">
            <v>34633802.46825733</v>
          </cell>
          <cell r="AP160">
            <v>15842488837.95672</v>
          </cell>
        </row>
        <row r="161">
          <cell r="V161">
            <v>2077748214.736526</v>
          </cell>
          <cell r="W161">
            <v>34734442.942084506</v>
          </cell>
          <cell r="X161">
            <v>34734442.942084506</v>
          </cell>
          <cell r="AP161">
            <v>15846348152.898342</v>
          </cell>
        </row>
        <row r="162">
          <cell r="V162">
            <v>2083518920.8703194</v>
          </cell>
          <cell r="W162">
            <v>34835192.092132531</v>
          </cell>
          <cell r="X162">
            <v>34835192.092132531</v>
          </cell>
          <cell r="AP162">
            <v>15850209100.59934</v>
          </cell>
        </row>
        <row r="163">
          <cell r="V163">
            <v>2089295765.4764395</v>
          </cell>
          <cell r="W163">
            <v>34936049.925550632</v>
          </cell>
          <cell r="X163">
            <v>34936049.925550632</v>
          </cell>
          <cell r="AP163">
            <v>15854071677.428766</v>
          </cell>
        </row>
        <row r="164">
          <cell r="V164">
            <v>2095078748.9650583</v>
          </cell>
          <cell r="W164">
            <v>35037016.449488729</v>
          </cell>
          <cell r="X164">
            <v>35037016.449488729</v>
          </cell>
          <cell r="AP164">
            <v>15857935879.766453</v>
          </cell>
        </row>
        <row r="165">
          <cell r="V165">
            <v>2100867871.7463148</v>
          </cell>
          <cell r="W165">
            <v>35138091.671097144</v>
          </cell>
          <cell r="X165">
            <v>35138091.671097144</v>
          </cell>
          <cell r="AP165">
            <v>15861801704.002956</v>
          </cell>
        </row>
        <row r="166">
          <cell r="V166">
            <v>2106657378.9268894</v>
          </cell>
          <cell r="W166">
            <v>35239179.325502701</v>
          </cell>
          <cell r="X166">
            <v>35239179.325502701</v>
          </cell>
          <cell r="AP166">
            <v>15865666748.440334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0"/>
  <dimension ref="B1:BG363"/>
  <sheetViews>
    <sheetView workbookViewId="0">
      <selection activeCell="Q34" sqref="Q34"/>
    </sheetView>
  </sheetViews>
  <sheetFormatPr defaultColWidth="6.625" defaultRowHeight="11.25" x14ac:dyDescent="0.15"/>
  <cols>
    <col min="1" max="12" width="6.625" style="107"/>
    <col min="13" max="13" width="6.625" style="40"/>
    <col min="14" max="35" width="6.625" style="107"/>
    <col min="36" max="36" width="6.625" style="40"/>
    <col min="37" max="43" width="6.625" style="107"/>
    <col min="44" max="44" width="6.625" style="41"/>
    <col min="45" max="50" width="6.625" style="107"/>
    <col min="51" max="51" width="6.625" style="41"/>
    <col min="52" max="58" width="6.625" style="107"/>
    <col min="59" max="59" width="6.625" style="40"/>
    <col min="60" max="16384" width="6.625" style="107"/>
  </cols>
  <sheetData>
    <row r="1" spans="2:57" x14ac:dyDescent="0.15">
      <c r="F1" s="171" t="s">
        <v>398</v>
      </c>
      <c r="G1" s="171" t="s">
        <v>201</v>
      </c>
      <c r="H1" s="108"/>
      <c r="I1" s="171" t="s">
        <v>197</v>
      </c>
      <c r="J1" s="171" t="s">
        <v>201</v>
      </c>
      <c r="K1" s="171" t="s">
        <v>202</v>
      </c>
      <c r="P1" s="107" t="s">
        <v>396</v>
      </c>
      <c r="AM1" s="107">
        <v>1</v>
      </c>
      <c r="AN1" s="107">
        <v>0.8</v>
      </c>
      <c r="AO1" s="107">
        <v>0.6</v>
      </c>
      <c r="AP1" s="107">
        <v>0.4</v>
      </c>
      <c r="AQ1" s="107">
        <v>0.2</v>
      </c>
    </row>
    <row r="2" spans="2:57" x14ac:dyDescent="0.15">
      <c r="F2" s="171"/>
      <c r="G2" s="171"/>
      <c r="H2" s="108"/>
      <c r="I2" s="171"/>
      <c r="J2" s="171"/>
      <c r="K2" s="171"/>
      <c r="P2" s="170" t="s">
        <v>399</v>
      </c>
      <c r="Q2" s="170"/>
      <c r="R2" s="170"/>
      <c r="S2" s="170"/>
      <c r="T2" s="170"/>
      <c r="W2" s="170" t="s">
        <v>400</v>
      </c>
      <c r="X2" s="170"/>
      <c r="Y2" s="170"/>
      <c r="Z2" s="170"/>
      <c r="AA2" s="170"/>
      <c r="AD2" s="170" t="s">
        <v>401</v>
      </c>
      <c r="AE2" s="170"/>
      <c r="AF2" s="170"/>
      <c r="AG2" s="170"/>
      <c r="AH2" s="170"/>
      <c r="AM2" s="170" t="s">
        <v>198</v>
      </c>
      <c r="AN2" s="170"/>
      <c r="AO2" s="170"/>
      <c r="AP2" s="170"/>
      <c r="AQ2" s="170"/>
      <c r="AT2" s="170" t="s">
        <v>199</v>
      </c>
      <c r="AU2" s="170"/>
      <c r="AV2" s="170"/>
      <c r="AW2" s="170"/>
      <c r="AX2" s="170"/>
      <c r="BA2" s="170" t="s">
        <v>203</v>
      </c>
      <c r="BB2" s="170"/>
      <c r="BC2" s="170"/>
      <c r="BD2" s="170"/>
      <c r="BE2" s="170"/>
    </row>
    <row r="3" spans="2:57" x14ac:dyDescent="0.15">
      <c r="F3" s="125">
        <f>[1]节奏总纲!F3</f>
        <v>1</v>
      </c>
      <c r="G3" s="125">
        <f>[1]节奏总纲!G3</f>
        <v>7.1773462536293131E-2</v>
      </c>
      <c r="I3" s="125">
        <f>[1]节奏总纲!I3</f>
        <v>1</v>
      </c>
      <c r="J3" s="125">
        <f>[1]节奏总纲!J3</f>
        <v>7.4349177498517554E-3</v>
      </c>
      <c r="K3" s="125">
        <f>[1]节奏总纲!K3</f>
        <v>0.1</v>
      </c>
      <c r="N3" s="115" t="str">
        <f>[1]节奏总纲!N3</f>
        <v>对应玩家等级</v>
      </c>
      <c r="O3" s="107" t="s">
        <v>398</v>
      </c>
      <c r="P3" s="107" t="s">
        <v>204</v>
      </c>
      <c r="Q3" s="107" t="s">
        <v>205</v>
      </c>
      <c r="R3" s="107" t="s">
        <v>206</v>
      </c>
      <c r="S3" s="107" t="s">
        <v>207</v>
      </c>
      <c r="T3" s="107" t="s">
        <v>208</v>
      </c>
      <c r="V3" s="107" t="s">
        <v>398</v>
      </c>
      <c r="W3" s="107" t="s">
        <v>204</v>
      </c>
      <c r="X3" s="107" t="s">
        <v>205</v>
      </c>
      <c r="Y3" s="107" t="s">
        <v>206</v>
      </c>
      <c r="Z3" s="107" t="s">
        <v>207</v>
      </c>
      <c r="AA3" s="107" t="s">
        <v>208</v>
      </c>
      <c r="AC3" s="107" t="s">
        <v>209</v>
      </c>
      <c r="AD3" s="107" t="s">
        <v>204</v>
      </c>
      <c r="AE3" s="107" t="s">
        <v>205</v>
      </c>
      <c r="AF3" s="107" t="s">
        <v>206</v>
      </c>
      <c r="AG3" s="107" t="s">
        <v>207</v>
      </c>
      <c r="AH3" s="107" t="s">
        <v>208</v>
      </c>
      <c r="AL3" s="107" t="s">
        <v>197</v>
      </c>
      <c r="AM3" s="107" t="s">
        <v>204</v>
      </c>
      <c r="AN3" s="107" t="s">
        <v>205</v>
      </c>
      <c r="AO3" s="107" t="s">
        <v>206</v>
      </c>
      <c r="AP3" s="107" t="s">
        <v>207</v>
      </c>
      <c r="AQ3" s="107" t="s">
        <v>208</v>
      </c>
      <c r="AS3" s="107" t="s">
        <v>197</v>
      </c>
      <c r="AT3" s="107" t="s">
        <v>204</v>
      </c>
      <c r="AU3" s="107" t="s">
        <v>205</v>
      </c>
      <c r="AV3" s="107" t="s">
        <v>206</v>
      </c>
      <c r="AW3" s="107" t="s">
        <v>207</v>
      </c>
      <c r="AX3" s="107" t="s">
        <v>208</v>
      </c>
      <c r="AZ3" s="107" t="s">
        <v>209</v>
      </c>
      <c r="BA3" s="107" t="s">
        <v>204</v>
      </c>
      <c r="BB3" s="107" t="s">
        <v>205</v>
      </c>
      <c r="BC3" s="107" t="s">
        <v>206</v>
      </c>
      <c r="BD3" s="107" t="s">
        <v>207</v>
      </c>
      <c r="BE3" s="107" t="s">
        <v>208</v>
      </c>
    </row>
    <row r="4" spans="2:57" x14ac:dyDescent="0.15">
      <c r="F4" s="125">
        <f>[1]节奏总纲!F4</f>
        <v>2</v>
      </c>
      <c r="G4" s="125">
        <f>[1]节奏总纲!G4</f>
        <v>0.1486983549970351</v>
      </c>
      <c r="I4" s="125">
        <f>[1]节奏总纲!I4</f>
        <v>2</v>
      </c>
      <c r="J4" s="125">
        <f>[1]节奏总纲!J4</f>
        <v>2.3963093307967063E-2</v>
      </c>
      <c r="K4" s="125">
        <f>[1]节奏总纲!K4</f>
        <v>0.15</v>
      </c>
      <c r="N4" s="115">
        <f>[1]节奏总纲!N4</f>
        <v>2</v>
      </c>
      <c r="O4" s="107">
        <v>1</v>
      </c>
      <c r="P4" s="107">
        <f>[1]节奏总纲!P4</f>
        <v>7.1773462536293131E-2</v>
      </c>
      <c r="Q4" s="107">
        <f>[1]节奏总纲!Q4</f>
        <v>5.9787294292732177E-2</v>
      </c>
      <c r="R4" s="107">
        <f>[1]节奏总纲!R4</f>
        <v>4.677476553490223E-2</v>
      </c>
      <c r="S4" s="107">
        <f>[1]节奏总纲!S4</f>
        <v>3.2585151991477081E-2</v>
      </c>
      <c r="T4" s="107">
        <f>[1]节奏总纲!T4</f>
        <v>1.7039020006115988E-2</v>
      </c>
      <c r="V4" s="107">
        <v>1</v>
      </c>
      <c r="W4" s="107">
        <f>[1]节奏总纲!W4</f>
        <v>7.1773462536293131E-2</v>
      </c>
      <c r="X4" s="107">
        <f>[1]节奏总纲!X4</f>
        <v>5.9787294292732177E-2</v>
      </c>
      <c r="Y4" s="107">
        <f>[1]节奏总纲!Y4</f>
        <v>4.677476553490223E-2</v>
      </c>
      <c r="Z4" s="107">
        <f>[1]节奏总纲!Z4</f>
        <v>3.2585151991477081E-2</v>
      </c>
      <c r="AA4" s="107">
        <f>[1]节奏总纲!AA4</f>
        <v>1.7039020006115988E-2</v>
      </c>
      <c r="AC4" s="107">
        <v>1</v>
      </c>
      <c r="AD4" s="107">
        <f>[1]节奏总纲!AD4</f>
        <v>10</v>
      </c>
      <c r="AE4" s="107">
        <f>[1]节奏总纲!AE4</f>
        <v>11.148446722089302</v>
      </c>
      <c r="AF4" s="107">
        <f>[1]节奏总纲!AF4</f>
        <v>12.761737853656415</v>
      </c>
      <c r="AG4" s="107">
        <f>[1]节奏总纲!AG4</f>
        <v>15.452231935206081</v>
      </c>
      <c r="AH4" s="107">
        <f>[1]节奏总纲!AH4</f>
        <v>21.291911942729964</v>
      </c>
      <c r="AL4" s="107">
        <v>1</v>
      </c>
      <c r="AM4" s="107">
        <f>[1]节奏总纲!AM4</f>
        <v>7.4349177498517554E-3</v>
      </c>
      <c r="AN4" s="107">
        <f>[1]节奏总纲!AN4</f>
        <v>5.947934199881405E-3</v>
      </c>
      <c r="AO4" s="107">
        <f>[1]节奏总纲!AO4</f>
        <v>4.4609506499110529E-3</v>
      </c>
      <c r="AP4" s="107">
        <f>[1]节奏总纲!AP4</f>
        <v>2.9739670999407025E-3</v>
      </c>
      <c r="AQ4" s="107">
        <f>[1]节奏总纲!AQ4</f>
        <v>1.4869835499703513E-3</v>
      </c>
      <c r="AS4" s="107">
        <v>1</v>
      </c>
      <c r="AT4" s="107">
        <f>[1]节奏总纲!AT4</f>
        <v>7.4349177498517554E-3</v>
      </c>
      <c r="AU4" s="107">
        <f>[1]节奏总纲!AU4</f>
        <v>5.947934199881405E-3</v>
      </c>
      <c r="AV4" s="107">
        <f>[1]节奏总纲!AV4</f>
        <v>4.4609506499110529E-3</v>
      </c>
      <c r="AW4" s="107">
        <f>[1]节奏总纲!AW4</f>
        <v>2.9739670999407025E-3</v>
      </c>
      <c r="AX4" s="107">
        <f>[1]节奏总纲!AX4</f>
        <v>1.4869835499703513E-3</v>
      </c>
      <c r="AY4" s="107"/>
      <c r="AZ4" s="107">
        <v>1</v>
      </c>
      <c r="BA4" s="107">
        <f>[1]节奏总纲!BA4</f>
        <v>11.296493250964016</v>
      </c>
      <c r="BB4" s="107">
        <f>[1]节奏总纲!BB4</f>
        <v>12.361596792946616</v>
      </c>
      <c r="BC4" s="107">
        <f>[1]节奏总纲!BC4</f>
        <v>13.798091195443488</v>
      </c>
      <c r="BD4" s="107">
        <f>[1]节奏总纲!BD4</f>
        <v>15.911635365458322</v>
      </c>
      <c r="BE4" s="107">
        <f>[1]节奏总纲!BE4</f>
        <v>19.707330185578734</v>
      </c>
    </row>
    <row r="5" spans="2:57" x14ac:dyDescent="0.15">
      <c r="F5" s="125">
        <f>[1]节奏总纲!F5</f>
        <v>3</v>
      </c>
      <c r="G5" s="125">
        <f>[1]节奏总纲!G5</f>
        <v>0.23114441334491631</v>
      </c>
      <c r="I5" s="125">
        <f>[1]节奏总纲!I5</f>
        <v>3</v>
      </c>
      <c r="J5" s="125">
        <f>[1]节奏总纲!J5</f>
        <v>5.1571656651039799E-2</v>
      </c>
      <c r="K5" s="125">
        <f>[1]节奏总纲!K5</f>
        <v>0.2</v>
      </c>
      <c r="N5" s="115">
        <f>[1]节奏总纲!N5</f>
        <v>4</v>
      </c>
      <c r="O5" s="107">
        <v>2</v>
      </c>
      <c r="P5" s="107">
        <f>[1]节奏总纲!P5</f>
        <v>0.1486983549970351</v>
      </c>
      <c r="Q5" s="107">
        <f>[1]节奏总纲!Q5</f>
        <v>0.12505531655250651</v>
      </c>
      <c r="R5" s="107">
        <f>[1]节奏总纲!R5</f>
        <v>9.883979656652922E-2</v>
      </c>
      <c r="S5" s="107">
        <f>[1]节奏总纲!S5</f>
        <v>6.9828747506607683E-2</v>
      </c>
      <c r="T5" s="107">
        <f>[1]节奏总纲!T5</f>
        <v>3.7085369736260552E-2</v>
      </c>
      <c r="V5" s="107">
        <v>2</v>
      </c>
      <c r="W5" s="107">
        <f>[1]节奏总纲!W5</f>
        <v>7.6924892460741967E-2</v>
      </c>
      <c r="X5" s="107">
        <f>[1]节奏总纲!X5</f>
        <v>6.5268022259774336E-2</v>
      </c>
      <c r="Y5" s="107">
        <f>[1]节奏总纲!Y5</f>
        <v>5.206503103162699E-2</v>
      </c>
      <c r="Z5" s="107">
        <f>[1]节奏总纲!Z5</f>
        <v>3.7243595515130602E-2</v>
      </c>
      <c r="AA5" s="107">
        <f>[1]节奏总纲!AA5</f>
        <v>2.0046349730144564E-2</v>
      </c>
      <c r="AC5" s="107">
        <v>2</v>
      </c>
      <c r="AD5" s="107">
        <f>[1]节奏总纲!AD5</f>
        <v>15.845161563010114</v>
      </c>
      <c r="AE5" s="107">
        <f>[1]节奏总纲!AE5</f>
        <v>17.271997130667014</v>
      </c>
      <c r="AF5" s="107">
        <f>[1]节奏总纲!AF5</f>
        <v>19.263096801323076</v>
      </c>
      <c r="AG5" s="107">
        <f>[1]节奏总纲!AG5</f>
        <v>22.536681597650272</v>
      </c>
      <c r="AH5" s="107">
        <f>[1]节奏总纲!AH5</f>
        <v>29.386000042029625</v>
      </c>
      <c r="AL5" s="107">
        <v>2</v>
      </c>
      <c r="AM5" s="107">
        <f>[1]节奏总纲!AM5</f>
        <v>2.3963093307967063E-2</v>
      </c>
      <c r="AN5" s="107">
        <f>[1]节奏总纲!AN5</f>
        <v>1.9170474646373652E-2</v>
      </c>
      <c r="AO5" s="107">
        <f>[1]节奏总纲!AO5</f>
        <v>1.4377855984780237E-2</v>
      </c>
      <c r="AP5" s="107">
        <f>[1]节奏总纲!AP5</f>
        <v>9.5852373231868262E-3</v>
      </c>
      <c r="AQ5" s="107">
        <f>[1]节奏总纲!AQ5</f>
        <v>4.7926186615934131E-3</v>
      </c>
      <c r="AS5" s="107">
        <v>2</v>
      </c>
      <c r="AT5" s="107">
        <f>[1]节奏总纲!AT5</f>
        <v>1.6528175558115307E-2</v>
      </c>
      <c r="AU5" s="107">
        <f>[1]节奏总纲!AU5</f>
        <v>1.3222540446492247E-2</v>
      </c>
      <c r="AV5" s="107">
        <f>[1]节奏总纲!AV5</f>
        <v>9.9169053348691846E-3</v>
      </c>
      <c r="AW5" s="107">
        <f>[1]节奏总纲!AW5</f>
        <v>6.6112702232461237E-3</v>
      </c>
      <c r="AX5" s="107">
        <f>[1]节奏总纲!AX5</f>
        <v>3.3056351116230618E-3</v>
      </c>
      <c r="AY5" s="107"/>
      <c r="AZ5" s="107">
        <v>2</v>
      </c>
      <c r="BA5" s="107">
        <f>[1]节奏总纲!BA5</f>
        <v>14.729965238833779</v>
      </c>
      <c r="BB5" s="107">
        <f>[1]节奏总纲!BB5</f>
        <v>15.911635365458322</v>
      </c>
      <c r="BC5" s="107">
        <f>[1]节奏总纲!BC5</f>
        <v>17.448850811924295</v>
      </c>
      <c r="BD5" s="107">
        <f>[1]节奏总纲!BD5</f>
        <v>19.707330185578734</v>
      </c>
      <c r="BE5" s="107">
        <f>[1]节奏总纲!BE5</f>
        <v>23.710496742673982</v>
      </c>
    </row>
    <row r="6" spans="2:57" x14ac:dyDescent="0.15">
      <c r="B6" s="170" t="s">
        <v>402</v>
      </c>
      <c r="C6" s="170"/>
      <c r="D6" s="170"/>
      <c r="F6" s="125">
        <f>[1]节奏总纲!F6</f>
        <v>4</v>
      </c>
      <c r="G6" s="125">
        <f>[1]节奏总纲!G6</f>
        <v>0.3195079107728942</v>
      </c>
      <c r="I6" s="125">
        <f>[1]节奏总纲!I6</f>
        <v>4</v>
      </c>
      <c r="J6" s="125">
        <f>[1]节奏总纲!J6</f>
        <v>9.2637640824031031E-2</v>
      </c>
      <c r="K6" s="125">
        <f>[1]节奏总纲!K6</f>
        <v>0.25</v>
      </c>
      <c r="N6" s="115">
        <f>[1]节奏总纲!N6</f>
        <v>6</v>
      </c>
      <c r="O6" s="107">
        <v>3</v>
      </c>
      <c r="P6" s="107">
        <f>[1]节奏总纲!P6</f>
        <v>0.23114441334491631</v>
      </c>
      <c r="Q6" s="107">
        <f>[1]节奏总纲!Q6</f>
        <v>0.19582554698581309</v>
      </c>
      <c r="R6" s="107">
        <f>[1]节奏总纲!R6</f>
        <v>0.15616116565582547</v>
      </c>
      <c r="S6" s="107">
        <f>[1]节奏总纲!S6</f>
        <v>0.11120357726023924</v>
      </c>
      <c r="T6" s="107">
        <f>[1]节奏总纲!T6</f>
        <v>5.9380999788309005E-2</v>
      </c>
      <c r="V6" s="107">
        <v>3</v>
      </c>
      <c r="W6" s="107">
        <f>[1]节奏总纲!W6</f>
        <v>8.2446058347881213E-2</v>
      </c>
      <c r="X6" s="107">
        <f>[1]节奏总纲!X6</f>
        <v>7.0770230433306575E-2</v>
      </c>
      <c r="Y6" s="107">
        <f>[1]节奏总纲!Y6</f>
        <v>5.7321369089296248E-2</v>
      </c>
      <c r="Z6" s="107">
        <f>[1]节奏总纲!Z6</f>
        <v>4.1374829753631562E-2</v>
      </c>
      <c r="AA6" s="107">
        <f>[1]节奏总纲!AA6</f>
        <v>2.2295630052048453E-2</v>
      </c>
      <c r="AC6" s="107">
        <v>3</v>
      </c>
      <c r="AD6" s="107">
        <f>[1]节奏总纲!AD6</f>
        <v>20</v>
      </c>
      <c r="AE6" s="107">
        <f>[1]节奏总纲!AE6</f>
        <v>21.543844702365945</v>
      </c>
      <c r="AF6" s="107">
        <f>[1]节奏总纲!AF6</f>
        <v>23.734615677065324</v>
      </c>
      <c r="AG6" s="107">
        <f>[1]节奏总纲!AG6</f>
        <v>27.324610510337703</v>
      </c>
      <c r="AH6" s="107">
        <f>[1]节奏总纲!AH6</f>
        <v>34.517938607173015</v>
      </c>
      <c r="AL6" s="107">
        <v>3</v>
      </c>
      <c r="AM6" s="107">
        <f>[1]节奏总纲!AM6</f>
        <v>5.1571656651039799E-2</v>
      </c>
      <c r="AN6" s="107">
        <f>[1]节奏总纲!AN6</f>
        <v>4.1257325320831845E-2</v>
      </c>
      <c r="AO6" s="107">
        <f>[1]节奏总纲!AO6</f>
        <v>3.0942993990623877E-2</v>
      </c>
      <c r="AP6" s="107">
        <f>[1]节奏总纲!AP6</f>
        <v>2.0628662660415922E-2</v>
      </c>
      <c r="AQ6" s="107">
        <f>[1]节奏总纲!AQ6</f>
        <v>1.0314331330207961E-2</v>
      </c>
      <c r="AS6" s="107">
        <v>3</v>
      </c>
      <c r="AT6" s="107">
        <f>[1]节奏总纲!AT6</f>
        <v>2.7608563343072736E-2</v>
      </c>
      <c r="AU6" s="107">
        <f>[1]节奏总纲!AU6</f>
        <v>2.2086850674458192E-2</v>
      </c>
      <c r="AV6" s="107">
        <f>[1]节奏总纲!AV6</f>
        <v>1.6565138005843638E-2</v>
      </c>
      <c r="AW6" s="107">
        <f>[1]节奏总纲!AW6</f>
        <v>1.1043425337229096E-2</v>
      </c>
      <c r="AX6" s="107">
        <f>[1]节奏总纲!AX6</f>
        <v>5.5217126686145481E-3</v>
      </c>
      <c r="AY6" s="107"/>
      <c r="AZ6" s="107">
        <v>3</v>
      </c>
      <c r="BA6" s="107">
        <f>[1]节奏总纲!BA6</f>
        <v>16.888397947066121</v>
      </c>
      <c r="BB6" s="107">
        <f>[1]节奏总纲!BB6</f>
        <v>18.108391417375849</v>
      </c>
      <c r="BC6" s="107">
        <f>[1]节奏总纲!BC6</f>
        <v>19.707330185578734</v>
      </c>
      <c r="BD6" s="107">
        <f>[1]节奏总纲!BD6</f>
        <v>22.041972908628715</v>
      </c>
      <c r="BE6" s="107">
        <f>[1]节奏总纲!BE6</f>
        <v>26.127796402772656</v>
      </c>
    </row>
    <row r="7" spans="2:57" x14ac:dyDescent="0.15">
      <c r="B7" s="107" t="s">
        <v>398</v>
      </c>
      <c r="C7" s="107" t="s">
        <v>210</v>
      </c>
      <c r="D7" s="107" t="s">
        <v>211</v>
      </c>
      <c r="F7" s="125">
        <f>[1]节奏总纲!F7</f>
        <v>5</v>
      </c>
      <c r="G7" s="125">
        <f>[1]节奏总纲!G7</f>
        <v>0.41421356237309515</v>
      </c>
      <c r="I7" s="125">
        <f>[1]节奏总纲!I7</f>
        <v>5</v>
      </c>
      <c r="J7" s="125">
        <f>[1]节奏总纲!J7</f>
        <v>0.15</v>
      </c>
      <c r="K7" s="125">
        <f>[1]节奏总纲!K7</f>
        <v>0.3</v>
      </c>
      <c r="N7" s="115">
        <f>[1]节奏总纲!N7</f>
        <v>8</v>
      </c>
      <c r="O7" s="107">
        <v>4</v>
      </c>
      <c r="P7" s="107">
        <f>[1]节奏总纲!P7</f>
        <v>0.3195079107728942</v>
      </c>
      <c r="Q7" s="107">
        <f>[1]节奏总纲!Q7</f>
        <v>0.2719651336498875</v>
      </c>
      <c r="R7" s="107">
        <f>[1]节奏总纲!R7</f>
        <v>0.21816000147573214</v>
      </c>
      <c r="S7" s="107">
        <f>[1]节奏总纲!S7</f>
        <v>0.15607961441255883</v>
      </c>
      <c r="T7" s="107">
        <f>[1]节奏总纲!T7</f>
        <v>8.4062531324348461E-2</v>
      </c>
      <c r="V7" s="107">
        <v>4</v>
      </c>
      <c r="W7" s="107">
        <f>[1]节奏总纲!W7</f>
        <v>8.8363497427977888E-2</v>
      </c>
      <c r="X7" s="107">
        <f>[1]节奏总纲!X7</f>
        <v>7.6139586664074416E-2</v>
      </c>
      <c r="Y7" s="107">
        <f>[1]节奏总纲!Y7</f>
        <v>6.1998835819906672E-2</v>
      </c>
      <c r="Z7" s="107">
        <f>[1]节奏总纲!Z7</f>
        <v>4.4876037152319581E-2</v>
      </c>
      <c r="AA7" s="107">
        <f>[1]节奏总纲!AA7</f>
        <v>2.4681531536039455E-2</v>
      </c>
      <c r="AC7" s="107">
        <v>4</v>
      </c>
      <c r="AD7" s="107">
        <f>[1]节奏总纲!AD7</f>
        <v>23.213386604241784</v>
      </c>
      <c r="AE7" s="107">
        <f>[1]节奏总纲!AE7</f>
        <v>24.836966034810484</v>
      </c>
      <c r="AF7" s="107">
        <f>[1]节奏总纲!AF7</f>
        <v>27.155717181399513</v>
      </c>
      <c r="AG7" s="107">
        <f>[1]节奏总纲!AG7</f>
        <v>30.831257561377125</v>
      </c>
      <c r="AH7" s="107">
        <f>[1]节奏总纲!AH7</f>
        <v>38.431365705145346</v>
      </c>
      <c r="AL7" s="107">
        <v>4</v>
      </c>
      <c r="AM7" s="107">
        <f>[1]节奏总纲!AM7</f>
        <v>9.2637640824031031E-2</v>
      </c>
      <c r="AN7" s="107">
        <f>[1]节奏总纲!AN7</f>
        <v>7.4110112659224833E-2</v>
      </c>
      <c r="AO7" s="107">
        <f>[1]节奏总纲!AO7</f>
        <v>5.5582584494418615E-2</v>
      </c>
      <c r="AP7" s="107">
        <f>[1]节奏总纲!AP7</f>
        <v>3.7055056329612417E-2</v>
      </c>
      <c r="AQ7" s="107">
        <f>[1]节奏总纲!AQ7</f>
        <v>1.8527528164806208E-2</v>
      </c>
      <c r="AS7" s="107">
        <v>4</v>
      </c>
      <c r="AT7" s="107">
        <f>[1]节奏总纲!AT7</f>
        <v>4.1065984172991232E-2</v>
      </c>
      <c r="AU7" s="107">
        <f>[1]节奏总纲!AU7</f>
        <v>3.2852787338392989E-2</v>
      </c>
      <c r="AV7" s="107">
        <f>[1]节奏总纲!AV7</f>
        <v>2.4639590503794738E-2</v>
      </c>
      <c r="AW7" s="107">
        <f>[1]节奏总纲!AW7</f>
        <v>1.6426393669196494E-2</v>
      </c>
      <c r="AX7" s="107">
        <f>[1]节奏总纲!AX7</f>
        <v>8.2131968345982471E-3</v>
      </c>
      <c r="AY7" s="107"/>
      <c r="AZ7" s="107">
        <v>4</v>
      </c>
      <c r="BA7" s="107">
        <f>[1]节奏总纲!BA7</f>
        <v>18.453550676044042</v>
      </c>
      <c r="BB7" s="107">
        <f>[1]节奏总纲!BB7</f>
        <v>19.707330185578734</v>
      </c>
      <c r="BC7" s="107">
        <f>[1]节奏总纲!BC7</f>
        <v>21.34613466141565</v>
      </c>
      <c r="BD7" s="107">
        <f>[1]节奏总纲!BD7</f>
        <v>23.710496742673982</v>
      </c>
      <c r="BE7" s="107">
        <f>[1]节奏总纲!BE7</f>
        <v>27.863030247590562</v>
      </c>
    </row>
    <row r="8" spans="2:57" x14ac:dyDescent="0.15">
      <c r="B8" s="125">
        <f>[1]节奏总纲!B8</f>
        <v>10</v>
      </c>
      <c r="C8" s="125">
        <f>[1]节奏总纲!C8</f>
        <v>1</v>
      </c>
      <c r="D8" s="125">
        <f>[1]节奏总纲!D8</f>
        <v>1</v>
      </c>
      <c r="F8" s="125">
        <f>[1]节奏总纲!F8</f>
        <v>6</v>
      </c>
      <c r="G8" s="125">
        <f>[1]节奏总纲!G8</f>
        <v>0.51571656651039799</v>
      </c>
      <c r="I8" s="125">
        <f>[1]节奏总纲!I8</f>
        <v>6</v>
      </c>
      <c r="J8" s="125">
        <f>[1]节奏总纲!J8</f>
        <v>0.22055744069899194</v>
      </c>
      <c r="K8" s="125">
        <f>[1]节奏总纲!K8</f>
        <v>0.34</v>
      </c>
      <c r="N8" s="115">
        <f>[1]节奏总纲!N8</f>
        <v>10</v>
      </c>
      <c r="O8" s="107">
        <v>5</v>
      </c>
      <c r="P8" s="107">
        <f>[1]节奏总纲!P8</f>
        <v>0.41421356237309515</v>
      </c>
      <c r="Q8" s="107">
        <f>[1]节奏总纲!Q8</f>
        <v>0.35241289886702937</v>
      </c>
      <c r="R8" s="107">
        <f>[1]节奏总纲!R8</f>
        <v>0.28315639123824782</v>
      </c>
      <c r="S8" s="107">
        <f>[1]节奏总纲!S8</f>
        <v>0.20296464556281663</v>
      </c>
      <c r="T8" s="107">
        <f>[1]节奏总纲!T8</f>
        <v>0.10951806589144637</v>
      </c>
      <c r="V8" s="107">
        <v>5</v>
      </c>
      <c r="W8" s="107">
        <f>[1]节奏总纲!W8</f>
        <v>9.4705651600200946E-2</v>
      </c>
      <c r="X8" s="107">
        <f>[1]节奏总纲!X8</f>
        <v>8.0447765217141864E-2</v>
      </c>
      <c r="Y8" s="107">
        <f>[1]节奏总纲!Y8</f>
        <v>6.4996389762515677E-2</v>
      </c>
      <c r="Z8" s="107">
        <f>[1]节奏总纲!Z8</f>
        <v>4.68850311502578E-2</v>
      </c>
      <c r="AA8" s="107">
        <f>[1]节奏总纲!AA8</f>
        <v>2.5455534567097912E-2</v>
      </c>
      <c r="AC8" s="107">
        <v>5</v>
      </c>
      <c r="AD8" s="107">
        <f>[1]节奏总纲!AD8</f>
        <v>25.845161563010112</v>
      </c>
      <c r="AE8" s="107">
        <f>[1]节奏总纲!AE8</f>
        <v>27.525245270311611</v>
      </c>
      <c r="AF8" s="107">
        <f>[1]节奏总纲!AF8</f>
        <v>29.892344464157688</v>
      </c>
      <c r="AG8" s="107">
        <f>[1]节奏总纲!AG8</f>
        <v>33.672145166817529</v>
      </c>
      <c r="AH8" s="107">
        <f>[1]节奏总纲!AH8</f>
        <v>41.359260538726978</v>
      </c>
      <c r="AL8" s="107">
        <v>5</v>
      </c>
      <c r="AM8" s="107">
        <f>[1]节奏总纲!AM8</f>
        <v>0.15</v>
      </c>
      <c r="AN8" s="107">
        <f>[1]节奏总纲!AN8</f>
        <v>0.12</v>
      </c>
      <c r="AO8" s="107">
        <f>[1]节奏总纲!AO8</f>
        <v>0.09</v>
      </c>
      <c r="AP8" s="107">
        <f>[1]节奏总纲!AP8</f>
        <v>0.06</v>
      </c>
      <c r="AQ8" s="107">
        <f>[1]节奏总纲!AQ8</f>
        <v>0.03</v>
      </c>
      <c r="AS8" s="107">
        <v>5</v>
      </c>
      <c r="AT8" s="107">
        <f>[1]节奏总纲!AT8</f>
        <v>5.7362359175968963E-2</v>
      </c>
      <c r="AU8" s="107">
        <f>[1]节奏总纲!AU8</f>
        <v>4.5889887340775162E-2</v>
      </c>
      <c r="AV8" s="107">
        <f>[1]节奏总纲!AV8</f>
        <v>3.4417415505581382E-2</v>
      </c>
      <c r="AW8" s="107">
        <f>[1]节奏总纲!AW8</f>
        <v>2.2944943670387581E-2</v>
      </c>
      <c r="AX8" s="107">
        <f>[1]节奏总纲!AX8</f>
        <v>1.1472471835193791E-2</v>
      </c>
      <c r="AY8" s="107"/>
      <c r="AZ8" s="107">
        <v>5</v>
      </c>
      <c r="BA8" s="107">
        <f>[1]节奏总纲!BA8</f>
        <v>19.707330185578734</v>
      </c>
      <c r="BB8" s="107">
        <f>[1]节奏总纲!BB8</f>
        <v>20.993539484876777</v>
      </c>
      <c r="BC8" s="107">
        <f>[1]节奏总纲!BC8</f>
        <v>22.639743033177162</v>
      </c>
      <c r="BD8" s="107">
        <f>[1]节奏总纲!BD8</f>
        <v>25.044229735272328</v>
      </c>
      <c r="BE8" s="107">
        <f>[1]节奏总纲!BE8</f>
        <v>29.216428548527322</v>
      </c>
    </row>
    <row r="9" spans="2:57" x14ac:dyDescent="0.15">
      <c r="B9" s="125">
        <f>[1]节奏总纲!B9</f>
        <v>20</v>
      </c>
      <c r="C9" s="125">
        <f>[1]节奏总纲!C9</f>
        <v>3</v>
      </c>
      <c r="D9" s="125">
        <f>[1]节奏总纲!D9</f>
        <v>2</v>
      </c>
      <c r="F9" s="125">
        <f>[1]节奏总纲!F9</f>
        <v>7</v>
      </c>
      <c r="G9" s="125">
        <f>[1]节奏总纲!G9</f>
        <v>0.62450479271247095</v>
      </c>
      <c r="I9" s="125">
        <f>[1]节奏总纲!I9</f>
        <v>7</v>
      </c>
      <c r="J9" s="125">
        <f>[1]节奏总纲!J9</f>
        <v>0.31141300609369982</v>
      </c>
      <c r="K9" s="125">
        <f>[1]节奏总纲!K9</f>
        <v>0.38</v>
      </c>
      <c r="N9" s="115">
        <f>[1]节奏总纲!N9</f>
        <v>12</v>
      </c>
      <c r="O9" s="107">
        <v>6</v>
      </c>
      <c r="P9" s="107">
        <f>[1]节奏总纲!P9</f>
        <v>0.51571656651039799</v>
      </c>
      <c r="Q9" s="107">
        <f>[1]节奏总纲!Q9</f>
        <v>0.43939051466685908</v>
      </c>
      <c r="R9" s="107">
        <f>[1]节奏总纲!R9</f>
        <v>0.35336899137292471</v>
      </c>
      <c r="S9" s="107">
        <f>[1]节奏总纲!S9</f>
        <v>0.25440298225957936</v>
      </c>
      <c r="T9" s="107">
        <f>[1]节奏总纲!T9</f>
        <v>0.13836675479473978</v>
      </c>
      <c r="V9" s="107">
        <v>6</v>
      </c>
      <c r="W9" s="107">
        <f>[1]节奏总纲!W9</f>
        <v>0.10150300413730284</v>
      </c>
      <c r="X9" s="107">
        <f>[1]节奏总纲!X9</f>
        <v>8.6977615799829711E-2</v>
      </c>
      <c r="Y9" s="107">
        <f>[1]节奏总纲!Y9</f>
        <v>7.0212600134676895E-2</v>
      </c>
      <c r="Z9" s="107">
        <f>[1]节奏总纲!Z9</f>
        <v>5.1438336696762732E-2</v>
      </c>
      <c r="AA9" s="107">
        <f>[1]节奏总纲!AA9</f>
        <v>2.884868890329341E-2</v>
      </c>
      <c r="AC9" s="107">
        <v>6</v>
      </c>
      <c r="AD9" s="107">
        <f>[1]节奏总纲!AD9</f>
        <v>28.071211008105138</v>
      </c>
      <c r="AE9" s="107">
        <f>[1]节奏总纲!AE9</f>
        <v>29.78183527117605</v>
      </c>
      <c r="AF9" s="107">
        <f>[1]节奏总纲!AF9</f>
        <v>32.202183458664891</v>
      </c>
      <c r="AG9" s="107">
        <f>[1]节奏总纲!AG9</f>
        <v>36.067019846099676</v>
      </c>
      <c r="AH9" s="107">
        <f>[1]节奏总纲!AH9</f>
        <v>43.870275262019007</v>
      </c>
      <c r="AL9" s="107">
        <v>6</v>
      </c>
      <c r="AM9" s="107">
        <f>[1]节奏总纲!AM9</f>
        <v>0.22055744069899194</v>
      </c>
      <c r="AN9" s="107">
        <f>[1]节奏总纲!AN9</f>
        <v>0.17644595255919357</v>
      </c>
      <c r="AO9" s="107">
        <f>[1]节奏总纲!AO9</f>
        <v>0.13233446441939517</v>
      </c>
      <c r="AP9" s="107">
        <f>[1]节奏总纲!AP9</f>
        <v>8.8222976279596785E-2</v>
      </c>
      <c r="AQ9" s="107">
        <f>[1]节奏总纲!AQ9</f>
        <v>4.4111488139798392E-2</v>
      </c>
      <c r="AS9" s="107">
        <v>6</v>
      </c>
      <c r="AT9" s="107">
        <f>[1]节奏总纲!AT9</f>
        <v>7.0557440698991947E-2</v>
      </c>
      <c r="AU9" s="107">
        <f>[1]节奏总纲!AU9</f>
        <v>5.6445952559193574E-2</v>
      </c>
      <c r="AV9" s="107">
        <f>[1]节奏总纲!AV9</f>
        <v>4.2334464419395174E-2</v>
      </c>
      <c r="AW9" s="107">
        <f>[1]节奏总纲!AW9</f>
        <v>2.8222976279596787E-2</v>
      </c>
      <c r="AX9" s="107">
        <f>[1]节奏总纲!AX9</f>
        <v>1.4111488139798394E-2</v>
      </c>
      <c r="AY9" s="107"/>
      <c r="AZ9" s="107">
        <v>6</v>
      </c>
      <c r="BA9" s="107">
        <f>[1]节奏总纲!BA9</f>
        <v>20.745154613657583</v>
      </c>
      <c r="BB9" s="107">
        <f>[1]节奏总纲!BB9</f>
        <v>22.041972908628715</v>
      </c>
      <c r="BC9" s="107">
        <f>[1]节奏总纲!BC9</f>
        <v>23.710496742673982</v>
      </c>
      <c r="BD9" s="107">
        <f>[1]节奏总纲!BD9</f>
        <v>26.127796402772656</v>
      </c>
      <c r="BE9" s="107">
        <f>[1]节奏总纲!BE9</f>
        <v>30.329493925593439</v>
      </c>
    </row>
    <row r="10" spans="2:57" x14ac:dyDescent="0.15">
      <c r="B10" s="125">
        <f>[1]节奏总纲!B10</f>
        <v>30</v>
      </c>
      <c r="C10" s="125">
        <f>[1]节奏总纲!C10</f>
        <v>7</v>
      </c>
      <c r="D10" s="125">
        <f>[1]节奏总纲!D10</f>
        <v>4</v>
      </c>
      <c r="F10" s="125">
        <f>[1]节奏总纲!F10</f>
        <v>8</v>
      </c>
      <c r="G10" s="125">
        <f>[1]节奏总纲!G10</f>
        <v>0.74110112659224825</v>
      </c>
      <c r="I10" s="125">
        <f>[1]节奏总纲!I10</f>
        <v>8</v>
      </c>
      <c r="J10" s="125">
        <f>[1]节奏总纲!J10</f>
        <v>0.42660095793436714</v>
      </c>
      <c r="K10" s="125">
        <f>[1]节奏总纲!K10</f>
        <v>0.42</v>
      </c>
      <c r="N10" s="115">
        <f>[1]节奏总纲!N10</f>
        <v>14</v>
      </c>
      <c r="O10" s="107">
        <v>7</v>
      </c>
      <c r="P10" s="107">
        <f>[1]节奏总纲!P10</f>
        <v>0.62450479271247095</v>
      </c>
      <c r="Q10" s="107">
        <f>[1]节奏总纲!Q10</f>
        <v>0.53413894920697635</v>
      </c>
      <c r="R10" s="107">
        <f>[1]节奏总纲!R10</f>
        <v>0.43072095553379119</v>
      </c>
      <c r="S10" s="107">
        <f>[1]节奏总纲!S10</f>
        <v>0.30950457526830061</v>
      </c>
      <c r="T10" s="107">
        <f>[1]节奏总纲!T10</f>
        <v>0.16699258157131475</v>
      </c>
      <c r="V10" s="107">
        <v>7</v>
      </c>
      <c r="W10" s="107">
        <f>[1]节奏总纲!W10</f>
        <v>0.10878822620207296</v>
      </c>
      <c r="X10" s="107">
        <f>[1]节奏总纲!X10</f>
        <v>9.4748434540117277E-2</v>
      </c>
      <c r="Y10" s="107">
        <f>[1]节奏总纲!Y10</f>
        <v>7.7351964160866482E-2</v>
      </c>
      <c r="Z10" s="107">
        <f>[1]节奏总纲!Z10</f>
        <v>5.510159300872125E-2</v>
      </c>
      <c r="AA10" s="107">
        <f>[1]节奏总纲!AA10</f>
        <v>2.8625826776574964E-2</v>
      </c>
      <c r="AC10" s="107">
        <v>7</v>
      </c>
      <c r="AD10" s="107">
        <f>[1]节奏总纲!AD10</f>
        <v>30</v>
      </c>
      <c r="AE10" s="107">
        <f>[1]节奏总纲!AE10</f>
        <v>31.718819483847451</v>
      </c>
      <c r="AF10" s="107">
        <f>[1]节奏总纲!AF10</f>
        <v>34.192155176139416</v>
      </c>
      <c r="AG10" s="107">
        <f>[1]节奏总纲!AG10</f>
        <v>38.19822972207853</v>
      </c>
      <c r="AH10" s="107">
        <f>[1]节奏总纲!AH10</f>
        <v>46.093186357957826</v>
      </c>
      <c r="AL10" s="107">
        <v>7</v>
      </c>
      <c r="AM10" s="107">
        <f>[1]节奏总纲!AM10</f>
        <v>0.31141300609369982</v>
      </c>
      <c r="AN10" s="107">
        <f>[1]节奏总纲!AN10</f>
        <v>0.24913040487495985</v>
      </c>
      <c r="AO10" s="107">
        <f>[1]节奏总纲!AO10</f>
        <v>0.18684780365621989</v>
      </c>
      <c r="AP10" s="107">
        <f>[1]节奏总纲!AP10</f>
        <v>0.12456520243747993</v>
      </c>
      <c r="AQ10" s="107">
        <f>[1]节奏总纲!AQ10</f>
        <v>6.2282601218739964E-2</v>
      </c>
      <c r="AS10" s="107">
        <v>7</v>
      </c>
      <c r="AT10" s="107">
        <f>[1]节奏总纲!AT10</f>
        <v>9.0855565394707877E-2</v>
      </c>
      <c r="AU10" s="107">
        <f>[1]节奏总纲!AU10</f>
        <v>7.2684452315766285E-2</v>
      </c>
      <c r="AV10" s="107">
        <f>[1]节奏总纲!AV10</f>
        <v>5.451333923682472E-2</v>
      </c>
      <c r="AW10" s="107">
        <f>[1]节奏总纲!AW10</f>
        <v>3.6342226157883142E-2</v>
      </c>
      <c r="AX10" s="107">
        <f>[1]节奏总纲!AX10</f>
        <v>1.8171113078941571E-2</v>
      </c>
      <c r="AY10" s="107"/>
      <c r="AZ10" s="107">
        <v>7</v>
      </c>
      <c r="BA10" s="107">
        <f>[1]节奏总纲!BA10</f>
        <v>21.627432338833255</v>
      </c>
      <c r="BB10" s="107">
        <f>[1]节奏总纲!BB10</f>
        <v>22.938628095451385</v>
      </c>
      <c r="BC10" s="107">
        <f>[1]节奏总纲!BC10</f>
        <v>24.619152272059132</v>
      </c>
      <c r="BD10" s="107">
        <f>[1]节奏总纲!BD10</f>
        <v>27.059707353051884</v>
      </c>
      <c r="BE10" s="107">
        <f>[1]节奏总纲!BE10</f>
        <v>31.280110398778046</v>
      </c>
    </row>
    <row r="11" spans="2:57" x14ac:dyDescent="0.15">
      <c r="B11" s="125">
        <f>[1]节奏总纲!B11</f>
        <v>40</v>
      </c>
      <c r="C11" s="125">
        <f>[1]节奏总纲!C11</f>
        <v>15</v>
      </c>
      <c r="D11" s="125">
        <f>[1]节奏总纲!D11</f>
        <v>8</v>
      </c>
      <c r="F11" s="125">
        <f>[1]节奏总纲!F11</f>
        <v>9</v>
      </c>
      <c r="G11" s="125">
        <f>[1]节奏总纲!G11</f>
        <v>0.86606598307361482</v>
      </c>
      <c r="I11" s="125">
        <f>[1]节奏总纲!I11</f>
        <v>9</v>
      </c>
      <c r="J11" s="125">
        <f>[1]节奏总纲!J11</f>
        <v>0.57090651823243421</v>
      </c>
      <c r="K11" s="125">
        <f>[1]节奏总纲!K11</f>
        <v>0.46</v>
      </c>
      <c r="N11" s="115">
        <f>[1]节奏总纲!N11</f>
        <v>16</v>
      </c>
      <c r="O11" s="107">
        <v>8</v>
      </c>
      <c r="P11" s="107">
        <f>[1]节奏总纲!P11</f>
        <v>0.74110112659224825</v>
      </c>
      <c r="Q11" s="107">
        <f>[1]节奏总纲!Q11</f>
        <v>0.63089938906798093</v>
      </c>
      <c r="R11" s="107">
        <f>[1]节奏总纲!R11</f>
        <v>0.50550507844857251</v>
      </c>
      <c r="S11" s="107">
        <f>[1]节奏总纲!S11</f>
        <v>0.36195379022765406</v>
      </c>
      <c r="T11" s="107">
        <f>[1]节奏总纲!T11</f>
        <v>0.19579891764567198</v>
      </c>
      <c r="V11" s="107">
        <v>8</v>
      </c>
      <c r="W11" s="107">
        <f>[1]节奏总纲!W11</f>
        <v>0.1165963338797773</v>
      </c>
      <c r="X11" s="107">
        <f>[1]节奏总纲!X11</f>
        <v>9.6760439861004577E-2</v>
      </c>
      <c r="Y11" s="107">
        <f>[1]节奏总纲!Y11</f>
        <v>7.4784122914781315E-2</v>
      </c>
      <c r="Z11" s="107">
        <f>[1]节奏总纲!Z11</f>
        <v>5.2449214959353452E-2</v>
      </c>
      <c r="AA11" s="107">
        <f>[1]节奏总纲!AA11</f>
        <v>2.8806336074357231E-2</v>
      </c>
      <c r="AC11" s="107">
        <v>8</v>
      </c>
      <c r="AD11" s="107">
        <f>[1]节奏总纲!AD11</f>
        <v>31.691928656135214</v>
      </c>
      <c r="AE11" s="107">
        <f>[1]节奏总纲!AE11</f>
        <v>33.465251056098396</v>
      </c>
      <c r="AF11" s="107">
        <f>[1]节奏总纲!AF11</f>
        <v>35.930751746472978</v>
      </c>
      <c r="AG11" s="107">
        <f>[1]节奏总纲!AG11</f>
        <v>39.998279638578282</v>
      </c>
      <c r="AH11" s="107">
        <f>[1]节奏总纲!AH11</f>
        <v>48.067140183443534</v>
      </c>
      <c r="AL11" s="107">
        <v>8</v>
      </c>
      <c r="AM11" s="107">
        <f>[1]节奏总纲!AM11</f>
        <v>0.42660095793436714</v>
      </c>
      <c r="AN11" s="107">
        <f>[1]节奏总纲!AN11</f>
        <v>0.34128076634749371</v>
      </c>
      <c r="AO11" s="107">
        <f>[1]节奏总纲!AO11</f>
        <v>0.25596057476062029</v>
      </c>
      <c r="AP11" s="107">
        <f>[1]节奏总纲!AP11</f>
        <v>0.17064038317374686</v>
      </c>
      <c r="AQ11" s="107">
        <f>[1]节奏总纲!AQ11</f>
        <v>8.5320191586873428E-2</v>
      </c>
      <c r="AS11" s="107">
        <v>8</v>
      </c>
      <c r="AT11" s="107">
        <f>[1]节奏总纲!AT11</f>
        <v>0.11518795184066732</v>
      </c>
      <c r="AU11" s="107">
        <f>[1]节奏总纲!AU11</f>
        <v>9.2150361472533859E-2</v>
      </c>
      <c r="AV11" s="107">
        <f>[1]节奏总纲!AV11</f>
        <v>6.9112771104400395E-2</v>
      </c>
      <c r="AW11" s="107">
        <f>[1]节奏总纲!AW11</f>
        <v>4.607518073626693E-2</v>
      </c>
      <c r="AX11" s="107">
        <f>[1]节奏总纲!AX11</f>
        <v>2.3037590368133465E-2</v>
      </c>
      <c r="AY11" s="107"/>
      <c r="AZ11" s="107">
        <v>8</v>
      </c>
      <c r="BA11" s="107">
        <f>[1]节奏总纲!BA11</f>
        <v>22.400634983357783</v>
      </c>
      <c r="BB11" s="107">
        <f>[1]节奏总纲!BB11</f>
        <v>23.710496742673982</v>
      </c>
      <c r="BC11" s="107">
        <f>[1]节奏总纲!BC11</f>
        <v>25.412810862541733</v>
      </c>
      <c r="BD11" s="107">
        <f>[1]节奏总纲!BD11</f>
        <v>27.863030247590562</v>
      </c>
      <c r="BE11" s="107">
        <f>[1]节奏总纲!BE11</f>
        <v>32.113552950216736</v>
      </c>
    </row>
    <row r="12" spans="2:57" x14ac:dyDescent="0.15">
      <c r="B12" s="125">
        <f>[1]节奏总纲!B12</f>
        <v>50</v>
      </c>
      <c r="C12" s="125">
        <f>[1]节奏总纲!C12</f>
        <v>31</v>
      </c>
      <c r="D12" s="125">
        <f>[1]节奏总纲!D12</f>
        <v>16</v>
      </c>
      <c r="F12" s="125">
        <f>[1]节奏总纲!F12</f>
        <v>10</v>
      </c>
      <c r="G12" s="125">
        <f>[1]节奏总纲!G12</f>
        <v>1</v>
      </c>
      <c r="I12" s="125">
        <f>[1]节奏总纲!I12</f>
        <v>10</v>
      </c>
      <c r="J12" s="125">
        <f>[1]节奏总纲!J12</f>
        <v>0.75</v>
      </c>
      <c r="K12" s="125">
        <f>[1]节奏总纲!K12</f>
        <v>0.5</v>
      </c>
      <c r="N12" s="115">
        <f>[1]节奏总纲!N12</f>
        <v>18</v>
      </c>
      <c r="O12" s="107">
        <v>9</v>
      </c>
      <c r="P12" s="107">
        <f>[1]节奏总纲!P12</f>
        <v>0.86606598307361482</v>
      </c>
      <c r="Q12" s="107">
        <f>[1]节奏总纲!Q12</f>
        <v>0.73702215159564621</v>
      </c>
      <c r="R12" s="107">
        <f>[1]节奏总纲!R12</f>
        <v>0.59282216541388932</v>
      </c>
      <c r="S12" s="107">
        <f>[1]节奏总纲!S12</f>
        <v>0.42766338244175101</v>
      </c>
      <c r="T12" s="107">
        <f>[1]节奏总纲!T12</f>
        <v>0.23193247026711403</v>
      </c>
      <c r="V12" s="107">
        <v>9</v>
      </c>
      <c r="W12" s="107">
        <f>[1]节奏总纲!W12</f>
        <v>0.12496485648136657</v>
      </c>
      <c r="X12" s="107">
        <f>[1]节奏总纲!X12</f>
        <v>0.10612276252766528</v>
      </c>
      <c r="Y12" s="107">
        <f>[1]节奏总纲!Y12</f>
        <v>8.7317086965316815E-2</v>
      </c>
      <c r="Z12" s="107">
        <f>[1]节奏总纲!Z12</f>
        <v>6.5709592214096946E-2</v>
      </c>
      <c r="AA12" s="107">
        <f>[1]节奏总纲!AA12</f>
        <v>3.613355262144205E-2</v>
      </c>
      <c r="AC12" s="107">
        <v>9</v>
      </c>
      <c r="AD12" s="107">
        <f>[1]节奏总纲!AD12</f>
        <v>33.213386604241784</v>
      </c>
      <c r="AE12" s="107">
        <f>[1]节奏总纲!AE12</f>
        <v>34.992730785174565</v>
      </c>
      <c r="AF12" s="107">
        <f>[1]节奏总纲!AF12</f>
        <v>37.510565846691456</v>
      </c>
      <c r="AG12" s="107">
        <f>[1]节奏总纲!AG12</f>
        <v>41.534743419557365</v>
      </c>
      <c r="AH12" s="107">
        <f>[1]节奏总纲!AH12</f>
        <v>49.706056771838036</v>
      </c>
      <c r="AL12" s="107">
        <v>9</v>
      </c>
      <c r="AM12" s="107">
        <f>[1]节奏总纲!AM12</f>
        <v>0.57090651823243421</v>
      </c>
      <c r="AN12" s="107">
        <f>[1]节奏总纲!AN12</f>
        <v>0.45672521458594739</v>
      </c>
      <c r="AO12" s="107">
        <f>[1]节奏总纲!AO12</f>
        <v>0.34254391093946052</v>
      </c>
      <c r="AP12" s="107">
        <f>[1]节奏总纲!AP12</f>
        <v>0.2283626072929737</v>
      </c>
      <c r="AQ12" s="107">
        <f>[1]节奏总纲!AQ12</f>
        <v>0.11418130364648685</v>
      </c>
      <c r="AS12" s="107">
        <v>9</v>
      </c>
      <c r="AT12" s="107">
        <f>[1]节奏总纲!AT12</f>
        <v>0.14430556029806707</v>
      </c>
      <c r="AU12" s="107">
        <f>[1]节奏总纲!AU12</f>
        <v>0.11544444823845368</v>
      </c>
      <c r="AV12" s="107">
        <f>[1]节奏总纲!AV12</f>
        <v>8.6583336178840231E-2</v>
      </c>
      <c r="AW12" s="107">
        <f>[1]节奏总纲!AW12</f>
        <v>5.7722224119226839E-2</v>
      </c>
      <c r="AX12" s="107">
        <f>[1]节奏总纲!AX12</f>
        <v>2.886111205961342E-2</v>
      </c>
      <c r="AY12" s="107"/>
      <c r="AZ12" s="107">
        <v>9</v>
      </c>
      <c r="BA12" s="107">
        <f>[1]节奏总纲!BA12</f>
        <v>23.100336713798686</v>
      </c>
      <c r="BB12" s="107">
        <f>[1]节奏总纲!BB12</f>
        <v>24.402761517547276</v>
      </c>
      <c r="BC12" s="107">
        <f>[1]节奏总纲!BC12</f>
        <v>26.127796402772656</v>
      </c>
      <c r="BD12" s="107">
        <f>[1]节奏总纲!BD12</f>
        <v>28.568390277483555</v>
      </c>
      <c r="BE12" s="107">
        <f>[1]节奏总纲!BE12</f>
        <v>32.842201900114915</v>
      </c>
    </row>
    <row r="13" spans="2:57" x14ac:dyDescent="0.15">
      <c r="B13" s="125">
        <f>[1]节奏总纲!B13</f>
        <v>60</v>
      </c>
      <c r="C13" s="125">
        <f>[1]节奏总纲!C13</f>
        <v>63</v>
      </c>
      <c r="D13" s="125">
        <f>[1]节奏总纲!D13</f>
        <v>32</v>
      </c>
      <c r="F13" s="125">
        <f>[1]节奏总纲!F13</f>
        <v>11</v>
      </c>
      <c r="G13" s="125">
        <f>[1]节奏总纲!G13</f>
        <v>1.1435469250725863</v>
      </c>
      <c r="I13" s="125">
        <f>[1]节奏总纲!I13</f>
        <v>11</v>
      </c>
      <c r="J13" s="125">
        <f>[1]节奏总纲!J13</f>
        <v>0.93464628919691628</v>
      </c>
      <c r="K13" s="125">
        <f>[1]节奏总纲!K13</f>
        <v>0.52</v>
      </c>
      <c r="N13" s="115">
        <f>[1]节奏总纲!N13</f>
        <v>20</v>
      </c>
      <c r="O13" s="107">
        <v>10</v>
      </c>
      <c r="P13" s="107">
        <f>[1]节奏总纲!P13</f>
        <v>1</v>
      </c>
      <c r="Q13" s="107">
        <f>[1]节奏总纲!Q13</f>
        <v>0.8548</v>
      </c>
      <c r="R13" s="107">
        <f>[1]节奏总纲!R13</f>
        <v>0.6895</v>
      </c>
      <c r="S13" s="107">
        <f>[1]节奏总纲!S13</f>
        <v>0.49980000000000002</v>
      </c>
      <c r="T13" s="107">
        <f>[1]节奏总纲!T13</f>
        <v>0.2732</v>
      </c>
      <c r="V13" s="107">
        <v>10</v>
      </c>
      <c r="W13" s="107">
        <f>[1]节奏总纲!W13</f>
        <v>0.13393401692638518</v>
      </c>
      <c r="X13" s="107">
        <f>[1]节奏总纲!X13</f>
        <v>0.11777784840435379</v>
      </c>
      <c r="Y13" s="107">
        <f>[1]节奏总纲!Y13</f>
        <v>9.6677834586110678E-2</v>
      </c>
      <c r="Z13" s="107">
        <f>[1]节奏总纲!Z13</f>
        <v>7.2136617558249017E-2</v>
      </c>
      <c r="AA13" s="107">
        <f>[1]节奏总纲!AA13</f>
        <v>4.1267529732885971E-2</v>
      </c>
      <c r="AC13" s="107">
        <v>10</v>
      </c>
      <c r="AD13" s="107">
        <f>[1]节奏总纲!AD13</f>
        <v>34.585942742481357</v>
      </c>
      <c r="AE13" s="107">
        <f>[1]节奏总纲!AE13</f>
        <v>36.36169634498642</v>
      </c>
      <c r="AF13" s="107">
        <f>[1]节奏总纲!AF13</f>
        <v>38.977035507933373</v>
      </c>
      <c r="AG13" s="107">
        <f>[1]节奏总纲!AG13</f>
        <v>42.970748198558951</v>
      </c>
      <c r="AH13" s="107">
        <f>[1]节奏总纲!AH13</f>
        <v>51.212821897464167</v>
      </c>
      <c r="AL13" s="107">
        <v>10</v>
      </c>
      <c r="AM13" s="107">
        <f>[1]节奏总纲!AM13</f>
        <v>0.75</v>
      </c>
      <c r="AN13" s="107">
        <f>[1]节奏总纲!AN13</f>
        <v>0.60000000000000009</v>
      </c>
      <c r="AO13" s="107">
        <f>[1]节奏总纲!AO13</f>
        <v>0.44999999999999996</v>
      </c>
      <c r="AP13" s="107">
        <f>[1]节奏总纲!AP13</f>
        <v>0.30000000000000004</v>
      </c>
      <c r="AQ13" s="107">
        <f>[1]节奏总纲!AQ13</f>
        <v>0.15000000000000002</v>
      </c>
      <c r="AS13" s="107">
        <v>10</v>
      </c>
      <c r="AT13" s="107">
        <f>[1]节奏总纲!AT13</f>
        <v>0.17909348176756579</v>
      </c>
      <c r="AU13" s="107">
        <f>[1]节奏总纲!AU13</f>
        <v>0.1432747854140527</v>
      </c>
      <c r="AV13" s="107">
        <f>[1]节奏总纲!AV13</f>
        <v>0.10745608906053944</v>
      </c>
      <c r="AW13" s="107">
        <f>[1]节奏总纲!AW13</f>
        <v>7.1637392707026348E-2</v>
      </c>
      <c r="AX13" s="107">
        <f>[1]节奏总纲!AX13</f>
        <v>3.5818696353513174E-2</v>
      </c>
      <c r="AY13" s="107"/>
      <c r="AZ13" s="107">
        <v>10</v>
      </c>
      <c r="BA13" s="107">
        <f>[1]节奏总纲!BA13</f>
        <v>23.710496742673982</v>
      </c>
      <c r="BB13" s="107">
        <f>[1]节奏总纲!BB13</f>
        <v>25.044229735272328</v>
      </c>
      <c r="BC13" s="107">
        <f>[1]节奏总纲!BC13</f>
        <v>26.755953543357073</v>
      </c>
      <c r="BD13" s="107">
        <f>[1]节奏总纲!BD13</f>
        <v>29.216428548527322</v>
      </c>
      <c r="BE13" s="107">
        <f>[1]节奏总纲!BE13</f>
        <v>33.487933395889513</v>
      </c>
    </row>
    <row r="14" spans="2:57" x14ac:dyDescent="0.15">
      <c r="B14" s="125">
        <f>[1]节奏总纲!B14</f>
        <v>70</v>
      </c>
      <c r="C14" s="125">
        <f>[1]节奏总纲!C14</f>
        <v>127</v>
      </c>
      <c r="D14" s="125">
        <f>[1]节奏总纲!D14</f>
        <v>64</v>
      </c>
      <c r="F14" s="125">
        <f>[1]节奏总纲!F14</f>
        <v>12</v>
      </c>
      <c r="G14" s="125">
        <f>[1]节奏总纲!G14</f>
        <v>1.2973967099940702</v>
      </c>
      <c r="I14" s="125">
        <f>[1]节奏总纲!I14</f>
        <v>12</v>
      </c>
      <c r="J14" s="125">
        <f>[1]节奏总纲!J14</f>
        <v>1.1550685436347259</v>
      </c>
      <c r="K14" s="125">
        <f>[1]节奏总纲!K14</f>
        <v>0.54</v>
      </c>
      <c r="N14" s="115">
        <f>[1]节奏总纲!N14</f>
        <v>21</v>
      </c>
      <c r="O14" s="107">
        <v>11</v>
      </c>
      <c r="P14" s="107">
        <f>[1]节奏总纲!P14</f>
        <v>1.1435469250725863</v>
      </c>
      <c r="Q14" s="107">
        <f>[1]节奏总纲!Q14</f>
        <v>0.98036277886472811</v>
      </c>
      <c r="R14" s="107">
        <f>[1]节奏总纲!R14</f>
        <v>0.79453640354043287</v>
      </c>
      <c r="S14" s="107">
        <f>[1]节奏总纲!S14</f>
        <v>0.57577587677404707</v>
      </c>
      <c r="T14" s="107">
        <f>[1]节奏总纲!T14</f>
        <v>0.31767733578516444</v>
      </c>
      <c r="V14" s="107">
        <v>11</v>
      </c>
      <c r="W14" s="107">
        <f>[1]节奏总纲!W14</f>
        <v>0.14354692507258626</v>
      </c>
      <c r="X14" s="107">
        <f>[1]节奏总纲!X14</f>
        <v>0.12556277886472811</v>
      </c>
      <c r="Y14" s="107">
        <f>[1]节奏总纲!Y14</f>
        <v>0.10503640354043287</v>
      </c>
      <c r="Z14" s="107">
        <f>[1]节奏总纲!Z14</f>
        <v>7.5975876774047046E-2</v>
      </c>
      <c r="AA14" s="107">
        <f>[1]节奏总纲!AA14</f>
        <v>4.447733578516444E-2</v>
      </c>
      <c r="AC14" s="107">
        <v>11</v>
      </c>
      <c r="AD14" s="107">
        <f>[1]节奏总纲!AD14</f>
        <v>35.845161563010116</v>
      </c>
      <c r="AE14" s="107">
        <f>[1]节奏总纲!AE14</f>
        <v>37.6388925299823</v>
      </c>
      <c r="AF14" s="107">
        <f>[1]节奏总纲!AF14</f>
        <v>40.259528204263837</v>
      </c>
      <c r="AG14" s="107">
        <f>[1]节奏总纲!AG14</f>
        <v>44.288230531994081</v>
      </c>
      <c r="AH14" s="107">
        <f>[1]节奏总纲!AH14</f>
        <v>52.559419343629337</v>
      </c>
      <c r="AL14" s="107">
        <v>11</v>
      </c>
      <c r="AM14" s="107">
        <f>[1]节奏总纲!AM14</f>
        <v>0.93464628919691628</v>
      </c>
      <c r="AN14" s="107">
        <f>[1]节奏总纲!AN14</f>
        <v>0.74771703135753309</v>
      </c>
      <c r="AO14" s="107">
        <f>[1]节奏总纲!AO14</f>
        <v>0.56078777351814979</v>
      </c>
      <c r="AP14" s="107">
        <f>[1]节奏总纲!AP14</f>
        <v>0.37385851567876655</v>
      </c>
      <c r="AQ14" s="107">
        <f>[1]节奏总纲!AQ14</f>
        <v>0.18692925783938327</v>
      </c>
      <c r="AS14" s="107">
        <v>11</v>
      </c>
      <c r="AT14" s="107">
        <f>[1]节奏总纲!AT14</f>
        <v>0.18464628919691628</v>
      </c>
      <c r="AU14" s="107">
        <f>[1]节奏总纲!AU14</f>
        <v>0.147717031357533</v>
      </c>
      <c r="AV14" s="107">
        <f>[1]节奏总纲!AV14</f>
        <v>0.11078777351814983</v>
      </c>
      <c r="AW14" s="107">
        <f>[1]节奏总纲!AW14</f>
        <v>7.3858515678766501E-2</v>
      </c>
      <c r="AX14" s="107">
        <f>[1]节奏总纲!AX14</f>
        <v>3.692925783938325E-2</v>
      </c>
      <c r="AY14" s="107"/>
      <c r="AZ14" s="107">
        <v>11</v>
      </c>
      <c r="BA14" s="107">
        <f>[1]节奏总纲!BA14</f>
        <v>24.272927064840161</v>
      </c>
      <c r="BB14" s="107">
        <f>[1]节奏总纲!BB14</f>
        <v>25.597101426176433</v>
      </c>
      <c r="BC14" s="107">
        <f>[1]节奏总纲!BC14</f>
        <v>27.327481651231444</v>
      </c>
      <c r="BD14" s="107">
        <f>[1]节奏总纲!BD14</f>
        <v>29.80118336305917</v>
      </c>
      <c r="BE14" s="107">
        <f>[1]节奏总纲!BE14</f>
        <v>34.09469189131628</v>
      </c>
    </row>
    <row r="15" spans="2:57" x14ac:dyDescent="0.15">
      <c r="B15" s="125">
        <f>[1]节奏总纲!B15</f>
        <v>80</v>
      </c>
      <c r="C15" s="125">
        <f>[1]节奏总纲!C15</f>
        <v>255</v>
      </c>
      <c r="D15" s="125">
        <f>[1]节奏总纲!D15</f>
        <v>128</v>
      </c>
      <c r="F15" s="125">
        <f>[1]节奏总纲!F15</f>
        <v>13</v>
      </c>
      <c r="G15" s="125">
        <f>[1]节奏总纲!G15</f>
        <v>1.4622888266898326</v>
      </c>
      <c r="I15" s="125">
        <f>[1]节奏总纲!I15</f>
        <v>13</v>
      </c>
      <c r="J15" s="125">
        <f>[1]节奏总纲!J15</f>
        <v>1.417602554491646</v>
      </c>
      <c r="K15" s="125">
        <f>[1]节奏总纲!K15</f>
        <v>0.56000000000000005</v>
      </c>
      <c r="N15" s="115">
        <f>[1]节奏总纲!N15</f>
        <v>22</v>
      </c>
      <c r="O15" s="107">
        <v>12</v>
      </c>
      <c r="P15" s="107">
        <f>[1]节奏总纲!P15</f>
        <v>1.2973967099940702</v>
      </c>
      <c r="Q15" s="107">
        <f>[1]节奏总纲!Q15</f>
        <v>1.1126474184909145</v>
      </c>
      <c r="R15" s="107">
        <f>[1]节奏总纲!R15</f>
        <v>0.9058423829178599</v>
      </c>
      <c r="S15" s="107">
        <f>[1]节奏总纲!S15</f>
        <v>0.66219128078097333</v>
      </c>
      <c r="T15" s="107">
        <f>[1]节奏总纲!T15</f>
        <v>0.36560639287632896</v>
      </c>
      <c r="V15" s="107">
        <v>12</v>
      </c>
      <c r="W15" s="107">
        <f>[1]节奏总纲!W15</f>
        <v>0.15384978492148393</v>
      </c>
      <c r="X15" s="107">
        <f>[1]节奏总纲!X15</f>
        <v>0.13228463962618642</v>
      </c>
      <c r="Y15" s="107">
        <f>[1]节奏总纲!Y15</f>
        <v>0.11130597937742703</v>
      </c>
      <c r="Z15" s="107">
        <f>[1]节奏总纲!Z15</f>
        <v>8.6415404006926266E-2</v>
      </c>
      <c r="AA15" s="107">
        <f>[1]节奏总纲!AA15</f>
        <v>4.7929057091164518E-2</v>
      </c>
      <c r="AC15" s="107">
        <v>12</v>
      </c>
      <c r="AD15" s="107">
        <f>[1]节奏总纲!AD15</f>
        <v>37.004247194324648</v>
      </c>
      <c r="AE15" s="107">
        <f>[1]节奏总纲!AE15</f>
        <v>38.827998824669805</v>
      </c>
      <c r="AF15" s="107">
        <f>[1]节奏总纲!AF15</f>
        <v>41.408320762540754</v>
      </c>
      <c r="AG15" s="107">
        <f>[1]节奏总纲!AG15</f>
        <v>45.500930067545958</v>
      </c>
      <c r="AH15" s="107">
        <f>[1]节奏总纲!AH15</f>
        <v>53.855547243088772</v>
      </c>
      <c r="AL15" s="107">
        <v>12</v>
      </c>
      <c r="AM15" s="107">
        <f>[1]节奏总纲!AM15</f>
        <v>1.1550685436347259</v>
      </c>
      <c r="AN15" s="107">
        <f>[1]节奏总纲!AN15</f>
        <v>0.92405483490778073</v>
      </c>
      <c r="AO15" s="107">
        <f>[1]节奏总纲!AO15</f>
        <v>0.69304112618083547</v>
      </c>
      <c r="AP15" s="107">
        <f>[1]节奏总纲!AP15</f>
        <v>0.46202741745389037</v>
      </c>
      <c r="AQ15" s="107">
        <f>[1]节奏总纲!AQ15</f>
        <v>0.23101370872694518</v>
      </c>
      <c r="AS15" s="107">
        <v>12</v>
      </c>
      <c r="AT15" s="107">
        <f>[1]节奏总纲!AT15</f>
        <v>0.22042225443780961</v>
      </c>
      <c r="AU15" s="107">
        <f>[1]节奏总纲!AU15</f>
        <v>0.17633780355024764</v>
      </c>
      <c r="AV15" s="107">
        <f>[1]节奏总纲!AV15</f>
        <v>0.13225335266268567</v>
      </c>
      <c r="AW15" s="107">
        <f>[1]节奏总纲!AW15</f>
        <v>8.816890177512382E-2</v>
      </c>
      <c r="AX15" s="107">
        <f>[1]节奏总纲!AX15</f>
        <v>4.408445088756191E-2</v>
      </c>
      <c r="AY15" s="107"/>
      <c r="AZ15" s="107">
        <v>12</v>
      </c>
      <c r="BA15" s="107">
        <f>[1]节奏总纲!BA15</f>
        <v>24.792264875668618</v>
      </c>
      <c r="BB15" s="107">
        <f>[1]节奏总纲!BB15</f>
        <v>26.127796402772656</v>
      </c>
      <c r="BC15" s="107">
        <f>[1]节奏总纲!BC15</f>
        <v>27.863030247590562</v>
      </c>
      <c r="BD15" s="107">
        <f>[1]节奏总纲!BD15</f>
        <v>30.329493925593439</v>
      </c>
      <c r="BE15" s="107">
        <f>[1]节奏总纲!BE15</f>
        <v>34.627226072894942</v>
      </c>
    </row>
    <row r="16" spans="2:57" x14ac:dyDescent="0.15">
      <c r="B16" s="125">
        <f>[1]节奏总纲!B16</f>
        <v>90</v>
      </c>
      <c r="C16" s="125">
        <f>[1]节奏总纲!C16</f>
        <v>511</v>
      </c>
      <c r="D16" s="125">
        <f>[1]节奏总纲!D16</f>
        <v>256</v>
      </c>
      <c r="F16" s="125">
        <f>[1]节奏总纲!F16</f>
        <v>14</v>
      </c>
      <c r="G16" s="125">
        <f>[1]节奏总纲!G16</f>
        <v>1.6390158215457884</v>
      </c>
      <c r="I16" s="125">
        <f>[1]节奏总纲!I16</f>
        <v>14</v>
      </c>
      <c r="J16" s="125">
        <f>[1]节奏总纲!J16</f>
        <v>1.7296773068470075</v>
      </c>
      <c r="K16" s="125">
        <f>[1]节奏总纲!K16</f>
        <v>0.57999999999999996</v>
      </c>
      <c r="N16" s="115">
        <f>[1]节奏总纲!N16</f>
        <v>23</v>
      </c>
      <c r="O16" s="107">
        <v>13</v>
      </c>
      <c r="P16" s="107">
        <f>[1]节奏总纲!P16</f>
        <v>1.4622888266898326</v>
      </c>
      <c r="Q16" s="107">
        <f>[1]节奏总纲!Q16</f>
        <v>1.2628326307293396</v>
      </c>
      <c r="R16" s="107">
        <f>[1]节奏总纲!R16</f>
        <v>1.0294513339896421</v>
      </c>
      <c r="S16" s="107">
        <f>[1]节奏总纲!S16</f>
        <v>0.75556463675063656</v>
      </c>
      <c r="T16" s="107">
        <f>[1]节奏总纲!T16</f>
        <v>0.41865329108129906</v>
      </c>
      <c r="V16" s="107">
        <v>13</v>
      </c>
      <c r="W16" s="107">
        <f>[1]节奏总纲!W16</f>
        <v>0.16489211669576243</v>
      </c>
      <c r="X16" s="107">
        <f>[1]节奏总纲!X16</f>
        <v>0.15018521223842507</v>
      </c>
      <c r="Y16" s="107">
        <f>[1]节奏总纲!Y16</f>
        <v>0.12360895107178216</v>
      </c>
      <c r="Z16" s="107">
        <f>[1]节奏总纲!Z16</f>
        <v>9.337335596966323E-2</v>
      </c>
      <c r="AA16" s="107">
        <f>[1]节奏总纲!AA16</f>
        <v>5.3046898204970105E-2</v>
      </c>
      <c r="AC16" s="107">
        <v>13</v>
      </c>
      <c r="AD16" s="107">
        <f>[1]节奏总纲!AD16</f>
        <v>38.071211008105138</v>
      </c>
      <c r="AE16" s="107">
        <f>[1]节奏总纲!AE16</f>
        <v>39.935302111946527</v>
      </c>
      <c r="AF16" s="107">
        <f>[1]节奏总纲!AF16</f>
        <v>42.470214785133983</v>
      </c>
      <c r="AG16" s="107">
        <f>[1]节奏总纲!AG16</f>
        <v>46.631096344914496</v>
      </c>
      <c r="AH16" s="107">
        <f>[1]节奏总纲!AH16</f>
        <v>55.062101953238496</v>
      </c>
      <c r="AL16" s="107">
        <v>13</v>
      </c>
      <c r="AM16" s="107">
        <f>[1]节奏总纲!AM16</f>
        <v>1.417602554491646</v>
      </c>
      <c r="AN16" s="107">
        <f>[1]节奏总纲!AN16</f>
        <v>1.1340820435933168</v>
      </c>
      <c r="AO16" s="107">
        <f>[1]节奏总纲!AO16</f>
        <v>0.85056153269498758</v>
      </c>
      <c r="AP16" s="107">
        <f>[1]节奏总纲!AP16</f>
        <v>0.56704102179665838</v>
      </c>
      <c r="AQ16" s="107">
        <f>[1]节奏总纲!AQ16</f>
        <v>0.28352051089832919</v>
      </c>
      <c r="AS16" s="107">
        <v>13</v>
      </c>
      <c r="AT16" s="107">
        <f>[1]节奏总纲!AT16</f>
        <v>0.26253401085692007</v>
      </c>
      <c r="AU16" s="107">
        <f>[1]节奏总纲!AU16</f>
        <v>0.21002720868553604</v>
      </c>
      <c r="AV16" s="107">
        <f>[1]节奏总纲!AV16</f>
        <v>0.15752040651415211</v>
      </c>
      <c r="AW16" s="107">
        <f>[1]节奏总纲!AW16</f>
        <v>0.10501360434276802</v>
      </c>
      <c r="AX16" s="107">
        <f>[1]节奏总纲!AX16</f>
        <v>5.2506802171384009E-2</v>
      </c>
      <c r="AY16" s="107"/>
      <c r="AZ16" s="107">
        <v>13</v>
      </c>
      <c r="BA16" s="107">
        <f>[1]节奏总纲!BA16</f>
        <v>25.265378411633971</v>
      </c>
      <c r="BB16" s="107">
        <f>[1]节奏总纲!BB16</f>
        <v>26.598914258210968</v>
      </c>
      <c r="BC16" s="107">
        <f>[1]节奏总纲!BC16</f>
        <v>28.339982398803929</v>
      </c>
      <c r="BD16" s="107">
        <f>[1]节奏总纲!BD16</f>
        <v>30.828727146189561</v>
      </c>
      <c r="BE16" s="107">
        <f>[1]节奏总纲!BE16</f>
        <v>35.146386283795508</v>
      </c>
    </row>
    <row r="17" spans="2:57" x14ac:dyDescent="0.15">
      <c r="B17" s="125">
        <f>[1]节奏总纲!B17</f>
        <v>100</v>
      </c>
      <c r="C17" s="125">
        <f>[1]节奏总纲!C17</f>
        <v>1023</v>
      </c>
      <c r="D17" s="125">
        <f>[1]节奏总纲!D17</f>
        <v>512</v>
      </c>
      <c r="F17" s="125">
        <f>[1]节奏总纲!F17</f>
        <v>15</v>
      </c>
      <c r="G17" s="125">
        <f>[1]节奏总纲!G17</f>
        <v>1.8284271247461898</v>
      </c>
      <c r="I17" s="125">
        <f>[1]节奏总纲!I17</f>
        <v>15</v>
      </c>
      <c r="J17" s="125">
        <f>[1]节奏总纲!J17</f>
        <v>2.1</v>
      </c>
      <c r="K17" s="125">
        <f>[1]节奏总纲!K17</f>
        <v>0.6</v>
      </c>
      <c r="N17" s="115">
        <f>[1]节奏总纲!N17</f>
        <v>24</v>
      </c>
      <c r="O17" s="107">
        <v>14</v>
      </c>
      <c r="P17" s="107">
        <f>[1]节奏总纲!P17</f>
        <v>1.6390158215457884</v>
      </c>
      <c r="Q17" s="107">
        <f>[1]节奏总纲!Q17</f>
        <v>1.4136511460832426</v>
      </c>
      <c r="R17" s="107">
        <f>[1]节奏总纲!R17</f>
        <v>1.1545227446968533</v>
      </c>
      <c r="S17" s="107">
        <f>[1]节奏总纲!S17</f>
        <v>0.84605996708193598</v>
      </c>
      <c r="T17" s="107">
        <f>[1]节奏总纲!T17</f>
        <v>0.46810291863347719</v>
      </c>
      <c r="V17" s="107">
        <v>14</v>
      </c>
      <c r="W17" s="107">
        <f>[1]节奏总纲!W17</f>
        <v>0.17672699485595578</v>
      </c>
      <c r="X17" s="107">
        <f>[1]节奏总纲!X17</f>
        <v>0.150818515353903</v>
      </c>
      <c r="Y17" s="107">
        <f>[1]节奏总纲!Y17</f>
        <v>0.12507141070721128</v>
      </c>
      <c r="Z17" s="107">
        <f>[1]节奏总纲!Z17</f>
        <v>9.0495330331299417E-2</v>
      </c>
      <c r="AA17" s="107">
        <f>[1]节奏总纲!AA17</f>
        <v>4.9449627552178133E-2</v>
      </c>
      <c r="AC17" s="107">
        <v>14</v>
      </c>
      <c r="AD17" s="107">
        <f>[1]节奏总纲!AD17</f>
        <v>39.066704614192943</v>
      </c>
      <c r="AE17" s="107">
        <f>[1]节奏总纲!AE17</f>
        <v>40.935169244165145</v>
      </c>
      <c r="AF17" s="107">
        <f>[1]节奏总纲!AF17</f>
        <v>43.484929789964411</v>
      </c>
      <c r="AG17" s="107">
        <f>[1]节奏总纲!AG17</f>
        <v>47.711408234944486</v>
      </c>
      <c r="AH17" s="107">
        <f>[1]节奏总纲!AH17</f>
        <v>56.165983112651688</v>
      </c>
      <c r="AL17" s="107">
        <v>14</v>
      </c>
      <c r="AM17" s="107">
        <f>[1]节奏总纲!AM17</f>
        <v>1.7296773068470075</v>
      </c>
      <c r="AN17" s="107">
        <f>[1]节奏总纲!AN17</f>
        <v>1.383741845477606</v>
      </c>
      <c r="AO17" s="107">
        <f>[1]节奏总纲!AO17</f>
        <v>1.0378063841082044</v>
      </c>
      <c r="AP17" s="107">
        <f>[1]节奏总纲!AP17</f>
        <v>0.69187092273880302</v>
      </c>
      <c r="AQ17" s="107">
        <f>[1]节奏总纲!AQ17</f>
        <v>0.34593546136940151</v>
      </c>
      <c r="AS17" s="107">
        <v>14</v>
      </c>
      <c r="AT17" s="107">
        <f>[1]节奏总纲!AT17</f>
        <v>0.31207475235536153</v>
      </c>
      <c r="AU17" s="107">
        <f>[1]节奏总纲!AU17</f>
        <v>0.24965980188428927</v>
      </c>
      <c r="AV17" s="107">
        <f>[1]节奏总纲!AV17</f>
        <v>0.18724485141321678</v>
      </c>
      <c r="AW17" s="107">
        <f>[1]节奏总纲!AW17</f>
        <v>0.12482990094214463</v>
      </c>
      <c r="AX17" s="107">
        <f>[1]节奏总纲!AX17</f>
        <v>6.2414950471072317E-2</v>
      </c>
      <c r="AY17" s="107"/>
      <c r="AZ17" s="107">
        <v>14</v>
      </c>
      <c r="BA17" s="107">
        <f>[1]节奏总纲!BA17</f>
        <v>25.707675764357255</v>
      </c>
      <c r="BB17" s="107">
        <f>[1]节奏总纲!BB17</f>
        <v>27.059707353051884</v>
      </c>
      <c r="BC17" s="107">
        <f>[1]节奏总纲!BC17</f>
        <v>28.796798156163181</v>
      </c>
      <c r="BD17" s="107">
        <f>[1]节奏总纲!BD17</f>
        <v>31.280110398778046</v>
      </c>
      <c r="BE17" s="107">
        <f>[1]节奏总纲!BE17</f>
        <v>35.634340563113874</v>
      </c>
    </row>
    <row r="18" spans="2:57" x14ac:dyDescent="0.15">
      <c r="F18" s="125">
        <f>[1]节奏总纲!F18</f>
        <v>16</v>
      </c>
      <c r="G18" s="125">
        <f>[1]节奏总纲!G18</f>
        <v>2.031433133020796</v>
      </c>
      <c r="I18" s="125">
        <f>[1]节奏总纲!I18</f>
        <v>16</v>
      </c>
      <c r="J18" s="125">
        <f>[1]节奏总纲!J18</f>
        <v>2.5387719203926467</v>
      </c>
      <c r="K18" s="125">
        <f>[1]节奏总纲!K18</f>
        <v>0.62</v>
      </c>
      <c r="N18" s="115">
        <f>[1]节奏总纲!N18</f>
        <v>25</v>
      </c>
      <c r="O18" s="107">
        <v>15</v>
      </c>
      <c r="P18" s="107">
        <f>[1]节奏总纲!P18</f>
        <v>1.8284271247461898</v>
      </c>
      <c r="Q18" s="107">
        <f>[1]节奏总纲!Q18</f>
        <v>1.5793953503557587</v>
      </c>
      <c r="R18" s="107">
        <f>[1]节奏总纲!R18</f>
        <v>1.2928808199080308</v>
      </c>
      <c r="S18" s="107">
        <f>[1]节奏总纲!S18</f>
        <v>0.94895367774327255</v>
      </c>
      <c r="T18" s="107">
        <f>[1]节奏总纲!T18</f>
        <v>0.5271355400643265</v>
      </c>
      <c r="V18" s="107">
        <v>15</v>
      </c>
      <c r="W18" s="107">
        <f>[1]节奏总纲!W18</f>
        <v>0.18941130320040145</v>
      </c>
      <c r="X18" s="107">
        <f>[1]节奏总纲!X18</f>
        <v>0.16574420427251613</v>
      </c>
      <c r="Y18" s="107">
        <f>[1]节奏总纲!Y18</f>
        <v>0.13835807521117749</v>
      </c>
      <c r="Z18" s="107">
        <f>[1]节奏总纲!Z18</f>
        <v>0.10289371066133657</v>
      </c>
      <c r="AA18" s="107">
        <f>[1]节奏总纲!AA18</f>
        <v>5.9032621430849308E-2</v>
      </c>
      <c r="AC18" s="107">
        <v>15</v>
      </c>
      <c r="AD18" s="107">
        <f>[1]节奏总纲!AD18</f>
        <v>40</v>
      </c>
      <c r="AE18" s="107">
        <f>[1]节奏总纲!AE18</f>
        <v>41.83669503626701</v>
      </c>
      <c r="AF18" s="107">
        <f>[1]节奏总纲!AF18</f>
        <v>44.442238853326032</v>
      </c>
      <c r="AG18" s="107">
        <f>[1]节奏总纲!AG18</f>
        <v>48.731413734867289</v>
      </c>
      <c r="AH18" s="107">
        <f>[1]节奏总纲!AH18</f>
        <v>57.176846218996921</v>
      </c>
      <c r="AL18" s="107">
        <v>15</v>
      </c>
      <c r="AM18" s="107">
        <f>[1]节奏总纲!AM18</f>
        <v>2.1</v>
      </c>
      <c r="AN18" s="107">
        <f>[1]节奏总纲!AN18</f>
        <v>1.6800000000000002</v>
      </c>
      <c r="AO18" s="107">
        <f>[1]节奏总纲!AO18</f>
        <v>1.26</v>
      </c>
      <c r="AP18" s="107">
        <f>[1]节奏总纲!AP18</f>
        <v>0.84000000000000008</v>
      </c>
      <c r="AQ18" s="107">
        <f>[1]节奏总纲!AQ18</f>
        <v>0.42000000000000004</v>
      </c>
      <c r="AS18" s="107">
        <v>15</v>
      </c>
      <c r="AT18" s="107">
        <f>[1]节奏总纲!AT18</f>
        <v>0.3703226931529926</v>
      </c>
      <c r="AU18" s="107">
        <f>[1]节奏总纲!AU18</f>
        <v>0.29625815452239412</v>
      </c>
      <c r="AV18" s="107">
        <f>[1]节奏总纲!AV18</f>
        <v>0.22219361589179565</v>
      </c>
      <c r="AW18" s="107">
        <f>[1]节奏总纲!AW18</f>
        <v>0.14812907726119706</v>
      </c>
      <c r="AX18" s="107">
        <f>[1]节奏总纲!AX18</f>
        <v>7.4064538630598531E-2</v>
      </c>
      <c r="AY18" s="107"/>
      <c r="AZ18" s="107">
        <v>15</v>
      </c>
      <c r="BA18" s="107">
        <f>[1]节奏总纲!BA18</f>
        <v>26.127796402772656</v>
      </c>
      <c r="BB18" s="107">
        <f>[1]节奏总纲!BB18</f>
        <v>27.461368800321225</v>
      </c>
      <c r="BC18" s="107">
        <f>[1]节奏总纲!BC18</f>
        <v>29.216428548527322</v>
      </c>
      <c r="BD18" s="107">
        <f>[1]节奏总纲!BD18</f>
        <v>31.706504654507764</v>
      </c>
      <c r="BE18" s="107">
        <f>[1]节奏总纲!BE18</f>
        <v>36.105477566569242</v>
      </c>
    </row>
    <row r="19" spans="2:57" x14ac:dyDescent="0.15">
      <c r="F19" s="125">
        <f>[1]节奏总纲!F19</f>
        <v>17</v>
      </c>
      <c r="G19" s="125">
        <f>[1]节奏总纲!G19</f>
        <v>2.2490095854249419</v>
      </c>
      <c r="I19" s="125">
        <f>[1]节奏总纲!I19</f>
        <v>17</v>
      </c>
      <c r="J19" s="125">
        <f>[1]节奏总纲!J19</f>
        <v>3.0579402515786085</v>
      </c>
      <c r="K19" s="125">
        <f>[1]节奏总纲!K19</f>
        <v>0.64</v>
      </c>
      <c r="N19" s="115">
        <f>[1]节奏总纲!N19</f>
        <v>26</v>
      </c>
      <c r="O19" s="107">
        <v>16</v>
      </c>
      <c r="P19" s="107">
        <f>[1]节奏总纲!P19</f>
        <v>2.031433133020796</v>
      </c>
      <c r="Q19" s="107">
        <f>[1]节奏总纲!Q19</f>
        <v>1.7586116632561031</v>
      </c>
      <c r="R19" s="107">
        <f>[1]节奏总纲!R19</f>
        <v>1.4398798046851402</v>
      </c>
      <c r="S19" s="107">
        <f>[1]节奏总纲!S19</f>
        <v>1.0618300986299702</v>
      </c>
      <c r="T19" s="107">
        <f>[1]节奏总纲!T19</f>
        <v>0.59460047803518701</v>
      </c>
      <c r="V19" s="107">
        <v>16</v>
      </c>
      <c r="W19" s="107">
        <f>[1]节奏总纲!W19</f>
        <v>0.20300600827460613</v>
      </c>
      <c r="X19" s="107">
        <f>[1]节奏总纲!X19</f>
        <v>0.17921631290034434</v>
      </c>
      <c r="Y19" s="107">
        <f>[1]节奏总纲!Y19</f>
        <v>0.14699898477710938</v>
      </c>
      <c r="Z19" s="107">
        <f>[1]节奏总纲!Z19</f>
        <v>0.11287642088669769</v>
      </c>
      <c r="AA19" s="107">
        <f>[1]节奏总纲!AA19</f>
        <v>6.7464937970860506E-2</v>
      </c>
      <c r="AC19" s="107">
        <v>16</v>
      </c>
      <c r="AD19" s="107">
        <f>[1]节奏总纲!AD19</f>
        <v>40.870795385807064</v>
      </c>
      <c r="AE19" s="107">
        <f>[1]节奏总纲!AE19</f>
        <v>42.707142308553742</v>
      </c>
      <c r="AF19" s="107">
        <f>[1]节奏总纲!AF19</f>
        <v>45.343250058486468</v>
      </c>
      <c r="AG19" s="107">
        <f>[1]节奏总纲!AG19</f>
        <v>49.654306534727205</v>
      </c>
      <c r="AH19" s="107">
        <f>[1]节奏总纲!AH19</f>
        <v>58.12511610143563</v>
      </c>
      <c r="AL19" s="107">
        <v>16</v>
      </c>
      <c r="AM19" s="107">
        <f>[1]节奏总纲!AM19</f>
        <v>2.5387719203926467</v>
      </c>
      <c r="AN19" s="107">
        <f>[1]节奏总纲!AN19</f>
        <v>2.0310175363141174</v>
      </c>
      <c r="AO19" s="107">
        <f>[1]节奏总纲!AO19</f>
        <v>1.5232631522355879</v>
      </c>
      <c r="AP19" s="107">
        <f>[1]节奏总纲!AP19</f>
        <v>1.0155087681570587</v>
      </c>
      <c r="AQ19" s="107">
        <f>[1]节奏总纲!AQ19</f>
        <v>0.50775438407852935</v>
      </c>
      <c r="AS19" s="107">
        <v>16</v>
      </c>
      <c r="AT19" s="107">
        <f>[1]节奏总纲!AT19</f>
        <v>0.43877192039264656</v>
      </c>
      <c r="AU19" s="107">
        <f>[1]节奏总纲!AU19</f>
        <v>0.35101753631411725</v>
      </c>
      <c r="AV19" s="107">
        <f>[1]节奏总纲!AV19</f>
        <v>0.26326315223558794</v>
      </c>
      <c r="AW19" s="107">
        <f>[1]节奏总纲!AW19</f>
        <v>0.17550876815705863</v>
      </c>
      <c r="AX19" s="107">
        <f>[1]节奏总纲!AX19</f>
        <v>8.7754384078529313E-2</v>
      </c>
      <c r="AY19" s="107"/>
      <c r="AZ19" s="107">
        <v>16</v>
      </c>
      <c r="BA19" s="107">
        <f>[1]节奏总纲!BA19</f>
        <v>26.504690687123308</v>
      </c>
      <c r="BB19" s="107">
        <f>[1]节奏总纲!BB19</f>
        <v>27.863030247590562</v>
      </c>
      <c r="BC19" s="107">
        <f>[1]节奏总纲!BC19</f>
        <v>29.606265091548554</v>
      </c>
      <c r="BD19" s="107">
        <f>[1]节奏总纲!BD19</f>
        <v>32.113552950216736</v>
      </c>
      <c r="BE19" s="107">
        <f>[1]节奏总纲!BE19</f>
        <v>36.526331209747774</v>
      </c>
    </row>
    <row r="20" spans="2:57" x14ac:dyDescent="0.15">
      <c r="F20" s="125">
        <f>[1]节奏总纲!F20</f>
        <v>18</v>
      </c>
      <c r="G20" s="125">
        <f>[1]节奏总纲!G20</f>
        <v>2.4822022531844965</v>
      </c>
      <c r="I20" s="125">
        <f>[1]节奏总纲!I20</f>
        <v>18</v>
      </c>
      <c r="J20" s="125">
        <f>[1]节奏总纲!J20</f>
        <v>3.671491735587451</v>
      </c>
      <c r="K20" s="125">
        <f>[1]节奏总纲!K20</f>
        <v>0.66</v>
      </c>
      <c r="N20" s="115">
        <f>[1]节奏总纲!N20</f>
        <v>27</v>
      </c>
      <c r="O20" s="107">
        <v>17</v>
      </c>
      <c r="P20" s="107">
        <f>[1]节奏总纲!P20</f>
        <v>2.2490095854249419</v>
      </c>
      <c r="Q20" s="107">
        <f>[1]节奏总纲!Q20</f>
        <v>1.9433691827656923</v>
      </c>
      <c r="R20" s="107">
        <f>[1]节奏总纲!R20</f>
        <v>1.5904995788125189</v>
      </c>
      <c r="S20" s="107">
        <f>[1]节奏总纲!S20</f>
        <v>1.1742079045503622</v>
      </c>
      <c r="T20" s="107">
        <f>[1]节奏总纲!T20</f>
        <v>0.65311238360740309</v>
      </c>
      <c r="V20" s="107">
        <v>17</v>
      </c>
      <c r="W20" s="107">
        <f>[1]节奏总纲!W20</f>
        <v>0.21757645240414591</v>
      </c>
      <c r="X20" s="107">
        <f>[1]节奏总纲!X20</f>
        <v>0.18475751950958919</v>
      </c>
      <c r="Y20" s="107">
        <f>[1]节奏总纲!Y20</f>
        <v>0.1506197741273787</v>
      </c>
      <c r="Z20" s="107">
        <f>[1]节奏总纲!Z20</f>
        <v>0.11237780592039193</v>
      </c>
      <c r="AA20" s="107">
        <f>[1]节奏总纲!AA20</f>
        <v>5.8511905572216083E-2</v>
      </c>
      <c r="AC20" s="107">
        <v>17</v>
      </c>
      <c r="AD20" s="107">
        <f>[1]节奏总纲!AD20</f>
        <v>41.691928656135218</v>
      </c>
      <c r="AE20" s="107">
        <f>[1]节奏总纲!AE20</f>
        <v>43.535389560453282</v>
      </c>
      <c r="AF20" s="107">
        <f>[1]节奏总纲!AF20</f>
        <v>46.195785611164197</v>
      </c>
      <c r="AG20" s="107">
        <f>[1]节奏总纲!AG20</f>
        <v>50.510850036206186</v>
      </c>
      <c r="AH20" s="107">
        <f>[1]节奏总纲!AH20</f>
        <v>58.996855914896834</v>
      </c>
      <c r="AL20" s="107">
        <v>17</v>
      </c>
      <c r="AM20" s="107">
        <f>[1]节奏总纲!AM20</f>
        <v>3.0579402515786085</v>
      </c>
      <c r="AN20" s="107">
        <f>[1]节奏总纲!AN20</f>
        <v>2.4463522012628869</v>
      </c>
      <c r="AO20" s="107">
        <f>[1]节奏总纲!AO20</f>
        <v>1.8347641509471651</v>
      </c>
      <c r="AP20" s="107">
        <f>[1]节奏总纲!AP20</f>
        <v>1.2231761006314434</v>
      </c>
      <c r="AQ20" s="107">
        <f>[1]节奏总纲!AQ20</f>
        <v>0.61158805031572172</v>
      </c>
      <c r="AS20" s="107">
        <v>17</v>
      </c>
      <c r="AT20" s="107">
        <f>[1]节奏总纲!AT20</f>
        <v>0.51916833118596184</v>
      </c>
      <c r="AU20" s="107">
        <f>[1]节奏总纲!AU20</f>
        <v>0.41533466494876947</v>
      </c>
      <c r="AV20" s="107">
        <f>[1]节奏总纲!AV20</f>
        <v>0.3115009987115771</v>
      </c>
      <c r="AW20" s="107">
        <f>[1]节奏总纲!AW20</f>
        <v>0.20766733247438474</v>
      </c>
      <c r="AX20" s="107">
        <f>[1]节奏总纲!AX20</f>
        <v>0.10383366623719237</v>
      </c>
      <c r="AY20" s="107"/>
      <c r="AZ20" s="107">
        <v>17</v>
      </c>
      <c r="BA20" s="107">
        <f>[1]节奏总纲!BA20</f>
        <v>26.881584971473956</v>
      </c>
      <c r="BB20" s="107">
        <f>[1]节奏总纲!BB20</f>
        <v>28.225778459464117</v>
      </c>
      <c r="BC20" s="107">
        <f>[1]节奏总纲!BC20</f>
        <v>29.996101634569786</v>
      </c>
      <c r="BD20" s="107">
        <f>[1]节奏总纲!BD20</f>
        <v>32.477877425165822</v>
      </c>
      <c r="BE20" s="107">
        <f>[1]节奏总纲!BE20</f>
        <v>36.947184852926306</v>
      </c>
    </row>
    <row r="21" spans="2:57" x14ac:dyDescent="0.15">
      <c r="F21" s="125">
        <f>[1]节奏总纲!F21</f>
        <v>19</v>
      </c>
      <c r="G21" s="125">
        <f>[1]节奏总纲!G21</f>
        <v>2.7321319661472296</v>
      </c>
      <c r="I21" s="125">
        <f>[1]节奏总纲!I21</f>
        <v>19</v>
      </c>
      <c r="J21" s="125">
        <f>[1]节奏总纲!J21</f>
        <v>4.3957950643309154</v>
      </c>
      <c r="K21" s="125">
        <f>[1]节奏总纲!K21</f>
        <v>0.68</v>
      </c>
      <c r="N21" s="115">
        <f>[1]节奏总纲!N21</f>
        <v>28</v>
      </c>
      <c r="O21" s="107">
        <v>18</v>
      </c>
      <c r="P21" s="107">
        <f>[1]节奏总纲!P21</f>
        <v>2.4822022531844965</v>
      </c>
      <c r="Q21" s="107">
        <f>[1]节奏总纲!Q21</f>
        <v>2.1515729130603214</v>
      </c>
      <c r="R21" s="107">
        <f>[1]节奏总纲!R21</f>
        <v>1.7690655458445907</v>
      </c>
      <c r="S21" s="107">
        <f>[1]节奏总纲!S21</f>
        <v>1.3066312660763189</v>
      </c>
      <c r="T21" s="107">
        <f>[1]节奏总纲!T21</f>
        <v>0.72554771860582834</v>
      </c>
      <c r="V21" s="107">
        <v>18</v>
      </c>
      <c r="W21" s="107">
        <f>[1]节奏总纲!W21</f>
        <v>0.23319266775955461</v>
      </c>
      <c r="X21" s="107">
        <f>[1]节奏总纲!X21</f>
        <v>0.20820373029462913</v>
      </c>
      <c r="Y21" s="107">
        <f>[1]节奏总纲!Y21</f>
        <v>0.17856596703207184</v>
      </c>
      <c r="Z21" s="107">
        <f>[1]节奏总纲!Z21</f>
        <v>0.13242336152595668</v>
      </c>
      <c r="AA21" s="107">
        <f>[1]节奏总纲!AA21</f>
        <v>7.2435334998425249E-2</v>
      </c>
      <c r="AC21" s="107">
        <v>18</v>
      </c>
      <c r="AD21" s="107">
        <f>[1]节奏总纲!AD21</f>
        <v>42.470630686057078</v>
      </c>
      <c r="AE21" s="107">
        <f>[1]节奏总纲!AE21</f>
        <v>44.32123076997032</v>
      </c>
      <c r="AF21" s="107">
        <f>[1]节奏总纲!AF21</f>
        <v>47.002405448181747</v>
      </c>
      <c r="AG21" s="107">
        <f>[1]节奏总纲!AG21</f>
        <v>51.307235833425089</v>
      </c>
      <c r="AH21" s="107">
        <f>[1]节奏总纲!AH21</f>
        <v>59.782901351568675</v>
      </c>
      <c r="AL21" s="107">
        <v>18</v>
      </c>
      <c r="AM21" s="107">
        <f>[1]节奏总纲!AM21</f>
        <v>3.671491735587451</v>
      </c>
      <c r="AN21" s="107">
        <f>[1]节奏总纲!AN21</f>
        <v>2.9371933884699608</v>
      </c>
      <c r="AO21" s="107">
        <f>[1]节奏总纲!AO21</f>
        <v>2.2028950413524706</v>
      </c>
      <c r="AP21" s="107">
        <f>[1]节奏总纲!AP21</f>
        <v>1.4685966942349804</v>
      </c>
      <c r="AQ21" s="107">
        <f>[1]节奏总纲!AQ21</f>
        <v>0.7342983471174902</v>
      </c>
      <c r="AS21" s="107">
        <v>18</v>
      </c>
      <c r="AT21" s="107">
        <f>[1]节奏总纲!AT21</f>
        <v>0.61355148400884252</v>
      </c>
      <c r="AU21" s="107">
        <f>[1]节奏总纲!AU21</f>
        <v>0.49084118720707393</v>
      </c>
      <c r="AV21" s="107">
        <f>[1]节奏总纲!AV21</f>
        <v>0.36813089040530556</v>
      </c>
      <c r="AW21" s="107">
        <f>[1]节奏总纲!AW21</f>
        <v>0.24542059360353696</v>
      </c>
      <c r="AX21" s="107">
        <f>[1]节奏总纲!AX21</f>
        <v>0.12271029680176848</v>
      </c>
      <c r="AY21" s="107"/>
      <c r="AZ21" s="107">
        <v>18</v>
      </c>
      <c r="BA21" s="107">
        <f>[1]节奏总纲!BA21</f>
        <v>27.220371931959619</v>
      </c>
      <c r="BB21" s="107">
        <f>[1]节奏总纲!BB21</f>
        <v>28.568390277483555</v>
      </c>
      <c r="BC21" s="107">
        <f>[1]节奏总纲!BC21</f>
        <v>30.329493925593439</v>
      </c>
      <c r="BD21" s="107">
        <f>[1]节奏总纲!BD21</f>
        <v>32.842201900114915</v>
      </c>
      <c r="BE21" s="107">
        <f>[1]节奏总纲!BE21</f>
        <v>37.317457773889828</v>
      </c>
    </row>
    <row r="22" spans="2:57" x14ac:dyDescent="0.15">
      <c r="B22" s="170" t="s">
        <v>200</v>
      </c>
      <c r="C22" s="170"/>
      <c r="D22" s="170"/>
      <c r="F22" s="125">
        <f>[1]节奏总纲!F22</f>
        <v>20</v>
      </c>
      <c r="G22" s="125">
        <f>[1]节奏总纲!G22</f>
        <v>3</v>
      </c>
      <c r="I22" s="125">
        <f>[1]节奏总纲!I22</f>
        <v>20</v>
      </c>
      <c r="J22" s="125">
        <f>[1]节奏总纲!J22</f>
        <v>5.25</v>
      </c>
      <c r="K22" s="125">
        <f>[1]节奏总纲!K22</f>
        <v>0.7</v>
      </c>
      <c r="N22" s="115">
        <f>[1]节奏总纲!N22</f>
        <v>29</v>
      </c>
      <c r="O22" s="107">
        <v>19</v>
      </c>
      <c r="P22" s="107">
        <f>[1]节奏总纲!P22</f>
        <v>2.7321319661472296</v>
      </c>
      <c r="Q22" s="107">
        <f>[1]节奏总纲!Q22</f>
        <v>2.3734030389920986</v>
      </c>
      <c r="R22" s="107">
        <f>[1]节奏总纲!R22</f>
        <v>1.9510154370257367</v>
      </c>
      <c r="S22" s="107">
        <f>[1]节奏总纲!S22</f>
        <v>1.4395603329629754</v>
      </c>
      <c r="T22" s="107">
        <f>[1]节奏总纲!T22</f>
        <v>0.80270037165405606</v>
      </c>
      <c r="V22" s="107">
        <v>19</v>
      </c>
      <c r="W22" s="107">
        <f>[1]节奏总纲!W22</f>
        <v>0.24992971296273314</v>
      </c>
      <c r="X22" s="107">
        <f>[1]节奏总纲!X22</f>
        <v>0.2218301259317772</v>
      </c>
      <c r="Y22" s="107">
        <f>[1]节奏总纲!Y22</f>
        <v>0.18194989118114591</v>
      </c>
      <c r="Z22" s="107">
        <f>[1]节奏总纲!Z22</f>
        <v>0.13292906688665651</v>
      </c>
      <c r="AA22" s="107">
        <f>[1]节奏总纲!AA22</f>
        <v>7.7152653048227715E-2</v>
      </c>
      <c r="AC22" s="107">
        <v>19</v>
      </c>
      <c r="AD22" s="107">
        <f>[1]节奏总纲!AD22</f>
        <v>43.213386604241784</v>
      </c>
      <c r="AE22" s="107">
        <f>[1]节奏总纲!AE22</f>
        <v>45.070782602372333</v>
      </c>
      <c r="AF22" s="107">
        <f>[1]节奏总纲!AF22</f>
        <v>47.752799438858894</v>
      </c>
      <c r="AG22" s="107">
        <f>[1]节奏总纲!AG22</f>
        <v>52.050057424983954</v>
      </c>
      <c r="AH22" s="107">
        <f>[1]节奏总纲!AH22</f>
        <v>60.54585273688761</v>
      </c>
      <c r="AL22" s="107">
        <v>19</v>
      </c>
      <c r="AM22" s="107">
        <f>[1]节奏总纲!AM22</f>
        <v>4.3957950643309154</v>
      </c>
      <c r="AN22" s="107">
        <f>[1]节奏总纲!AN22</f>
        <v>3.5166360514647326</v>
      </c>
      <c r="AO22" s="107">
        <f>[1]节奏总纲!AO22</f>
        <v>2.6374770385985493</v>
      </c>
      <c r="AP22" s="107">
        <f>[1]节奏总纲!AP22</f>
        <v>1.7583180257323663</v>
      </c>
      <c r="AQ22" s="107">
        <f>[1]节奏总纲!AQ22</f>
        <v>0.87915901286618314</v>
      </c>
      <c r="AS22" s="107">
        <v>19</v>
      </c>
      <c r="AT22" s="107">
        <f>[1]节奏总纲!AT22</f>
        <v>0.72430332874346437</v>
      </c>
      <c r="AU22" s="107">
        <f>[1]节奏总纲!AU22</f>
        <v>0.57944266299477176</v>
      </c>
      <c r="AV22" s="107">
        <f>[1]节奏总纲!AV22</f>
        <v>0.43458199724607871</v>
      </c>
      <c r="AW22" s="107">
        <f>[1]节奏总纲!AW22</f>
        <v>0.28972133149738588</v>
      </c>
      <c r="AX22" s="107">
        <f>[1]节奏总纲!AX22</f>
        <v>0.14486066574869294</v>
      </c>
      <c r="AY22" s="107"/>
      <c r="AZ22" s="107">
        <v>19</v>
      </c>
      <c r="BA22" s="107">
        <f>[1]节奏总纲!BA22</f>
        <v>27.541701089775092</v>
      </c>
      <c r="BB22" s="107">
        <f>[1]节奏总纲!BB22</f>
        <v>28.911002095502997</v>
      </c>
      <c r="BC22" s="107">
        <f>[1]节奏总纲!BC22</f>
        <v>30.662316072657521</v>
      </c>
      <c r="BD22" s="107">
        <f>[1]节奏总纲!BD22</f>
        <v>33.176527924103851</v>
      </c>
      <c r="BE22" s="107">
        <f>[1]节奏总纲!BE22</f>
        <v>37.680472138177471</v>
      </c>
    </row>
    <row r="23" spans="2:57" x14ac:dyDescent="0.15">
      <c r="B23" s="107" t="s">
        <v>398</v>
      </c>
      <c r="C23" s="107" t="s">
        <v>210</v>
      </c>
      <c r="D23" s="107" t="s">
        <v>211</v>
      </c>
      <c r="F23" s="125">
        <f>[1]节奏总纲!F23</f>
        <v>21</v>
      </c>
      <c r="G23" s="125">
        <f>[1]节奏总纲!G23</f>
        <v>3.2870938501451725</v>
      </c>
      <c r="I23" s="125">
        <f>[1]节奏总纲!I23</f>
        <v>21</v>
      </c>
      <c r="J23" s="125">
        <f>[1]节奏总纲!J23</f>
        <v>6.2565025247829205</v>
      </c>
      <c r="K23" s="125">
        <f>[1]节奏总纲!K23</f>
        <v>0.72</v>
      </c>
      <c r="N23" s="115">
        <f>[1]节奏总纲!N23</f>
        <v>30</v>
      </c>
      <c r="O23" s="107">
        <v>20</v>
      </c>
      <c r="P23" s="107">
        <f>[1]节奏总纲!P23</f>
        <v>3</v>
      </c>
      <c r="Q23" s="107">
        <f>[1]节奏总纲!Q23</f>
        <v>2.6036999999999999</v>
      </c>
      <c r="R23" s="107">
        <f>[1]节奏总纲!R23</f>
        <v>2.1372</v>
      </c>
      <c r="S23" s="107">
        <f>[1]节奏总纲!S23</f>
        <v>1.5800999999999998</v>
      </c>
      <c r="T23" s="107">
        <f>[1]节奏总纲!T23</f>
        <v>0.87990000000000002</v>
      </c>
      <c r="V23" s="107">
        <v>20</v>
      </c>
      <c r="W23" s="107">
        <f>[1]节奏总纲!W23</f>
        <v>0.26786803385277036</v>
      </c>
      <c r="X23" s="107">
        <f>[1]节奏总纲!X23</f>
        <v>0.23029696100790131</v>
      </c>
      <c r="Y23" s="107">
        <f>[1]节奏总纲!Y23</f>
        <v>0.18618456297426333</v>
      </c>
      <c r="Z23" s="107">
        <f>[1]节奏总纲!Z23</f>
        <v>0.14053966703702447</v>
      </c>
      <c r="AA23" s="107">
        <f>[1]节奏总纲!AA23</f>
        <v>7.719962834594396E-2</v>
      </c>
      <c r="AC23" s="107">
        <v>20</v>
      </c>
      <c r="AD23" s="107">
        <f>[1]节奏总纲!AD23</f>
        <v>43.920692243099523</v>
      </c>
      <c r="AE23" s="107">
        <f>[1]节奏总纲!AE23</f>
        <v>45.780025086357675</v>
      </c>
      <c r="AF23" s="107">
        <f>[1]节奏总纲!AF23</f>
        <v>48.482447528152484</v>
      </c>
      <c r="AG23" s="107">
        <f>[1]节奏总纲!AG23</f>
        <v>52.769987980532711</v>
      </c>
      <c r="AH23" s="107">
        <f>[1]节奏总纲!AH23</f>
        <v>61.261422558944936</v>
      </c>
      <c r="AL23" s="107">
        <v>20</v>
      </c>
      <c r="AM23" s="107">
        <f>[1]节奏总纲!AM23</f>
        <v>5.25</v>
      </c>
      <c r="AN23" s="107">
        <f>[1]节奏总纲!AN23</f>
        <v>4.2</v>
      </c>
      <c r="AO23" s="107">
        <f>[1]节奏总纲!AO23</f>
        <v>3.15</v>
      </c>
      <c r="AP23" s="107">
        <f>[1]节奏总纲!AP23</f>
        <v>2.1</v>
      </c>
      <c r="AQ23" s="107">
        <f>[1]节奏总纲!AQ23</f>
        <v>1.05</v>
      </c>
      <c r="AS23" s="107">
        <v>20</v>
      </c>
      <c r="AT23" s="107">
        <f>[1]节奏总纲!AT23</f>
        <v>0.85420493566908462</v>
      </c>
      <c r="AU23" s="107">
        <f>[1]节奏总纲!AU23</f>
        <v>0.68336394853526761</v>
      </c>
      <c r="AV23" s="107">
        <f>[1]节奏总纲!AV23</f>
        <v>0.51252296140145059</v>
      </c>
      <c r="AW23" s="107">
        <f>[1]节奏总纲!AW23</f>
        <v>0.3416819742676338</v>
      </c>
      <c r="AX23" s="107">
        <f>[1]节奏总纲!AX23</f>
        <v>0.1708409871338169</v>
      </c>
      <c r="AY23" s="107"/>
      <c r="AZ23" s="107">
        <v>20</v>
      </c>
      <c r="BA23" s="107">
        <f>[1]节奏总纲!BA23</f>
        <v>27.863030247590562</v>
      </c>
      <c r="BB23" s="107">
        <f>[1]节奏总纲!BB23</f>
        <v>29.216428548527322</v>
      </c>
      <c r="BC23" s="107">
        <f>[1]节奏总纲!BC23</f>
        <v>30.995138219721603</v>
      </c>
      <c r="BD23" s="107">
        <f>[1]节奏总纲!BD23</f>
        <v>33.487933395889513</v>
      </c>
      <c r="BE23" s="107">
        <f>[1]节奏总纲!BE23</f>
        <v>38.037513426486328</v>
      </c>
    </row>
    <row r="24" spans="2:57" x14ac:dyDescent="0.15">
      <c r="B24" s="125">
        <f>[1]节奏总纲!B24</f>
        <v>5</v>
      </c>
      <c r="C24" s="125">
        <f>[1]节奏总纲!C24</f>
        <v>0.5</v>
      </c>
      <c r="D24" s="125">
        <f>[1]节奏总纲!D24</f>
        <v>0.5</v>
      </c>
      <c r="F24" s="125">
        <f>[1]节奏总纲!F24</f>
        <v>22</v>
      </c>
      <c r="G24" s="125">
        <f>[1]节奏总纲!G24</f>
        <v>3.5947934199881395</v>
      </c>
      <c r="I24" s="125">
        <f>[1]节奏总纲!I24</f>
        <v>22</v>
      </c>
      <c r="J24" s="125">
        <f>[1]节奏总纲!J24</f>
        <v>7.4414868317755332</v>
      </c>
      <c r="K24" s="125">
        <f>[1]节奏总纲!K24</f>
        <v>0.74</v>
      </c>
      <c r="N24" s="115">
        <f>[1]节奏总纲!N24</f>
        <v>31</v>
      </c>
      <c r="O24" s="107">
        <v>21</v>
      </c>
      <c r="P24" s="107">
        <f>[1]节奏总纲!P24</f>
        <v>3.2870938501451725</v>
      </c>
      <c r="Q24" s="107">
        <f>[1]节奏总纲!Q24</f>
        <v>2.8518826243859516</v>
      </c>
      <c r="R24" s="107">
        <f>[1]节奏总纲!R24</f>
        <v>2.3466562996186386</v>
      </c>
      <c r="S24" s="107">
        <f>[1]节奏总纲!S24</f>
        <v>1.7365716810316947</v>
      </c>
      <c r="T24" s="107">
        <f>[1]节奏总纲!T24</f>
        <v>0.97166494210291288</v>
      </c>
      <c r="V24" s="107">
        <v>21</v>
      </c>
      <c r="W24" s="107">
        <f>[1]节奏总纲!W24</f>
        <v>0.28709385014517252</v>
      </c>
      <c r="X24" s="107">
        <f>[1]节奏总纲!X24</f>
        <v>0.24818262438595173</v>
      </c>
      <c r="Y24" s="107">
        <f>[1]节奏总纲!Y24</f>
        <v>0.20945629961863865</v>
      </c>
      <c r="Z24" s="107">
        <f>[1]节奏总纲!Z24</f>
        <v>0.15647168103169484</v>
      </c>
      <c r="AA24" s="107">
        <f>[1]节奏总纲!AA24</f>
        <v>9.1764942102912861E-2</v>
      </c>
      <c r="AC24" s="107">
        <v>21</v>
      </c>
      <c r="AD24" s="107">
        <f>[1]节奏总纲!AD24</f>
        <v>44.585942742481357</v>
      </c>
      <c r="AE24" s="107">
        <f>[1]节奏总纲!AE24</f>
        <v>46.455967430551723</v>
      </c>
      <c r="AF24" s="107">
        <f>[1]节奏总纲!AF24</f>
        <v>49.18886033229559</v>
      </c>
      <c r="AG24" s="107">
        <f>[1]节奏总纲!AG24</f>
        <v>53.471660769826336</v>
      </c>
      <c r="AH24" s="107">
        <f>[1]节奏总纲!AH24</f>
        <v>61.918453772109508</v>
      </c>
      <c r="AL24" s="107">
        <v>21</v>
      </c>
      <c r="AM24" s="107">
        <f>[1]节奏总纲!AM24</f>
        <v>6.2565025247829205</v>
      </c>
      <c r="AN24" s="107">
        <f>[1]节奏总纲!AN24</f>
        <v>5.0052020198263367</v>
      </c>
      <c r="AO24" s="107">
        <f>[1]节奏总纲!AO24</f>
        <v>3.7539015148697521</v>
      </c>
      <c r="AP24" s="107">
        <f>[1]节奏总纲!AP24</f>
        <v>2.5026010099131684</v>
      </c>
      <c r="AQ24" s="107">
        <f>[1]节奏总纲!AQ24</f>
        <v>1.2513005049565842</v>
      </c>
      <c r="AS24" s="107">
        <v>21</v>
      </c>
      <c r="AT24" s="107">
        <f>[1]节奏总纲!AT24</f>
        <v>1.0065025247829205</v>
      </c>
      <c r="AU24" s="107">
        <f>[1]节奏总纲!AU24</f>
        <v>0.80520201982633655</v>
      </c>
      <c r="AV24" s="107">
        <f>[1]节奏总纲!AV24</f>
        <v>0.60390151486975219</v>
      </c>
      <c r="AW24" s="107">
        <f>[1]节奏总纲!AW24</f>
        <v>0.40260100991316827</v>
      </c>
      <c r="AX24" s="107">
        <f>[1]节奏总纲!AX24</f>
        <v>0.20130050495658414</v>
      </c>
      <c r="AY24" s="107"/>
      <c r="AZ24" s="107">
        <v>21</v>
      </c>
      <c r="BA24" s="107">
        <f>[1]节奏总纲!BA24</f>
        <v>28.157256095860227</v>
      </c>
      <c r="BB24" s="107">
        <f>[1]节奏总纲!BB24</f>
        <v>29.508805955793246</v>
      </c>
      <c r="BC24" s="107">
        <f>[1]节奏总纲!BC24</f>
        <v>31.280110398778046</v>
      </c>
      <c r="BD24" s="107">
        <f>[1]节奏总纲!BD24</f>
        <v>33.799338867675175</v>
      </c>
      <c r="BE24" s="107">
        <f>[1]节奏总纲!BE24</f>
        <v>38.35066605767593</v>
      </c>
    </row>
    <row r="25" spans="2:57" x14ac:dyDescent="0.15">
      <c r="B25" s="125">
        <f>[1]节奏总纲!B25</f>
        <v>10</v>
      </c>
      <c r="C25" s="125">
        <f>[1]节奏总纲!C25</f>
        <v>1.5</v>
      </c>
      <c r="D25" s="125">
        <f>[1]节奏总纲!D25</f>
        <v>1</v>
      </c>
      <c r="F25" s="125">
        <f>[1]节奏总纲!F25</f>
        <v>23</v>
      </c>
      <c r="G25" s="125">
        <f>[1]节奏总纲!G25</f>
        <v>3.9245776533796644</v>
      </c>
      <c r="I25" s="125">
        <f>[1]节奏总纲!I25</f>
        <v>23</v>
      </c>
      <c r="J25" s="125">
        <f>[1]节奏总纲!J25</f>
        <v>8.8355567243832152</v>
      </c>
      <c r="K25" s="125">
        <f>[1]节奏总纲!K25</f>
        <v>0.76</v>
      </c>
      <c r="N25" s="115">
        <f>[1]节奏总纲!N25</f>
        <v>32</v>
      </c>
      <c r="O25" s="107">
        <v>22</v>
      </c>
      <c r="P25" s="107">
        <f>[1]节奏总纲!P25</f>
        <v>3.5947934199881395</v>
      </c>
      <c r="Q25" s="107">
        <f>[1]节奏总纲!Q25</f>
        <v>3.124234961311692</v>
      </c>
      <c r="R25" s="107">
        <f>[1]节奏总纲!R25</f>
        <v>2.5749505267375046</v>
      </c>
      <c r="S25" s="107">
        <f>[1]节奏总纲!S25</f>
        <v>1.9077568679877055</v>
      </c>
      <c r="T25" s="107">
        <f>[1]节奏总纲!T25</f>
        <v>1.0687320837624739</v>
      </c>
      <c r="V25" s="107">
        <v>22</v>
      </c>
      <c r="W25" s="107">
        <f>[1]节奏总纲!W25</f>
        <v>0.30769956984296698</v>
      </c>
      <c r="X25" s="107">
        <f>[1]节奏总纲!X25</f>
        <v>0.27235233692574035</v>
      </c>
      <c r="Y25" s="107">
        <f>[1]节奏总纲!Y25</f>
        <v>0.22829422711886593</v>
      </c>
      <c r="Z25" s="107">
        <f>[1]节奏总纲!Z25</f>
        <v>0.17118518695601082</v>
      </c>
      <c r="AA25" s="107">
        <f>[1]节奏总纲!AA25</f>
        <v>9.7067141659560985E-2</v>
      </c>
      <c r="AC25" s="107">
        <v>22</v>
      </c>
      <c r="AD25" s="107">
        <f>[1]节奏总纲!AD25</f>
        <v>45.229416240679988</v>
      </c>
      <c r="AE25" s="107">
        <f>[1]节奏总纲!AE25</f>
        <v>47.110426931480873</v>
      </c>
      <c r="AF25" s="107">
        <f>[1]节奏总纲!AF25</f>
        <v>49.861837738505173</v>
      </c>
      <c r="AG25" s="107">
        <f>[1]节奏总纲!AG25</f>
        <v>54.15637358335789</v>
      </c>
      <c r="AH25" s="107">
        <f>[1]节奏总纲!AH25</f>
        <v>62.555781631668886</v>
      </c>
      <c r="AL25" s="107">
        <v>22</v>
      </c>
      <c r="AM25" s="107">
        <f>[1]节奏总纲!AM25</f>
        <v>7.4414868317755332</v>
      </c>
      <c r="AN25" s="107">
        <f>[1]节奏总纲!AN25</f>
        <v>5.9531894654204267</v>
      </c>
      <c r="AO25" s="107">
        <f>[1]节奏总纲!AO25</f>
        <v>4.4648920990653194</v>
      </c>
      <c r="AP25" s="107">
        <f>[1]节奏总纲!AP25</f>
        <v>2.9765947327102134</v>
      </c>
      <c r="AQ25" s="107">
        <f>[1]节奏总纲!AQ25</f>
        <v>1.4882973663551067</v>
      </c>
      <c r="AS25" s="107">
        <v>22</v>
      </c>
      <c r="AT25" s="107">
        <f>[1]节奏总纲!AT25</f>
        <v>1.1849843069926127</v>
      </c>
      <c r="AU25" s="107">
        <f>[1]节奏总纲!AU25</f>
        <v>0.94798744559408998</v>
      </c>
      <c r="AV25" s="107">
        <f>[1]节奏总纲!AV25</f>
        <v>0.71099058419556727</v>
      </c>
      <c r="AW25" s="107">
        <f>[1]节奏总纲!AW25</f>
        <v>0.47399372279704499</v>
      </c>
      <c r="AX25" s="107">
        <f>[1]节奏总纲!AX25</f>
        <v>0.2369968613985225</v>
      </c>
      <c r="AY25" s="107"/>
      <c r="AZ25" s="107">
        <v>22</v>
      </c>
      <c r="BA25" s="107">
        <f>[1]节奏总纲!BA25</f>
        <v>28.431345550275779</v>
      </c>
      <c r="BB25" s="107">
        <f>[1]节奏总纲!BB25</f>
        <v>29.80118336305917</v>
      </c>
      <c r="BC25" s="107">
        <f>[1]节奏总纲!BC25</f>
        <v>31.564373235931193</v>
      </c>
      <c r="BD25" s="107">
        <f>[1]节奏总纲!BD25</f>
        <v>34.09469189131628</v>
      </c>
      <c r="BE25" s="107">
        <f>[1]节奏总纲!BE25</f>
        <v>38.663818688865533</v>
      </c>
    </row>
    <row r="26" spans="2:57" x14ac:dyDescent="0.15">
      <c r="B26" s="125">
        <f>[1]节奏总纲!B26</f>
        <v>15</v>
      </c>
      <c r="C26" s="125">
        <f>[1]节奏总纲!C26</f>
        <v>3.5</v>
      </c>
      <c r="D26" s="125">
        <f>[1]节奏总纲!D26</f>
        <v>2</v>
      </c>
      <c r="F26" s="125">
        <f>[1]节奏总纲!F26</f>
        <v>24</v>
      </c>
      <c r="G26" s="125">
        <f>[1]节奏总纲!G26</f>
        <v>4.2780316430915768</v>
      </c>
      <c r="I26" s="125">
        <f>[1]节奏总纲!I26</f>
        <v>24</v>
      </c>
      <c r="J26" s="125">
        <f>[1]节奏总纲!J26</f>
        <v>10.47447102993563</v>
      </c>
      <c r="K26" s="125">
        <f>[1]节奏总纲!K26</f>
        <v>0.78</v>
      </c>
      <c r="N26" s="115">
        <f>[1]节奏总纲!N26</f>
        <v>33</v>
      </c>
      <c r="O26" s="107">
        <v>23</v>
      </c>
      <c r="P26" s="107">
        <f>[1]节奏总纲!P26</f>
        <v>3.9245776533796644</v>
      </c>
      <c r="Q26" s="107">
        <f>[1]节奏总纲!Q26</f>
        <v>3.4081032341949005</v>
      </c>
      <c r="R26" s="107">
        <f>[1]节奏总纲!R26</f>
        <v>2.8064654799317976</v>
      </c>
      <c r="S26" s="107">
        <f>[1]节奏总纲!S26</f>
        <v>2.0796336985258841</v>
      </c>
      <c r="T26" s="107">
        <f>[1]节奏总纲!T26</f>
        <v>1.1608900698697047</v>
      </c>
      <c r="V26" s="107">
        <v>23</v>
      </c>
      <c r="W26" s="107">
        <f>[1]节奏总纲!W26</f>
        <v>0.32978423339152485</v>
      </c>
      <c r="X26" s="107">
        <f>[1]节奏总纲!X26</f>
        <v>0.28386827288320848</v>
      </c>
      <c r="Y26" s="107">
        <f>[1]节奏总纲!Y26</f>
        <v>0.23151495319429305</v>
      </c>
      <c r="Z26" s="107">
        <f>[1]节奏总纲!Z26</f>
        <v>0.17187683053817859</v>
      </c>
      <c r="AA26" s="107">
        <f>[1]节奏总纲!AA26</f>
        <v>9.2157986107230805E-2</v>
      </c>
      <c r="AC26" s="107">
        <v>23</v>
      </c>
      <c r="AD26" s="107">
        <f>[1]节奏总纲!AD26</f>
        <v>45.845161563010116</v>
      </c>
      <c r="AE26" s="107">
        <f>[1]节奏总纲!AE26</f>
        <v>47.734594805743399</v>
      </c>
      <c r="AF26" s="107">
        <f>[1]节奏总纲!AF26</f>
        <v>50.503430607741265</v>
      </c>
      <c r="AG26" s="107">
        <f>[1]节奏总纲!AG26</f>
        <v>54.814188287451351</v>
      </c>
      <c r="AH26" s="107">
        <f>[1]节奏总纲!AH26</f>
        <v>63.182677965405439</v>
      </c>
      <c r="AL26" s="107">
        <v>23</v>
      </c>
      <c r="AM26" s="107">
        <f>[1]节奏总纲!AM26</f>
        <v>8.8355567243832152</v>
      </c>
      <c r="AN26" s="107">
        <f>[1]节奏总纲!AN26</f>
        <v>7.0684453795065725</v>
      </c>
      <c r="AO26" s="107">
        <f>[1]节奏总纲!AO26</f>
        <v>5.3013340346299289</v>
      </c>
      <c r="AP26" s="107">
        <f>[1]节奏总纲!AP26</f>
        <v>3.5342226897532862</v>
      </c>
      <c r="AQ26" s="107">
        <f>[1]节奏总纲!AQ26</f>
        <v>1.7671113448766431</v>
      </c>
      <c r="AS26" s="107">
        <v>23</v>
      </c>
      <c r="AT26" s="107">
        <f>[1]节奏总纲!AT26</f>
        <v>1.394069892607682</v>
      </c>
      <c r="AU26" s="107">
        <f>[1]节奏总纲!AU26</f>
        <v>1.1152559140861458</v>
      </c>
      <c r="AV26" s="107">
        <f>[1]节奏总纲!AV26</f>
        <v>0.83644193556460955</v>
      </c>
      <c r="AW26" s="107">
        <f>[1]节奏总纲!AW26</f>
        <v>0.55762795704307289</v>
      </c>
      <c r="AX26" s="107">
        <f>[1]节奏总纲!AX26</f>
        <v>0.27881397852153644</v>
      </c>
      <c r="AY26" s="107"/>
      <c r="AZ26" s="107">
        <v>23</v>
      </c>
      <c r="BA26" s="107">
        <f>[1]节奏总纲!BA26</f>
        <v>28.705435004691331</v>
      </c>
      <c r="BB26" s="107">
        <f>[1]节奏总纲!BB26</f>
        <v>30.079877315295377</v>
      </c>
      <c r="BC26" s="107">
        <f>[1]节奏总纲!BC26</f>
        <v>31.848636073084339</v>
      </c>
      <c r="BD26" s="107">
        <f>[1]节奏总纲!BD26</f>
        <v>34.360958982105608</v>
      </c>
      <c r="BE26" s="107">
        <f>[1]节奏总纲!BE26</f>
        <v>38.976971320055128</v>
      </c>
    </row>
    <row r="27" spans="2:57" x14ac:dyDescent="0.15">
      <c r="B27" s="125">
        <f>[1]节奏总纲!B27</f>
        <v>20</v>
      </c>
      <c r="C27" s="125">
        <f>[1]节奏总纲!C27</f>
        <v>7.5</v>
      </c>
      <c r="D27" s="125">
        <f>[1]节奏总纲!D27</f>
        <v>4</v>
      </c>
      <c r="F27" s="125">
        <f>[1]节奏总纲!F27</f>
        <v>25</v>
      </c>
      <c r="G27" s="125">
        <f>[1]节奏总纲!G27</f>
        <v>4.6568542494923806</v>
      </c>
      <c r="I27" s="125">
        <f>[1]节奏总纲!I27</f>
        <v>25</v>
      </c>
      <c r="J27" s="125">
        <f>[1]节奏总纲!J27</f>
        <v>12.4</v>
      </c>
      <c r="K27" s="125">
        <f>[1]节奏总纲!K27</f>
        <v>0.8</v>
      </c>
      <c r="N27" s="115">
        <f>[1]节奏总纲!N27</f>
        <v>34</v>
      </c>
      <c r="O27" s="107">
        <v>24</v>
      </c>
      <c r="P27" s="107">
        <f>[1]节奏总纲!P27</f>
        <v>4.2780316430915768</v>
      </c>
      <c r="Q27" s="107">
        <f>[1]节奏总纲!Q27</f>
        <v>3.7214597263253628</v>
      </c>
      <c r="R27" s="107">
        <f>[1]节奏总纲!R27</f>
        <v>3.0699155070825155</v>
      </c>
      <c r="S27" s="107">
        <f>[1]节奏总纲!S27</f>
        <v>2.2742016214674821</v>
      </c>
      <c r="T27" s="107">
        <f>[1]节奏总纲!T27</f>
        <v>1.2692919885052709</v>
      </c>
      <c r="V27" s="107">
        <v>24</v>
      </c>
      <c r="W27" s="107">
        <f>[1]节奏总纲!W27</f>
        <v>0.35345398971191244</v>
      </c>
      <c r="X27" s="107">
        <f>[1]节奏总纲!X27</f>
        <v>0.31335649213046235</v>
      </c>
      <c r="Y27" s="107">
        <f>[1]节奏总纲!Y27</f>
        <v>0.26345002715071786</v>
      </c>
      <c r="Z27" s="107">
        <f>[1]节奏总纲!Z27</f>
        <v>0.19456792294159797</v>
      </c>
      <c r="AA27" s="107">
        <f>[1]节奏总纲!AA27</f>
        <v>0.10840191863556625</v>
      </c>
      <c r="AC27" s="107">
        <v>24</v>
      </c>
      <c r="AD27" s="107">
        <f>[1]节奏总纲!AD27</f>
        <v>46.430041330048923</v>
      </c>
      <c r="AE27" s="107">
        <f>[1]节奏总纲!AE27</f>
        <v>48.330142263709867</v>
      </c>
      <c r="AF27" s="107">
        <f>[1]节奏总纲!AF27</f>
        <v>51.118578408701396</v>
      </c>
      <c r="AG27" s="107">
        <f>[1]节奏总纲!AG27</f>
        <v>55.44072585486321</v>
      </c>
      <c r="AH27" s="107">
        <f>[1]节奏总纲!AH27</f>
        <v>63.791742872142052</v>
      </c>
      <c r="AL27" s="107">
        <v>24</v>
      </c>
      <c r="AM27" s="107">
        <f>[1]节奏总纲!AM27</f>
        <v>10.47447102993563</v>
      </c>
      <c r="AN27" s="107">
        <f>[1]节奏总纲!AN27</f>
        <v>8.3795768239485042</v>
      </c>
      <c r="AO27" s="107">
        <f>[1]节奏总纲!AO27</f>
        <v>6.2846826179613782</v>
      </c>
      <c r="AP27" s="107">
        <f>[1]节奏总纲!AP27</f>
        <v>4.1897884119742521</v>
      </c>
      <c r="AQ27" s="107">
        <f>[1]节奏总纲!AQ27</f>
        <v>2.0948942059871261</v>
      </c>
      <c r="AS27" s="107">
        <v>24</v>
      </c>
      <c r="AT27" s="107">
        <f>[1]节奏总纲!AT27</f>
        <v>1.6389143055524151</v>
      </c>
      <c r="AU27" s="107">
        <f>[1]节奏总纲!AU27</f>
        <v>1.3111314444419317</v>
      </c>
      <c r="AV27" s="107">
        <f>[1]节奏总纲!AV27</f>
        <v>0.98334858333144926</v>
      </c>
      <c r="AW27" s="107">
        <f>[1]节奏总纲!AW27</f>
        <v>0.65556572222096587</v>
      </c>
      <c r="AX27" s="107">
        <f>[1]节奏总纲!AX27</f>
        <v>0.32778286111048294</v>
      </c>
      <c r="AY27" s="107"/>
      <c r="AZ27" s="107">
        <v>24</v>
      </c>
      <c r="BA27" s="107">
        <f>[1]节奏总纲!BA27</f>
        <v>28.979524459106884</v>
      </c>
      <c r="BB27" s="107">
        <f>[1]节奏总纲!BB27</f>
        <v>30.329493925593439</v>
      </c>
      <c r="BC27" s="107">
        <f>[1]节奏总纲!BC27</f>
        <v>32.113552950216736</v>
      </c>
      <c r="BD27" s="107">
        <f>[1]节奏总纲!BD27</f>
        <v>34.627226072894942</v>
      </c>
      <c r="BE27" s="107">
        <f>[1]节奏总纲!BE27</f>
        <v>39.250296194358178</v>
      </c>
    </row>
    <row r="28" spans="2:57" x14ac:dyDescent="0.15">
      <c r="B28" s="125">
        <f>[1]节奏总纲!B28</f>
        <v>25</v>
      </c>
      <c r="C28" s="125">
        <f>[1]节奏总纲!C28</f>
        <v>15.5</v>
      </c>
      <c r="D28" s="125">
        <f>[1]节奏总纲!D28</f>
        <v>8</v>
      </c>
      <c r="F28" s="125">
        <f>[1]节奏总纲!F28</f>
        <v>26</v>
      </c>
      <c r="G28" s="125">
        <f>[1]节奏总纲!G28</f>
        <v>5.062866266041592</v>
      </c>
      <c r="I28" s="125">
        <f>[1]节奏总纲!I28</f>
        <v>26</v>
      </c>
      <c r="J28" s="125">
        <f>[1]节奏总纲!J28</f>
        <v>14.6609224175611</v>
      </c>
      <c r="K28" s="125">
        <f>[1]节奏总纲!K28</f>
        <v>0.82</v>
      </c>
      <c r="N28" s="115">
        <f>[1]节奏总纲!N28</f>
        <v>35</v>
      </c>
      <c r="O28" s="107">
        <v>25</v>
      </c>
      <c r="P28" s="107">
        <f>[1]节奏总纲!P28</f>
        <v>4.6568542494923806</v>
      </c>
      <c r="Q28" s="107">
        <f>[1]节奏总纲!Q28</f>
        <v>4.054257309608067</v>
      </c>
      <c r="R28" s="107">
        <f>[1]节奏总纲!R28</f>
        <v>3.3445527219854276</v>
      </c>
      <c r="S28" s="107">
        <f>[1]节奏总纲!S28</f>
        <v>2.478377831579845</v>
      </c>
      <c r="T28" s="107">
        <f>[1]节奏总纲!T28</f>
        <v>1.3802915995495415</v>
      </c>
      <c r="V28" s="107">
        <v>25</v>
      </c>
      <c r="W28" s="107">
        <f>[1]节奏总纲!W28</f>
        <v>0.37882260640080379</v>
      </c>
      <c r="X28" s="107">
        <f>[1]节奏总纲!X28</f>
        <v>0.33279758328270415</v>
      </c>
      <c r="Y28" s="107">
        <f>[1]节奏总纲!Y28</f>
        <v>0.27463721490291215</v>
      </c>
      <c r="Z28" s="107">
        <f>[1]节奏总纲!Z28</f>
        <v>0.20417621011236298</v>
      </c>
      <c r="AA28" s="107">
        <f>[1]节奏总纲!AA28</f>
        <v>0.11099961104427059</v>
      </c>
      <c r="AC28" s="107">
        <v>25</v>
      </c>
      <c r="AD28" s="107">
        <f>[1]节奏总纲!AD28</f>
        <v>47.004247194324648</v>
      </c>
      <c r="AE28" s="107">
        <f>[1]节奏总纲!AE28</f>
        <v>48.904516930942819</v>
      </c>
      <c r="AF28" s="107">
        <f>[1]节奏总纲!AF28</f>
        <v>51.667220029142385</v>
      </c>
      <c r="AG28" s="107">
        <f>[1]节奏总纲!AG28</f>
        <v>56.05100027504308</v>
      </c>
      <c r="AH28" s="107">
        <f>[1]节奏总纲!AH28</f>
        <v>64.398425477456215</v>
      </c>
      <c r="AL28" s="107">
        <v>25</v>
      </c>
      <c r="AM28" s="107">
        <f>[1]节奏总纲!AM28</f>
        <v>12.4</v>
      </c>
      <c r="AN28" s="107">
        <f>[1]节奏总纲!AN28</f>
        <v>9.9200000000000017</v>
      </c>
      <c r="AO28" s="107">
        <f>[1]节奏总纲!AO28</f>
        <v>7.4399999999999995</v>
      </c>
      <c r="AP28" s="107">
        <f>[1]节奏总纲!AP28</f>
        <v>4.9600000000000009</v>
      </c>
      <c r="AQ28" s="107">
        <f>[1]节奏总纲!AQ28</f>
        <v>2.4800000000000004</v>
      </c>
      <c r="AS28" s="107">
        <v>25</v>
      </c>
      <c r="AT28" s="107">
        <f>[1]节奏总纲!AT28</f>
        <v>1.9255289700643701</v>
      </c>
      <c r="AU28" s="107">
        <f>[1]节奏总纲!AU28</f>
        <v>1.5404231760514975</v>
      </c>
      <c r="AV28" s="107">
        <f>[1]节奏总纲!AV28</f>
        <v>1.1553173820386213</v>
      </c>
      <c r="AW28" s="107">
        <f>[1]节奏总纲!AW28</f>
        <v>0.77021158802574874</v>
      </c>
      <c r="AX28" s="107">
        <f>[1]节奏总纲!AX28</f>
        <v>0.38510579401287437</v>
      </c>
      <c r="AY28" s="107"/>
      <c r="AZ28" s="107">
        <v>25</v>
      </c>
      <c r="BA28" s="107">
        <f>[1]节奏总纲!BA28</f>
        <v>29.216428548527322</v>
      </c>
      <c r="BB28" s="107">
        <f>[1]节奏总纲!BB28</f>
        <v>30.579110535891502</v>
      </c>
      <c r="BC28" s="107">
        <f>[1]节奏总纲!BC28</f>
        <v>32.356435933516131</v>
      </c>
      <c r="BD28" s="107">
        <f>[1]节奏总纲!BD28</f>
        <v>34.893493163684269</v>
      </c>
      <c r="BE28" s="107">
        <f>[1]节奏总纲!BE28</f>
        <v>39.520459727922798</v>
      </c>
    </row>
    <row r="29" spans="2:57" x14ac:dyDescent="0.15">
      <c r="B29" s="125">
        <f>[1]节奏总纲!B29</f>
        <v>30</v>
      </c>
      <c r="C29" s="125">
        <f>[1]节奏总纲!C29</f>
        <v>31.5</v>
      </c>
      <c r="D29" s="125">
        <f>[1]节奏总纲!D29</f>
        <v>16</v>
      </c>
      <c r="F29" s="125">
        <f>[1]节奏总纲!F29</f>
        <v>27</v>
      </c>
      <c r="G29" s="125">
        <f>[1]节奏总纲!G29</f>
        <v>5.4980191708498847</v>
      </c>
      <c r="I29" s="125">
        <f>[1]节奏总纲!I29</f>
        <v>27</v>
      </c>
      <c r="J29" s="125">
        <f>[1]节奏总纲!J29</f>
        <v>17.314186320787698</v>
      </c>
      <c r="K29" s="125">
        <f>[1]节奏总纲!K29</f>
        <v>0.84</v>
      </c>
      <c r="N29" s="115">
        <f>[1]节奏总纲!N29</f>
        <v>36</v>
      </c>
      <c r="O29" s="107">
        <v>26</v>
      </c>
      <c r="P29" s="107">
        <f>[1]节奏总纲!P29</f>
        <v>5.062866266041592</v>
      </c>
      <c r="Q29" s="107">
        <f>[1]节奏总纲!Q29</f>
        <v>4.408743944469018</v>
      </c>
      <c r="R29" s="107">
        <f>[1]节奏总纲!R29</f>
        <v>3.63716312552428</v>
      </c>
      <c r="S29" s="107">
        <f>[1]节奏总纲!S29</f>
        <v>2.6914197070277099</v>
      </c>
      <c r="T29" s="107">
        <f>[1]节奏总纲!T29</f>
        <v>1.4996209880015197</v>
      </c>
      <c r="V29" s="107">
        <v>26</v>
      </c>
      <c r="W29" s="107">
        <f>[1]节奏总纲!W29</f>
        <v>0.40601201654921137</v>
      </c>
      <c r="X29" s="107">
        <f>[1]节奏总纲!X29</f>
        <v>0.354486634860951</v>
      </c>
      <c r="Y29" s="107">
        <f>[1]节奏总纲!Y29</f>
        <v>0.29261040353885237</v>
      </c>
      <c r="Z29" s="107">
        <f>[1]节奏总纲!Z29</f>
        <v>0.2130418754478649</v>
      </c>
      <c r="AA29" s="107">
        <f>[1]节奏总纲!AA29</f>
        <v>0.11932938845197816</v>
      </c>
      <c r="AC29" s="107">
        <v>26</v>
      </c>
      <c r="AD29" s="107">
        <f>[1]节奏总纲!AD29</f>
        <v>47.540284631526092</v>
      </c>
      <c r="AE29" s="107">
        <f>[1]节奏总纲!AE29</f>
        <v>49.446133440059114</v>
      </c>
      <c r="AF29" s="107">
        <f>[1]节奏总纲!AF29</f>
        <v>52.199341027338768</v>
      </c>
      <c r="AG29" s="107">
        <f>[1]节奏总纲!AG29</f>
        <v>56.621068614050692</v>
      </c>
      <c r="AH29" s="107">
        <f>[1]节奏总纲!AH29</f>
        <v>65.00344105132713</v>
      </c>
      <c r="AL29" s="107">
        <v>26</v>
      </c>
      <c r="AM29" s="107">
        <f>[1]节奏总纲!AM29</f>
        <v>14.6609224175611</v>
      </c>
      <c r="AN29" s="107">
        <f>[1]节奏总纲!AN29</f>
        <v>11.72873793404888</v>
      </c>
      <c r="AO29" s="107">
        <f>[1]节奏总纲!AO29</f>
        <v>8.7965534505366598</v>
      </c>
      <c r="AP29" s="107">
        <f>[1]节奏总纲!AP29</f>
        <v>5.8643689670244399</v>
      </c>
      <c r="AQ29" s="107">
        <f>[1]节奏总纲!AQ29</f>
        <v>2.9321844835122199</v>
      </c>
      <c r="AS29" s="107">
        <v>26</v>
      </c>
      <c r="AT29" s="107">
        <f>[1]节奏总纲!AT29</f>
        <v>2.2609224175610994</v>
      </c>
      <c r="AU29" s="107">
        <f>[1]节奏总纲!AU29</f>
        <v>1.8087379340488781</v>
      </c>
      <c r="AV29" s="107">
        <f>[1]节奏总纲!AV29</f>
        <v>1.3565534505366603</v>
      </c>
      <c r="AW29" s="107">
        <f>[1]节奏总纲!AW29</f>
        <v>0.90436896702443903</v>
      </c>
      <c r="AX29" s="107">
        <f>[1]节奏总纲!AX29</f>
        <v>0.45218448351221951</v>
      </c>
      <c r="AY29" s="107"/>
      <c r="AZ29" s="107">
        <v>26</v>
      </c>
      <c r="BA29" s="107">
        <f>[1]节奏总纲!BA29</f>
        <v>29.45033047434006</v>
      </c>
      <c r="BB29" s="107">
        <f>[1]节奏总纲!BB29</f>
        <v>30.828727146189561</v>
      </c>
      <c r="BC29" s="107">
        <f>[1]节奏总纲!BC29</f>
        <v>32.59931891681552</v>
      </c>
      <c r="BD29" s="107">
        <f>[1]节奏总纲!BD29</f>
        <v>35.146386283795508</v>
      </c>
      <c r="BE29" s="107">
        <f>[1]节奏总纲!BE29</f>
        <v>39.790623261487418</v>
      </c>
    </row>
    <row r="30" spans="2:57" x14ac:dyDescent="0.15">
      <c r="B30" s="125">
        <f>[1]节奏总纲!B30</f>
        <v>35</v>
      </c>
      <c r="C30" s="125">
        <f>[1]节奏总纲!C30</f>
        <v>63.5</v>
      </c>
      <c r="D30" s="125">
        <f>[1]节奏总纲!D30</f>
        <v>32</v>
      </c>
      <c r="F30" s="125">
        <f>[1]节奏总纲!F30</f>
        <v>28</v>
      </c>
      <c r="G30" s="125">
        <f>[1]节奏总纲!G30</f>
        <v>5.9644045063689921</v>
      </c>
      <c r="I30" s="125">
        <f>[1]节奏总纲!I30</f>
        <v>28</v>
      </c>
      <c r="J30" s="125">
        <f>[1]节奏总纲!J30</f>
        <v>20.42625995518307</v>
      </c>
      <c r="K30" s="125">
        <f>[1]节奏总纲!K30</f>
        <v>0.86</v>
      </c>
      <c r="N30" s="115">
        <f>[1]节奏总纲!N30</f>
        <v>37</v>
      </c>
      <c r="O30" s="107">
        <v>27</v>
      </c>
      <c r="P30" s="107">
        <f>[1]节奏总纲!P30</f>
        <v>5.4980191708498847</v>
      </c>
      <c r="Q30" s="107">
        <f>[1]节奏总纲!Q30</f>
        <v>4.7882248958931646</v>
      </c>
      <c r="R30" s="107">
        <f>[1]节奏总纲!R30</f>
        <v>3.9492271704214725</v>
      </c>
      <c r="S30" s="107">
        <f>[1]节奏总纲!S30</f>
        <v>2.9205477835554587</v>
      </c>
      <c r="T30" s="107">
        <f>[1]节奏总纲!T30</f>
        <v>1.6290630803228208</v>
      </c>
      <c r="V30" s="107">
        <v>27</v>
      </c>
      <c r="W30" s="107">
        <f>[1]节奏总纲!W30</f>
        <v>0.43515290480829272</v>
      </c>
      <c r="X30" s="107">
        <f>[1]节奏总纲!X30</f>
        <v>0.37948095142414662</v>
      </c>
      <c r="Y30" s="107">
        <f>[1]节奏总纲!Y30</f>
        <v>0.31206404489719253</v>
      </c>
      <c r="Z30" s="107">
        <f>[1]节奏总纲!Z30</f>
        <v>0.2291280765277488</v>
      </c>
      <c r="AA30" s="107">
        <f>[1]节奏总纲!AA30</f>
        <v>0.12944209232130111</v>
      </c>
      <c r="AC30" s="107">
        <v>27</v>
      </c>
      <c r="AD30" s="107">
        <f>[1]节奏总纲!AD30</f>
        <v>48.071211008105138</v>
      </c>
      <c r="AE30" s="107">
        <f>[1]节奏总纲!AE30</f>
        <v>49.981218513907905</v>
      </c>
      <c r="AF30" s="107">
        <f>[1]节奏总纲!AF30</f>
        <v>52.705993248660157</v>
      </c>
      <c r="AG30" s="107">
        <f>[1]节奏总纲!AG30</f>
        <v>57.175765669822162</v>
      </c>
      <c r="AH30" s="107">
        <f>[1]节奏总纲!AH30</f>
        <v>65.541743280100334</v>
      </c>
      <c r="AL30" s="107">
        <v>27</v>
      </c>
      <c r="AM30" s="107">
        <f>[1]节奏总纲!AM30</f>
        <v>17.314186320787698</v>
      </c>
      <c r="AN30" s="107">
        <f>[1]节奏总纲!AN30</f>
        <v>13.851349056630159</v>
      </c>
      <c r="AO30" s="107">
        <f>[1]节奏总纲!AO30</f>
        <v>10.388511792472618</v>
      </c>
      <c r="AP30" s="107">
        <f>[1]节奏总纲!AP30</f>
        <v>6.9256745283150796</v>
      </c>
      <c r="AQ30" s="107">
        <f>[1]节奏总纲!AQ30</f>
        <v>3.4628372641575398</v>
      </c>
      <c r="AS30" s="107">
        <v>27</v>
      </c>
      <c r="AT30" s="107">
        <f>[1]节奏总纲!AT30</f>
        <v>2.6532639032265983</v>
      </c>
      <c r="AU30" s="107">
        <f>[1]节奏总纲!AU30</f>
        <v>2.1226111225812794</v>
      </c>
      <c r="AV30" s="107">
        <f>[1]节奏总纲!AV30</f>
        <v>1.5919583419359586</v>
      </c>
      <c r="AW30" s="107">
        <f>[1]节奏总纲!AW30</f>
        <v>1.0613055612906397</v>
      </c>
      <c r="AX30" s="107">
        <f>[1]节奏总纲!AX30</f>
        <v>0.53065278064531984</v>
      </c>
      <c r="AY30" s="107"/>
      <c r="AZ30" s="107">
        <v>27</v>
      </c>
      <c r="BA30" s="107">
        <f>[1]节奏总纲!BA30</f>
        <v>29.684232400152801</v>
      </c>
      <c r="BB30" s="107">
        <f>[1]节奏总纲!BB30</f>
        <v>31.066913270913183</v>
      </c>
      <c r="BC30" s="107">
        <f>[1]节奏总纲!BC30</f>
        <v>32.842201900114915</v>
      </c>
      <c r="BD30" s="107">
        <f>[1]节奏总纲!BD30</f>
        <v>35.390363423454687</v>
      </c>
      <c r="BE30" s="107">
        <f>[1]节奏总纲!BE30</f>
        <v>40.052446592012309</v>
      </c>
    </row>
    <row r="31" spans="2:57" x14ac:dyDescent="0.15">
      <c r="B31" s="125">
        <f>[1]节奏总纲!B31</f>
        <v>40</v>
      </c>
      <c r="C31" s="125">
        <f>[1]节奏总纲!C31</f>
        <v>127.5</v>
      </c>
      <c r="D31" s="125">
        <f>[1]节奏总纲!D31</f>
        <v>64</v>
      </c>
      <c r="F31" s="125">
        <f>[1]节奏总纲!F31</f>
        <v>29</v>
      </c>
      <c r="G31" s="125">
        <f>[1]节奏总纲!G31</f>
        <v>6.4642639322944575</v>
      </c>
      <c r="I31" s="125">
        <f>[1]节奏总纲!I31</f>
        <v>29</v>
      </c>
      <c r="J31" s="125">
        <f>[1]节奏总纲!J31</f>
        <v>24.074703862418847</v>
      </c>
      <c r="K31" s="125">
        <f>[1]节奏总纲!K31</f>
        <v>0.88</v>
      </c>
      <c r="N31" s="115">
        <f>[1]节奏总纲!N31</f>
        <v>38</v>
      </c>
      <c r="O31" s="107">
        <v>28</v>
      </c>
      <c r="P31" s="107">
        <f>[1]节奏总纲!P31</f>
        <v>5.9644045063689921</v>
      </c>
      <c r="Q31" s="107">
        <f>[1]节奏总纲!Q31</f>
        <v>5.1914176823435705</v>
      </c>
      <c r="R31" s="107">
        <f>[1]节奏总纲!R31</f>
        <v>4.2752851501652938</v>
      </c>
      <c r="S31" s="107">
        <f>[1]节奏总纲!S31</f>
        <v>3.1653094715300236</v>
      </c>
      <c r="T31" s="107">
        <f>[1]节奏总纲!T31</f>
        <v>1.7738139001941382</v>
      </c>
      <c r="V31" s="107">
        <v>28</v>
      </c>
      <c r="W31" s="107">
        <f>[1]节奏总纲!W31</f>
        <v>0.46638533551910744</v>
      </c>
      <c r="X31" s="107">
        <f>[1]节奏总纲!X31</f>
        <v>0.4031927864504059</v>
      </c>
      <c r="Y31" s="107">
        <f>[1]节奏总纲!Y31</f>
        <v>0.32605797974382122</v>
      </c>
      <c r="Z31" s="107">
        <f>[1]节奏总纲!Z31</f>
        <v>0.24476168797456488</v>
      </c>
      <c r="AA31" s="107">
        <f>[1]节奏总纲!AA31</f>
        <v>0.14475081987131744</v>
      </c>
      <c r="AC31" s="107">
        <v>28</v>
      </c>
      <c r="AD31" s="107">
        <f>[1]节奏总纲!AD31</f>
        <v>48.571351621712928</v>
      </c>
      <c r="AE31" s="107">
        <f>[1]节奏总纲!AE31</f>
        <v>50.509688493127967</v>
      </c>
      <c r="AF31" s="107">
        <f>[1]节奏总纲!AF31</f>
        <v>53.212684955585161</v>
      </c>
      <c r="AG31" s="107">
        <f>[1]节奏总纲!AG31</f>
        <v>57.699988965458331</v>
      </c>
      <c r="AH31" s="107">
        <f>[1]节奏总纲!AH31</f>
        <v>66.076345334947405</v>
      </c>
      <c r="AL31" s="107">
        <v>28</v>
      </c>
      <c r="AM31" s="107">
        <f>[1]节奏总纲!AM31</f>
        <v>20.42625995518307</v>
      </c>
      <c r="AN31" s="107">
        <f>[1]节奏总纲!AN31</f>
        <v>16.341007964146456</v>
      </c>
      <c r="AO31" s="107">
        <f>[1]节奏总纲!AO31</f>
        <v>12.255755973109842</v>
      </c>
      <c r="AP31" s="107">
        <f>[1]节奏总纲!AP31</f>
        <v>8.1705039820732281</v>
      </c>
      <c r="AQ31" s="107">
        <f>[1]节奏总纲!AQ31</f>
        <v>4.0852519910366141</v>
      </c>
      <c r="AS31" s="107">
        <v>28</v>
      </c>
      <c r="AT31" s="107">
        <f>[1]节奏总纲!AT31</f>
        <v>3.1120736343953723</v>
      </c>
      <c r="AU31" s="107">
        <f>[1]节奏总纲!AU31</f>
        <v>2.4896589075162971</v>
      </c>
      <c r="AV31" s="107">
        <f>[1]节奏总纲!AV31</f>
        <v>1.8672441806372237</v>
      </c>
      <c r="AW31" s="107">
        <f>[1]节奏总纲!AW31</f>
        <v>1.2448294537581486</v>
      </c>
      <c r="AX31" s="107">
        <f>[1]节奏总纲!AX31</f>
        <v>0.62241472687907429</v>
      </c>
      <c r="AY31" s="107"/>
      <c r="AZ31" s="107">
        <v>28</v>
      </c>
      <c r="BA31" s="107">
        <f>[1]节奏总纲!BA31</f>
        <v>29.918134325965539</v>
      </c>
      <c r="BB31" s="107">
        <f>[1]节奏总纲!BB31</f>
        <v>31.280110398778046</v>
      </c>
      <c r="BC31" s="107">
        <f>[1]节奏总纲!BC31</f>
        <v>33.072726100175295</v>
      </c>
      <c r="BD31" s="107">
        <f>[1]节奏总纲!BD31</f>
        <v>35.634340563113874</v>
      </c>
      <c r="BE31" s="107">
        <f>[1]节奏总纲!BE31</f>
        <v>40.28554255651148</v>
      </c>
    </row>
    <row r="32" spans="2:57" x14ac:dyDescent="0.15">
      <c r="B32" s="125">
        <f>[1]节奏总纲!B32</f>
        <v>45</v>
      </c>
      <c r="C32" s="125">
        <f>[1]节奏总纲!C32</f>
        <v>255.5</v>
      </c>
      <c r="D32" s="125">
        <f>[1]节奏总纲!D32</f>
        <v>128</v>
      </c>
      <c r="F32" s="125">
        <f>[1]节奏总纲!F32</f>
        <v>30</v>
      </c>
      <c r="G32" s="125">
        <f>[1]节奏总纲!G32</f>
        <v>7</v>
      </c>
      <c r="I32" s="125">
        <f>[1]节奏总纲!I32</f>
        <v>30</v>
      </c>
      <c r="J32" s="125">
        <f>[1]节奏总纲!J32</f>
        <v>28.35</v>
      </c>
      <c r="K32" s="125">
        <f>[1]节奏总纲!K32</f>
        <v>0.9</v>
      </c>
      <c r="N32" s="115">
        <f>[1]节奏总纲!N32</f>
        <v>39</v>
      </c>
      <c r="O32" s="107">
        <v>29</v>
      </c>
      <c r="P32" s="107">
        <f>[1]节奏总纲!P32</f>
        <v>6.4642639322944575</v>
      </c>
      <c r="Q32" s="107">
        <f>[1]节奏总纲!Q32</f>
        <v>5.6323131642081607</v>
      </c>
      <c r="R32" s="107">
        <f>[1]节奏总纲!R32</f>
        <v>4.6510378992858623</v>
      </c>
      <c r="S32" s="107">
        <f>[1]节奏总纲!S32</f>
        <v>3.4532097926316991</v>
      </c>
      <c r="T32" s="107">
        <f>[1]节奏总纲!T32</f>
        <v>1.9366934741154194</v>
      </c>
      <c r="V32" s="107">
        <v>29</v>
      </c>
      <c r="W32" s="107">
        <f>[1]节奏总纲!W32</f>
        <v>0.49985942592546539</v>
      </c>
      <c r="X32" s="107">
        <f>[1]节奏总纲!X32</f>
        <v>0.44089548186459027</v>
      </c>
      <c r="Y32" s="107">
        <f>[1]节奏总纲!Y32</f>
        <v>0.37575274912056855</v>
      </c>
      <c r="Z32" s="107">
        <f>[1]节奏总纲!Z32</f>
        <v>0.28790032110167552</v>
      </c>
      <c r="AA32" s="107">
        <f>[1]节奏总纲!AA32</f>
        <v>0.16287957392128116</v>
      </c>
      <c r="AC32" s="107">
        <v>29</v>
      </c>
      <c r="AD32" s="107">
        <f>[1]节奏总纲!AD32</f>
        <v>49.066704614192936</v>
      </c>
      <c r="AE32" s="107">
        <f>[1]节奏总纲!AE32</f>
        <v>51.033341828534468</v>
      </c>
      <c r="AF32" s="107">
        <f>[1]节奏总纲!AF32</f>
        <v>53.719431255885922</v>
      </c>
      <c r="AG32" s="107">
        <f>[1]节奏总纲!AG32</f>
        <v>58.210135614815364</v>
      </c>
      <c r="AH32" s="107">
        <f>[1]节奏总纲!AH32</f>
        <v>66.589764070576265</v>
      </c>
      <c r="AL32" s="107">
        <v>29</v>
      </c>
      <c r="AM32" s="107">
        <f>[1]节奏总纲!AM32</f>
        <v>24.074703862418847</v>
      </c>
      <c r="AN32" s="107">
        <f>[1]节奏总纲!AN32</f>
        <v>19.259763089935078</v>
      </c>
      <c r="AO32" s="107">
        <f>[1]节奏总纲!AO32</f>
        <v>14.444822317451308</v>
      </c>
      <c r="AP32" s="107">
        <f>[1]节奏总纲!AP32</f>
        <v>9.6298815449675388</v>
      </c>
      <c r="AQ32" s="107">
        <f>[1]节奏总纲!AQ32</f>
        <v>4.8149407724837694</v>
      </c>
      <c r="AS32" s="107">
        <v>29</v>
      </c>
      <c r="AT32" s="107">
        <f>[1]节奏总纲!AT32</f>
        <v>3.6484439072357766</v>
      </c>
      <c r="AU32" s="107">
        <f>[1]节奏总纲!AU32</f>
        <v>2.9187551257886213</v>
      </c>
      <c r="AV32" s="107">
        <f>[1]节奏总纲!AV32</f>
        <v>2.189066344341466</v>
      </c>
      <c r="AW32" s="107">
        <f>[1]节奏总纲!AW32</f>
        <v>1.4593775628943106</v>
      </c>
      <c r="AX32" s="107">
        <f>[1]节奏总纲!AX32</f>
        <v>0.72968878144715532</v>
      </c>
      <c r="AY32" s="107"/>
      <c r="AZ32" s="107">
        <v>29</v>
      </c>
      <c r="BA32" s="107">
        <f>[1]节奏总纲!BA32</f>
        <v>30.12980063735499</v>
      </c>
      <c r="BB32" s="107">
        <f>[1]节奏总纲!BB32</f>
        <v>31.493307526642905</v>
      </c>
      <c r="BC32" s="107">
        <f>[1]节奏总纲!BC32</f>
        <v>33.280329748032408</v>
      </c>
      <c r="BD32" s="107">
        <f>[1]节奏总纲!BD32</f>
        <v>35.878317702773053</v>
      </c>
      <c r="BE32" s="107">
        <f>[1]节奏总纲!BE32</f>
        <v>40.518638521010644</v>
      </c>
    </row>
    <row r="33" spans="2:57" x14ac:dyDescent="0.15">
      <c r="B33" s="125">
        <f>[1]节奏总纲!B33</f>
        <v>50</v>
      </c>
      <c r="C33" s="125">
        <f>[1]节奏总纲!C33</f>
        <v>511.5</v>
      </c>
      <c r="D33" s="125">
        <f>[1]节奏总纲!D33</f>
        <v>256</v>
      </c>
      <c r="F33" s="125">
        <f>[1]节奏总纲!F33</f>
        <v>31</v>
      </c>
      <c r="G33" s="125">
        <f>[1]节奏总纲!G33</f>
        <v>7.5741877002903433</v>
      </c>
      <c r="I33" s="125">
        <f>[1]节奏总纲!I33</f>
        <v>31</v>
      </c>
      <c r="J33" s="125">
        <f>[1]节奏总纲!J33</f>
        <v>33.357679571112705</v>
      </c>
      <c r="K33" s="125">
        <f>[1]节奏总纲!K33</f>
        <v>0.92</v>
      </c>
      <c r="N33" s="115">
        <f>[1]节奏总纲!N33</f>
        <v>40</v>
      </c>
      <c r="O33" s="107">
        <v>30</v>
      </c>
      <c r="P33" s="107">
        <f>[1]节奏总纲!P33</f>
        <v>7</v>
      </c>
      <c r="Q33" s="107">
        <f>[1]节奏总纲!Q33</f>
        <v>6.1025999999999998</v>
      </c>
      <c r="R33" s="107">
        <f>[1]节奏总纲!R33</f>
        <v>5.0421000000000005</v>
      </c>
      <c r="S33" s="107">
        <f>[1]节奏总纲!S33</f>
        <v>3.7428999999999997</v>
      </c>
      <c r="T33" s="107">
        <f>[1]节奏总纲!T33</f>
        <v>2.1006999999999998</v>
      </c>
      <c r="V33" s="107">
        <v>30</v>
      </c>
      <c r="W33" s="107">
        <f>[1]节奏总纲!W33</f>
        <v>0.5357360677055425</v>
      </c>
      <c r="X33" s="107">
        <f>[1]节奏总纲!X33</f>
        <v>0.47028683579183905</v>
      </c>
      <c r="Y33" s="107">
        <f>[1]节奏总纲!Y33</f>
        <v>0.39106210071413816</v>
      </c>
      <c r="Z33" s="107">
        <f>[1]节奏总纲!Z33</f>
        <v>0.28969020736830053</v>
      </c>
      <c r="AA33" s="107">
        <f>[1]节奏总纲!AA33</f>
        <v>0.16400652588458042</v>
      </c>
      <c r="AC33" s="107">
        <v>30</v>
      </c>
      <c r="AD33" s="107">
        <f>[1]节奏总纲!AD33</f>
        <v>49.533352307096472</v>
      </c>
      <c r="AE33" s="107">
        <f>[1]节奏总纲!AE33</f>
        <v>51.497823295559343</v>
      </c>
      <c r="AF33" s="107">
        <f>[1]节奏总纲!AF33</f>
        <v>54.213705787583436</v>
      </c>
      <c r="AG33" s="107">
        <f>[1]节奏总纲!AG33</f>
        <v>58.701446767877648</v>
      </c>
      <c r="AH33" s="107">
        <f>[1]节奏总纲!AH33</f>
        <v>67.097551508592701</v>
      </c>
      <c r="AL33" s="107">
        <v>30</v>
      </c>
      <c r="AM33" s="107">
        <f>[1]节奏总纲!AM33</f>
        <v>28.35</v>
      </c>
      <c r="AN33" s="107">
        <f>[1]节奏总纲!AN33</f>
        <v>22.680000000000003</v>
      </c>
      <c r="AO33" s="107">
        <f>[1]节奏总纲!AO33</f>
        <v>17.010000000000002</v>
      </c>
      <c r="AP33" s="107">
        <f>[1]节奏总纲!AP33</f>
        <v>11.340000000000002</v>
      </c>
      <c r="AQ33" s="107">
        <f>[1]节奏总纲!AQ33</f>
        <v>5.6700000000000008</v>
      </c>
      <c r="AS33" s="107">
        <v>30</v>
      </c>
      <c r="AT33" s="107">
        <f>[1]节奏总纲!AT33</f>
        <v>4.2752961375811545</v>
      </c>
      <c r="AU33" s="107">
        <f>[1]节奏总纲!AU33</f>
        <v>3.4202369100649257</v>
      </c>
      <c r="AV33" s="107">
        <f>[1]节奏总纲!AV33</f>
        <v>2.5651776825486934</v>
      </c>
      <c r="AW33" s="107">
        <f>[1]节奏总纲!AW33</f>
        <v>1.7101184550324628</v>
      </c>
      <c r="AX33" s="107">
        <f>[1]节奏总纲!AX33</f>
        <v>0.85505922751623142</v>
      </c>
      <c r="AY33" s="107"/>
      <c r="AZ33" s="107">
        <v>30</v>
      </c>
      <c r="BA33" s="107">
        <f>[1]节奏总纲!BA33</f>
        <v>30.329493925593439</v>
      </c>
      <c r="BB33" s="107">
        <f>[1]节奏总纲!BB33</f>
        <v>31.706504654507764</v>
      </c>
      <c r="BC33" s="107">
        <f>[1]节奏总纲!BC33</f>
        <v>33.487933395889513</v>
      </c>
      <c r="BD33" s="107">
        <f>[1]节奏总纲!BD33</f>
        <v>36.105477566569242</v>
      </c>
      <c r="BE33" s="107">
        <f>[1]节奏总纲!BE33</f>
        <v>40.751734485509814</v>
      </c>
    </row>
    <row r="34" spans="2:57" x14ac:dyDescent="0.15">
      <c r="B34" s="125">
        <f>[1]节奏总纲!B34</f>
        <v>55</v>
      </c>
      <c r="C34" s="125">
        <f>[1]节奏总纲!C34</f>
        <v>1023.5</v>
      </c>
      <c r="D34" s="125">
        <f>[1]节奏总纲!D34</f>
        <v>512</v>
      </c>
      <c r="F34" s="125">
        <f>[1]节奏总纲!F34</f>
        <v>32</v>
      </c>
      <c r="G34" s="125">
        <f>[1]节奏总纲!G34</f>
        <v>8.189586839976279</v>
      </c>
      <c r="I34" s="125">
        <f>[1]节奏总纲!I34</f>
        <v>32</v>
      </c>
      <c r="J34" s="125">
        <f>[1]节奏总纲!J34</f>
        <v>39.220797956048642</v>
      </c>
      <c r="K34" s="125">
        <f>[1]节奏总纲!K34</f>
        <v>0.94</v>
      </c>
      <c r="N34" s="115">
        <f>[1]节奏总纲!N34</f>
        <v>41</v>
      </c>
      <c r="O34" s="107">
        <v>31</v>
      </c>
      <c r="P34" s="107">
        <f>[1]节奏总纲!P34</f>
        <v>7.5741877002903433</v>
      </c>
      <c r="Q34" s="107">
        <f>[1]节奏总纲!Q34</f>
        <v>6.6115084435834408</v>
      </c>
      <c r="R34" s="107">
        <f>[1]节奏总纲!R34</f>
        <v>5.4632615882194253</v>
      </c>
      <c r="S34" s="107">
        <f>[1]节奏总纲!S34</f>
        <v>4.052190419655334</v>
      </c>
      <c r="T34" s="107">
        <f>[1]节奏总纲!T34</f>
        <v>2.2783156602473356</v>
      </c>
      <c r="V34" s="107">
        <v>31</v>
      </c>
      <c r="W34" s="107">
        <f>[1]节奏总纲!W34</f>
        <v>0.57418770029034327</v>
      </c>
      <c r="X34" s="107">
        <f>[1]节奏总纲!X34</f>
        <v>0.50890844358344101</v>
      </c>
      <c r="Y34" s="107">
        <f>[1]节奏总纲!Y34</f>
        <v>0.42116158821942484</v>
      </c>
      <c r="Z34" s="107">
        <f>[1]节奏总纲!Z34</f>
        <v>0.30929041965533433</v>
      </c>
      <c r="AA34" s="107">
        <f>[1]节奏总纲!AA34</f>
        <v>0.17761566024733577</v>
      </c>
      <c r="AC34" s="107">
        <v>31</v>
      </c>
      <c r="AD34" s="107">
        <f>[1]节奏总纲!AD34</f>
        <v>50</v>
      </c>
      <c r="AE34" s="107">
        <f>[1]节奏总纲!AE34</f>
        <v>51.96230476258421</v>
      </c>
      <c r="AF34" s="107">
        <f>[1]节奏总纲!AF34</f>
        <v>54.692509339255828</v>
      </c>
      <c r="AG34" s="107">
        <f>[1]节奏总纲!AG34</f>
        <v>59.178112178215827</v>
      </c>
      <c r="AH34" s="107">
        <f>[1]节奏总纲!AH34</f>
        <v>67.582949939226467</v>
      </c>
      <c r="AL34" s="107">
        <v>31</v>
      </c>
      <c r="AM34" s="107">
        <f>[1]节奏总纲!AM34</f>
        <v>33.357679571112705</v>
      </c>
      <c r="AN34" s="107">
        <f>[1]节奏总纲!AN34</f>
        <v>26.686143656890167</v>
      </c>
      <c r="AO34" s="107">
        <f>[1]节奏总纲!AO34</f>
        <v>20.014607742667621</v>
      </c>
      <c r="AP34" s="107">
        <f>[1]节奏总纲!AP34</f>
        <v>13.343071828445083</v>
      </c>
      <c r="AQ34" s="107">
        <f>[1]节奏总纲!AQ34</f>
        <v>6.6715359142225417</v>
      </c>
      <c r="AS34" s="107">
        <v>31</v>
      </c>
      <c r="AT34" s="107">
        <f>[1]节奏总纲!AT34</f>
        <v>5.0076795711127033</v>
      </c>
      <c r="AU34" s="107">
        <f>[1]节奏总纲!AU34</f>
        <v>4.0061436568901634</v>
      </c>
      <c r="AV34" s="107">
        <f>[1]节奏总纲!AV34</f>
        <v>3.0046077426676199</v>
      </c>
      <c r="AW34" s="107">
        <f>[1]节奏总纲!AW34</f>
        <v>2.0030718284450817</v>
      </c>
      <c r="AX34" s="107">
        <f>[1]节奏总纲!AX34</f>
        <v>1.0015359142225408</v>
      </c>
      <c r="AY34" s="107"/>
      <c r="AZ34" s="107">
        <v>31</v>
      </c>
      <c r="BA34" s="107">
        <f>[1]节奏总纲!BA34</f>
        <v>30.529187213831889</v>
      </c>
      <c r="BB34" s="107">
        <f>[1]节奏总纲!BB34</f>
        <v>31.919701782372627</v>
      </c>
      <c r="BC34" s="107">
        <f>[1]节奏总纲!BC34</f>
        <v>33.695537043746626</v>
      </c>
      <c r="BD34" s="107">
        <f>[1]节奏总纲!BD34</f>
        <v>36.315904388158508</v>
      </c>
      <c r="BE34" s="107">
        <f>[1]节奏总纲!BE34</f>
        <v>40.984830450008978</v>
      </c>
    </row>
    <row r="35" spans="2:57" x14ac:dyDescent="0.15">
      <c r="B35" s="125">
        <f>[1]节奏总纲!B35</f>
        <v>60</v>
      </c>
      <c r="C35" s="125">
        <f>[1]节奏总纲!C35</f>
        <v>2047.5</v>
      </c>
      <c r="D35" s="125">
        <f>[1]节奏总纲!D35</f>
        <v>1024</v>
      </c>
      <c r="F35" s="125">
        <f>[1]节奏总纲!F35</f>
        <v>33</v>
      </c>
      <c r="G35" s="125">
        <f>[1]节奏总纲!G35</f>
        <v>8.8491553067593287</v>
      </c>
      <c r="I35" s="125">
        <f>[1]节奏总纲!I35</f>
        <v>33</v>
      </c>
      <c r="J35" s="125">
        <f>[1]节奏总纲!J35</f>
        <v>46.082812923199413</v>
      </c>
      <c r="K35" s="125">
        <f>[1]节奏总纲!K35</f>
        <v>0.96</v>
      </c>
      <c r="N35" s="115">
        <f>[1]节奏总纲!N35</f>
        <v>42</v>
      </c>
      <c r="O35" s="107">
        <v>32</v>
      </c>
      <c r="P35" s="107">
        <f>[1]节奏总纲!P35</f>
        <v>8.189586839976279</v>
      </c>
      <c r="Q35" s="107">
        <f>[1]节奏总纲!Q35</f>
        <v>7.1519661873512845</v>
      </c>
      <c r="R35" s="107">
        <f>[1]节奏总纲!R35</f>
        <v>5.906330028990892</v>
      </c>
      <c r="S35" s="107">
        <f>[1]节奏总纲!S35</f>
        <v>4.3855237528072974</v>
      </c>
      <c r="T35" s="107">
        <f>[1]节奏总纲!T35</f>
        <v>2.46506563883286</v>
      </c>
      <c r="V35" s="107">
        <v>32</v>
      </c>
      <c r="W35" s="107">
        <f>[1]节奏总纲!W35</f>
        <v>0.61539913968593574</v>
      </c>
      <c r="X35" s="107">
        <f>[1]节奏总纲!X35</f>
        <v>0.54045774376784372</v>
      </c>
      <c r="Y35" s="107">
        <f>[1]节奏总纲!Y35</f>
        <v>0.44306844077146668</v>
      </c>
      <c r="Z35" s="107">
        <f>[1]节奏总纲!Z35</f>
        <v>0.33333333315196345</v>
      </c>
      <c r="AA35" s="107">
        <f>[1]节奏总纲!AA35</f>
        <v>0.18674997858552445</v>
      </c>
      <c r="AC35" s="107">
        <v>32</v>
      </c>
      <c r="AD35" s="107">
        <f>[1]节奏总纲!AD35</f>
        <v>50.435397692903535</v>
      </c>
      <c r="AE35" s="107">
        <f>[1]节奏总纲!AE35</f>
        <v>52.391506955233744</v>
      </c>
      <c r="AF35" s="107">
        <f>[1]节奏总纲!AF35</f>
        <v>55.159275389027101</v>
      </c>
      <c r="AG35" s="107">
        <f>[1]节奏总纲!AG35</f>
        <v>59.632093520341421</v>
      </c>
      <c r="AH35" s="107">
        <f>[1]节奏总纲!AH35</f>
        <v>68.063981730538742</v>
      </c>
      <c r="AL35" s="107">
        <v>32</v>
      </c>
      <c r="AM35" s="107">
        <f>[1]节奏总纲!AM35</f>
        <v>39.220797956048642</v>
      </c>
      <c r="AN35" s="107">
        <f>[1]节奏总纲!AN35</f>
        <v>31.376638364838914</v>
      </c>
      <c r="AO35" s="107">
        <f>[1]节奏总纲!AO35</f>
        <v>23.532478773629183</v>
      </c>
      <c r="AP35" s="107">
        <f>[1]节奏总纲!AP35</f>
        <v>15.688319182419457</v>
      </c>
      <c r="AQ35" s="107">
        <f>[1]节奏总纲!AQ35</f>
        <v>7.8441595912097286</v>
      </c>
      <c r="AS35" s="107">
        <v>32</v>
      </c>
      <c r="AT35" s="107">
        <f>[1]节奏总纲!AT35</f>
        <v>5.8631183849359374</v>
      </c>
      <c r="AU35" s="107">
        <f>[1]节奏总纲!AU35</f>
        <v>4.6904947079487478</v>
      </c>
      <c r="AV35" s="107">
        <f>[1]节奏总纲!AV35</f>
        <v>3.5178710309615617</v>
      </c>
      <c r="AW35" s="107">
        <f>[1]节奏总纲!AW35</f>
        <v>2.3452473539743739</v>
      </c>
      <c r="AX35" s="107">
        <f>[1]节奏总纲!AX35</f>
        <v>1.1726236769871869</v>
      </c>
      <c r="AY35" s="107"/>
      <c r="AZ35" s="107">
        <v>32</v>
      </c>
      <c r="BA35" s="107">
        <f>[1]节奏总纲!BA35</f>
        <v>30.728880502070336</v>
      </c>
      <c r="BB35" s="107">
        <f>[1]节奏总纲!BB35</f>
        <v>32.113552950216736</v>
      </c>
      <c r="BC35" s="107">
        <f>[1]节奏总纲!BC35</f>
        <v>33.903140691603731</v>
      </c>
      <c r="BD35" s="107">
        <f>[1]节奏总纲!BD35</f>
        <v>36.526331209747774</v>
      </c>
      <c r="BE35" s="107">
        <f>[1]节奏总纲!BE35</f>
        <v>41.188041754455355</v>
      </c>
    </row>
    <row r="36" spans="2:57" x14ac:dyDescent="0.15">
      <c r="F36" s="125">
        <f>[1]节奏总纲!F36</f>
        <v>34</v>
      </c>
      <c r="G36" s="125">
        <f>[1]节奏总纲!G36</f>
        <v>9.5560632861831518</v>
      </c>
      <c r="I36" s="125">
        <f>[1]节奏总纲!I36</f>
        <v>34</v>
      </c>
      <c r="J36" s="125">
        <f>[1]节奏总纲!J36</f>
        <v>54.110931329932889</v>
      </c>
      <c r="K36" s="125">
        <f>[1]节奏总纲!K36</f>
        <v>0.98</v>
      </c>
      <c r="N36" s="115">
        <f>[1]节奏总纲!N36</f>
        <v>43</v>
      </c>
      <c r="O36" s="107">
        <v>33</v>
      </c>
      <c r="P36" s="107">
        <f>[1]节奏总纲!P36</f>
        <v>8.8491553067593287</v>
      </c>
      <c r="Q36" s="107">
        <f>[1]节奏总纲!Q36</f>
        <v>7.7120388498407557</v>
      </c>
      <c r="R36" s="107">
        <f>[1]节奏总纲!R36</f>
        <v>6.3696219898053652</v>
      </c>
      <c r="S36" s="107">
        <f>[1]节奏总纲!S36</f>
        <v>4.736067920177593</v>
      </c>
      <c r="T36" s="107">
        <f>[1]节奏总纲!T36</f>
        <v>2.6627108318038819</v>
      </c>
      <c r="V36" s="107">
        <v>33</v>
      </c>
      <c r="W36" s="107">
        <f>[1]节奏总纲!W36</f>
        <v>0.6595684667830497</v>
      </c>
      <c r="X36" s="107">
        <f>[1]节奏总纲!X36</f>
        <v>0.56007266248947118</v>
      </c>
      <c r="Y36" s="107">
        <f>[1]节奏总纲!Y36</f>
        <v>0.46329196081447321</v>
      </c>
      <c r="Z36" s="107">
        <f>[1]节奏总纲!Z36</f>
        <v>0.35054416737029559</v>
      </c>
      <c r="AA36" s="107">
        <f>[1]节奏总纲!AA36</f>
        <v>0.1976451929710219</v>
      </c>
      <c r="AC36" s="107">
        <v>33</v>
      </c>
      <c r="AD36" s="107">
        <f>[1]节奏总纲!AD36</f>
        <v>50.870795385807064</v>
      </c>
      <c r="AE36" s="107">
        <f>[1]节奏总纲!AE36</f>
        <v>52.81759316022675</v>
      </c>
      <c r="AF36" s="107">
        <f>[1]节奏总纲!AF36</f>
        <v>55.604435245632025</v>
      </c>
      <c r="AG36" s="107">
        <f>[1]节奏总纲!AG36</f>
        <v>60.078368706270226</v>
      </c>
      <c r="AH36" s="107">
        <f>[1]节奏总纲!AH36</f>
        <v>68.518369035696878</v>
      </c>
      <c r="AL36" s="107">
        <v>33</v>
      </c>
      <c r="AM36" s="107">
        <f>[1]节奏总纲!AM36</f>
        <v>46.082812923199413</v>
      </c>
      <c r="AN36" s="107">
        <f>[1]节奏总纲!AN36</f>
        <v>36.866250338559531</v>
      </c>
      <c r="AO36" s="107">
        <f>[1]节奏总纲!AO36</f>
        <v>27.649687753919647</v>
      </c>
      <c r="AP36" s="107">
        <f>[1]节奏总纲!AP36</f>
        <v>18.433125169279766</v>
      </c>
      <c r="AQ36" s="107">
        <f>[1]节奏总纲!AQ36</f>
        <v>9.2165625846398829</v>
      </c>
      <c r="AS36" s="107">
        <v>33</v>
      </c>
      <c r="AT36" s="107">
        <f>[1]节奏总纲!AT36</f>
        <v>6.8620149671507704</v>
      </c>
      <c r="AU36" s="107">
        <f>[1]节奏总纲!AU36</f>
        <v>5.489611973720617</v>
      </c>
      <c r="AV36" s="107">
        <f>[1]节奏总纲!AV36</f>
        <v>4.1172089802904637</v>
      </c>
      <c r="AW36" s="107">
        <f>[1]节奏总纲!AW36</f>
        <v>2.7448059868603085</v>
      </c>
      <c r="AX36" s="107">
        <f>[1]节奏总纲!AX36</f>
        <v>1.3724029934301543</v>
      </c>
      <c r="AY36" s="107"/>
      <c r="AZ36" s="107">
        <v>33</v>
      </c>
      <c r="BA36" s="107">
        <f>[1]节奏总纲!BA36</f>
        <v>30.928573790308786</v>
      </c>
      <c r="BB36" s="107">
        <f>[1]节奏总纲!BB36</f>
        <v>32.295715187691279</v>
      </c>
      <c r="BC36" s="107">
        <f>[1]节奏总纲!BC36</f>
        <v>34.09469189131628</v>
      </c>
      <c r="BD36" s="107">
        <f>[1]节奏总纲!BD36</f>
        <v>36.73675803133704</v>
      </c>
      <c r="BE36" s="107">
        <f>[1]节奏总纲!BE36</f>
        <v>41.389172829914081</v>
      </c>
    </row>
    <row r="37" spans="2:57" x14ac:dyDescent="0.15">
      <c r="F37" s="125">
        <f>[1]节奏总纲!F37</f>
        <v>35</v>
      </c>
      <c r="G37" s="125">
        <f>[1]节奏总纲!G37</f>
        <v>10.313708498984759</v>
      </c>
      <c r="I37" s="125">
        <f>[1]节奏总纲!I37</f>
        <v>35</v>
      </c>
      <c r="J37" s="125">
        <f>[1]节奏总纲!J37</f>
        <v>63.5</v>
      </c>
      <c r="K37" s="125">
        <f>[1]节奏总纲!K37</f>
        <v>1</v>
      </c>
      <c r="N37" s="115">
        <f>[1]节奏总纲!N37</f>
        <v>44</v>
      </c>
      <c r="O37" s="107">
        <v>34</v>
      </c>
      <c r="P37" s="107">
        <f>[1]节奏总纲!P37</f>
        <v>9.5560632861831518</v>
      </c>
      <c r="Q37" s="107">
        <f>[1]节奏总纲!Q37</f>
        <v>8.3309759728944712</v>
      </c>
      <c r="R37" s="107">
        <f>[1]节奏总纲!R37</f>
        <v>6.8918328419952886</v>
      </c>
      <c r="S37" s="107">
        <f>[1]节奏总纲!S37</f>
        <v>5.1287391656944967</v>
      </c>
      <c r="T37" s="107">
        <f>[1]节奏总纲!T37</f>
        <v>2.8811530807842201</v>
      </c>
      <c r="V37" s="107">
        <v>34</v>
      </c>
      <c r="W37" s="107">
        <f>[1]节奏总纲!W37</f>
        <v>0.70690797942382311</v>
      </c>
      <c r="X37" s="107">
        <f>[1]节奏总纲!X37</f>
        <v>0.61893712305371551</v>
      </c>
      <c r="Y37" s="107">
        <f>[1]节奏总纲!Y37</f>
        <v>0.52221085218992336</v>
      </c>
      <c r="Z37" s="107">
        <f>[1]节奏总纲!Z37</f>
        <v>0.39267124551690369</v>
      </c>
      <c r="AA37" s="107">
        <f>[1]节奏总纲!AA37</f>
        <v>0.21844224898033815</v>
      </c>
      <c r="AC37" s="107">
        <v>34</v>
      </c>
      <c r="AD37" s="107">
        <f>[1]节奏总纲!AD37</f>
        <v>51.285688244217212</v>
      </c>
      <c r="AE37" s="107">
        <f>[1]节奏总纲!AE37</f>
        <v>53.226994578658328</v>
      </c>
      <c r="AF37" s="107">
        <f>[1]节奏总纲!AF37</f>
        <v>56.045896281048073</v>
      </c>
      <c r="AG37" s="107">
        <f>[1]节奏总纲!AG37</f>
        <v>60.491705764657482</v>
      </c>
      <c r="AH37" s="107">
        <f>[1]节奏总纲!AH37</f>
        <v>68.972756340855</v>
      </c>
      <c r="AL37" s="107">
        <v>34</v>
      </c>
      <c r="AM37" s="107">
        <f>[1]节奏总纲!AM37</f>
        <v>54.110931329932889</v>
      </c>
      <c r="AN37" s="107">
        <f>[1]节奏总纲!AN37</f>
        <v>43.288745063946315</v>
      </c>
      <c r="AO37" s="107">
        <f>[1]节奏总纲!AO37</f>
        <v>32.466558797959735</v>
      </c>
      <c r="AP37" s="107">
        <f>[1]节奏总纲!AP37</f>
        <v>21.644372531973158</v>
      </c>
      <c r="AQ37" s="107">
        <f>[1]节奏总纲!AQ37</f>
        <v>10.822186265986579</v>
      </c>
      <c r="AS37" s="107">
        <v>34</v>
      </c>
      <c r="AT37" s="107">
        <f>[1]节奏总纲!AT37</f>
        <v>8.0281184067334763</v>
      </c>
      <c r="AU37" s="107">
        <f>[1]节奏总纲!AU37</f>
        <v>6.4224947253867839</v>
      </c>
      <c r="AV37" s="107">
        <f>[1]节奏总纲!AV37</f>
        <v>4.8168710440400879</v>
      </c>
      <c r="AW37" s="107">
        <f>[1]节奏总纲!AW37</f>
        <v>3.2112473626933919</v>
      </c>
      <c r="AX37" s="107">
        <f>[1]节奏总纲!AX37</f>
        <v>1.605623681346696</v>
      </c>
      <c r="AY37" s="107"/>
      <c r="AZ37" s="107">
        <v>34</v>
      </c>
      <c r="BA37" s="107">
        <f>[1]节奏总纲!BA37</f>
        <v>31.109552696486158</v>
      </c>
      <c r="BB37" s="107">
        <f>[1]节奏总纲!BB37</f>
        <v>32.477877425165822</v>
      </c>
      <c r="BC37" s="107">
        <f>[1]节奏总纲!BC37</f>
        <v>34.272203285175834</v>
      </c>
      <c r="BD37" s="107">
        <f>[1]节奏总纲!BD37</f>
        <v>36.947184852926306</v>
      </c>
      <c r="BE37" s="107">
        <f>[1]节奏总纲!BE37</f>
        <v>41.590303905372799</v>
      </c>
    </row>
    <row r="38" spans="2:57" x14ac:dyDescent="0.15">
      <c r="F38" s="125">
        <f>[1]节奏总纲!F38</f>
        <v>36</v>
      </c>
      <c r="G38" s="125">
        <f>[1]节奏总纲!G38</f>
        <v>11.125732532083184</v>
      </c>
      <c r="I38" s="125">
        <f>[1]节奏总纲!I38</f>
        <v>36</v>
      </c>
      <c r="J38" s="125">
        <f>[1]节奏总纲!J38</f>
        <v>73.746861667008318</v>
      </c>
      <c r="K38" s="125">
        <f>[1]节奏总纲!K38</f>
        <v>1.01</v>
      </c>
      <c r="N38" s="115">
        <f>[1]节奏总纲!N38</f>
        <v>45</v>
      </c>
      <c r="O38" s="107">
        <v>35</v>
      </c>
      <c r="P38" s="107">
        <f>[1]节奏总纲!P38</f>
        <v>10.313708498984759</v>
      </c>
      <c r="Q38" s="107">
        <f>[1]节奏总纲!Q38</f>
        <v>9.0048988904635934</v>
      </c>
      <c r="R38" s="107">
        <f>[1]节奏总纲!R38</f>
        <v>7.4547485030661838</v>
      </c>
      <c r="S38" s="107">
        <f>[1]节奏总纲!S38</f>
        <v>5.5405242056546129</v>
      </c>
      <c r="T38" s="107">
        <f>[1]节奏总纲!T38</f>
        <v>3.1106144832938032</v>
      </c>
      <c r="V38" s="107">
        <v>35</v>
      </c>
      <c r="W38" s="107">
        <f>[1]节奏总纲!W38</f>
        <v>0.75764521280160757</v>
      </c>
      <c r="X38" s="107">
        <f>[1]节奏总纲!X38</f>
        <v>0.67392291756912215</v>
      </c>
      <c r="Y38" s="107">
        <f>[1]节奏总纲!Y38</f>
        <v>0.56291566107089519</v>
      </c>
      <c r="Z38" s="107">
        <f>[1]节奏总纲!Z38</f>
        <v>0.41178503996011617</v>
      </c>
      <c r="AA38" s="107">
        <f>[1]节奏总纲!AA38</f>
        <v>0.22946140250958313</v>
      </c>
      <c r="AC38" s="107">
        <v>35</v>
      </c>
      <c r="AD38" s="107">
        <f>[1]节奏总纲!AD38</f>
        <v>51.691928656135211</v>
      </c>
      <c r="AE38" s="107">
        <f>[1]节奏总纲!AE38</f>
        <v>53.623906555539456</v>
      </c>
      <c r="AF38" s="107">
        <f>[1]节奏总纲!AF38</f>
        <v>56.457855949816349</v>
      </c>
      <c r="AG38" s="107">
        <f>[1]节奏总纲!AG38</f>
        <v>60.905042823044738</v>
      </c>
      <c r="AH38" s="107">
        <f>[1]节奏总纲!AH38</f>
        <v>69.385288338144662</v>
      </c>
      <c r="AL38" s="107">
        <v>35</v>
      </c>
      <c r="AM38" s="107">
        <f>[1]节奏总纲!AM38</f>
        <v>63.5</v>
      </c>
      <c r="AN38" s="107">
        <f>[1]节奏总纲!AN38</f>
        <v>50.800000000000004</v>
      </c>
      <c r="AO38" s="107">
        <f>[1]节奏总纲!AO38</f>
        <v>38.1</v>
      </c>
      <c r="AP38" s="107">
        <f>[1]节奏总纲!AP38</f>
        <v>25.400000000000002</v>
      </c>
      <c r="AQ38" s="107">
        <f>[1]节奏总纲!AQ38</f>
        <v>12.700000000000001</v>
      </c>
      <c r="AS38" s="107">
        <v>35</v>
      </c>
      <c r="AT38" s="107">
        <f>[1]节奏总纲!AT38</f>
        <v>9.3890686700671111</v>
      </c>
      <c r="AU38" s="107">
        <f>[1]节奏总纲!AU38</f>
        <v>7.5112549360536889</v>
      </c>
      <c r="AV38" s="107">
        <f>[1]节奏总纲!AV38</f>
        <v>5.6334412020402667</v>
      </c>
      <c r="AW38" s="107">
        <f>[1]节奏总纲!AW38</f>
        <v>3.7556274680268444</v>
      </c>
      <c r="AX38" s="107">
        <f>[1]节奏总纲!AX38</f>
        <v>1.8778137340134222</v>
      </c>
      <c r="AY38" s="107"/>
      <c r="AZ38" s="107">
        <v>35</v>
      </c>
      <c r="BA38" s="107">
        <f>[1]节奏总纲!BA38</f>
        <v>31.280110398778046</v>
      </c>
      <c r="BB38" s="107">
        <f>[1]节奏总纲!BB38</f>
        <v>32.660039662640372</v>
      </c>
      <c r="BC38" s="107">
        <f>[1]节奏总纲!BC38</f>
        <v>34.449714679035388</v>
      </c>
      <c r="BD38" s="107">
        <f>[1]节奏总纲!BD38</f>
        <v>37.135950591746003</v>
      </c>
      <c r="BE38" s="107">
        <f>[1]节奏总纲!BE38</f>
        <v>41.791434980831518</v>
      </c>
    </row>
    <row r="39" spans="2:57" x14ac:dyDescent="0.15">
      <c r="F39" s="125">
        <f>[1]节奏总纲!F39</f>
        <v>37</v>
      </c>
      <c r="G39" s="125">
        <f>[1]节奏总纲!G39</f>
        <v>11.996038341699768</v>
      </c>
      <c r="I39" s="125">
        <f>[1]节奏总纲!I39</f>
        <v>37</v>
      </c>
      <c r="J39" s="125">
        <f>[1]节奏总纲!J39</f>
        <v>85.62747641525452</v>
      </c>
      <c r="K39" s="125">
        <f>[1]节奏总纲!K39</f>
        <v>1.02</v>
      </c>
      <c r="N39" s="115">
        <f>[1]节奏总纲!N39</f>
        <v>46</v>
      </c>
      <c r="O39" s="107">
        <v>36</v>
      </c>
      <c r="P39" s="107">
        <f>[1]节奏总纲!P39</f>
        <v>11.125732532083184</v>
      </c>
      <c r="Q39" s="107">
        <f>[1]节奏总纲!Q39</f>
        <v>9.7261153795471191</v>
      </c>
      <c r="R39" s="107">
        <f>[1]节奏总纲!R39</f>
        <v>8.0405669009365166</v>
      </c>
      <c r="S39" s="107">
        <f>[1]节奏总纲!S39</f>
        <v>5.9700680767158358</v>
      </c>
      <c r="T39" s="107">
        <f>[1]节奏总纲!T39</f>
        <v>3.3388323328781633</v>
      </c>
      <c r="V39" s="107">
        <v>36</v>
      </c>
      <c r="W39" s="107">
        <f>[1]节奏总纲!W39</f>
        <v>0.81202403309842452</v>
      </c>
      <c r="X39" s="107">
        <f>[1]节奏总纲!X39</f>
        <v>0.72121648908352576</v>
      </c>
      <c r="Y39" s="107">
        <f>[1]节奏总纲!Y39</f>
        <v>0.58581839787033285</v>
      </c>
      <c r="Z39" s="107">
        <f>[1]节奏总纲!Z39</f>
        <v>0.42954387106122294</v>
      </c>
      <c r="AA39" s="107">
        <f>[1]节奏总纲!AA39</f>
        <v>0.22821784958436009</v>
      </c>
      <c r="AC39" s="107">
        <v>36</v>
      </c>
      <c r="AD39" s="107">
        <f>[1]节奏总纲!AD39</f>
        <v>52.091594979242075</v>
      </c>
      <c r="AE39" s="107">
        <f>[1]节奏总纲!AE39</f>
        <v>54.020289560649204</v>
      </c>
      <c r="AF39" s="107">
        <f>[1]节奏总纲!AF39</f>
        <v>56.869815618584624</v>
      </c>
      <c r="AG39" s="107">
        <f>[1]节奏总纲!AG39</f>
        <v>61.294362422865476</v>
      </c>
      <c r="AH39" s="107">
        <f>[1]节奏总纲!AH39</f>
        <v>69.795150761037945</v>
      </c>
      <c r="AL39" s="107">
        <v>36</v>
      </c>
      <c r="AM39" s="107">
        <f>[1]节奏总纲!AM39</f>
        <v>73.746861667008318</v>
      </c>
      <c r="AN39" s="107">
        <f>[1]节奏总纲!AN39</f>
        <v>58.997489333606659</v>
      </c>
      <c r="AO39" s="107">
        <f>[1]节奏总纲!AO39</f>
        <v>44.248117000204992</v>
      </c>
      <c r="AP39" s="107">
        <f>[1]节奏总纲!AP39</f>
        <v>29.498744666803329</v>
      </c>
      <c r="AQ39" s="107">
        <f>[1]节奏总纲!AQ39</f>
        <v>14.749372333401665</v>
      </c>
      <c r="AS39" s="107">
        <v>36</v>
      </c>
      <c r="AT39" s="107">
        <f>[1]节奏总纲!AT39</f>
        <v>10.246861667008318</v>
      </c>
      <c r="AU39" s="107">
        <f>[1]节奏总纲!AU39</f>
        <v>8.1974893336066543</v>
      </c>
      <c r="AV39" s="107">
        <f>[1]节奏总纲!AV39</f>
        <v>6.1481170002049907</v>
      </c>
      <c r="AW39" s="107">
        <f>[1]节奏总纲!AW39</f>
        <v>4.0987446668033272</v>
      </c>
      <c r="AX39" s="107">
        <f>[1]节奏总纲!AX39</f>
        <v>2.0493723334016636</v>
      </c>
      <c r="AY39" s="107"/>
      <c r="AZ39" s="107">
        <v>36</v>
      </c>
      <c r="BA39" s="107">
        <f>[1]节奏总纲!BA39</f>
        <v>31.450668101069933</v>
      </c>
      <c r="BB39" s="107">
        <f>[1]节奏总纲!BB39</f>
        <v>32.842201900114915</v>
      </c>
      <c r="BC39" s="107">
        <f>[1]节奏总纲!BC39</f>
        <v>34.627226072894942</v>
      </c>
      <c r="BD39" s="107">
        <f>[1]节奏总纲!BD39</f>
        <v>37.317457773889828</v>
      </c>
      <c r="BE39" s="107">
        <f>[1]节奏总纲!BE39</f>
        <v>41.992566056290244</v>
      </c>
    </row>
    <row r="40" spans="2:57" x14ac:dyDescent="0.15">
      <c r="F40" s="125">
        <f>[1]节奏总纲!F40</f>
        <v>38</v>
      </c>
      <c r="G40" s="125">
        <f>[1]节奏总纲!G40</f>
        <v>12.928809012737984</v>
      </c>
      <c r="I40" s="125">
        <f>[1]节奏总纲!I40</f>
        <v>38</v>
      </c>
      <c r="J40" s="125">
        <f>[1]节奏总纲!J40</f>
        <v>99.401036064365428</v>
      </c>
      <c r="K40" s="125">
        <f>[1]节奏总纲!K40</f>
        <v>1.03</v>
      </c>
      <c r="N40" s="115">
        <f>[1]节奏总纲!N40</f>
        <v>47</v>
      </c>
      <c r="O40" s="107">
        <v>37</v>
      </c>
      <c r="P40" s="107">
        <f>[1]节奏总纲!P40</f>
        <v>11.996038341699768</v>
      </c>
      <c r="Q40" s="107">
        <f>[1]节奏总纲!Q40</f>
        <v>10.483337906811427</v>
      </c>
      <c r="R40" s="107">
        <f>[1]节奏总纲!R40</f>
        <v>8.6671377018780831</v>
      </c>
      <c r="S40" s="107">
        <f>[1]节奏总纲!S40</f>
        <v>6.4166809089752066</v>
      </c>
      <c r="T40" s="107">
        <f>[1]节奏总纲!T40</f>
        <v>3.6000111063441</v>
      </c>
      <c r="V40" s="107">
        <v>37</v>
      </c>
      <c r="W40" s="107">
        <f>[1]节奏总纲!W40</f>
        <v>0.87030580961658366</v>
      </c>
      <c r="X40" s="107">
        <f>[1]节奏总纲!X40</f>
        <v>0.75722252726430739</v>
      </c>
      <c r="Y40" s="107">
        <f>[1]节奏总纲!Y40</f>
        <v>0.62657080094156647</v>
      </c>
      <c r="Z40" s="107">
        <f>[1]节奏总纲!Z40</f>
        <v>0.44661283225937076</v>
      </c>
      <c r="AA40" s="107">
        <f>[1]节奏总纲!AA40</f>
        <v>0.26117877346593676</v>
      </c>
      <c r="AC40" s="107">
        <v>37</v>
      </c>
      <c r="AD40" s="107">
        <f>[1]节奏总纲!AD40</f>
        <v>52.470630686057078</v>
      </c>
      <c r="AE40" s="107">
        <f>[1]节奏总纲!AE40</f>
        <v>54.407116521581436</v>
      </c>
      <c r="AF40" s="107">
        <f>[1]节奏总纲!AF40</f>
        <v>57.263329041432932</v>
      </c>
      <c r="AG40" s="107">
        <f>[1]节奏总纲!AG40</f>
        <v>61.676518787205197</v>
      </c>
      <c r="AH40" s="107">
        <f>[1]节奏总纲!AH40</f>
        <v>70.190427169053478</v>
      </c>
      <c r="AL40" s="107">
        <v>37</v>
      </c>
      <c r="AM40" s="107">
        <f>[1]节奏总纲!AM40</f>
        <v>85.62747641525452</v>
      </c>
      <c r="AN40" s="107">
        <f>[1]节奏总纲!AN40</f>
        <v>68.501981132203625</v>
      </c>
      <c r="AO40" s="107">
        <f>[1]节奏总纲!AO40</f>
        <v>51.376485849152708</v>
      </c>
      <c r="AP40" s="107">
        <f>[1]节奏总纲!AP40</f>
        <v>34.250990566101812</v>
      </c>
      <c r="AQ40" s="107">
        <f>[1]节奏总纲!AQ40</f>
        <v>17.125495283050906</v>
      </c>
      <c r="AS40" s="107">
        <v>37</v>
      </c>
      <c r="AT40" s="107">
        <f>[1]节奏总纲!AT40</f>
        <v>11.880614748246202</v>
      </c>
      <c r="AU40" s="107">
        <f>[1]节奏总纲!AU40</f>
        <v>9.5044917985969661</v>
      </c>
      <c r="AV40" s="107">
        <f>[1]节奏总纲!AV40</f>
        <v>7.1283688489477157</v>
      </c>
      <c r="AW40" s="107">
        <f>[1]节奏总纲!AW40</f>
        <v>4.7522458992984831</v>
      </c>
      <c r="AX40" s="107">
        <f>[1]节奏总纲!AX40</f>
        <v>2.3761229496492415</v>
      </c>
      <c r="AY40" s="107"/>
      <c r="AZ40" s="107">
        <v>37</v>
      </c>
      <c r="BA40" s="107">
        <f>[1]节奏总纲!BA40</f>
        <v>31.621225803361821</v>
      </c>
      <c r="BB40" s="107">
        <f>[1]节奏总纲!BB40</f>
        <v>33.02082518821102</v>
      </c>
      <c r="BC40" s="107">
        <f>[1]节奏总纲!BC40</f>
        <v>34.804737466754489</v>
      </c>
      <c r="BD40" s="107">
        <f>[1]节奏总纲!BD40</f>
        <v>37.498964956033646</v>
      </c>
      <c r="BE40" s="107">
        <f>[1]节奏总纲!BE40</f>
        <v>42.167148737437564</v>
      </c>
    </row>
    <row r="41" spans="2:57" x14ac:dyDescent="0.15">
      <c r="F41" s="125">
        <f>[1]节奏总纲!F41</f>
        <v>39</v>
      </c>
      <c r="G41" s="125">
        <f>[1]节奏总纲!G41</f>
        <v>13.928527864588917</v>
      </c>
      <c r="I41" s="125">
        <f>[1]节奏总纲!I41</f>
        <v>39</v>
      </c>
      <c r="J41" s="125">
        <f>[1]节奏总纲!J41</f>
        <v>115.36769098598003</v>
      </c>
      <c r="K41" s="125">
        <f>[1]节奏总纲!K41</f>
        <v>1.04</v>
      </c>
      <c r="N41" s="115">
        <f>[1]节奏总纲!N41</f>
        <v>48</v>
      </c>
      <c r="O41" s="107">
        <v>38</v>
      </c>
      <c r="P41" s="107">
        <f>[1]节奏总纲!P41</f>
        <v>12.928809012737984</v>
      </c>
      <c r="Q41" s="107">
        <f>[1]节奏总纲!Q41</f>
        <v>11.292021791725356</v>
      </c>
      <c r="R41" s="107">
        <f>[1]节奏总纲!R41</f>
        <v>9.3190855363815395</v>
      </c>
      <c r="S41" s="107">
        <f>[1]节奏总纲!S41</f>
        <v>6.8962267273944402</v>
      </c>
      <c r="T41" s="107">
        <f>[1]节奏总纲!T41</f>
        <v>3.8708854184137524</v>
      </c>
      <c r="V41" s="107">
        <v>38</v>
      </c>
      <c r="W41" s="107">
        <f>[1]节奏总纲!W41</f>
        <v>0.93277067103821665</v>
      </c>
      <c r="X41" s="107">
        <f>[1]节奏总纲!X41</f>
        <v>0.80868388491392906</v>
      </c>
      <c r="Y41" s="107">
        <f>[1]节奏总纲!Y41</f>
        <v>0.65194783450345639</v>
      </c>
      <c r="Z41" s="107">
        <f>[1]节奏总纲!Z41</f>
        <v>0.4795458184192336</v>
      </c>
      <c r="AA41" s="107">
        <f>[1]节奏总纲!AA41</f>
        <v>0.2708743120696524</v>
      </c>
      <c r="AC41" s="107">
        <v>38</v>
      </c>
      <c r="AD41" s="107">
        <f>[1]节奏总纲!AD41</f>
        <v>52.849666392872081</v>
      </c>
      <c r="AE41" s="107">
        <f>[1]节奏总纲!AE41</f>
        <v>54.793943482513676</v>
      </c>
      <c r="AF41" s="107">
        <f>[1]节奏总纲!AF41</f>
        <v>57.64832002380362</v>
      </c>
      <c r="AG41" s="107">
        <f>[1]节奏总纲!AG41</f>
        <v>62.054222259937362</v>
      </c>
      <c r="AH41" s="107">
        <f>[1]节奏总纲!AH41</f>
        <v>70.571129226337533</v>
      </c>
      <c r="AL41" s="107">
        <v>38</v>
      </c>
      <c r="AM41" s="107">
        <f>[1]节奏总纲!AM41</f>
        <v>99.401036064365428</v>
      </c>
      <c r="AN41" s="107">
        <f>[1]节奏总纲!AN41</f>
        <v>79.520828851492354</v>
      </c>
      <c r="AO41" s="107">
        <f>[1]节奏总纲!AO41</f>
        <v>59.640621638619251</v>
      </c>
      <c r="AP41" s="107">
        <f>[1]节奏总纲!AP41</f>
        <v>39.760414425746177</v>
      </c>
      <c r="AQ41" s="107">
        <f>[1]节奏总纲!AQ41</f>
        <v>19.880207212873088</v>
      </c>
      <c r="AS41" s="107">
        <v>38</v>
      </c>
      <c r="AT41" s="107">
        <f>[1]节奏总纲!AT41</f>
        <v>13.773559649110908</v>
      </c>
      <c r="AU41" s="107">
        <f>[1]节奏总纲!AU41</f>
        <v>11.018847719288729</v>
      </c>
      <c r="AV41" s="107">
        <f>[1]节奏总纲!AV41</f>
        <v>8.2641357894665433</v>
      </c>
      <c r="AW41" s="107">
        <f>[1]节奏总纲!AW41</f>
        <v>5.5094238596443645</v>
      </c>
      <c r="AX41" s="107">
        <f>[1]节奏总纲!AX41</f>
        <v>2.7547119298221823</v>
      </c>
      <c r="AY41" s="107"/>
      <c r="AZ41" s="107">
        <v>38</v>
      </c>
      <c r="BA41" s="107">
        <f>[1]节奏总纲!BA41</f>
        <v>31.791783505653711</v>
      </c>
      <c r="BB41" s="107">
        <f>[1]节奏总纲!BB41</f>
        <v>33.176527924103851</v>
      </c>
      <c r="BC41" s="107">
        <f>[1]节奏总纲!BC41</f>
        <v>34.982248860614042</v>
      </c>
      <c r="BD41" s="107">
        <f>[1]节奏总纲!BD41</f>
        <v>37.680472138177471</v>
      </c>
      <c r="BE41" s="107">
        <f>[1]节奏总纲!BE41</f>
        <v>42.340712512072891</v>
      </c>
    </row>
    <row r="42" spans="2:57" x14ac:dyDescent="0.15">
      <c r="F42" s="125">
        <f>[1]节奏总纲!F42</f>
        <v>40</v>
      </c>
      <c r="G42" s="125">
        <f>[1]节奏总纲!G42</f>
        <v>15</v>
      </c>
      <c r="I42" s="125">
        <f>[1]节奏总纲!I42</f>
        <v>40</v>
      </c>
      <c r="J42" s="125">
        <f>[1]节奏总纲!J42</f>
        <v>133.875</v>
      </c>
      <c r="K42" s="125">
        <f>[1]节奏总纲!K42</f>
        <v>1.05</v>
      </c>
      <c r="N42" s="115">
        <f>[1]节奏总纲!N42</f>
        <v>49</v>
      </c>
      <c r="O42" s="107">
        <v>39</v>
      </c>
      <c r="P42" s="107">
        <f>[1]节奏总纲!P42</f>
        <v>13.928527864588917</v>
      </c>
      <c r="Q42" s="107">
        <f>[1]节奏总纲!Q42</f>
        <v>12.147069150707994</v>
      </c>
      <c r="R42" s="107">
        <f>[1]节奏总纲!R42</f>
        <v>10.016004387425889</v>
      </c>
      <c r="S42" s="107">
        <f>[1]节奏总纲!S42</f>
        <v>7.4197267934665154</v>
      </c>
      <c r="T42" s="107">
        <f>[1]节奏总纲!T42</f>
        <v>4.1702012426579218</v>
      </c>
      <c r="V42" s="107">
        <v>39</v>
      </c>
      <c r="W42" s="107">
        <f>[1]节奏总纲!W42</f>
        <v>0.99971885185093257</v>
      </c>
      <c r="X42" s="107">
        <f>[1]节奏总纲!X42</f>
        <v>0.85504735898263817</v>
      </c>
      <c r="Y42" s="107">
        <f>[1]节奏总纲!Y42</f>
        <v>0.69691885104434981</v>
      </c>
      <c r="Z42" s="107">
        <f>[1]节奏总纲!Z42</f>
        <v>0.52350006607207522</v>
      </c>
      <c r="AA42" s="107">
        <f>[1]节奏总纲!AA42</f>
        <v>0.29931582424416936</v>
      </c>
      <c r="AC42" s="107">
        <v>39</v>
      </c>
      <c r="AD42" s="107">
        <f>[1]节奏总纲!AD42</f>
        <v>53.213386604241784</v>
      </c>
      <c r="AE42" s="107">
        <f>[1]节奏总纲!AE42</f>
        <v>55.170390866416149</v>
      </c>
      <c r="AF42" s="107">
        <f>[1]节奏总纲!AF42</f>
        <v>58.030740707238266</v>
      </c>
      <c r="AG42" s="107">
        <f>[1]节奏总纲!AG42</f>
        <v>62.407376554018477</v>
      </c>
      <c r="AH42" s="107">
        <f>[1]节奏总纲!AH42</f>
        <v>70.951831283621587</v>
      </c>
      <c r="AL42" s="107">
        <v>39</v>
      </c>
      <c r="AM42" s="107">
        <f>[1]节奏总纲!AM42</f>
        <v>115.36769098598003</v>
      </c>
      <c r="AN42" s="107">
        <f>[1]节奏总纲!AN42</f>
        <v>92.294152788784032</v>
      </c>
      <c r="AO42" s="107">
        <f>[1]节奏总纲!AO42</f>
        <v>69.220614591588017</v>
      </c>
      <c r="AP42" s="107">
        <f>[1]节奏总纲!AP42</f>
        <v>46.147076394392016</v>
      </c>
      <c r="AQ42" s="107">
        <f>[1]节奏总纲!AQ42</f>
        <v>23.073538197196008</v>
      </c>
      <c r="AS42" s="107">
        <v>39</v>
      </c>
      <c r="AT42" s="107">
        <f>[1]节奏总纲!AT42</f>
        <v>15.966654921614605</v>
      </c>
      <c r="AU42" s="107">
        <f>[1]节奏总纲!AU42</f>
        <v>12.773323937291678</v>
      </c>
      <c r="AV42" s="107">
        <f>[1]节奏总纲!AV42</f>
        <v>9.579992952968766</v>
      </c>
      <c r="AW42" s="107">
        <f>[1]节奏总纲!AW42</f>
        <v>6.3866619686458392</v>
      </c>
      <c r="AX42" s="107">
        <f>[1]节奏总纲!AX42</f>
        <v>3.1933309843229196</v>
      </c>
      <c r="AY42" s="107"/>
      <c r="AZ42" s="107">
        <v>39</v>
      </c>
      <c r="BA42" s="107">
        <f>[1]节奏总纲!BA42</f>
        <v>31.962341207945599</v>
      </c>
      <c r="BB42" s="107">
        <f>[1]节奏总纲!BB42</f>
        <v>33.332230659996682</v>
      </c>
      <c r="BC42" s="107">
        <f>[1]节奏总纲!BC42</f>
        <v>35.146386283795508</v>
      </c>
      <c r="BD42" s="107">
        <f>[1]节奏总纲!BD42</f>
        <v>37.861979320321296</v>
      </c>
      <c r="BE42" s="107">
        <f>[1]节奏总纲!BE42</f>
        <v>42.51427628670821</v>
      </c>
    </row>
    <row r="43" spans="2:57" x14ac:dyDescent="0.15">
      <c r="F43" s="125">
        <f>[1]节奏总纲!F43</f>
        <v>41</v>
      </c>
      <c r="G43" s="125">
        <f>[1]节奏总纲!G43</f>
        <v>16.148375400580683</v>
      </c>
      <c r="I43" s="125">
        <f>[1]节奏总纲!I43</f>
        <v>41</v>
      </c>
      <c r="J43" s="125">
        <f>[1]节奏总纲!J43</f>
        <v>155.32539280599755</v>
      </c>
      <c r="K43" s="125">
        <f>[1]节奏总纲!K43</f>
        <v>1.06</v>
      </c>
      <c r="N43" s="115">
        <f>[1]节奏总纲!N43</f>
        <v>50</v>
      </c>
      <c r="O43" s="107">
        <v>40</v>
      </c>
      <c r="P43" s="107">
        <f>[1]节奏总纲!P43</f>
        <v>15</v>
      </c>
      <c r="Q43" s="107">
        <f>[1]节奏总纲!Q43</f>
        <v>13.059000000000001</v>
      </c>
      <c r="R43" s="107">
        <f>[1]节奏总纲!R43</f>
        <v>10.782</v>
      </c>
      <c r="S43" s="107">
        <f>[1]节奏总纲!S43</f>
        <v>8.0009999999999994</v>
      </c>
      <c r="T43" s="107">
        <f>[1]节奏总纲!T43</f>
        <v>4.5</v>
      </c>
      <c r="V43" s="107">
        <v>40</v>
      </c>
      <c r="W43" s="107">
        <f>[1]节奏总纲!W43</f>
        <v>1.0714721354110832</v>
      </c>
      <c r="X43" s="107">
        <f>[1]节奏总纲!X43</f>
        <v>0.9119308492920073</v>
      </c>
      <c r="Y43" s="107">
        <f>[1]节奏总纲!Y43</f>
        <v>0.76599561257411075</v>
      </c>
      <c r="Z43" s="107">
        <f>[1]节奏总纲!Z43</f>
        <v>0.58127320653348402</v>
      </c>
      <c r="AA43" s="107">
        <f>[1]节奏总纲!AA43</f>
        <v>0.3297987573420782</v>
      </c>
      <c r="AC43" s="107">
        <v>40</v>
      </c>
      <c r="AD43" s="107">
        <f>[1]节奏总纲!AD43</f>
        <v>53.567039423670657</v>
      </c>
      <c r="AE43" s="107">
        <f>[1]节奏总纲!AE43</f>
        <v>55.535006783542492</v>
      </c>
      <c r="AF43" s="107">
        <f>[1]节奏总纲!AF43</f>
        <v>58.38602553461638</v>
      </c>
      <c r="AG43" s="107">
        <f>[1]节奏总纲!AG43</f>
        <v>62.760530848099599</v>
      </c>
      <c r="AH43" s="107">
        <f>[1]节奏总纲!AH43</f>
        <v>71.315281959371688</v>
      </c>
      <c r="AL43" s="107">
        <v>40</v>
      </c>
      <c r="AM43" s="107">
        <f>[1]节奏总纲!AM43</f>
        <v>133.875</v>
      </c>
      <c r="AN43" s="107">
        <f>[1]节奏总纲!AN43</f>
        <v>107.10000000000001</v>
      </c>
      <c r="AO43" s="107">
        <f>[1]节奏总纲!AO43</f>
        <v>80.325000000000003</v>
      </c>
      <c r="AP43" s="107">
        <f>[1]节奏总纲!AP43</f>
        <v>53.550000000000004</v>
      </c>
      <c r="AQ43" s="107">
        <f>[1]节奏总纲!AQ43</f>
        <v>26.775000000000002</v>
      </c>
      <c r="AS43" s="107">
        <v>40</v>
      </c>
      <c r="AT43" s="107">
        <f>[1]节奏总纲!AT43</f>
        <v>18.507309014019967</v>
      </c>
      <c r="AU43" s="107">
        <f>[1]节奏总纲!AU43</f>
        <v>14.805847211215976</v>
      </c>
      <c r="AV43" s="107">
        <f>[1]节奏总纲!AV43</f>
        <v>11.104385408411986</v>
      </c>
      <c r="AW43" s="107">
        <f>[1]节奏总纲!AW43</f>
        <v>7.4029236056079881</v>
      </c>
      <c r="AX43" s="107">
        <f>[1]节奏总纲!AX43</f>
        <v>3.7014618028039941</v>
      </c>
      <c r="AY43" s="107"/>
      <c r="AZ43" s="107">
        <v>40</v>
      </c>
      <c r="BA43" s="107">
        <f>[1]节奏总纲!BA43</f>
        <v>32.113552950216736</v>
      </c>
      <c r="BB43" s="107">
        <f>[1]节奏总纲!BB43</f>
        <v>33.487933395889513</v>
      </c>
      <c r="BC43" s="107">
        <f>[1]节奏总纲!BC43</f>
        <v>35.309037710234961</v>
      </c>
      <c r="BD43" s="107">
        <f>[1]节奏总纲!BD43</f>
        <v>38.037513426486328</v>
      </c>
      <c r="BE43" s="107">
        <f>[1]节奏总纲!BE43</f>
        <v>42.687840061343536</v>
      </c>
    </row>
    <row r="44" spans="2:57" x14ac:dyDescent="0.15">
      <c r="F44" s="125">
        <f>[1]节奏总纲!F44</f>
        <v>42</v>
      </c>
      <c r="G44" s="125">
        <f>[1]节奏总纲!G44</f>
        <v>17.379173679952558</v>
      </c>
      <c r="I44" s="125">
        <f>[1]节奏总纲!I44</f>
        <v>42</v>
      </c>
      <c r="J44" s="125">
        <f>[1]节奏总纲!J44</f>
        <v>180.18480345945557</v>
      </c>
      <c r="K44" s="125">
        <f>[1]节奏总纲!K44</f>
        <v>1.07</v>
      </c>
      <c r="N44" s="115">
        <f>[1]节奏总纲!N44</f>
        <v>51</v>
      </c>
      <c r="O44" s="107">
        <v>41</v>
      </c>
      <c r="P44" s="107">
        <f>[1]节奏总纲!P44</f>
        <v>16.148375400580683</v>
      </c>
      <c r="Q44" s="107">
        <f>[1]节奏总纲!Q44</f>
        <v>14.065234973905774</v>
      </c>
      <c r="R44" s="107">
        <f>[1]节奏总纲!R44</f>
        <v>11.621985775797917</v>
      </c>
      <c r="S44" s="107">
        <f>[1]节奏总纲!S44</f>
        <v>8.6296918140703163</v>
      </c>
      <c r="T44" s="107">
        <f>[1]节奏总纲!T44</f>
        <v>4.8606609955747855</v>
      </c>
      <c r="V44" s="107">
        <v>41</v>
      </c>
      <c r="W44" s="107">
        <f>[1]节奏总纲!W44</f>
        <v>1.148375400580683</v>
      </c>
      <c r="X44" s="107">
        <f>[1]节奏总纲!X44</f>
        <v>1.006234973905773</v>
      </c>
      <c r="Y44" s="107">
        <f>[1]节奏总纲!Y44</f>
        <v>0.839985775797917</v>
      </c>
      <c r="Z44" s="107">
        <f>[1]节奏总纲!Z44</f>
        <v>0.62869181407031682</v>
      </c>
      <c r="AA44" s="107">
        <f>[1]节奏总纲!AA44</f>
        <v>0.36066099557478548</v>
      </c>
      <c r="AC44" s="107">
        <v>41</v>
      </c>
      <c r="AD44" s="107">
        <f>[1]节奏总纲!AD44</f>
        <v>53.920692243099523</v>
      </c>
      <c r="AE44" s="107">
        <f>[1]节奏总纲!AE44</f>
        <v>55.899622700668843</v>
      </c>
      <c r="AF44" s="107">
        <f>[1]节奏总纲!AF44</f>
        <v>58.741310361994486</v>
      </c>
      <c r="AG44" s="107">
        <f>[1]节奏总纲!AG44</f>
        <v>63.10587219844583</v>
      </c>
      <c r="AH44" s="107">
        <f>[1]节奏总纲!AH44</f>
        <v>71.676233707038421</v>
      </c>
      <c r="AL44" s="107">
        <v>41</v>
      </c>
      <c r="AM44" s="107">
        <f>[1]节奏总纲!AM44</f>
        <v>155.32539280599755</v>
      </c>
      <c r="AN44" s="107">
        <f>[1]节奏总纲!AN44</f>
        <v>124.26031424479805</v>
      </c>
      <c r="AO44" s="107">
        <f>[1]节奏总纲!AO44</f>
        <v>93.195235683598526</v>
      </c>
      <c r="AP44" s="107">
        <f>[1]节奏总纲!AP44</f>
        <v>62.130157122399027</v>
      </c>
      <c r="AQ44" s="107">
        <f>[1]节奏总纲!AQ44</f>
        <v>31.065078561199513</v>
      </c>
      <c r="AS44" s="107">
        <v>41</v>
      </c>
      <c r="AT44" s="107">
        <f>[1]节奏总纲!AT44</f>
        <v>21.450392805997552</v>
      </c>
      <c r="AU44" s="107">
        <f>[1]节奏总纲!AU44</f>
        <v>17.160314244798045</v>
      </c>
      <c r="AV44" s="107">
        <f>[1]节奏总纲!AV44</f>
        <v>12.870235683598523</v>
      </c>
      <c r="AW44" s="107">
        <f>[1]节奏总纲!AW44</f>
        <v>8.5801571223990223</v>
      </c>
      <c r="AX44" s="107">
        <f>[1]节奏总纲!AX44</f>
        <v>4.2900785611995111</v>
      </c>
      <c r="AY44" s="107"/>
      <c r="AZ44" s="107">
        <v>41</v>
      </c>
      <c r="BA44" s="107">
        <f>[1]节奏总纲!BA44</f>
        <v>32.259282740196369</v>
      </c>
      <c r="BB44" s="107">
        <f>[1]节奏总纲!BB44</f>
        <v>33.643636131782344</v>
      </c>
      <c r="BC44" s="107">
        <f>[1]节奏总纲!BC44</f>
        <v>35.471689136674414</v>
      </c>
      <c r="BD44" s="107">
        <f>[1]节奏总纲!BD44</f>
        <v>38.194089742081125</v>
      </c>
      <c r="BE44" s="107">
        <f>[1]节奏总纲!BE44</f>
        <v>42.861403835978855</v>
      </c>
    </row>
    <row r="45" spans="2:57" x14ac:dyDescent="0.15">
      <c r="F45" s="125">
        <f>[1]节奏总纲!F45</f>
        <v>43</v>
      </c>
      <c r="G45" s="125">
        <f>[1]节奏总纲!G45</f>
        <v>18.698310613518661</v>
      </c>
      <c r="I45" s="125">
        <f>[1]节奏总纲!I45</f>
        <v>43</v>
      </c>
      <c r="J45" s="125">
        <f>[1]节奏总纲!J45</f>
        <v>208.99265815439742</v>
      </c>
      <c r="K45" s="125">
        <f>[1]节奏总纲!K45</f>
        <v>1.08</v>
      </c>
      <c r="N45" s="115">
        <f>[1]节奏总纲!N45</f>
        <v>52</v>
      </c>
      <c r="O45" s="107">
        <v>42</v>
      </c>
      <c r="P45" s="107">
        <f>[1]节奏总纲!P45</f>
        <v>17.379173679952558</v>
      </c>
      <c r="Q45" s="107">
        <f>[1]节奏总纲!Q45</f>
        <v>15.182446126806555</v>
      </c>
      <c r="R45" s="107">
        <f>[1]节奏总纲!R45</f>
        <v>12.547763396925747</v>
      </c>
      <c r="S45" s="107">
        <f>[1]节奏总纲!S45</f>
        <v>9.3221887619265527</v>
      </c>
      <c r="T45" s="107">
        <f>[1]节奏总纲!T45</f>
        <v>5.2485104513456724</v>
      </c>
      <c r="V45" s="107">
        <v>42</v>
      </c>
      <c r="W45" s="107">
        <f>[1]节奏总纲!W45</f>
        <v>1.230798279371875</v>
      </c>
      <c r="X45" s="107">
        <f>[1]节奏总纲!X45</f>
        <v>1.1172111529007811</v>
      </c>
      <c r="Y45" s="107">
        <f>[1]节奏总纲!Y45</f>
        <v>0.92577762112783013</v>
      </c>
      <c r="Z45" s="107">
        <f>[1]节奏总纲!Z45</f>
        <v>0.69249694785623639</v>
      </c>
      <c r="AA45" s="107">
        <f>[1]节奏总纲!AA45</f>
        <v>0.38784945577088692</v>
      </c>
      <c r="AC45" s="107">
        <v>42</v>
      </c>
      <c r="AD45" s="107">
        <f>[1]节奏总纲!AD45</f>
        <v>54.255972994404218</v>
      </c>
      <c r="AE45" s="107">
        <f>[1]节奏总纲!AE45</f>
        <v>56.238779717153008</v>
      </c>
      <c r="AF45" s="107">
        <f>[1]节奏总纲!AF45</f>
        <v>59.09095196730258</v>
      </c>
      <c r="AG45" s="107">
        <f>[1]节奏总纲!AG45</f>
        <v>63.434756173851497</v>
      </c>
      <c r="AH45" s="107">
        <f>[1]节奏总纲!AH45</f>
        <v>72.034562459436771</v>
      </c>
      <c r="AL45" s="107">
        <v>42</v>
      </c>
      <c r="AM45" s="107">
        <f>[1]节奏总纲!AM45</f>
        <v>180.18480345945557</v>
      </c>
      <c r="AN45" s="107">
        <f>[1]节奏总纲!AN45</f>
        <v>144.14784276756447</v>
      </c>
      <c r="AO45" s="107">
        <f>[1]节奏总纲!AO45</f>
        <v>108.11088207567333</v>
      </c>
      <c r="AP45" s="107">
        <f>[1]节奏总纲!AP45</f>
        <v>72.073921383782235</v>
      </c>
      <c r="AQ45" s="107">
        <f>[1]节奏总纲!AQ45</f>
        <v>36.036960691891117</v>
      </c>
      <c r="AS45" s="107">
        <v>42</v>
      </c>
      <c r="AT45" s="107">
        <f>[1]节奏总纲!AT45</f>
        <v>24.859410653458013</v>
      </c>
      <c r="AU45" s="107">
        <f>[1]节奏总纲!AU45</f>
        <v>19.887528522766416</v>
      </c>
      <c r="AV45" s="107">
        <f>[1]节奏总纲!AV45</f>
        <v>14.915646392074805</v>
      </c>
      <c r="AW45" s="107">
        <f>[1]节奏总纲!AW45</f>
        <v>9.9437642613832082</v>
      </c>
      <c r="AX45" s="107">
        <f>[1]节奏总纲!AX45</f>
        <v>4.9718821306916041</v>
      </c>
      <c r="AY45" s="107"/>
      <c r="AZ45" s="107">
        <v>42</v>
      </c>
      <c r="BA45" s="107">
        <f>[1]节奏总纲!BA45</f>
        <v>32.405012530176009</v>
      </c>
      <c r="BB45" s="107">
        <f>[1]节奏总纲!BB45</f>
        <v>33.799338867675175</v>
      </c>
      <c r="BC45" s="107">
        <f>[1]节奏总纲!BC45</f>
        <v>35.634340563113874</v>
      </c>
      <c r="BD45" s="107">
        <f>[1]节奏总纲!BD45</f>
        <v>38.35066605767593</v>
      </c>
      <c r="BE45" s="107">
        <f>[1]节奏总纲!BE45</f>
        <v>43.030177309109042</v>
      </c>
    </row>
    <row r="46" spans="2:57" x14ac:dyDescent="0.15">
      <c r="F46" s="125">
        <f>[1]节奏总纲!F46</f>
        <v>44</v>
      </c>
      <c r="G46" s="125">
        <f>[1]节奏总纲!G46</f>
        <v>20.112126572366307</v>
      </c>
      <c r="I46" s="125">
        <f>[1]节奏总纲!I46</f>
        <v>44</v>
      </c>
      <c r="J46" s="125">
        <f>[1]节奏总纲!J46</f>
        <v>242.37342918215046</v>
      </c>
      <c r="K46" s="125">
        <f>[1]节奏总纲!K46</f>
        <v>1.0900000000000001</v>
      </c>
      <c r="N46" s="115">
        <f>[1]节奏总纲!N46</f>
        <v>53</v>
      </c>
      <c r="O46" s="107">
        <v>43</v>
      </c>
      <c r="P46" s="107">
        <f>[1]节奏总纲!P46</f>
        <v>18.698310613518661</v>
      </c>
      <c r="Q46" s="107">
        <f>[1]节奏总纲!Q46</f>
        <v>16.338583814092605</v>
      </c>
      <c r="R46" s="107">
        <f>[1]节奏总纲!R46</f>
        <v>13.509529418267233</v>
      </c>
      <c r="S46" s="107">
        <f>[1]节奏总纲!S46</f>
        <v>10.020424657784652</v>
      </c>
      <c r="T46" s="107">
        <f>[1]节奏总纲!T46</f>
        <v>5.6394104810372276</v>
      </c>
      <c r="V46" s="107">
        <v>43</v>
      </c>
      <c r="W46" s="107">
        <f>[1]节奏总纲!W46</f>
        <v>1.319136933566103</v>
      </c>
      <c r="X46" s="107">
        <f>[1]节奏总纲!X46</f>
        <v>1.1561376872860496</v>
      </c>
      <c r="Y46" s="107">
        <f>[1]节奏总纲!Y46</f>
        <v>0.96176602134148581</v>
      </c>
      <c r="Z46" s="107">
        <f>[1]节奏总纲!Z46</f>
        <v>0.6982358958580992</v>
      </c>
      <c r="AA46" s="107">
        <f>[1]节奏总纲!AA46</f>
        <v>0.39090002969155524</v>
      </c>
      <c r="AC46" s="107">
        <v>43</v>
      </c>
      <c r="AD46" s="107">
        <f>[1]节奏总纲!AD46</f>
        <v>54.585942742481357</v>
      </c>
      <c r="AE46" s="107">
        <f>[1]节奏总纲!AE46</f>
        <v>56.568265567054013</v>
      </c>
      <c r="AF46" s="107">
        <f>[1]节奏总纲!AF46</f>
        <v>59.425480572843689</v>
      </c>
      <c r="AG46" s="107">
        <f>[1]节奏总纲!AG46</f>
        <v>63.763640149257171</v>
      </c>
      <c r="AH46" s="107">
        <f>[1]节奏总纲!AH46</f>
        <v>72.370053318329937</v>
      </c>
      <c r="AL46" s="107">
        <v>43</v>
      </c>
      <c r="AM46" s="107">
        <f>[1]节奏总纲!AM46</f>
        <v>208.99265815439742</v>
      </c>
      <c r="AN46" s="107">
        <f>[1]节奏总纲!AN46</f>
        <v>167.19412652351795</v>
      </c>
      <c r="AO46" s="107">
        <f>[1]节奏总纲!AO46</f>
        <v>125.39559489263844</v>
      </c>
      <c r="AP46" s="107">
        <f>[1]节奏总纲!AP46</f>
        <v>83.597063261758976</v>
      </c>
      <c r="AQ46" s="107">
        <f>[1]节奏总纲!AQ46</f>
        <v>41.798531630879488</v>
      </c>
      <c r="AS46" s="107">
        <v>43</v>
      </c>
      <c r="AT46" s="107">
        <f>[1]节奏总纲!AT46</f>
        <v>28.807854694941852</v>
      </c>
      <c r="AU46" s="107">
        <f>[1]节奏总纲!AU46</f>
        <v>23.046283755953482</v>
      </c>
      <c r="AV46" s="107">
        <f>[1]节奏总纲!AV46</f>
        <v>17.284712816965111</v>
      </c>
      <c r="AW46" s="107">
        <f>[1]节奏总纲!AW46</f>
        <v>11.523141877976741</v>
      </c>
      <c r="AX46" s="107">
        <f>[1]节奏总纲!AX46</f>
        <v>5.7615709389883705</v>
      </c>
      <c r="AY46" s="107"/>
      <c r="AZ46" s="107">
        <v>43</v>
      </c>
      <c r="BA46" s="107">
        <f>[1]节奏总纲!BA46</f>
        <v>32.550742320155642</v>
      </c>
      <c r="BB46" s="107">
        <f>[1]节奏总纲!BB46</f>
        <v>33.955041603568006</v>
      </c>
      <c r="BC46" s="107">
        <f>[1]节奏总纲!BC46</f>
        <v>35.796991989553327</v>
      </c>
      <c r="BD46" s="107">
        <f>[1]节奏总纲!BD46</f>
        <v>38.507242373270728</v>
      </c>
      <c r="BE46" s="107">
        <f>[1]节奏总纲!BE46</f>
        <v>43.179964142847631</v>
      </c>
    </row>
    <row r="47" spans="2:57" x14ac:dyDescent="0.15">
      <c r="F47" s="125">
        <f>[1]节奏总纲!F47</f>
        <v>45</v>
      </c>
      <c r="G47" s="125">
        <f>[1]节奏总纲!G47</f>
        <v>21.627416997969519</v>
      </c>
      <c r="I47" s="125">
        <f>[1]节奏总纲!I47</f>
        <v>45</v>
      </c>
      <c r="J47" s="125">
        <f>[1]节奏总纲!J47</f>
        <v>281.05</v>
      </c>
      <c r="K47" s="125">
        <f>[1]节奏总纲!K47</f>
        <v>1.1000000000000001</v>
      </c>
      <c r="N47" s="115">
        <f>[1]节奏总纲!N47</f>
        <v>54</v>
      </c>
      <c r="O47" s="107">
        <v>44</v>
      </c>
      <c r="P47" s="107">
        <f>[1]节奏总纲!P47</f>
        <v>20.112126572366307</v>
      </c>
      <c r="Q47" s="107">
        <f>[1]节奏总纲!Q47</f>
        <v>17.573976198933678</v>
      </c>
      <c r="R47" s="107">
        <f>[1]节奏总纲!R47</f>
        <v>14.520955385248474</v>
      </c>
      <c r="S47" s="107">
        <f>[1]节奏总纲!S47</f>
        <v>10.768032566844921</v>
      </c>
      <c r="T47" s="107">
        <f>[1]节奏总纲!T47</f>
        <v>6.0537500982822579</v>
      </c>
      <c r="V47" s="107">
        <v>44</v>
      </c>
      <c r="W47" s="107">
        <f>[1]节奏总纲!W47</f>
        <v>1.4138159588476462</v>
      </c>
      <c r="X47" s="107">
        <f>[1]节奏总纲!X47</f>
        <v>1.2353923848410737</v>
      </c>
      <c r="Y47" s="107">
        <f>[1]节奏总纲!Y47</f>
        <v>1.0114259669812409</v>
      </c>
      <c r="Z47" s="107">
        <f>[1]节奏总纲!Z47</f>
        <v>0.74760790906026919</v>
      </c>
      <c r="AA47" s="107">
        <f>[1]节奏总纲!AA47</f>
        <v>0.41433961724503021</v>
      </c>
      <c r="AC47" s="107">
        <v>44</v>
      </c>
      <c r="AD47" s="107">
        <f>[1]节奏总纲!AD47</f>
        <v>54.915912490558505</v>
      </c>
      <c r="AE47" s="107">
        <f>[1]节奏总纲!AE47</f>
        <v>56.897751416955018</v>
      </c>
      <c r="AF47" s="107">
        <f>[1]节奏总纲!AF47</f>
        <v>59.760009178384806</v>
      </c>
      <c r="AG47" s="107">
        <f>[1]节奏总纲!AG47</f>
        <v>64.08760696397195</v>
      </c>
      <c r="AH47" s="107">
        <f>[1]节奏总纲!AH47</f>
        <v>72.705544177223089</v>
      </c>
      <c r="AL47" s="107">
        <v>44</v>
      </c>
      <c r="AM47" s="107">
        <f>[1]节奏总纲!AM47</f>
        <v>242.37342918215046</v>
      </c>
      <c r="AN47" s="107">
        <f>[1]节奏总纲!AN47</f>
        <v>193.89874334572039</v>
      </c>
      <c r="AO47" s="107">
        <f>[1]节奏总纲!AO47</f>
        <v>145.42405750929026</v>
      </c>
      <c r="AP47" s="107">
        <f>[1]节奏总纲!AP47</f>
        <v>96.949371672860195</v>
      </c>
      <c r="AQ47" s="107">
        <f>[1]节奏总纲!AQ47</f>
        <v>48.474685836430098</v>
      </c>
      <c r="AS47" s="107">
        <v>44</v>
      </c>
      <c r="AT47" s="107">
        <f>[1]节奏总纲!AT47</f>
        <v>33.380771027753042</v>
      </c>
      <c r="AU47" s="107">
        <f>[1]节奏总纲!AU47</f>
        <v>26.704616822202439</v>
      </c>
      <c r="AV47" s="107">
        <f>[1]节奏总纲!AV47</f>
        <v>20.028462616651822</v>
      </c>
      <c r="AW47" s="107">
        <f>[1]节奏总纲!AW47</f>
        <v>13.35230841110122</v>
      </c>
      <c r="AX47" s="107">
        <f>[1]节奏总纲!AX47</f>
        <v>6.6761542055506098</v>
      </c>
      <c r="AY47" s="107"/>
      <c r="AZ47" s="107">
        <v>44</v>
      </c>
      <c r="BA47" s="107">
        <f>[1]节奏总纲!BA47</f>
        <v>32.696472110135275</v>
      </c>
      <c r="BB47" s="107">
        <f>[1]节奏总纲!BB47</f>
        <v>34.09469189131628</v>
      </c>
      <c r="BC47" s="107">
        <f>[1]节奏总纲!BC47</f>
        <v>35.95964341599278</v>
      </c>
      <c r="BD47" s="107">
        <f>[1]节奏总纲!BD47</f>
        <v>38.663818688865533</v>
      </c>
      <c r="BE47" s="107">
        <f>[1]节奏总纲!BE47</f>
        <v>43.329750976586219</v>
      </c>
    </row>
    <row r="48" spans="2:57" x14ac:dyDescent="0.15">
      <c r="F48" s="125">
        <f>[1]节奏总纲!F48</f>
        <v>46</v>
      </c>
      <c r="G48" s="125">
        <f>[1]节奏总纲!G48</f>
        <v>23.251465064166357</v>
      </c>
      <c r="I48" s="125">
        <f>[1]节奏总纲!I48</f>
        <v>46</v>
      </c>
      <c r="J48" s="125">
        <f>[1]节奏总纲!J48</f>
        <v>325.85912455595718</v>
      </c>
      <c r="K48" s="125">
        <f>[1]节奏总纲!K48</f>
        <v>1.1100000000000001</v>
      </c>
      <c r="N48" s="115">
        <f>[1]节奏总纲!N48</f>
        <v>55</v>
      </c>
      <c r="O48" s="107">
        <v>45</v>
      </c>
      <c r="P48" s="107">
        <f>[1]节奏总纲!P48</f>
        <v>21.627416997969519</v>
      </c>
      <c r="Q48" s="107">
        <f>[1]节奏总纲!Q48</f>
        <v>18.900199714525563</v>
      </c>
      <c r="R48" s="107">
        <f>[1]节奏总纲!R48</f>
        <v>15.604181364035009</v>
      </c>
      <c r="S48" s="107">
        <f>[1]节奏总纲!S48</f>
        <v>11.572830835613489</v>
      </c>
      <c r="T48" s="107">
        <f>[1]节奏总纲!T48</f>
        <v>6.49903880788984</v>
      </c>
      <c r="V48" s="107">
        <v>45</v>
      </c>
      <c r="W48" s="107">
        <f>[1]节奏总纲!W48</f>
        <v>1.5152904256032116</v>
      </c>
      <c r="X48" s="107">
        <f>[1]节奏总纲!X48</f>
        <v>1.3262235155918844</v>
      </c>
      <c r="Y48" s="107">
        <f>[1]节奏总纲!Y48</f>
        <v>1.083225978786535</v>
      </c>
      <c r="Z48" s="107">
        <f>[1]节奏总纲!Z48</f>
        <v>0.80479826876856819</v>
      </c>
      <c r="AA48" s="107">
        <f>[1]节奏总纲!AA48</f>
        <v>0.44528870960758216</v>
      </c>
      <c r="AC48" s="107">
        <v>45</v>
      </c>
      <c r="AD48" s="107">
        <f>[1]节奏总纲!AD48</f>
        <v>55.229416240679981</v>
      </c>
      <c r="AE48" s="107">
        <f>[1]节奏总纲!AE48</f>
        <v>57.218966664386244</v>
      </c>
      <c r="AF48" s="107">
        <f>[1]节奏总纲!AF48</f>
        <v>60.086674688654931</v>
      </c>
      <c r="AG48" s="107">
        <f>[1]节奏总纲!AG48</f>
        <v>64.399012521055653</v>
      </c>
      <c r="AH48" s="107">
        <f>[1]节奏总纲!AH48</f>
        <v>73.037155126421851</v>
      </c>
      <c r="AL48" s="107">
        <v>45</v>
      </c>
      <c r="AM48" s="107">
        <f>[1]节奏总纲!AM48</f>
        <v>281.05</v>
      </c>
      <c r="AN48" s="107">
        <f>[1]节奏总纲!AN48</f>
        <v>224.84000000000003</v>
      </c>
      <c r="AO48" s="107">
        <f>[1]节奏总纲!AO48</f>
        <v>168.63</v>
      </c>
      <c r="AP48" s="107">
        <f>[1]节奏总纲!AP48</f>
        <v>112.42000000000002</v>
      </c>
      <c r="AQ48" s="107">
        <f>[1]节奏总纲!AQ48</f>
        <v>56.210000000000008</v>
      </c>
      <c r="AS48" s="107">
        <v>45</v>
      </c>
      <c r="AT48" s="107">
        <f>[1]节奏总纲!AT48</f>
        <v>38.676570817849552</v>
      </c>
      <c r="AU48" s="107">
        <f>[1]节奏总纲!AU48</f>
        <v>30.941256654279641</v>
      </c>
      <c r="AV48" s="107">
        <f>[1]节奏总纲!AV48</f>
        <v>23.205942490709731</v>
      </c>
      <c r="AW48" s="107">
        <f>[1]节奏总纲!AW48</f>
        <v>15.470628327139821</v>
      </c>
      <c r="AX48" s="107">
        <f>[1]节奏总纲!AX48</f>
        <v>7.7353141635699103</v>
      </c>
      <c r="AY48" s="107"/>
      <c r="AZ48" s="107">
        <v>45</v>
      </c>
      <c r="BA48" s="107">
        <f>[1]节奏总纲!BA48</f>
        <v>32.842201900114915</v>
      </c>
      <c r="BB48" s="107">
        <f>[1]节奏总纲!BB48</f>
        <v>34.227825436710944</v>
      </c>
      <c r="BC48" s="107">
        <f>[1]节奏总纲!BC48</f>
        <v>36.105477566569242</v>
      </c>
      <c r="BD48" s="107">
        <f>[1]节奏总纲!BD48</f>
        <v>38.82039500446033</v>
      </c>
      <c r="BE48" s="107">
        <f>[1]节奏总纲!BE48</f>
        <v>43.479537810324807</v>
      </c>
    </row>
    <row r="49" spans="6:57" x14ac:dyDescent="0.15">
      <c r="F49" s="125">
        <f>[1]节奏总纲!F49</f>
        <v>47</v>
      </c>
      <c r="G49" s="125">
        <f>[1]节奏总纲!G49</f>
        <v>24.992076683399535</v>
      </c>
      <c r="I49" s="125">
        <f>[1]节奏总纲!I49</f>
        <v>47</v>
      </c>
      <c r="J49" s="125">
        <f>[1]节奏总纲!J49</f>
        <v>377.76930817680426</v>
      </c>
      <c r="K49" s="125">
        <f>[1]节奏总纲!K49</f>
        <v>1.1200000000000001</v>
      </c>
      <c r="N49" s="115">
        <f>[1]节奏总纲!N49</f>
        <v>56</v>
      </c>
      <c r="O49" s="107">
        <v>46</v>
      </c>
      <c r="P49" s="107">
        <f>[1]节奏总纲!P49</f>
        <v>23.251465064166357</v>
      </c>
      <c r="Q49" s="107">
        <f>[1]节奏总纲!Q49</f>
        <v>20.310154733549314</v>
      </c>
      <c r="R49" s="107">
        <f>[1]节奏总纲!R49</f>
        <v>16.757330871744692</v>
      </c>
      <c r="S49" s="107">
        <f>[1]节奏总纲!S49</f>
        <v>12.425582930290501</v>
      </c>
      <c r="T49" s="107">
        <f>[1]节奏总纲!T49</f>
        <v>6.9545132006921566</v>
      </c>
      <c r="V49" s="107">
        <v>46</v>
      </c>
      <c r="W49" s="107">
        <f>[1]节奏总纲!W49</f>
        <v>1.6240480661968384</v>
      </c>
      <c r="X49" s="107">
        <f>[1]节奏总纲!X49</f>
        <v>1.4099550190237515</v>
      </c>
      <c r="Y49" s="107">
        <f>[1]节奏总纲!Y49</f>
        <v>1.1531495077096832</v>
      </c>
      <c r="Z49" s="107">
        <f>[1]节奏总纲!Z49</f>
        <v>0.85275209467701174</v>
      </c>
      <c r="AA49" s="107">
        <f>[1]节奏总纲!AA49</f>
        <v>0.45547439280231661</v>
      </c>
      <c r="AC49" s="107">
        <v>46</v>
      </c>
      <c r="AD49" s="107">
        <f>[1]节奏总纲!AD49</f>
        <v>55.537288901845052</v>
      </c>
      <c r="AE49" s="107">
        <f>[1]节奏总纲!AE49</f>
        <v>57.53646043868428</v>
      </c>
      <c r="AF49" s="107">
        <f>[1]节奏总纲!AF49</f>
        <v>60.393379177879737</v>
      </c>
      <c r="AG49" s="107">
        <f>[1]节奏总纲!AG49</f>
        <v>64.710418078139355</v>
      </c>
      <c r="AH49" s="107">
        <f>[1]节奏总纲!AH49</f>
        <v>73.340924940105893</v>
      </c>
      <c r="AL49" s="107">
        <v>46</v>
      </c>
      <c r="AM49" s="107">
        <f>[1]节奏总纲!AM49</f>
        <v>325.85912455595718</v>
      </c>
      <c r="AN49" s="107">
        <f>[1]节奏总纲!AN49</f>
        <v>260.68729964476574</v>
      </c>
      <c r="AO49" s="107">
        <f>[1]节奏总纲!AO49</f>
        <v>195.51547473357431</v>
      </c>
      <c r="AP49" s="107">
        <f>[1]节奏总纲!AP49</f>
        <v>130.34364982238287</v>
      </c>
      <c r="AQ49" s="107">
        <f>[1]节奏总纲!AQ49</f>
        <v>65.171824911191436</v>
      </c>
      <c r="AS49" s="107">
        <v>46</v>
      </c>
      <c r="AT49" s="107">
        <f>[1]节奏总纲!AT49</f>
        <v>44.809124555957169</v>
      </c>
      <c r="AU49" s="107">
        <f>[1]节奏总纲!AU49</f>
        <v>35.847299644765712</v>
      </c>
      <c r="AV49" s="107">
        <f>[1]节奏总纲!AV49</f>
        <v>26.885474733574313</v>
      </c>
      <c r="AW49" s="107">
        <f>[1]节奏总纲!AW49</f>
        <v>17.923649822382856</v>
      </c>
      <c r="AX49" s="107">
        <f>[1]节奏总纲!AX49</f>
        <v>8.9618249111914281</v>
      </c>
      <c r="AY49" s="107"/>
      <c r="AZ49" s="107">
        <v>46</v>
      </c>
      <c r="BA49" s="107">
        <f>[1]节奏总纲!BA49</f>
        <v>32.987931690094548</v>
      </c>
      <c r="BB49" s="107">
        <f>[1]节奏总纲!BB49</f>
        <v>34.360958982105608</v>
      </c>
      <c r="BC49" s="107">
        <f>[1]节奏总纲!BC49</f>
        <v>36.245762114295424</v>
      </c>
      <c r="BD49" s="107">
        <f>[1]节奏总纲!BD49</f>
        <v>38.976971320055128</v>
      </c>
      <c r="BE49" s="107">
        <f>[1]节奏总纲!BE49</f>
        <v>43.629324644063402</v>
      </c>
    </row>
    <row r="50" spans="6:57" x14ac:dyDescent="0.15">
      <c r="F50" s="125">
        <f>[1]节奏总纲!F50</f>
        <v>48</v>
      </c>
      <c r="G50" s="125">
        <f>[1]节奏总纲!G50</f>
        <v>26.857618025475972</v>
      </c>
      <c r="I50" s="125">
        <f>[1]节奏总纲!I50</f>
        <v>48</v>
      </c>
      <c r="J50" s="125">
        <f>[1]节奏总纲!J50</f>
        <v>437.90148836012787</v>
      </c>
      <c r="K50" s="125">
        <f>[1]节奏总纲!K50</f>
        <v>1.1299999999999999</v>
      </c>
      <c r="N50" s="115">
        <f>[1]节奏总纲!N50</f>
        <v>57</v>
      </c>
      <c r="O50" s="107">
        <v>47</v>
      </c>
      <c r="P50" s="107">
        <f>[1]节奏总纲!P50</f>
        <v>24.992076683399535</v>
      </c>
      <c r="Q50" s="107">
        <f>[1]节奏总纲!Q50</f>
        <v>21.823081359944474</v>
      </c>
      <c r="R50" s="107">
        <f>[1]节奏总纲!R50</f>
        <v>17.996794419716004</v>
      </c>
      <c r="S50" s="107">
        <f>[1]节奏总纲!S50</f>
        <v>13.335772118261991</v>
      </c>
      <c r="T50" s="107">
        <f>[1]节奏总纲!T50</f>
        <v>7.4426404363163821</v>
      </c>
      <c r="V50" s="107">
        <v>47</v>
      </c>
      <c r="W50" s="107">
        <f>[1]节奏总纲!W50</f>
        <v>1.740611619233178</v>
      </c>
      <c r="X50" s="107">
        <f>[1]节奏总纲!X50</f>
        <v>1.51292662639516</v>
      </c>
      <c r="Y50" s="107">
        <f>[1]节奏总纲!Y50</f>
        <v>1.2394635479713116</v>
      </c>
      <c r="Z50" s="107">
        <f>[1]节奏总纲!Z50</f>
        <v>0.91018918797148984</v>
      </c>
      <c r="AA50" s="107">
        <f>[1]节奏总纲!AA50</f>
        <v>0.48812723562422544</v>
      </c>
      <c r="AC50" s="107">
        <v>47</v>
      </c>
      <c r="AD50" s="107">
        <f>[1]节奏总纲!AD50</f>
        <v>55.845161563010116</v>
      </c>
      <c r="AE50" s="107">
        <f>[1]节奏总纲!AE50</f>
        <v>57.853954212982316</v>
      </c>
      <c r="AF50" s="107">
        <f>[1]节奏总纲!AF50</f>
        <v>60.700083667104536</v>
      </c>
      <c r="AG50" s="107">
        <f>[1]节奏总纲!AG50</f>
        <v>65.021675833900701</v>
      </c>
      <c r="AH50" s="107">
        <f>[1]节奏总纲!AH50</f>
        <v>73.644694753789935</v>
      </c>
      <c r="AL50" s="107">
        <v>47</v>
      </c>
      <c r="AM50" s="107">
        <f>[1]节奏总纲!AM50</f>
        <v>377.76930817680426</v>
      </c>
      <c r="AN50" s="107">
        <f>[1]节奏总纲!AN50</f>
        <v>302.21544654144344</v>
      </c>
      <c r="AO50" s="107">
        <f>[1]节奏总纲!AO50</f>
        <v>226.66158490608254</v>
      </c>
      <c r="AP50" s="107">
        <f>[1]节奏总纲!AP50</f>
        <v>151.10772327072172</v>
      </c>
      <c r="AQ50" s="107">
        <f>[1]节奏总纲!AQ50</f>
        <v>75.55386163536086</v>
      </c>
      <c r="AS50" s="107">
        <v>47</v>
      </c>
      <c r="AT50" s="107">
        <f>[1]节奏总纲!AT50</f>
        <v>51.910183620847079</v>
      </c>
      <c r="AU50" s="107">
        <f>[1]节奏总纲!AU50</f>
        <v>41.528146896677697</v>
      </c>
      <c r="AV50" s="107">
        <f>[1]节奏总纲!AV50</f>
        <v>31.14611017250823</v>
      </c>
      <c r="AW50" s="107">
        <f>[1]节奏总纲!AW50</f>
        <v>20.764073448338848</v>
      </c>
      <c r="AX50" s="107">
        <f>[1]节奏总纲!AX50</f>
        <v>10.382036724169424</v>
      </c>
      <c r="AY50" s="107"/>
      <c r="AZ50" s="107">
        <v>47</v>
      </c>
      <c r="BA50" s="107">
        <f>[1]节奏总纲!BA50</f>
        <v>33.114246829746719</v>
      </c>
      <c r="BB50" s="107">
        <f>[1]节奏总纲!BB50</f>
        <v>34.494092527500278</v>
      </c>
      <c r="BC50" s="107">
        <f>[1]节奏总纲!BC50</f>
        <v>36.386046662021599</v>
      </c>
      <c r="BD50" s="107">
        <f>[1]节奏总纲!BD50</f>
        <v>39.115214427575864</v>
      </c>
      <c r="BE50" s="107">
        <f>[1]节奏总纲!BE50</f>
        <v>43.77911147780199</v>
      </c>
    </row>
    <row r="51" spans="6:57" x14ac:dyDescent="0.15">
      <c r="F51" s="125">
        <f>[1]节奏总纲!F51</f>
        <v>49</v>
      </c>
      <c r="G51" s="125">
        <f>[1]节奏总纲!G51</f>
        <v>28.857055729177837</v>
      </c>
      <c r="I51" s="125">
        <f>[1]节奏总纲!I51</f>
        <v>49</v>
      </c>
      <c r="J51" s="125">
        <f>[1]节奏总纲!J51</f>
        <v>507.55295278468168</v>
      </c>
      <c r="K51" s="125">
        <f>[1]节奏总纲!K51</f>
        <v>1.1399999999999999</v>
      </c>
      <c r="N51" s="115">
        <f>[1]节奏总纲!N51</f>
        <v>58</v>
      </c>
      <c r="O51" s="107">
        <v>48</v>
      </c>
      <c r="P51" s="107">
        <f>[1]节奏总纲!P51</f>
        <v>26.857618025475972</v>
      </c>
      <c r="Q51" s="107">
        <f>[1]节奏总纲!Q51</f>
        <v>23.425214441820142</v>
      </c>
      <c r="R51" s="107">
        <f>[1]节奏总纲!R51</f>
        <v>19.329427692935056</v>
      </c>
      <c r="S51" s="107">
        <f>[1]节奏总纲!S51</f>
        <v>14.269452456935383</v>
      </c>
      <c r="T51" s="107">
        <f>[1]节奏总纲!T51</f>
        <v>7.9605979827510778</v>
      </c>
      <c r="V51" s="107">
        <v>48</v>
      </c>
      <c r="W51" s="107">
        <f>[1]节奏总纲!W51</f>
        <v>1.8655413420764368</v>
      </c>
      <c r="X51" s="107">
        <f>[1]节奏总纲!X51</f>
        <v>1.6021330818756674</v>
      </c>
      <c r="Y51" s="107">
        <f>[1]节奏总纲!Y51</f>
        <v>1.3326332732190522</v>
      </c>
      <c r="Z51" s="107">
        <f>[1]节奏总纲!Z51</f>
        <v>0.93368033867339228</v>
      </c>
      <c r="AA51" s="107">
        <f>[1]节奏总纲!AA51</f>
        <v>0.51795754643469571</v>
      </c>
      <c r="AC51" s="107">
        <v>48</v>
      </c>
      <c r="AD51" s="107">
        <f>[1]节奏总纲!AD51</f>
        <v>56.142785979989682</v>
      </c>
      <c r="AE51" s="107">
        <f>[1]节奏总纲!AE51</f>
        <v>58.155157256402767</v>
      </c>
      <c r="AF51" s="107">
        <f>[1]节奏总纲!AF51</f>
        <v>61.006268532239034</v>
      </c>
      <c r="AG51" s="107">
        <f>[1]节奏总纲!AG51</f>
        <v>65.330972386106993</v>
      </c>
      <c r="AH51" s="107">
        <f>[1]节奏总纲!AH51</f>
        <v>73.948464567473962</v>
      </c>
      <c r="AL51" s="107">
        <v>48</v>
      </c>
      <c r="AM51" s="107">
        <f>[1]节奏总纲!AM51</f>
        <v>437.90148836012787</v>
      </c>
      <c r="AN51" s="107">
        <f>[1]节奏总纲!AN51</f>
        <v>350.32119068810232</v>
      </c>
      <c r="AO51" s="107">
        <f>[1]节奏总纲!AO51</f>
        <v>262.74089301607671</v>
      </c>
      <c r="AP51" s="107">
        <f>[1]节奏总纲!AP51</f>
        <v>175.16059534405116</v>
      </c>
      <c r="AQ51" s="107">
        <f>[1]节奏总纲!AQ51</f>
        <v>87.58029767202558</v>
      </c>
      <c r="AS51" s="107">
        <v>48</v>
      </c>
      <c r="AT51" s="107">
        <f>[1]节奏总纲!AT51</f>
        <v>60.132180183323612</v>
      </c>
      <c r="AU51" s="107">
        <f>[1]节奏总纲!AU51</f>
        <v>48.105744146658878</v>
      </c>
      <c r="AV51" s="107">
        <f>[1]节奏总纲!AV51</f>
        <v>36.079308109994173</v>
      </c>
      <c r="AW51" s="107">
        <f>[1]节奏总纲!AW51</f>
        <v>24.052872073329439</v>
      </c>
      <c r="AX51" s="107">
        <f>[1]节奏总纲!AX51</f>
        <v>12.02643603666472</v>
      </c>
      <c r="AY51" s="107"/>
      <c r="AZ51" s="107">
        <v>48</v>
      </c>
      <c r="BA51" s="107">
        <f>[1]节奏总纲!BA51</f>
        <v>33.238809018460984</v>
      </c>
      <c r="BB51" s="107">
        <f>[1]节奏总纲!BB51</f>
        <v>34.627226072894942</v>
      </c>
      <c r="BC51" s="107">
        <f>[1]节奏总纲!BC51</f>
        <v>36.526331209747774</v>
      </c>
      <c r="BD51" s="107">
        <f>[1]节奏总纲!BD51</f>
        <v>39.250296194358178</v>
      </c>
      <c r="BE51" s="107">
        <f>[1]节奏总纲!BE51</f>
        <v>43.928898311540578</v>
      </c>
    </row>
    <row r="52" spans="6:57" x14ac:dyDescent="0.15">
      <c r="F52" s="125">
        <f>[1]节奏总纲!F52</f>
        <v>50</v>
      </c>
      <c r="G52" s="125">
        <f>[1]节奏总纲!G52</f>
        <v>31</v>
      </c>
      <c r="I52" s="125">
        <f>[1]节奏总纲!I52</f>
        <v>50</v>
      </c>
      <c r="J52" s="125">
        <f>[1]节奏总纲!J52</f>
        <v>588.22499999999991</v>
      </c>
      <c r="K52" s="125">
        <f>[1]节奏总纲!K52</f>
        <v>1.1499999999999999</v>
      </c>
      <c r="N52" s="115">
        <f>[1]节奏总纲!N52</f>
        <v>59</v>
      </c>
      <c r="O52" s="107">
        <v>49</v>
      </c>
      <c r="P52" s="107">
        <f>[1]节奏总纲!P52</f>
        <v>28.857055729177837</v>
      </c>
      <c r="Q52" s="107">
        <f>[1]节奏总纲!Q52</f>
        <v>25.166238301415991</v>
      </c>
      <c r="R52" s="107">
        <f>[1]节奏总纲!R52</f>
        <v>20.719366013549685</v>
      </c>
      <c r="S52" s="107">
        <f>[1]节奏总纲!S52</f>
        <v>15.268268186307994</v>
      </c>
      <c r="T52" s="107">
        <f>[1]节奏总纲!T52</f>
        <v>8.5474599069824766</v>
      </c>
      <c r="V52" s="107">
        <v>49</v>
      </c>
      <c r="W52" s="107">
        <f>[1]节奏总纲!W52</f>
        <v>1.9994377037018651</v>
      </c>
      <c r="X52" s="107">
        <f>[1]节奏总纲!X52</f>
        <v>1.7410238595958489</v>
      </c>
      <c r="Y52" s="107">
        <f>[1]节奏总纲!Y52</f>
        <v>1.389938320614629</v>
      </c>
      <c r="Z52" s="107">
        <f>[1]节奏总纲!Z52</f>
        <v>0.99881572937261076</v>
      </c>
      <c r="AA52" s="107">
        <f>[1]节奏总纲!AA52</f>
        <v>0.58686192423139882</v>
      </c>
      <c r="AC52" s="107">
        <v>49</v>
      </c>
      <c r="AD52" s="107">
        <f>[1]节奏总纲!AD52</f>
        <v>56.430041330048923</v>
      </c>
      <c r="AE52" s="107">
        <f>[1]节奏总纲!AE52</f>
        <v>58.442483247955479</v>
      </c>
      <c r="AF52" s="107">
        <f>[1]节奏总纲!AF52</f>
        <v>61.289495211956165</v>
      </c>
      <c r="AG52" s="107">
        <f>[1]节奏总纲!AG52</f>
        <v>65.640268938313284</v>
      </c>
      <c r="AH52" s="107">
        <f>[1]节奏总纲!AH52</f>
        <v>74.231558509323534</v>
      </c>
      <c r="AL52" s="107">
        <v>49</v>
      </c>
      <c r="AM52" s="107">
        <f>[1]节奏总纲!AM52</f>
        <v>507.55295278468168</v>
      </c>
      <c r="AN52" s="107">
        <f>[1]节奏总纲!AN52</f>
        <v>406.04236222774534</v>
      </c>
      <c r="AO52" s="107">
        <f>[1]节奏总纲!AO52</f>
        <v>304.53177167080901</v>
      </c>
      <c r="AP52" s="107">
        <f>[1]节奏总纲!AP52</f>
        <v>203.02118111387267</v>
      </c>
      <c r="AQ52" s="107">
        <f>[1]节奏总纲!AQ52</f>
        <v>101.51059055693634</v>
      </c>
      <c r="AS52" s="107">
        <v>49</v>
      </c>
      <c r="AT52" s="107">
        <f>[1]节奏总纲!AT52</f>
        <v>69.651464424553808</v>
      </c>
      <c r="AU52" s="107">
        <f>[1]节奏总纲!AU52</f>
        <v>55.721171539643024</v>
      </c>
      <c r="AV52" s="107">
        <f>[1]节奏总纲!AV52</f>
        <v>41.790878654732296</v>
      </c>
      <c r="AW52" s="107">
        <f>[1]节奏总纲!AW52</f>
        <v>27.860585769821512</v>
      </c>
      <c r="AX52" s="107">
        <f>[1]节奏总纲!AX52</f>
        <v>13.930292884910756</v>
      </c>
      <c r="AY52" s="107"/>
      <c r="AZ52" s="107">
        <v>49</v>
      </c>
      <c r="BA52" s="107">
        <f>[1]节奏总纲!BA52</f>
        <v>33.363371207175248</v>
      </c>
      <c r="BB52" s="107">
        <f>[1]节奏总纲!BB52</f>
        <v>34.760359618289606</v>
      </c>
      <c r="BC52" s="107">
        <f>[1]节奏总纲!BC52</f>
        <v>36.666615757473956</v>
      </c>
      <c r="BD52" s="107">
        <f>[1]节奏总纲!BD52</f>
        <v>39.385377961140485</v>
      </c>
      <c r="BE52" s="107">
        <f>[1]节奏总纲!BE52</f>
        <v>44.067911160744309</v>
      </c>
    </row>
    <row r="53" spans="6:57" x14ac:dyDescent="0.15">
      <c r="F53" s="125">
        <f>[1]节奏总纲!F53</f>
        <v>51</v>
      </c>
      <c r="G53" s="125">
        <f>[1]节奏总纲!G53</f>
        <v>33.296750801161366</v>
      </c>
      <c r="I53" s="125">
        <f>[1]节奏总纲!I53</f>
        <v>51</v>
      </c>
      <c r="J53" s="125">
        <f>[1]节奏总纲!J53</f>
        <v>681.65492699983838</v>
      </c>
      <c r="K53" s="125">
        <f>[1]节奏总纲!K53</f>
        <v>1.1599999999999999</v>
      </c>
      <c r="N53" s="115">
        <f>[1]节奏总纲!N53</f>
        <v>60</v>
      </c>
      <c r="O53" s="107">
        <v>50</v>
      </c>
      <c r="P53" s="107">
        <f>[1]节奏总纲!P53</f>
        <v>31</v>
      </c>
      <c r="Q53" s="107">
        <f>[1]节奏总纲!Q53</f>
        <v>27.0351</v>
      </c>
      <c r="R53" s="107">
        <f>[1]节奏总纲!R53</f>
        <v>22.205300000000001</v>
      </c>
      <c r="S53" s="107">
        <f>[1]节奏总纲!S53</f>
        <v>16.386599999999998</v>
      </c>
      <c r="T53" s="107">
        <f>[1]节奏总纲!T53</f>
        <v>9.1883999999999997</v>
      </c>
      <c r="V53" s="107">
        <v>50</v>
      </c>
      <c r="W53" s="107">
        <f>[1]节奏总纲!W53</f>
        <v>2.1429442708221629</v>
      </c>
      <c r="X53" s="107">
        <f>[1]节奏总纲!X53</f>
        <v>1.8688616985840092</v>
      </c>
      <c r="Y53" s="107">
        <f>[1]节奏总纲!Y53</f>
        <v>1.4859339864503163</v>
      </c>
      <c r="Z53" s="107">
        <f>[1]节奏总纲!Z53</f>
        <v>1.118331813692004</v>
      </c>
      <c r="AA53" s="107">
        <f>[1]节奏总纲!AA53</f>
        <v>0.64094009301752308</v>
      </c>
      <c r="AC53" s="107">
        <v>50</v>
      </c>
      <c r="AD53" s="107">
        <f>[1]节奏总纲!AD53</f>
        <v>56.717296680108156</v>
      </c>
      <c r="AE53" s="107">
        <f>[1]节奏总纲!AE53</f>
        <v>58.729809239508185</v>
      </c>
      <c r="AF53" s="107">
        <f>[1]节奏总纲!AF53</f>
        <v>61.572721891673297</v>
      </c>
      <c r="AG53" s="107">
        <f>[1]节奏总纲!AG53</f>
        <v>65.949565490519575</v>
      </c>
      <c r="AH53" s="107">
        <f>[1]节奏总纲!AH53</f>
        <v>74.51042804689898</v>
      </c>
      <c r="AL53" s="107">
        <v>50</v>
      </c>
      <c r="AM53" s="107">
        <f>[1]节奏总纲!AM53</f>
        <v>588.22499999999991</v>
      </c>
      <c r="AN53" s="107">
        <f>[1]节奏总纲!AN53</f>
        <v>470.57999999999993</v>
      </c>
      <c r="AO53" s="107">
        <f>[1]节奏总纲!AO53</f>
        <v>352.93499999999995</v>
      </c>
      <c r="AP53" s="107">
        <f>[1]节奏总纲!AP53</f>
        <v>235.28999999999996</v>
      </c>
      <c r="AQ53" s="107">
        <f>[1]节奏总纲!AQ53</f>
        <v>117.64499999999998</v>
      </c>
      <c r="AS53" s="107">
        <v>50</v>
      </c>
      <c r="AT53" s="107">
        <f>[1]节奏总纲!AT53</f>
        <v>80.67204721531823</v>
      </c>
      <c r="AU53" s="107">
        <f>[1]节奏总纲!AU53</f>
        <v>64.537637772254584</v>
      </c>
      <c r="AV53" s="107">
        <f>[1]节奏总纲!AV53</f>
        <v>48.403228329190938</v>
      </c>
      <c r="AW53" s="107">
        <f>[1]节奏总纲!AW53</f>
        <v>32.268818886127292</v>
      </c>
      <c r="AX53" s="107">
        <f>[1]节奏总纲!AX53</f>
        <v>16.134409443063646</v>
      </c>
      <c r="AY53" s="107"/>
      <c r="AZ53" s="107">
        <v>50</v>
      </c>
      <c r="BA53" s="107">
        <f>[1]节奏总纲!BA53</f>
        <v>33.487933395889513</v>
      </c>
      <c r="BB53" s="107">
        <f>[1]节奏总纲!BB53</f>
        <v>34.893493163684269</v>
      </c>
      <c r="BC53" s="107">
        <f>[1]节奏总纲!BC53</f>
        <v>36.806900305200131</v>
      </c>
      <c r="BD53" s="107">
        <f>[1]节奏总纲!BD53</f>
        <v>39.520459727922798</v>
      </c>
      <c r="BE53" s="107">
        <f>[1]节奏总纲!BE53</f>
        <v>44.197188392263818</v>
      </c>
    </row>
    <row r="54" spans="6:57" x14ac:dyDescent="0.15">
      <c r="F54" s="125">
        <f>[1]节奏总纲!F54</f>
        <v>52</v>
      </c>
      <c r="G54" s="125">
        <f>[1]节奏总纲!G54</f>
        <v>35.758347359905123</v>
      </c>
      <c r="I54" s="125">
        <f>[1]节奏总纲!I54</f>
        <v>52</v>
      </c>
      <c r="J54" s="125">
        <f>[1]节奏总纲!J54</f>
        <v>789.85301886939453</v>
      </c>
      <c r="K54" s="125">
        <f>[1]节奏总纲!K54</f>
        <v>1.17</v>
      </c>
      <c r="N54" s="115">
        <f>[1]节奏总纲!N54</f>
        <v>61</v>
      </c>
      <c r="O54" s="107">
        <v>51</v>
      </c>
      <c r="P54" s="107">
        <f>[1]节奏总纲!P54</f>
        <v>33.296750801161366</v>
      </c>
      <c r="Q54" s="107">
        <f>[1]节奏总纲!Q54</f>
        <v>28.928217096048996</v>
      </c>
      <c r="R54" s="107">
        <f>[1]节奏总纲!R54</f>
        <v>23.783869097269566</v>
      </c>
      <c r="S54" s="107">
        <f>[1]节奏总纲!S54</f>
        <v>17.587343773173433</v>
      </c>
      <c r="T54" s="107">
        <f>[1]节奏总纲!T54</f>
        <v>9.8458492119034169</v>
      </c>
      <c r="V54" s="107">
        <v>51</v>
      </c>
      <c r="W54" s="107">
        <f>[1]节奏总纲!W54</f>
        <v>2.296750801161366</v>
      </c>
      <c r="X54" s="107">
        <f>[1]节奏总纲!X54</f>
        <v>1.8931170960489965</v>
      </c>
      <c r="Y54" s="107">
        <f>[1]节奏总纲!Y54</f>
        <v>1.5785690972695647</v>
      </c>
      <c r="Z54" s="107">
        <f>[1]节奏总纲!Z54</f>
        <v>1.2007437731734356</v>
      </c>
      <c r="AA54" s="107">
        <f>[1]节奏总纲!AA54</f>
        <v>0.65744921190341721</v>
      </c>
      <c r="AC54" s="107">
        <v>51</v>
      </c>
      <c r="AD54" s="107">
        <f>[1]节奏总纲!AD54</f>
        <v>57.004247194324648</v>
      </c>
      <c r="AE54" s="107">
        <f>[1]节奏总纲!AE54</f>
        <v>59.016342740868758</v>
      </c>
      <c r="AF54" s="107">
        <f>[1]节奏总纲!AF54</f>
        <v>61.855948571390428</v>
      </c>
      <c r="AG54" s="107">
        <f>[1]节奏总纲!AG54</f>
        <v>66.241691764589476</v>
      </c>
      <c r="AH54" s="107">
        <f>[1]节奏总纲!AH54</f>
        <v>74.789297584474426</v>
      </c>
      <c r="AL54" s="125">
        <v>51</v>
      </c>
      <c r="AM54" s="125">
        <f>[1]节奏总纲!AM54</f>
        <v>681.65492699983838</v>
      </c>
      <c r="AN54" s="125">
        <f>[1]节奏总纲!AN54</f>
        <v>545.32394159987075</v>
      </c>
      <c r="AO54" s="125">
        <f>[1]节奏总纲!AO54</f>
        <v>408.99295619990301</v>
      </c>
      <c r="AP54" s="125">
        <f>[1]节奏总纲!AP54</f>
        <v>272.66197079993537</v>
      </c>
      <c r="AQ54" s="125">
        <f>[1]节奏总纲!AQ54</f>
        <v>136.33098539996769</v>
      </c>
      <c r="AS54" s="125">
        <v>51</v>
      </c>
      <c r="AT54" s="125">
        <f>[1]节奏总纲!AT54</f>
        <v>93.429926999838472</v>
      </c>
      <c r="AU54" s="125">
        <f>[1]节奏总纲!AU54</f>
        <v>74.743941599870823</v>
      </c>
      <c r="AV54" s="125">
        <f>[1]节奏总纲!AV54</f>
        <v>56.05795619990306</v>
      </c>
      <c r="AW54" s="125">
        <f>[1]节奏总纲!AW54</f>
        <v>37.371970799935411</v>
      </c>
      <c r="AX54" s="125">
        <f>[1]节奏总纲!AX54</f>
        <v>18.685985399967706</v>
      </c>
      <c r="AZ54" s="107">
        <v>51</v>
      </c>
      <c r="BA54" s="107">
        <v>33.612495584603778</v>
      </c>
      <c r="BB54" s="107">
        <v>35.024397713965918</v>
      </c>
      <c r="BC54" s="107">
        <v>36.947184852926306</v>
      </c>
      <c r="BD54" s="107">
        <v>39.655541494705105</v>
      </c>
      <c r="BE54" s="107">
        <v>44.326465623783335</v>
      </c>
    </row>
    <row r="55" spans="6:57" x14ac:dyDescent="0.15">
      <c r="F55" s="125">
        <f>[1]节奏总纲!F55</f>
        <v>53</v>
      </c>
      <c r="G55" s="125">
        <f>[1]节奏总纲!G55</f>
        <v>38.396621227037308</v>
      </c>
      <c r="I55" s="125">
        <f>[1]节奏总纲!I55</f>
        <v>53</v>
      </c>
      <c r="J55" s="125">
        <f>[1]节奏总纲!J55</f>
        <v>915.14532082292135</v>
      </c>
      <c r="K55" s="125">
        <f>[1]节奏总纲!K55</f>
        <v>1.18</v>
      </c>
      <c r="N55" s="115">
        <f>[1]节奏总纲!N55</f>
        <v>62</v>
      </c>
      <c r="O55" s="107">
        <v>52</v>
      </c>
      <c r="P55" s="107">
        <f>[1]节奏总纲!P55</f>
        <v>35.758347359905123</v>
      </c>
      <c r="Q55" s="107">
        <f>[1]节奏总纲!Q55</f>
        <v>31.081155525229534</v>
      </c>
      <c r="R55" s="107">
        <f>[1]节奏总纲!R55</f>
        <v>25.606552544428059</v>
      </c>
      <c r="S55" s="107">
        <f>[1]节奏总纲!S55</f>
        <v>18.930469092333773</v>
      </c>
      <c r="T55" s="107">
        <f>[1]节奏总纲!T55</f>
        <v>10.570167479587953</v>
      </c>
      <c r="V55" s="107">
        <v>52</v>
      </c>
      <c r="W55" s="107">
        <f>[1]节奏总纲!W55</f>
        <v>2.4615965587437572</v>
      </c>
      <c r="X55" s="107">
        <f>[1]节奏总纲!X55</f>
        <v>2.1529384291805371</v>
      </c>
      <c r="Y55" s="107">
        <f>[1]节奏总纲!Y55</f>
        <v>1.822683447158493</v>
      </c>
      <c r="Z55" s="107">
        <f>[1]节奏总纲!Z55</f>
        <v>1.3431253191603396</v>
      </c>
      <c r="AA55" s="107">
        <f>[1]节奏总纲!AA55</f>
        <v>0.72431826768453611</v>
      </c>
      <c r="AC55" s="107">
        <v>52</v>
      </c>
      <c r="AD55" s="107">
        <f>[1]节奏总纲!AD55</f>
        <v>57.27226591292537</v>
      </c>
      <c r="AE55" s="107">
        <f>[1]节奏总纲!AE55</f>
        <v>59.290380144164828</v>
      </c>
      <c r="AF55" s="107">
        <f>[1]节奏总纲!AF55</f>
        <v>62.130298748930763</v>
      </c>
      <c r="AG55" s="107">
        <f>[1]节奏总纲!AG55</f>
        <v>66.530472725664353</v>
      </c>
      <c r="AH55" s="107">
        <f>[1]节奏总纲!AH55</f>
        <v>75.062532510920803</v>
      </c>
      <c r="AL55" s="125">
        <v>52</v>
      </c>
      <c r="AM55" s="125">
        <f>[1]节奏总纲!AM55</f>
        <v>789.85301886939453</v>
      </c>
      <c r="AN55" s="125">
        <f>[1]节奏总纲!AN55</f>
        <v>631.88241509551563</v>
      </c>
      <c r="AO55" s="125">
        <f>[1]节奏总纲!AO55</f>
        <v>473.91181132163672</v>
      </c>
      <c r="AP55" s="125">
        <f>[1]节奏总纲!AP55</f>
        <v>315.94120754775781</v>
      </c>
      <c r="AQ55" s="125">
        <f>[1]节奏总纲!AQ55</f>
        <v>157.97060377387891</v>
      </c>
      <c r="AS55" s="125">
        <v>52</v>
      </c>
      <c r="AT55" s="125">
        <f>[1]节奏总纲!AT55</f>
        <v>108.19809186955615</v>
      </c>
      <c r="AU55" s="125">
        <f>[1]节奏总纲!AU55</f>
        <v>86.558473495644876</v>
      </c>
      <c r="AV55" s="125">
        <f>[1]节奏总纲!AV55</f>
        <v>64.918855121733714</v>
      </c>
      <c r="AW55" s="125">
        <f>[1]节奏总纲!AW55</f>
        <v>43.279236747822438</v>
      </c>
      <c r="AX55" s="125">
        <f>[1]节奏总纲!AX55</f>
        <v>21.639618373911219</v>
      </c>
      <c r="AZ55" s="107">
        <v>52</v>
      </c>
      <c r="BA55" s="107">
        <v>33.737057773318043</v>
      </c>
      <c r="BB55" s="107">
        <v>35.146386283795508</v>
      </c>
      <c r="BC55" s="107">
        <v>37.075448197698059</v>
      </c>
      <c r="BD55" s="107">
        <v>39.790623261487418</v>
      </c>
      <c r="BE55" s="107">
        <v>44.455742855302844</v>
      </c>
    </row>
    <row r="56" spans="6:57" x14ac:dyDescent="0.15">
      <c r="F56" s="125">
        <f>[1]节奏总纲!F56</f>
        <v>54</v>
      </c>
      <c r="G56" s="125">
        <f>[1]节奏总纲!G56</f>
        <v>41.224253144732614</v>
      </c>
      <c r="I56" s="125">
        <f>[1]节奏总纲!I56</f>
        <v>54</v>
      </c>
      <c r="J56" s="125">
        <f>[1]节奏总纲!J56</f>
        <v>1060.2230944101252</v>
      </c>
      <c r="K56" s="125">
        <f>[1]节奏总纲!K56</f>
        <v>1.19</v>
      </c>
      <c r="N56" s="115">
        <f>[1]节奏总纲!N56</f>
        <v>63</v>
      </c>
      <c r="O56" s="107">
        <v>53</v>
      </c>
      <c r="P56" s="107">
        <f>[1]节奏总纲!P56</f>
        <v>38.396621227037308</v>
      </c>
      <c r="Q56" s="107">
        <f>[1]节奏总纲!Q56</f>
        <v>33.42809844025868</v>
      </c>
      <c r="R56" s="107">
        <f>[1]节奏总纲!R56</f>
        <v>27.5802930273809</v>
      </c>
      <c r="S56" s="107">
        <f>[1]节奏总纲!S56</f>
        <v>20.319491953348145</v>
      </c>
      <c r="T56" s="107">
        <f>[1]节奏总纲!T56</f>
        <v>11.338522248344118</v>
      </c>
      <c r="V56" s="107">
        <v>53</v>
      </c>
      <c r="W56" s="107">
        <f>[1]节奏总纲!W56</f>
        <v>2.6382738671321846</v>
      </c>
      <c r="X56" s="107">
        <f>[1]节奏总纲!X56</f>
        <v>2.3469429150291461</v>
      </c>
      <c r="Y56" s="107">
        <f>[1]节奏总纲!Y56</f>
        <v>1.9737404829528415</v>
      </c>
      <c r="Z56" s="107">
        <f>[1]节奏总纲!Z56</f>
        <v>1.3890228610143716</v>
      </c>
      <c r="AA56" s="107">
        <f>[1]节奏总纲!AA56</f>
        <v>0.76835476875616493</v>
      </c>
      <c r="AC56" s="107">
        <v>53</v>
      </c>
      <c r="AD56" s="107">
        <f>[1]节奏总纲!AD56</f>
        <v>57.540284631526099</v>
      </c>
      <c r="AE56" s="107">
        <f>[1]节奏总纲!AE56</f>
        <v>59.564417547460899</v>
      </c>
      <c r="AF56" s="107">
        <f>[1]节奏总纲!AF56</f>
        <v>62.395461425033538</v>
      </c>
      <c r="AG56" s="107">
        <f>[1]节奏总纲!AG56</f>
        <v>66.819253686739231</v>
      </c>
      <c r="AH56" s="107">
        <f>[1]节奏总纲!AH56</f>
        <v>75.318351032805268</v>
      </c>
      <c r="AL56" s="125">
        <v>53</v>
      </c>
      <c r="AM56" s="125">
        <f>[1]节奏总纲!AM56</f>
        <v>915.14532082292135</v>
      </c>
      <c r="AN56" s="125">
        <f>[1]节奏总纲!AN56</f>
        <v>732.11625665833708</v>
      </c>
      <c r="AO56" s="125">
        <f>[1]节奏总纲!AO56</f>
        <v>549.08719249375281</v>
      </c>
      <c r="AP56" s="125">
        <f>[1]节奏总纲!AP56</f>
        <v>366.05812832916854</v>
      </c>
      <c r="AQ56" s="125">
        <f>[1]节奏总纲!AQ56</f>
        <v>183.02906416458427</v>
      </c>
      <c r="AS56" s="125">
        <v>53</v>
      </c>
      <c r="AT56" s="125">
        <f>[1]节奏总纲!AT56</f>
        <v>125.29230195352682</v>
      </c>
      <c r="AU56" s="125">
        <f>[1]节奏总纲!AU56</f>
        <v>100.23384156282145</v>
      </c>
      <c r="AV56" s="125">
        <f>[1]节奏总纲!AV56</f>
        <v>75.17538117211609</v>
      </c>
      <c r="AW56" s="125">
        <f>[1]节奏总纲!AW56</f>
        <v>50.116920781410727</v>
      </c>
      <c r="AX56" s="125">
        <f>[1]节奏总纲!AX56</f>
        <v>25.058460390705363</v>
      </c>
      <c r="AZ56" s="107">
        <v>53</v>
      </c>
      <c r="BA56" s="107">
        <v>33.861619962032307</v>
      </c>
      <c r="BB56" s="107">
        <v>35.268374853625097</v>
      </c>
      <c r="BC56" s="107">
        <v>37.196452985793947</v>
      </c>
      <c r="BD56" s="107">
        <v>39.925705028269732</v>
      </c>
      <c r="BE56" s="107">
        <v>44.585020086822361</v>
      </c>
    </row>
    <row r="57" spans="6:57" x14ac:dyDescent="0.15">
      <c r="F57" s="125">
        <f>[1]节奏总纲!F57</f>
        <v>55</v>
      </c>
      <c r="G57" s="125">
        <f>[1]节奏总纲!G57</f>
        <v>44.254833995939045</v>
      </c>
      <c r="I57" s="125">
        <f>[1]节奏总纲!I57</f>
        <v>55</v>
      </c>
      <c r="J57" s="125">
        <f>[1]节奏总纲!J57</f>
        <v>1228.2</v>
      </c>
      <c r="K57" s="125">
        <f>[1]节奏总纲!K57</f>
        <v>1.2</v>
      </c>
      <c r="N57" s="115">
        <f>[1]节奏总纲!N57</f>
        <v>64</v>
      </c>
      <c r="O57" s="107">
        <v>54</v>
      </c>
      <c r="P57" s="107">
        <f>[1]节奏总纲!P57</f>
        <v>41.224253144732614</v>
      </c>
      <c r="Q57" s="107">
        <f>[1]节奏总纲!Q57</f>
        <v>35.947548742206841</v>
      </c>
      <c r="R57" s="107">
        <f>[1]节奏总纲!R57</f>
        <v>29.553667079458812</v>
      </c>
      <c r="S57" s="107">
        <f>[1]节奏总纲!S57</f>
        <v>21.762283235104348</v>
      </c>
      <c r="T57" s="107">
        <f>[1]节奏总纲!T57</f>
        <v>12.111685573922442</v>
      </c>
      <c r="V57" s="107">
        <v>54</v>
      </c>
      <c r="W57" s="107">
        <f>[1]节奏总纲!W57</f>
        <v>2.8276319176953066</v>
      </c>
      <c r="X57" s="107">
        <f>[1]节奏总纲!X57</f>
        <v>2.5194503019481616</v>
      </c>
      <c r="Y57" s="107">
        <f>[1]节奏总纲!Y57</f>
        <v>1.9733740520779115</v>
      </c>
      <c r="Z57" s="107">
        <f>[1]节奏总纲!Z57</f>
        <v>1.4427912817562039</v>
      </c>
      <c r="AA57" s="107">
        <f>[1]节奏总纲!AA57</f>
        <v>0.77316332557832368</v>
      </c>
      <c r="AC57" s="107">
        <v>54</v>
      </c>
      <c r="AD57" s="107">
        <f>[1]节奏总纲!AD57</f>
        <v>57.80830335012682</v>
      </c>
      <c r="AE57" s="107">
        <f>[1]节奏总纲!AE57</f>
        <v>59.838454950756969</v>
      </c>
      <c r="AF57" s="107">
        <f>[1]节奏总纲!AF57</f>
        <v>62.660624101136307</v>
      </c>
      <c r="AG57" s="107">
        <f>[1]节奏总纲!AG57</f>
        <v>67.098789255934349</v>
      </c>
      <c r="AH57" s="107">
        <f>[1]节奏总纲!AH57</f>
        <v>75.574169554689718</v>
      </c>
      <c r="AL57" s="125">
        <v>54</v>
      </c>
      <c r="AM57" s="125">
        <f>[1]节奏总纲!AM57</f>
        <v>1060.2230944101252</v>
      </c>
      <c r="AN57" s="125">
        <f>[1]节奏总纲!AN57</f>
        <v>848.17847552810019</v>
      </c>
      <c r="AO57" s="125">
        <f>[1]节奏总纲!AO57</f>
        <v>636.13385664607506</v>
      </c>
      <c r="AP57" s="125">
        <f>[1]节奏总纲!AP57</f>
        <v>424.0892377640501</v>
      </c>
      <c r="AQ57" s="125">
        <f>[1]节奏总纲!AQ57</f>
        <v>212.04461888202505</v>
      </c>
      <c r="AS57" s="125">
        <v>54</v>
      </c>
      <c r="AT57" s="125">
        <f>[1]节奏总纲!AT57</f>
        <v>145.07777358720386</v>
      </c>
      <c r="AU57" s="125">
        <f>[1]节奏总纲!AU57</f>
        <v>116.06221886976311</v>
      </c>
      <c r="AV57" s="125">
        <f>[1]节奏总纲!AV57</f>
        <v>87.046664152322251</v>
      </c>
      <c r="AW57" s="125">
        <f>[1]节奏总纲!AW57</f>
        <v>58.031109434881557</v>
      </c>
      <c r="AX57" s="125">
        <f>[1]节奏总纲!AX57</f>
        <v>29.015554717440779</v>
      </c>
      <c r="AZ57" s="107">
        <v>54</v>
      </c>
      <c r="BA57" s="107">
        <v>33.986182150746572</v>
      </c>
      <c r="BB57" s="107">
        <v>35.390363423454687</v>
      </c>
      <c r="BC57" s="107">
        <v>37.317457773889828</v>
      </c>
      <c r="BD57" s="107">
        <v>40.052446592012309</v>
      </c>
      <c r="BE57" s="107">
        <v>44.71429731834187</v>
      </c>
    </row>
    <row r="58" spans="6:57" x14ac:dyDescent="0.15">
      <c r="F58" s="125">
        <f>[1]节奏总纲!F58</f>
        <v>56</v>
      </c>
      <c r="G58" s="125">
        <f>[1]节奏总纲!G58</f>
        <v>47.502930128332721</v>
      </c>
      <c r="I58" s="125">
        <f>[1]节奏总纲!I58</f>
        <v>56</v>
      </c>
      <c r="J58" s="125">
        <f>[1]节奏总纲!J58</f>
        <v>1422.6782097755249</v>
      </c>
      <c r="K58" s="125">
        <f>[1]节奏总纲!K58</f>
        <v>1.21</v>
      </c>
      <c r="N58" s="115">
        <f>[1]节奏总纲!N58</f>
        <v>65</v>
      </c>
      <c r="O58" s="107">
        <v>55</v>
      </c>
      <c r="P58" s="107">
        <f>[1]节奏总纲!P58</f>
        <v>44.254833995939045</v>
      </c>
      <c r="Q58" s="107">
        <f>[1]节奏总纲!Q58</f>
        <v>38.53268396026413</v>
      </c>
      <c r="R58" s="107">
        <f>[1]节奏总纲!R58</f>
        <v>31.642206307096416</v>
      </c>
      <c r="S58" s="107">
        <f>[1]节奏总纲!S58</f>
        <v>23.282468165263531</v>
      </c>
      <c r="T58" s="107">
        <f>[1]节奏总纲!T58</f>
        <v>12.944538943812169</v>
      </c>
      <c r="V58" s="107">
        <v>55</v>
      </c>
      <c r="W58" s="107">
        <f>[1]节奏总纲!W58</f>
        <v>3.0305808512064303</v>
      </c>
      <c r="X58" s="107">
        <f>[1]节奏总纲!X58</f>
        <v>2.5851352180572889</v>
      </c>
      <c r="Y58" s="107">
        <f>[1]节奏总纲!Y58</f>
        <v>2.0885392276376038</v>
      </c>
      <c r="Z58" s="107">
        <f>[1]节奏总纲!Z58</f>
        <v>1.5201849301591821</v>
      </c>
      <c r="AA58" s="107">
        <f>[1]节奏总纲!AA58</f>
        <v>0.8328533698897278</v>
      </c>
      <c r="AC58" s="107">
        <v>55</v>
      </c>
      <c r="AD58" s="107">
        <f>[1]节奏总纲!AD58</f>
        <v>58.071211008105138</v>
      </c>
      <c r="AE58" s="107">
        <f>[1]节奏总纲!AE58</f>
        <v>60.102437883401088</v>
      </c>
      <c r="AF58" s="107">
        <f>[1]节奏总纲!AF58</f>
        <v>62.925786777239075</v>
      </c>
      <c r="AG58" s="107">
        <f>[1]节奏总纲!AG58</f>
        <v>67.36285691246691</v>
      </c>
      <c r="AH58" s="107">
        <f>[1]节奏总纲!AH58</f>
        <v>75.829988076574182</v>
      </c>
      <c r="AL58" s="125">
        <v>55</v>
      </c>
      <c r="AM58" s="125">
        <f>[1]节奏总纲!AM58</f>
        <v>1228.2</v>
      </c>
      <c r="AN58" s="125">
        <f>[1]节奏总纲!AN58</f>
        <v>982.56000000000006</v>
      </c>
      <c r="AO58" s="125">
        <f>[1]节奏总纲!AO58</f>
        <v>736.92</v>
      </c>
      <c r="AP58" s="125">
        <f>[1]节奏总纲!AP58</f>
        <v>491.28000000000003</v>
      </c>
      <c r="AQ58" s="125">
        <f>[1]节奏总纲!AQ58</f>
        <v>245.64000000000001</v>
      </c>
      <c r="AS58" s="125">
        <v>55</v>
      </c>
      <c r="AT58" s="125">
        <f>[1]节奏总纲!AT58</f>
        <v>167.97690558987483</v>
      </c>
      <c r="AU58" s="125">
        <f>[1]节奏总纲!AU58</f>
        <v>134.38152447189987</v>
      </c>
      <c r="AV58" s="125">
        <f>[1]节奏总纲!AV58</f>
        <v>100.7861433539249</v>
      </c>
      <c r="AW58" s="125">
        <f>[1]节奏总纲!AW58</f>
        <v>67.190762235949933</v>
      </c>
      <c r="AX58" s="125">
        <f>[1]节奏总纲!AX58</f>
        <v>33.595381117974966</v>
      </c>
      <c r="AZ58" s="107">
        <v>55</v>
      </c>
      <c r="BA58" s="107">
        <v>34.09469189131628</v>
      </c>
      <c r="BB58" s="107">
        <v>35.512351993284277</v>
      </c>
      <c r="BC58" s="107">
        <v>37.438462561985709</v>
      </c>
      <c r="BD58" s="107">
        <v>40.168994574261895</v>
      </c>
      <c r="BE58" s="107">
        <v>44.843574549861387</v>
      </c>
    </row>
    <row r="59" spans="6:57" x14ac:dyDescent="0.15">
      <c r="F59" s="125">
        <f>[1]节奏总纲!F59</f>
        <v>57</v>
      </c>
      <c r="G59" s="125">
        <f>[1]节奏总纲!G59</f>
        <v>50.984153366799077</v>
      </c>
      <c r="I59" s="125">
        <f>[1]节奏总纲!I59</f>
        <v>57</v>
      </c>
      <c r="J59" s="125">
        <f>[1]节奏总纲!J59</f>
        <v>1647.8248427703616</v>
      </c>
      <c r="K59" s="125">
        <f>[1]节奏总纲!K59</f>
        <v>1.22</v>
      </c>
      <c r="N59" s="115">
        <f>[1]节奏总纲!N59</f>
        <v>66</v>
      </c>
      <c r="O59" s="107">
        <v>56</v>
      </c>
      <c r="P59" s="107">
        <f>[1]节奏总纲!P59</f>
        <v>47.502930128332721</v>
      </c>
      <c r="Q59" s="107">
        <f>[1]节奏总纲!Q59</f>
        <v>41.275295988508304</v>
      </c>
      <c r="R59" s="107">
        <f>[1]节奏总纲!R59</f>
        <v>33.888590353552566</v>
      </c>
      <c r="S59" s="107">
        <f>[1]节奏总纲!S59</f>
        <v>24.910536559297679</v>
      </c>
      <c r="T59" s="107">
        <f>[1]节奏总纲!T59</f>
        <v>13.837603546383322</v>
      </c>
      <c r="V59" s="107">
        <v>56</v>
      </c>
      <c r="W59" s="107">
        <f>[1]节奏总纲!W59</f>
        <v>3.2480961323936768</v>
      </c>
      <c r="X59" s="107">
        <f>[1]节奏总纲!X59</f>
        <v>2.7426120282441744</v>
      </c>
      <c r="Y59" s="107">
        <f>[1]节奏总纲!Y59</f>
        <v>2.24638404645615</v>
      </c>
      <c r="Z59" s="107">
        <f>[1]节奏总纲!Z59</f>
        <v>1.6280683940341483</v>
      </c>
      <c r="AA59" s="107">
        <f>[1]节奏总纲!AA59</f>
        <v>0.89306460257115283</v>
      </c>
      <c r="AC59" s="107">
        <v>56</v>
      </c>
      <c r="AD59" s="107">
        <f>[1]节奏总纲!AD59</f>
        <v>58.321281314909029</v>
      </c>
      <c r="AE59" s="107">
        <f>[1]节奏总纲!AE59</f>
        <v>60.351982057337977</v>
      </c>
      <c r="AF59" s="107">
        <f>[1]节奏总纲!AF59</f>
        <v>63.17626763611517</v>
      </c>
      <c r="AG59" s="107">
        <f>[1]节奏总纲!AG59</f>
        <v>67.626924568999456</v>
      </c>
      <c r="AH59" s="107">
        <f>[1]节奏总纲!AH59</f>
        <v>76.086647524934079</v>
      </c>
      <c r="AL59" s="125">
        <v>56</v>
      </c>
      <c r="AM59" s="125">
        <f>[1]节奏总纲!AM59</f>
        <v>1422.6782097755249</v>
      </c>
      <c r="AN59" s="125">
        <f>[1]节奏总纲!AN59</f>
        <v>1138.14256782042</v>
      </c>
      <c r="AO59" s="125">
        <f>[1]节奏总纲!AO59</f>
        <v>853.60692586531491</v>
      </c>
      <c r="AP59" s="125">
        <f>[1]节奏总纲!AP59</f>
        <v>569.07128391021001</v>
      </c>
      <c r="AQ59" s="125">
        <f>[1]节奏总纲!AQ59</f>
        <v>284.53564195510501</v>
      </c>
      <c r="AS59" s="125">
        <v>56</v>
      </c>
      <c r="AT59" s="125">
        <f>[1]节奏总纲!AT59</f>
        <v>194.47820977552487</v>
      </c>
      <c r="AU59" s="125">
        <f>[1]节奏总纲!AU59</f>
        <v>155.58256782041997</v>
      </c>
      <c r="AV59" s="125">
        <f>[1]节奏总纲!AV59</f>
        <v>116.68692586531495</v>
      </c>
      <c r="AW59" s="125">
        <f>[1]节奏总纲!AW59</f>
        <v>77.791283910209984</v>
      </c>
      <c r="AX59" s="125">
        <f>[1]节奏总纲!AX59</f>
        <v>38.895641955104992</v>
      </c>
      <c r="AZ59" s="107">
        <v>56</v>
      </c>
      <c r="BA59" s="107">
        <v>34.201198727632011</v>
      </c>
      <c r="BB59" s="107">
        <v>35.634340563113874</v>
      </c>
      <c r="BC59" s="107">
        <v>37.55946735008159</v>
      </c>
      <c r="BD59" s="107">
        <v>40.28554255651148</v>
      </c>
      <c r="BE59" s="107">
        <v>44.972851781380903</v>
      </c>
    </row>
    <row r="60" spans="6:57" x14ac:dyDescent="0.15">
      <c r="F60" s="125">
        <f>[1]节奏总纲!F60</f>
        <v>58</v>
      </c>
      <c r="G60" s="125">
        <f>[1]节奏总纲!G60</f>
        <v>54.715236050951923</v>
      </c>
      <c r="I60" s="125">
        <f>[1]节奏总纲!I60</f>
        <v>58</v>
      </c>
      <c r="J60" s="125">
        <f>[1]节奏总纲!J60</f>
        <v>1908.4603298511749</v>
      </c>
      <c r="K60" s="125">
        <f>[1]节奏总纲!K60</f>
        <v>1.23</v>
      </c>
      <c r="N60" s="115">
        <f>[1]节奏总纲!N60</f>
        <v>67</v>
      </c>
      <c r="O60" s="107">
        <v>57</v>
      </c>
      <c r="P60" s="107">
        <f>[1]节奏总纲!P60</f>
        <v>50.984153366799077</v>
      </c>
      <c r="Q60" s="107">
        <f>[1]节奏总纲!Q60</f>
        <v>44.310327691085078</v>
      </c>
      <c r="R60" s="107">
        <f>[1]节奏总纲!R60</f>
        <v>36.316012443170983</v>
      </c>
      <c r="S60" s="107">
        <f>[1]节奏总纲!S60</f>
        <v>26.664712210835919</v>
      </c>
      <c r="T60" s="107">
        <f>[1]节奏总纲!T60</f>
        <v>14.815994968391813</v>
      </c>
      <c r="V60" s="107">
        <v>57</v>
      </c>
      <c r="W60" s="107">
        <f>[1]节奏总纲!W60</f>
        <v>3.481223238466356</v>
      </c>
      <c r="X60" s="107">
        <f>[1]节奏总纲!X60</f>
        <v>3.0350317025767737</v>
      </c>
      <c r="Y60" s="107">
        <f>[1]节奏总纲!Y60</f>
        <v>2.4274220896184175</v>
      </c>
      <c r="Z60" s="107">
        <f>[1]节奏总纲!Z60</f>
        <v>1.7541756515382403</v>
      </c>
      <c r="AA60" s="107">
        <f>[1]节奏总纲!AA60</f>
        <v>0.97839142200849061</v>
      </c>
      <c r="AC60" s="107">
        <v>57</v>
      </c>
      <c r="AD60" s="107">
        <f>[1]节奏总纲!AD60</f>
        <v>58.571351621712921</v>
      </c>
      <c r="AE60" s="107">
        <f>[1]节奏总纲!AE60</f>
        <v>60.60152623127486</v>
      </c>
      <c r="AF60" s="107">
        <f>[1]节奏总纲!AF60</f>
        <v>63.421042351541736</v>
      </c>
      <c r="AG60" s="107">
        <f>[1]节奏总纲!AG60</f>
        <v>67.890992225532017</v>
      </c>
      <c r="AH60" s="107">
        <f>[1]节奏总纲!AH60</f>
        <v>76.344973133357612</v>
      </c>
      <c r="AL60" s="125">
        <v>57</v>
      </c>
      <c r="AM60" s="125">
        <f>[1]节奏总纲!AM60</f>
        <v>1647.8248427703616</v>
      </c>
      <c r="AN60" s="125">
        <f>[1]节奏总纲!AN60</f>
        <v>1318.2598742162893</v>
      </c>
      <c r="AO60" s="125">
        <f>[1]节奏总纲!AO60</f>
        <v>988.69490566221691</v>
      </c>
      <c r="AP60" s="125">
        <f>[1]节奏总纲!AP60</f>
        <v>659.12993710814465</v>
      </c>
      <c r="AQ60" s="125">
        <f>[1]节奏总纲!AQ60</f>
        <v>329.56496855407232</v>
      </c>
      <c r="AS60" s="125">
        <v>57</v>
      </c>
      <c r="AT60" s="125">
        <f>[1]节奏总纲!AT60</f>
        <v>225.14663299483664</v>
      </c>
      <c r="AU60" s="125">
        <f>[1]节奏总纲!AU60</f>
        <v>180.11730639586926</v>
      </c>
      <c r="AV60" s="125">
        <f>[1]节奏总纲!AV60</f>
        <v>135.087979796902</v>
      </c>
      <c r="AW60" s="125">
        <f>[1]节奏总纲!AW60</f>
        <v>90.058653197934632</v>
      </c>
      <c r="AX60" s="125">
        <f>[1]节奏总纲!AX60</f>
        <v>45.029326598967316</v>
      </c>
      <c r="AZ60" s="107">
        <v>57</v>
      </c>
      <c r="BA60" s="107">
        <v>34.307705563947749</v>
      </c>
      <c r="BB60" s="107">
        <v>35.756329132943463</v>
      </c>
      <c r="BC60" s="107">
        <v>37.680472138177478</v>
      </c>
      <c r="BD60" s="107">
        <v>40.402090538761065</v>
      </c>
      <c r="BE60" s="107">
        <v>45.088151688727308</v>
      </c>
    </row>
    <row r="61" spans="6:57" x14ac:dyDescent="0.15">
      <c r="F61" s="125">
        <f>[1]节奏总纲!F61</f>
        <v>59</v>
      </c>
      <c r="G61" s="125">
        <f>[1]节奏总纲!G61</f>
        <v>58.714111458355703</v>
      </c>
      <c r="I61" s="125">
        <f>[1]节奏总纲!I61</f>
        <v>59</v>
      </c>
      <c r="J61" s="125">
        <f>[1]节奏总纲!J61</f>
        <v>2210.1605665017755</v>
      </c>
      <c r="K61" s="125">
        <f>[1]节奏总纲!K61</f>
        <v>1.24</v>
      </c>
      <c r="N61" s="115">
        <f>[1]节奏总纲!N61</f>
        <v>68</v>
      </c>
      <c r="O61" s="107">
        <v>58</v>
      </c>
      <c r="P61" s="107">
        <f>[1]节奏总纲!P61</f>
        <v>54.715236050951923</v>
      </c>
      <c r="Q61" s="107">
        <f>[1]节奏总纲!Q61</f>
        <v>47.459995750595695</v>
      </c>
      <c r="R61" s="107">
        <f>[1]节奏总纲!R61</f>
        <v>38.913475879437009</v>
      </c>
      <c r="S61" s="107">
        <f>[1]节奏总纲!S61</f>
        <v>28.572296265807093</v>
      </c>
      <c r="T61" s="107">
        <f>[1]节奏总纲!T61</f>
        <v>15.856475407565867</v>
      </c>
      <c r="V61" s="107">
        <v>58</v>
      </c>
      <c r="W61" s="107">
        <f>[1]节奏总纲!W61</f>
        <v>3.7310826841528453</v>
      </c>
      <c r="X61" s="107">
        <f>[1]节奏总纲!X61</f>
        <v>3.149668059510617</v>
      </c>
      <c r="Y61" s="107">
        <f>[1]节奏总纲!Y61</f>
        <v>2.5974634362660254</v>
      </c>
      <c r="Z61" s="107">
        <f>[1]节奏总纲!Z61</f>
        <v>1.9075840549711742</v>
      </c>
      <c r="AA61" s="107">
        <f>[1]节奏总纲!AA61</f>
        <v>1.0404804391740541</v>
      </c>
      <c r="AC61" s="107">
        <v>58</v>
      </c>
      <c r="AD61" s="107">
        <f>[1]节奏总纲!AD61</f>
        <v>58.821421928516813</v>
      </c>
      <c r="AE61" s="107">
        <f>[1]节奏总纲!AE61</f>
        <v>60.851070405211743</v>
      </c>
      <c r="AF61" s="107">
        <f>[1]节奏总纲!AF61</f>
        <v>63.665817066968295</v>
      </c>
      <c r="AG61" s="107">
        <f>[1]节奏总纲!AG61</f>
        <v>68.142437172458173</v>
      </c>
      <c r="AH61" s="107">
        <f>[1]节奏总纲!AH61</f>
        <v>76.60329874178116</v>
      </c>
      <c r="AL61" s="125">
        <v>58</v>
      </c>
      <c r="AM61" s="125">
        <f>[1]节奏总纲!AM61</f>
        <v>1908.4603298511749</v>
      </c>
      <c r="AN61" s="125">
        <f>[1]节奏总纲!AN61</f>
        <v>1526.7682638809401</v>
      </c>
      <c r="AO61" s="125">
        <f>[1]节奏总纲!AO61</f>
        <v>1145.0761979107049</v>
      </c>
      <c r="AP61" s="125">
        <f>[1]节奏总纲!AP61</f>
        <v>763.38413194047007</v>
      </c>
      <c r="AQ61" s="125">
        <f>[1]节奏总纲!AQ61</f>
        <v>381.69206597023503</v>
      </c>
      <c r="AS61" s="125">
        <v>58</v>
      </c>
      <c r="AT61" s="125">
        <f>[1]节奏总纲!AT61</f>
        <v>260.63548708081339</v>
      </c>
      <c r="AU61" s="125">
        <f>[1]节奏总纲!AU61</f>
        <v>208.50838966465085</v>
      </c>
      <c r="AV61" s="125">
        <f>[1]节奏总纲!AV61</f>
        <v>156.38129224848797</v>
      </c>
      <c r="AW61" s="125">
        <f>[1]节奏总纲!AW61</f>
        <v>104.25419483232542</v>
      </c>
      <c r="AX61" s="125">
        <f>[1]节奏总纲!AX61</f>
        <v>52.127097416162712</v>
      </c>
      <c r="AZ61" s="107">
        <v>58</v>
      </c>
      <c r="BA61" s="107">
        <v>34.41421240026348</v>
      </c>
      <c r="BB61" s="107">
        <v>35.878317702773053</v>
      </c>
      <c r="BC61" s="107">
        <v>37.801476926273359</v>
      </c>
      <c r="BD61" s="107">
        <v>40.518638521010644</v>
      </c>
      <c r="BE61" s="107">
        <v>45.199736104837825</v>
      </c>
    </row>
    <row r="62" spans="6:57" x14ac:dyDescent="0.15">
      <c r="F62" s="125">
        <f>[1]节奏总纲!F62</f>
        <v>60</v>
      </c>
      <c r="G62" s="125">
        <f>[1]节奏总纲!G62</f>
        <v>63</v>
      </c>
      <c r="I62" s="125">
        <f>[1]节奏总纲!I62</f>
        <v>60</v>
      </c>
      <c r="J62" s="125">
        <f>[1]节奏总纲!J62</f>
        <v>2559.375</v>
      </c>
      <c r="K62" s="125">
        <f>[1]节奏总纲!K62</f>
        <v>1.25</v>
      </c>
      <c r="N62" s="115">
        <f>[1]节奏总纲!N62</f>
        <v>69</v>
      </c>
      <c r="O62" s="107">
        <v>59</v>
      </c>
      <c r="P62" s="107">
        <f>[1]节奏总纲!P62</f>
        <v>58.714111458355703</v>
      </c>
      <c r="Q62" s="107">
        <f>[1]节奏总纲!Q62</f>
        <v>50.940363101269412</v>
      </c>
      <c r="R62" s="107">
        <f>[1]节奏总纲!R62</f>
        <v>41.728119013453394</v>
      </c>
      <c r="S62" s="107">
        <f>[1]节奏总纲!S62</f>
        <v>30.607666303240826</v>
      </c>
      <c r="T62" s="107">
        <f>[1]节奏总纲!T62</f>
        <v>17.003606678339814</v>
      </c>
      <c r="V62" s="107">
        <v>59</v>
      </c>
      <c r="W62" s="107">
        <f>[1]节奏总纲!W62</f>
        <v>3.99887540740378</v>
      </c>
      <c r="X62" s="107">
        <f>[1]节奏总纲!X62</f>
        <v>3.4803673506737169</v>
      </c>
      <c r="Y62" s="107">
        <f>[1]节奏总纲!Y62</f>
        <v>2.8146431340163858</v>
      </c>
      <c r="Z62" s="107">
        <f>[1]节奏总纲!Z62</f>
        <v>2.0353700374337329</v>
      </c>
      <c r="AA62" s="107">
        <f>[1]节奏总纲!AA62</f>
        <v>1.1471312707739472</v>
      </c>
      <c r="AC62" s="107">
        <v>59</v>
      </c>
      <c r="AD62" s="107">
        <f>[1]节奏总纲!AD62</f>
        <v>59.066704614192936</v>
      </c>
      <c r="AE62" s="107">
        <f>[1]节奏总纲!AE62</f>
        <v>61.094954819415335</v>
      </c>
      <c r="AF62" s="107">
        <f>[1]节奏总纲!AF62</f>
        <v>63.91059178239486</v>
      </c>
      <c r="AG62" s="107">
        <f>[1]节奏总纲!AG62</f>
        <v>68.385008299388929</v>
      </c>
      <c r="AH62" s="107">
        <f>[1]节奏总纲!AH62</f>
        <v>76.861624350204693</v>
      </c>
      <c r="AL62" s="125">
        <v>59</v>
      </c>
      <c r="AM62" s="125">
        <f>[1]节奏总纲!AM62</f>
        <v>2210.1605665017755</v>
      </c>
      <c r="AN62" s="125">
        <f>[1]节奏总纲!AN62</f>
        <v>1768.1284532014206</v>
      </c>
      <c r="AO62" s="125">
        <f>[1]节奏总纲!AO62</f>
        <v>1326.0963399010652</v>
      </c>
      <c r="AP62" s="125">
        <f>[1]节奏总纲!AP62</f>
        <v>884.0642266007103</v>
      </c>
      <c r="AQ62" s="125">
        <f>[1]节奏总纲!AQ62</f>
        <v>442.03211330035515</v>
      </c>
      <c r="AS62" s="125">
        <v>59</v>
      </c>
      <c r="AT62" s="125">
        <f>[1]节奏总纲!AT62</f>
        <v>301.70023665060057</v>
      </c>
      <c r="AU62" s="125">
        <f>[1]节奏总纲!AU62</f>
        <v>241.36018932048046</v>
      </c>
      <c r="AV62" s="125">
        <f>[1]节奏总纲!AV62</f>
        <v>181.02014199036034</v>
      </c>
      <c r="AW62" s="125">
        <f>[1]节奏总纲!AW62</f>
        <v>120.68009466024023</v>
      </c>
      <c r="AX62" s="125">
        <f>[1]节奏总纲!AX62</f>
        <v>60.340047330120115</v>
      </c>
      <c r="AZ62" s="107">
        <v>59</v>
      </c>
      <c r="BA62" s="107">
        <v>34.520719236579211</v>
      </c>
      <c r="BB62" s="107">
        <v>36.000264155774609</v>
      </c>
      <c r="BC62" s="107">
        <v>37.922481714369241</v>
      </c>
      <c r="BD62" s="107">
        <v>40.635186503260229</v>
      </c>
      <c r="BE62" s="107">
        <v>45.31132052094835</v>
      </c>
    </row>
    <row r="63" spans="6:57" x14ac:dyDescent="0.15">
      <c r="F63" s="125">
        <f>[1]节奏总纲!F63</f>
        <v>61</v>
      </c>
      <c r="G63" s="125">
        <f>[1]节奏总纲!G63</f>
        <v>67.593501602322732</v>
      </c>
      <c r="I63" s="125">
        <f>[1]节奏总纲!I63</f>
        <v>61</v>
      </c>
      <c r="J63" s="125">
        <f>[1]节奏总纲!J63</f>
        <v>2963.5631311027469</v>
      </c>
      <c r="K63" s="125">
        <f>[1]节奏总纲!K63</f>
        <v>1.26</v>
      </c>
      <c r="N63" s="115">
        <f>[1]节奏总纲!N63</f>
        <v>70</v>
      </c>
      <c r="O63" s="107">
        <v>60</v>
      </c>
      <c r="P63" s="107">
        <f>[1]节奏总纲!P63</f>
        <v>63</v>
      </c>
      <c r="Q63" s="107">
        <f>[1]节奏总纲!Q63</f>
        <v>54.589500000000001</v>
      </c>
      <c r="R63" s="107">
        <f>[1]节奏总纲!R63</f>
        <v>44.717399999999998</v>
      </c>
      <c r="S63" s="107">
        <f>[1]节奏总纲!S63</f>
        <v>32.810400000000001</v>
      </c>
      <c r="T63" s="107">
        <f>[1]节奏总纲!T63</f>
        <v>18.276300000000003</v>
      </c>
      <c r="V63" s="107">
        <v>60</v>
      </c>
      <c r="W63" s="107">
        <f>[1]节奏总纲!W63</f>
        <v>4.2858885416442973</v>
      </c>
      <c r="X63" s="107">
        <f>[1]节奏总纲!X63</f>
        <v>3.649136898730589</v>
      </c>
      <c r="Y63" s="107">
        <f>[1]节奏总纲!Y63</f>
        <v>2.9892809865466035</v>
      </c>
      <c r="Z63" s="107">
        <f>[1]节奏总纲!Z63</f>
        <v>2.2027336967591751</v>
      </c>
      <c r="AA63" s="107">
        <f>[1]节奏总纲!AA63</f>
        <v>1.2726933216601886</v>
      </c>
      <c r="AC63" s="107">
        <v>60</v>
      </c>
      <c r="AD63" s="107">
        <f>[1]节奏总纲!AD63</f>
        <v>59.300028460644697</v>
      </c>
      <c r="AE63" s="107">
        <f>[1]节奏总纲!AE63</f>
        <v>61.330461663183208</v>
      </c>
      <c r="AF63" s="107">
        <f>[1]节奏总纲!AF63</f>
        <v>64.14304723627319</v>
      </c>
      <c r="AG63" s="107">
        <f>[1]节奏总纲!AG63</f>
        <v>68.627579426319684</v>
      </c>
      <c r="AH63" s="107">
        <f>[1]节奏总纲!AH63</f>
        <v>77.112805903056142</v>
      </c>
      <c r="AL63" s="125">
        <v>60</v>
      </c>
      <c r="AM63" s="125">
        <f>[1]节奏总纲!AM63</f>
        <v>2559.375</v>
      </c>
      <c r="AN63" s="125">
        <f>[1]节奏总纲!AN63</f>
        <v>2047.5</v>
      </c>
      <c r="AO63" s="125">
        <f>[1]节奏总纲!AO63</f>
        <v>1535.625</v>
      </c>
      <c r="AP63" s="125">
        <f>[1]节奏总纲!AP63</f>
        <v>1023.75</v>
      </c>
      <c r="AQ63" s="125">
        <f>[1]节奏总纲!AQ63</f>
        <v>511.875</v>
      </c>
      <c r="AS63" s="125">
        <v>60</v>
      </c>
      <c r="AT63" s="125">
        <f>[1]节奏总纲!AT63</f>
        <v>349.21443349822448</v>
      </c>
      <c r="AU63" s="125">
        <f>[1]节奏总纲!AU63</f>
        <v>279.3715467985794</v>
      </c>
      <c r="AV63" s="125">
        <f>[1]节奏总纲!AV63</f>
        <v>209.52866009893478</v>
      </c>
      <c r="AW63" s="125">
        <f>[1]节奏总纲!AW63</f>
        <v>139.6857733992897</v>
      </c>
      <c r="AX63" s="125">
        <f>[1]节奏总纲!AX63</f>
        <v>69.842886699644851</v>
      </c>
      <c r="AZ63" s="107">
        <v>60</v>
      </c>
      <c r="BA63" s="107">
        <v>34.627226072894942</v>
      </c>
      <c r="BB63" s="107">
        <v>36.105477566569242</v>
      </c>
      <c r="BC63" s="107">
        <v>38.037513426486328</v>
      </c>
      <c r="BD63" s="107">
        <v>40.751734485509814</v>
      </c>
      <c r="BE63" s="107">
        <v>45.422904937058867</v>
      </c>
    </row>
    <row r="64" spans="6:57" x14ac:dyDescent="0.15">
      <c r="F64" s="125">
        <f>[1]节奏总纲!F64</f>
        <v>62</v>
      </c>
      <c r="G64" s="125">
        <f>[1]节奏总纲!G64</f>
        <v>72.516694719810218</v>
      </c>
      <c r="I64" s="125">
        <f>[1]节奏总纲!I64</f>
        <v>62</v>
      </c>
      <c r="J64" s="125">
        <f>[1]节奏总纲!J64</f>
        <v>3431.3522956038646</v>
      </c>
      <c r="K64" s="125">
        <f>[1]节奏总纲!K64</f>
        <v>1.27</v>
      </c>
      <c r="N64" s="115">
        <f>[1]节奏总纲!N64</f>
        <v>71</v>
      </c>
      <c r="O64" s="107">
        <v>61</v>
      </c>
      <c r="P64" s="107">
        <f>[1]节奏总纲!P64</f>
        <v>67.593501602322732</v>
      </c>
      <c r="Q64" s="107">
        <f>[1]节奏总纲!Q64</f>
        <v>58.596806539053574</v>
      </c>
      <c r="R64" s="107">
        <f>[1]节奏总纲!R64</f>
        <v>47.977867437328676</v>
      </c>
      <c r="S64" s="107">
        <f>[1]节奏总纲!S64</f>
        <v>35.229733035130607</v>
      </c>
      <c r="T64" s="107">
        <f>[1]节奏总纲!T64</f>
        <v>19.602115464673592</v>
      </c>
      <c r="V64" s="107">
        <v>61</v>
      </c>
      <c r="W64" s="107">
        <f>[1]节奏总纲!W64</f>
        <v>4.593501602322732</v>
      </c>
      <c r="X64" s="107">
        <f>[1]节奏总纲!X64</f>
        <v>4.0073065390535731</v>
      </c>
      <c r="Y64" s="107">
        <f>[1]节奏总纲!Y64</f>
        <v>3.2604674373286784</v>
      </c>
      <c r="Z64" s="107">
        <f>[1]节奏总纲!Z64</f>
        <v>2.4193330351306059</v>
      </c>
      <c r="AA64" s="107">
        <f>[1]节奏总纲!AA64</f>
        <v>1.3258154646735889</v>
      </c>
      <c r="AC64" s="107">
        <v>61</v>
      </c>
      <c r="AD64" s="107">
        <f>[1]节奏总纲!AD64</f>
        <v>59.533352307096465</v>
      </c>
      <c r="AE64" s="107">
        <f>[1]节奏总纲!AE64</f>
        <v>61.56596850695108</v>
      </c>
      <c r="AF64" s="107">
        <f>[1]节奏总纲!AF64</f>
        <v>64.368413367596901</v>
      </c>
      <c r="AG64" s="107">
        <f>[1]节奏总纲!AG64</f>
        <v>68.870150553250454</v>
      </c>
      <c r="AH64" s="107">
        <f>[1]节奏总纲!AH64</f>
        <v>77.355745991356301</v>
      </c>
      <c r="AL64" s="125">
        <v>61</v>
      </c>
      <c r="AM64" s="125">
        <f>[1]节奏总纲!AM64</f>
        <v>2963.5631311027469</v>
      </c>
      <c r="AN64" s="125">
        <f>[1]节奏总纲!AN64</f>
        <v>2370.8505048821976</v>
      </c>
      <c r="AO64" s="125">
        <f>[1]节奏总纲!AO64</f>
        <v>1778.1378786616481</v>
      </c>
      <c r="AP64" s="125">
        <f>[1]节奏总纲!AP64</f>
        <v>1185.4252524410988</v>
      </c>
      <c r="AQ64" s="125">
        <f>[1]节奏总纲!AQ64</f>
        <v>592.7126262205494</v>
      </c>
      <c r="AS64" s="125">
        <v>61</v>
      </c>
      <c r="AT64" s="125">
        <f>[1]节奏总纲!AT64</f>
        <v>404.18813110274687</v>
      </c>
      <c r="AU64" s="125">
        <f>[1]节奏总纲!AU64</f>
        <v>323.35050488219758</v>
      </c>
      <c r="AV64" s="125">
        <f>[1]节奏总纲!AV64</f>
        <v>242.51287866164807</v>
      </c>
      <c r="AW64" s="125">
        <f>[1]节奏总纲!AW64</f>
        <v>161.67525244109879</v>
      </c>
      <c r="AX64" s="125">
        <f>[1]节奏总纲!AX64</f>
        <v>80.837626220549396</v>
      </c>
      <c r="AZ64" s="107">
        <v>61</v>
      </c>
      <c r="BA64" s="107">
        <v>34.733732909210673</v>
      </c>
      <c r="BB64" s="107">
        <v>36.210690977363875</v>
      </c>
      <c r="BC64" s="107">
        <v>38.14189763688286</v>
      </c>
      <c r="BD64" s="107">
        <v>40.8682824677594</v>
      </c>
      <c r="BE64" s="107">
        <v>45.534489353169384</v>
      </c>
    </row>
    <row r="65" spans="6:57" x14ac:dyDescent="0.15">
      <c r="F65" s="125">
        <f>[1]节奏总纲!F65</f>
        <v>63</v>
      </c>
      <c r="G65" s="125">
        <f>[1]节奏总纲!G65</f>
        <v>77.793242454074615</v>
      </c>
      <c r="I65" s="125">
        <f>[1]节奏总纲!I65</f>
        <v>63</v>
      </c>
      <c r="J65" s="125">
        <f>[1]节奏总纲!J65</f>
        <v>3972.7200361130153</v>
      </c>
      <c r="K65" s="125">
        <f>[1]节奏总纲!K65</f>
        <v>1.28</v>
      </c>
      <c r="N65" s="115">
        <f>[1]节奏总纲!N65</f>
        <v>72</v>
      </c>
      <c r="O65" s="107">
        <v>62</v>
      </c>
      <c r="P65" s="107">
        <f>[1]节奏总纲!P65</f>
        <v>72.516694719810218</v>
      </c>
      <c r="Q65" s="107">
        <f>[1]节奏总纲!Q65</f>
        <v>62.842967644187539</v>
      </c>
      <c r="R65" s="107">
        <f>[1]节奏总纲!R65</f>
        <v>51.5086082594812</v>
      </c>
      <c r="S65" s="107">
        <f>[1]节奏总纲!S65</f>
        <v>37.846462974268952</v>
      </c>
      <c r="T65" s="107">
        <f>[1]节奏总纲!T65</f>
        <v>21.124113171880715</v>
      </c>
      <c r="V65" s="107">
        <v>62</v>
      </c>
      <c r="W65" s="107">
        <f>[1]节奏总纲!W65</f>
        <v>4.9231931174874859</v>
      </c>
      <c r="X65" s="107">
        <f>[1]节奏总纲!X65</f>
        <v>4.2461611051339645</v>
      </c>
      <c r="Y65" s="107">
        <f>[1]节奏总纲!Y65</f>
        <v>3.5307408221525236</v>
      </c>
      <c r="Z65" s="107">
        <f>[1]节奏总纲!Z65</f>
        <v>2.6167299391383452</v>
      </c>
      <c r="AA65" s="107">
        <f>[1]节奏总纲!AA65</f>
        <v>1.5219977072071238</v>
      </c>
      <c r="AC65" s="107">
        <v>62</v>
      </c>
      <c r="AD65" s="107">
        <f>[1]节奏总纲!AD65</f>
        <v>59.766676153548232</v>
      </c>
      <c r="AE65" s="107">
        <f>[1]节奏总纲!AE65</f>
        <v>61.801475350718952</v>
      </c>
      <c r="AF65" s="107">
        <f>[1]节奏总纲!AF65</f>
        <v>64.593779498920611</v>
      </c>
      <c r="AG65" s="107">
        <f>[1]节奏总纲!AG65</f>
        <v>69.105843627521551</v>
      </c>
      <c r="AH65" s="107">
        <f>[1]节奏总纲!AH65</f>
        <v>77.59868607965646</v>
      </c>
      <c r="AL65" s="125">
        <v>62</v>
      </c>
      <c r="AM65" s="125">
        <f>[1]节奏总纲!AM65</f>
        <v>3431.3522956038646</v>
      </c>
      <c r="AN65" s="125">
        <f>[1]节奏总纲!AN65</f>
        <v>2745.081836483092</v>
      </c>
      <c r="AO65" s="125">
        <f>[1]节奏总纲!AO65</f>
        <v>2058.8113773623186</v>
      </c>
      <c r="AP65" s="125">
        <f>[1]节奏总纲!AP65</f>
        <v>1372.540918241546</v>
      </c>
      <c r="AQ65" s="125">
        <f>[1]节奏总纲!AQ65</f>
        <v>686.27045912077301</v>
      </c>
      <c r="AS65" s="125">
        <v>62</v>
      </c>
      <c r="AT65" s="125">
        <f>[1]节奏总纲!AT65</f>
        <v>467.78916450111774</v>
      </c>
      <c r="AU65" s="125">
        <f>[1]节奏总纲!AU65</f>
        <v>374.23133160089446</v>
      </c>
      <c r="AV65" s="125">
        <f>[1]节奏总纲!AV65</f>
        <v>280.67349870067051</v>
      </c>
      <c r="AW65" s="125">
        <f>[1]节奏总纲!AW65</f>
        <v>187.11566580044723</v>
      </c>
      <c r="AX65" s="125">
        <f>[1]节奏总纲!AX65</f>
        <v>93.557832900223616</v>
      </c>
      <c r="AZ65" s="107">
        <v>62</v>
      </c>
      <c r="BA65" s="107">
        <v>34.840239745526404</v>
      </c>
      <c r="BB65" s="107">
        <v>36.315904388158508</v>
      </c>
      <c r="BC65" s="107">
        <v>38.246281847279398</v>
      </c>
      <c r="BD65" s="107">
        <v>40.984830450008978</v>
      </c>
      <c r="BE65" s="107">
        <v>45.646073769279901</v>
      </c>
    </row>
    <row r="66" spans="6:57" x14ac:dyDescent="0.15">
      <c r="F66" s="125">
        <f>[1]节奏总纲!F66</f>
        <v>64</v>
      </c>
      <c r="G66" s="125">
        <f>[1]节奏总纲!G66</f>
        <v>83.4485062894652</v>
      </c>
      <c r="I66" s="125">
        <f>[1]节奏总纲!I66</f>
        <v>64</v>
      </c>
      <c r="J66" s="125">
        <f>[1]节奏总纲!J66</f>
        <v>4599.2048883665893</v>
      </c>
      <c r="K66" s="125">
        <f>[1]节奏总纲!K66</f>
        <v>1.29</v>
      </c>
      <c r="N66" s="115">
        <f>[1]节奏总纲!N66</f>
        <v>73</v>
      </c>
      <c r="O66" s="107">
        <v>63</v>
      </c>
      <c r="P66" s="107">
        <f>[1]节奏总纲!P66</f>
        <v>77.793242454074615</v>
      </c>
      <c r="Q66" s="107">
        <f>[1]节奏总纲!Q66</f>
        <v>67.470079180418907</v>
      </c>
      <c r="R66" s="107">
        <f>[1]节奏总纲!R66</f>
        <v>55.27987808786542</v>
      </c>
      <c r="S66" s="107">
        <f>[1]节奏总纲!S66</f>
        <v>40.678086479235617</v>
      </c>
      <c r="T66" s="107">
        <f>[1]节奏总纲!T66</f>
        <v>22.700068148098975</v>
      </c>
      <c r="V66" s="107">
        <v>63</v>
      </c>
      <c r="W66" s="107">
        <f>[1]节奏总纲!W66</f>
        <v>5.2765477342643976</v>
      </c>
      <c r="X66" s="107">
        <f>[1]节奏总纲!X66</f>
        <v>4.6271115362313679</v>
      </c>
      <c r="Y66" s="107">
        <f>[1]节奏总纲!Y66</f>
        <v>3.7712698283842201</v>
      </c>
      <c r="Z66" s="107">
        <f>[1]节奏总纲!Z66</f>
        <v>2.8316235049666645</v>
      </c>
      <c r="AA66" s="107">
        <f>[1]节奏总纲!AA66</f>
        <v>1.5759549762182594</v>
      </c>
      <c r="AC66" s="107">
        <v>63</v>
      </c>
      <c r="AD66" s="107">
        <f>[1]节奏总纲!AD66</f>
        <v>60</v>
      </c>
      <c r="AE66" s="107">
        <f>[1]节奏总纲!AE66</f>
        <v>62.033937447710706</v>
      </c>
      <c r="AF66" s="107">
        <f>[1]节奏总纲!AF66</f>
        <v>64.819145630244321</v>
      </c>
      <c r="AG66" s="107">
        <f>[1]节奏总纲!AG66</f>
        <v>69.333613546893503</v>
      </c>
      <c r="AH66" s="107">
        <f>[1]节奏总纲!AH66</f>
        <v>77.841626167956619</v>
      </c>
      <c r="AL66" s="125">
        <v>63</v>
      </c>
      <c r="AM66" s="125">
        <f>[1]节奏总纲!AM66</f>
        <v>3972.7200361130153</v>
      </c>
      <c r="AN66" s="125">
        <f>[1]节奏总纲!AN66</f>
        <v>3178.1760288904125</v>
      </c>
      <c r="AO66" s="125">
        <f>[1]节奏总纲!AO66</f>
        <v>2383.6320216678091</v>
      </c>
      <c r="AP66" s="125">
        <f>[1]节奏总纲!AP66</f>
        <v>1589.0880144452062</v>
      </c>
      <c r="AQ66" s="125">
        <f>[1]节奏总纲!AQ66</f>
        <v>794.54400722260311</v>
      </c>
      <c r="AS66" s="125">
        <v>63</v>
      </c>
      <c r="AT66" s="125">
        <f>[1]节奏总纲!AT66</f>
        <v>541.36774050915074</v>
      </c>
      <c r="AU66" s="125">
        <f>[1]节奏总纲!AU66</f>
        <v>433.09419240732041</v>
      </c>
      <c r="AV66" s="125">
        <f>[1]节奏总纲!AV66</f>
        <v>324.82064430549053</v>
      </c>
      <c r="AW66" s="125">
        <f>[1]节奏总纲!AW66</f>
        <v>216.5470962036602</v>
      </c>
      <c r="AX66" s="125">
        <f>[1]节奏总纲!AX66</f>
        <v>108.2735481018301</v>
      </c>
      <c r="AZ66" s="107">
        <v>63</v>
      </c>
      <c r="BA66" s="107">
        <v>34.946746581842135</v>
      </c>
      <c r="BB66" s="107">
        <v>36.421117798953141</v>
      </c>
      <c r="BC66" s="107">
        <v>38.35066605767593</v>
      </c>
      <c r="BD66" s="107">
        <v>41.087476216725996</v>
      </c>
      <c r="BE66" s="107">
        <v>45.757658185390426</v>
      </c>
    </row>
    <row r="67" spans="6:57" x14ac:dyDescent="0.15">
      <c r="F67" s="125">
        <f>[1]节奏总纲!F67</f>
        <v>65</v>
      </c>
      <c r="G67" s="125">
        <f>[1]节奏总纲!G67</f>
        <v>89.509667991878061</v>
      </c>
      <c r="I67" s="125">
        <f>[1]节奏总纲!I67</f>
        <v>65</v>
      </c>
      <c r="J67" s="125">
        <f>[1]节奏总纲!J67</f>
        <v>5324.1500000000005</v>
      </c>
      <c r="K67" s="125">
        <f>[1]节奏总纲!K67</f>
        <v>1.3</v>
      </c>
      <c r="N67" s="115">
        <f>[1]节奏总纲!N67</f>
        <v>74</v>
      </c>
      <c r="O67" s="107">
        <v>64</v>
      </c>
      <c r="P67" s="107">
        <f>[1]节奏总纲!P67</f>
        <v>83.4485062894652</v>
      </c>
      <c r="Q67" s="107">
        <f>[1]节奏总纲!Q67</f>
        <v>72.399924056740005</v>
      </c>
      <c r="R67" s="107">
        <f>[1]节奏总纲!R67</f>
        <v>59.365267374325548</v>
      </c>
      <c r="S67" s="107">
        <f>[1]节奏总纲!S67</f>
        <v>43.718672445050821</v>
      </c>
      <c r="T67" s="107">
        <f>[1]节奏总纲!T67</f>
        <v>24.341929284637001</v>
      </c>
      <c r="V67" s="107">
        <v>64</v>
      </c>
      <c r="W67" s="107">
        <f>[1]节奏总纲!W67</f>
        <v>5.6552638353905849</v>
      </c>
      <c r="X67" s="107">
        <f>[1]节奏总纲!X67</f>
        <v>4.9298448763210985</v>
      </c>
      <c r="Y67" s="107">
        <f>[1]节奏总纲!Y67</f>
        <v>4.0853892864601278</v>
      </c>
      <c r="Z67" s="107">
        <f>[1]节奏总纲!Z67</f>
        <v>3.0405859658152039</v>
      </c>
      <c r="AA67" s="107">
        <f>[1]节奏总纲!AA67</f>
        <v>1.6418611365380258</v>
      </c>
      <c r="AC67" s="107">
        <v>64</v>
      </c>
      <c r="AD67" s="107">
        <f>[1]节奏总纲!AD67</f>
        <v>60.217698846451768</v>
      </c>
      <c r="AE67" s="107">
        <f>[1]节奏总纲!AE67</f>
        <v>62.250054995811666</v>
      </c>
      <c r="AF67" s="107">
        <f>[1]节奏总纲!AF67</f>
        <v>65.042129882798193</v>
      </c>
      <c r="AG67" s="107">
        <f>[1]节奏总纲!AG67</f>
        <v>69.56138346626544</v>
      </c>
      <c r="AH67" s="107">
        <f>[1]节奏总纲!AH67</f>
        <v>78.077870469399883</v>
      </c>
      <c r="AL67" s="125">
        <v>64</v>
      </c>
      <c r="AM67" s="125">
        <f>[1]节奏总纲!AM67</f>
        <v>4599.2048883665893</v>
      </c>
      <c r="AN67" s="125">
        <f>[1]节奏总纲!AN67</f>
        <v>3679.3639106932715</v>
      </c>
      <c r="AO67" s="125">
        <f>[1]节奏总纲!AO67</f>
        <v>2759.5229330199536</v>
      </c>
      <c r="AP67" s="125">
        <f>[1]节奏总纲!AP67</f>
        <v>1839.6819553466357</v>
      </c>
      <c r="AQ67" s="125">
        <f>[1]节奏总纲!AQ67</f>
        <v>919.84097767331787</v>
      </c>
      <c r="AS67" s="125">
        <v>64</v>
      </c>
      <c r="AT67" s="125">
        <f>[1]节奏总纲!AT67</f>
        <v>626.48485225357399</v>
      </c>
      <c r="AU67" s="125">
        <f>[1]节奏总纲!AU67</f>
        <v>501.18788180285901</v>
      </c>
      <c r="AV67" s="125">
        <f>[1]节奏总纲!AV67</f>
        <v>375.89091135214449</v>
      </c>
      <c r="AW67" s="125">
        <f>[1]节奏总纲!AW67</f>
        <v>250.59394090142951</v>
      </c>
      <c r="AX67" s="125">
        <f>[1]节奏总纲!AX67</f>
        <v>125.29697045071475</v>
      </c>
      <c r="AZ67" s="107">
        <v>64</v>
      </c>
      <c r="BA67" s="107">
        <v>35.048795427931836</v>
      </c>
      <c r="BB67" s="107">
        <v>36.526331209747774</v>
      </c>
      <c r="BC67" s="107">
        <v>38.455050268072462</v>
      </c>
      <c r="BD67" s="107">
        <v>41.188041754455355</v>
      </c>
      <c r="BE67" s="107">
        <v>45.869242601500943</v>
      </c>
    </row>
    <row r="68" spans="6:57" x14ac:dyDescent="0.15">
      <c r="F68" s="125">
        <f>[1]节奏总纲!F68</f>
        <v>66</v>
      </c>
      <c r="G68" s="125">
        <f>[1]节奏总纲!G68</f>
        <v>96.005860256665443</v>
      </c>
      <c r="I68" s="125">
        <f>[1]节奏总纲!I68</f>
        <v>66</v>
      </c>
      <c r="J68" s="125">
        <f>[1]节奏总纲!J68</f>
        <v>6162.9846853088866</v>
      </c>
      <c r="K68" s="125">
        <f>[1]节奏总纲!K68</f>
        <v>1.31</v>
      </c>
      <c r="N68" s="115">
        <f>[1]节奏总纲!N68</f>
        <v>75</v>
      </c>
      <c r="O68" s="107">
        <v>65</v>
      </c>
      <c r="P68" s="107">
        <f>[1]节奏总纲!P68</f>
        <v>89.509667991878061</v>
      </c>
      <c r="Q68" s="107">
        <f>[1]节奏总纲!Q68</f>
        <v>77.64963698295422</v>
      </c>
      <c r="R68" s="107">
        <f>[1]节奏总纲!R68</f>
        <v>63.802491344610679</v>
      </c>
      <c r="S68" s="107">
        <f>[1]节奏总纲!S68</f>
        <v>46.929918928141667</v>
      </c>
      <c r="T68" s="107">
        <f>[1]节奏总纲!T68</f>
        <v>25.993607584841389</v>
      </c>
      <c r="V68" s="107">
        <v>65</v>
      </c>
      <c r="W68" s="107">
        <f>[1]节奏总纲!W68</f>
        <v>6.0611617024128606</v>
      </c>
      <c r="X68" s="107">
        <f>[1]节奏总纲!X68</f>
        <v>5.2497129262142153</v>
      </c>
      <c r="Y68" s="107">
        <f>[1]节奏总纲!Y68</f>
        <v>4.4372239702851317</v>
      </c>
      <c r="Z68" s="107">
        <f>[1]节奏总纲!Z68</f>
        <v>3.2112464830908465</v>
      </c>
      <c r="AA68" s="107">
        <f>[1]节奏总纲!AA68</f>
        <v>1.651678300204388</v>
      </c>
      <c r="AC68" s="107">
        <v>65</v>
      </c>
      <c r="AD68" s="107">
        <f>[1]节奏总纲!AD68</f>
        <v>60.435397692903535</v>
      </c>
      <c r="AE68" s="107">
        <f>[1]节奏总纲!AE68</f>
        <v>62.466172543912634</v>
      </c>
      <c r="AF68" s="107">
        <f>[1]节奏总纲!AF68</f>
        <v>65.255436396961542</v>
      </c>
      <c r="AG68" s="107">
        <f>[1]节奏总纲!AG68</f>
        <v>69.789153385637391</v>
      </c>
      <c r="AH68" s="107">
        <f>[1]节奏总纲!AH68</f>
        <v>78.301575047908599</v>
      </c>
      <c r="AL68" s="125">
        <v>65</v>
      </c>
      <c r="AM68" s="125">
        <f>[1]节奏总纲!AM68</f>
        <v>5324.1500000000005</v>
      </c>
      <c r="AN68" s="125">
        <f>[1]节奏总纲!AN68</f>
        <v>4259.3200000000006</v>
      </c>
      <c r="AO68" s="125">
        <f>[1]节奏总纲!AO68</f>
        <v>3194.4900000000002</v>
      </c>
      <c r="AP68" s="125">
        <f>[1]节奏总纲!AP68</f>
        <v>2129.6600000000003</v>
      </c>
      <c r="AQ68" s="125">
        <f>[1]节奏总纲!AQ68</f>
        <v>1064.8300000000002</v>
      </c>
      <c r="AS68" s="125">
        <v>65</v>
      </c>
      <c r="AT68" s="125">
        <f>[1]节奏总纲!AT68</f>
        <v>724.94511163341122</v>
      </c>
      <c r="AU68" s="125">
        <f>[1]节奏总纲!AU68</f>
        <v>579.95608930672915</v>
      </c>
      <c r="AV68" s="125">
        <f>[1]节奏总纲!AV68</f>
        <v>434.96706698004664</v>
      </c>
      <c r="AW68" s="125">
        <f>[1]节奏总纲!AW68</f>
        <v>289.97804465336458</v>
      </c>
      <c r="AX68" s="125">
        <f>[1]节奏总纲!AX68</f>
        <v>144.98902232668229</v>
      </c>
      <c r="AZ68" s="107">
        <v>65</v>
      </c>
      <c r="BA68" s="107">
        <v>35.146386283795508</v>
      </c>
      <c r="BB68" s="107">
        <v>36.631544620542407</v>
      </c>
      <c r="BC68" s="107">
        <v>38.559434478468994</v>
      </c>
      <c r="BD68" s="107">
        <v>41.288607292184714</v>
      </c>
      <c r="BE68" s="107">
        <v>45.98082701761146</v>
      </c>
    </row>
    <row r="69" spans="6:57" x14ac:dyDescent="0.15">
      <c r="F69" s="125">
        <f>[1]节奏总纲!F69</f>
        <v>67</v>
      </c>
      <c r="G69" s="125">
        <f>[1]节奏总纲!G69</f>
        <v>102.96830673359811</v>
      </c>
      <c r="I69" s="125">
        <f>[1]节奏总纲!I69</f>
        <v>67</v>
      </c>
      <c r="J69" s="125">
        <f>[1]节奏总纲!J69</f>
        <v>7133.5498113340191</v>
      </c>
      <c r="K69" s="125">
        <f>[1]节奏总纲!K69</f>
        <v>1.32</v>
      </c>
      <c r="N69" s="115">
        <f>[1]节奏总纲!N69</f>
        <v>76</v>
      </c>
      <c r="O69" s="107">
        <v>66</v>
      </c>
      <c r="P69" s="107">
        <f>[1]节奏总纲!P69</f>
        <v>96.005860256665443</v>
      </c>
      <c r="Q69" s="107">
        <f>[1]节奏总纲!Q69</f>
        <v>83.352287874836932</v>
      </c>
      <c r="R69" s="107">
        <f>[1]节奏总纲!R69</f>
        <v>68.490580707105124</v>
      </c>
      <c r="S69" s="107">
        <f>[1]节奏总纲!S69</f>
        <v>50.163061984107692</v>
      </c>
      <c r="T69" s="107">
        <f>[1]节奏总纲!T69</f>
        <v>27.851300060458648</v>
      </c>
      <c r="V69" s="107">
        <v>66</v>
      </c>
      <c r="W69" s="107">
        <f>[1]节奏总纲!W69</f>
        <v>6.496192264787382</v>
      </c>
      <c r="X69" s="107">
        <f>[1]节奏总纲!X69</f>
        <v>5.7026508918827119</v>
      </c>
      <c r="Y69" s="107">
        <f>[1]节奏总纲!Y69</f>
        <v>4.6880893624944449</v>
      </c>
      <c r="Z69" s="107">
        <f>[1]节奏总纲!Z69</f>
        <v>3.2331430559660248</v>
      </c>
      <c r="AA69" s="107">
        <f>[1]节奏总纲!AA69</f>
        <v>1.8576924756172595</v>
      </c>
      <c r="AC69" s="107">
        <v>66</v>
      </c>
      <c r="AD69" s="107">
        <f>[1]节奏总纲!AD69</f>
        <v>60.653096539355303</v>
      </c>
      <c r="AE69" s="107">
        <f>[1]节奏总纲!AE69</f>
        <v>62.682290092013595</v>
      </c>
      <c r="AF69" s="107">
        <f>[1]节奏总纲!AF69</f>
        <v>65.468742911124906</v>
      </c>
      <c r="AG69" s="107">
        <f>[1]节奏总纲!AG69</f>
        <v>70.015851474333999</v>
      </c>
      <c r="AH69" s="107">
        <f>[1]节奏总纲!AH69</f>
        <v>78.525279626417301</v>
      </c>
      <c r="AL69" s="125">
        <v>66</v>
      </c>
      <c r="AM69" s="125">
        <f>[1]节奏总纲!AM69</f>
        <v>6162.9846853088866</v>
      </c>
      <c r="AN69" s="125">
        <f>[1]节奏总纲!AN69</f>
        <v>4930.3877482471098</v>
      </c>
      <c r="AO69" s="125">
        <f>[1]节奏总纲!AO69</f>
        <v>3697.7908111853317</v>
      </c>
      <c r="AP69" s="125">
        <f>[1]节奏总纲!AP69</f>
        <v>2465.1938741235549</v>
      </c>
      <c r="AQ69" s="125">
        <f>[1]节奏总纲!AQ69</f>
        <v>1232.5969370617775</v>
      </c>
      <c r="AS69" s="125">
        <v>66</v>
      </c>
      <c r="AT69" s="125">
        <f>[1]节奏总纲!AT69</f>
        <v>838.83468530888604</v>
      </c>
      <c r="AU69" s="125">
        <f>[1]节奏总纲!AU69</f>
        <v>671.06774824710919</v>
      </c>
      <c r="AV69" s="125">
        <f>[1]节奏总纲!AV69</f>
        <v>503.30081118533144</v>
      </c>
      <c r="AW69" s="125">
        <f>[1]节奏总纲!AW69</f>
        <v>335.5338741235546</v>
      </c>
      <c r="AX69" s="125">
        <f>[1]节奏总纲!AX69</f>
        <v>167.7669370617773</v>
      </c>
      <c r="AZ69" s="107">
        <v>66</v>
      </c>
      <c r="BA69" s="107">
        <v>35.243977139659179</v>
      </c>
      <c r="BB69" s="107">
        <v>36.73675803133704</v>
      </c>
      <c r="BC69" s="107">
        <v>38.663818688865533</v>
      </c>
      <c r="BD69" s="107">
        <v>41.389172829914081</v>
      </c>
      <c r="BE69" s="107">
        <v>46.079770001861057</v>
      </c>
    </row>
    <row r="70" spans="6:57" x14ac:dyDescent="0.15">
      <c r="F70" s="125">
        <f>[1]节奏总纲!F70</f>
        <v>68</v>
      </c>
      <c r="G70" s="125">
        <f>[1]节奏总纲!G70</f>
        <v>110.43047210190386</v>
      </c>
      <c r="I70" s="125">
        <f>[1]节奏总纲!I70</f>
        <v>68</v>
      </c>
      <c r="J70" s="125">
        <f>[1]节奏总纲!J70</f>
        <v>8256.4738250473602</v>
      </c>
      <c r="K70" s="125">
        <f>[1]节奏总纲!K70</f>
        <v>1.33</v>
      </c>
      <c r="N70" s="115">
        <f>[1]节奏总纲!N70</f>
        <v>77</v>
      </c>
      <c r="O70" s="107">
        <v>67</v>
      </c>
      <c r="P70" s="107">
        <f>[1]节奏总纲!P70</f>
        <v>102.96830673359811</v>
      </c>
      <c r="Q70" s="107">
        <f>[1]节奏总纲!Q70</f>
        <v>89.469161720823394</v>
      </c>
      <c r="R70" s="107">
        <f>[1]节奏总纲!R70</f>
        <v>73.292840732975137</v>
      </c>
      <c r="S70" s="107">
        <f>[1]节奏总纲!S70</f>
        <v>53.625894146857902</v>
      </c>
      <c r="T70" s="107">
        <f>[1]节奏总纲!T70</f>
        <v>29.799027968703292</v>
      </c>
      <c r="V70" s="107">
        <v>67</v>
      </c>
      <c r="W70" s="107">
        <f>[1]节奏总纲!W70</f>
        <v>6.9624464769326693</v>
      </c>
      <c r="X70" s="107">
        <f>[1]节奏总纲!X70</f>
        <v>6.1168738459864613</v>
      </c>
      <c r="Y70" s="107">
        <f>[1]节奏总纲!Y70</f>
        <v>4.8022600258700123</v>
      </c>
      <c r="Z70" s="107">
        <f>[1]节奏总纲!Z70</f>
        <v>3.4628321627502103</v>
      </c>
      <c r="AA70" s="107">
        <f>[1]节奏总纲!AA70</f>
        <v>1.9477279082446444</v>
      </c>
      <c r="AC70" s="107">
        <v>67</v>
      </c>
      <c r="AD70" s="107">
        <f>[1]节奏总纲!AD70</f>
        <v>60.870795385807064</v>
      </c>
      <c r="AE70" s="107">
        <f>[1]节奏总纲!AE70</f>
        <v>62.898407640114556</v>
      </c>
      <c r="AF70" s="107">
        <f>[1]节奏总纲!AF70</f>
        <v>65.682049425288255</v>
      </c>
      <c r="AG70" s="107">
        <f>[1]节奏总纲!AG70</f>
        <v>70.229195678021767</v>
      </c>
      <c r="AH70" s="107">
        <f>[1]节奏总纲!AH70</f>
        <v>78.748984204926018</v>
      </c>
      <c r="AL70" s="125">
        <v>67</v>
      </c>
      <c r="AM70" s="125">
        <f>[1]节奏总纲!AM70</f>
        <v>7133.5498113340191</v>
      </c>
      <c r="AN70" s="125">
        <f>[1]节奏总纲!AN70</f>
        <v>5706.8398490672153</v>
      </c>
      <c r="AO70" s="125">
        <f>[1]节奏总纲!AO70</f>
        <v>4280.1298868004114</v>
      </c>
      <c r="AP70" s="125">
        <f>[1]节奏总纲!AP70</f>
        <v>2853.4199245336076</v>
      </c>
      <c r="AQ70" s="125">
        <f>[1]节奏总纲!AQ70</f>
        <v>1426.7099622668038</v>
      </c>
      <c r="AS70" s="125">
        <v>67</v>
      </c>
      <c r="AT70" s="125">
        <f>[1]节奏总纲!AT70</f>
        <v>970.56512602513249</v>
      </c>
      <c r="AU70" s="125">
        <f>[1]节奏总纲!AU70</f>
        <v>776.45210082010544</v>
      </c>
      <c r="AV70" s="125">
        <f>[1]节奏总纲!AV70</f>
        <v>582.33907561507976</v>
      </c>
      <c r="AW70" s="125">
        <f>[1]节奏总纲!AW70</f>
        <v>388.22605041005272</v>
      </c>
      <c r="AX70" s="125">
        <f>[1]节奏总纲!AX70</f>
        <v>194.11302520502636</v>
      </c>
      <c r="AZ70" s="107">
        <v>67</v>
      </c>
      <c r="BA70" s="107">
        <v>35.341567995522851</v>
      </c>
      <c r="BB70" s="107">
        <v>36.841971442131673</v>
      </c>
      <c r="BC70" s="107">
        <v>38.768202899262064</v>
      </c>
      <c r="BD70" s="107">
        <v>41.48973836764344</v>
      </c>
      <c r="BE70" s="107">
        <v>46.176090215954694</v>
      </c>
    </row>
    <row r="71" spans="6:57" x14ac:dyDescent="0.15">
      <c r="F71" s="125">
        <f>[1]节奏总纲!F71</f>
        <v>69</v>
      </c>
      <c r="G71" s="125">
        <f>[1]节奏总纲!G71</f>
        <v>118.42822291671132</v>
      </c>
      <c r="I71" s="125">
        <f>[1]节奏总纲!I71</f>
        <v>69</v>
      </c>
      <c r="J71" s="125">
        <f>[1]节奏总纲!J71</f>
        <v>9555.6072874592737</v>
      </c>
      <c r="K71" s="125">
        <f>[1]节奏总纲!K71</f>
        <v>1.34</v>
      </c>
      <c r="N71" s="115">
        <f>[1]节奏总纲!N71</f>
        <v>78</v>
      </c>
      <c r="O71" s="107">
        <v>68</v>
      </c>
      <c r="P71" s="107">
        <f>[1]节奏总纲!P71</f>
        <v>110.43047210190386</v>
      </c>
      <c r="Q71" s="107">
        <f>[1]节奏总纲!Q71</f>
        <v>95.831563690032169</v>
      </c>
      <c r="R71" s="107">
        <f>[1]节奏总纲!R71</f>
        <v>78.251032531409081</v>
      </c>
      <c r="S71" s="107">
        <f>[1]节奏总纲!S71</f>
        <v>57.412802445779818</v>
      </c>
      <c r="T71" s="107">
        <f>[1]节奏总纲!T71</f>
        <v>31.859191201399263</v>
      </c>
      <c r="V71" s="107">
        <v>68</v>
      </c>
      <c r="W71" s="107">
        <f>[1]节奏总纲!W71</f>
        <v>7.4621653683057474</v>
      </c>
      <c r="X71" s="107">
        <f>[1]节奏总纲!X71</f>
        <v>6.3624019692087757</v>
      </c>
      <c r="Y71" s="107">
        <f>[1]节奏总纲!Y71</f>
        <v>4.9581917984339441</v>
      </c>
      <c r="Z71" s="107">
        <f>[1]节奏总纲!Z71</f>
        <v>3.7869082989219152</v>
      </c>
      <c r="AA71" s="107">
        <f>[1]节奏总纲!AA71</f>
        <v>2.0601632326959702</v>
      </c>
      <c r="AC71" s="107">
        <v>68</v>
      </c>
      <c r="AD71" s="107">
        <f>[1]节奏总纲!AD71</f>
        <v>61.082568038258209</v>
      </c>
      <c r="AE71" s="107">
        <f>[1]节奏总纲!AE71</f>
        <v>63.107492392331935</v>
      </c>
      <c r="AF71" s="107">
        <f>[1]节奏总纲!AF71</f>
        <v>65.895355939451605</v>
      </c>
      <c r="AG71" s="107">
        <f>[1]节奏总纲!AG71</f>
        <v>70.442539881709536</v>
      </c>
      <c r="AH71" s="107">
        <f>[1]节奏总纲!AH71</f>
        <v>78.972688783434734</v>
      </c>
      <c r="AL71" s="125">
        <v>68</v>
      </c>
      <c r="AM71" s="125">
        <f>[1]节奏总纲!AM71</f>
        <v>8256.4738250473602</v>
      </c>
      <c r="AN71" s="125">
        <f>[1]节奏总纲!AN71</f>
        <v>6605.1790600378881</v>
      </c>
      <c r="AO71" s="125">
        <f>[1]节奏总纲!AO71</f>
        <v>4953.8842950284161</v>
      </c>
      <c r="AP71" s="125">
        <f>[1]节奏总纲!AP71</f>
        <v>3302.5895300189441</v>
      </c>
      <c r="AQ71" s="125">
        <f>[1]节奏总纲!AQ71</f>
        <v>1651.294765009472</v>
      </c>
      <c r="AS71" s="125">
        <v>68</v>
      </c>
      <c r="AT71" s="125">
        <f>[1]节奏总纲!AT71</f>
        <v>1122.9240137133411</v>
      </c>
      <c r="AU71" s="125">
        <f>[1]节奏总纲!AU71</f>
        <v>898.33921097067287</v>
      </c>
      <c r="AV71" s="125">
        <f>[1]节奏总纲!AV71</f>
        <v>673.75440822800465</v>
      </c>
      <c r="AW71" s="125">
        <f>[1]节奏总纲!AW71</f>
        <v>449.16960548533643</v>
      </c>
      <c r="AX71" s="125">
        <f>[1]节奏总纲!AX71</f>
        <v>224.58480274266822</v>
      </c>
      <c r="AZ71" s="107">
        <v>68</v>
      </c>
      <c r="BA71" s="107">
        <v>35.439158851386523</v>
      </c>
      <c r="BB71" s="107">
        <v>36.947184852926306</v>
      </c>
      <c r="BC71" s="107">
        <v>38.872587109658596</v>
      </c>
      <c r="BD71" s="107">
        <v>41.590303905372799</v>
      </c>
      <c r="BE71" s="107">
        <v>46.272410430048332</v>
      </c>
    </row>
    <row r="72" spans="6:57" x14ac:dyDescent="0.15">
      <c r="F72" s="125">
        <f>[1]节奏总纲!F72</f>
        <v>70</v>
      </c>
      <c r="G72" s="125">
        <f>[1]节奏总纲!G72</f>
        <v>127</v>
      </c>
      <c r="I72" s="125">
        <f>[1]节奏总纲!I72</f>
        <v>70</v>
      </c>
      <c r="J72" s="125">
        <f>[1]节奏总纲!J72</f>
        <v>11058.525000000001</v>
      </c>
      <c r="K72" s="125">
        <f>[1]节奏总纲!K72</f>
        <v>1.35</v>
      </c>
      <c r="N72" s="115">
        <f>[1]节奏总纲!N72</f>
        <v>79</v>
      </c>
      <c r="O72" s="107">
        <v>69</v>
      </c>
      <c r="P72" s="107">
        <f>[1]节奏总纲!P72</f>
        <v>118.42822291671132</v>
      </c>
      <c r="Q72" s="107">
        <f>[1]节奏总纲!Q72</f>
        <v>102.51146975670532</v>
      </c>
      <c r="R72" s="107">
        <f>[1]节奏总纲!R72</f>
        <v>83.894553114198303</v>
      </c>
      <c r="S72" s="107">
        <f>[1]节奏总纲!S72</f>
        <v>61.535304627523196</v>
      </c>
      <c r="T72" s="107">
        <f>[1]节奏总纲!T72</f>
        <v>34.059956910846175</v>
      </c>
      <c r="V72" s="107">
        <v>69</v>
      </c>
      <c r="W72" s="107">
        <f>[1]节奏总纲!W72</f>
        <v>7.9977508148074605</v>
      </c>
      <c r="X72" s="107">
        <f>[1]节奏总纲!X72</f>
        <v>6.6799060666731549</v>
      </c>
      <c r="Y72" s="107">
        <f>[1]节奏总纲!Y72</f>
        <v>5.6435205827892219</v>
      </c>
      <c r="Z72" s="107">
        <f>[1]节奏总纲!Z72</f>
        <v>4.1225021817433785</v>
      </c>
      <c r="AA72" s="107">
        <f>[1]节奏总纲!AA72</f>
        <v>2.2007657094469124</v>
      </c>
      <c r="AC72" s="107">
        <v>69</v>
      </c>
      <c r="AD72" s="107">
        <f>[1]节奏总纲!AD72</f>
        <v>61.285688244217212</v>
      </c>
      <c r="AE72" s="107">
        <f>[1]节奏总纲!AE72</f>
        <v>63.310338531528565</v>
      </c>
      <c r="AF72" s="107">
        <f>[1]节奏总纲!AF72</f>
        <v>66.106079073217742</v>
      </c>
      <c r="AG72" s="107">
        <f>[1]节奏总纲!AG72</f>
        <v>70.655884085397304</v>
      </c>
      <c r="AH72" s="107">
        <f>[1]节奏总纲!AH72</f>
        <v>79.188599387584361</v>
      </c>
      <c r="AL72" s="125">
        <v>69</v>
      </c>
      <c r="AM72" s="125">
        <f>[1]节奏总纲!AM72</f>
        <v>9555.6072874592737</v>
      </c>
      <c r="AN72" s="125">
        <f>[1]节奏总纲!AN72</f>
        <v>7644.4858299674197</v>
      </c>
      <c r="AO72" s="125">
        <f>[1]节奏总纲!AO72</f>
        <v>5733.3643724755639</v>
      </c>
      <c r="AP72" s="125">
        <f>[1]节奏总纲!AP72</f>
        <v>3822.2429149837099</v>
      </c>
      <c r="AQ72" s="125">
        <f>[1]节奏总纲!AQ72</f>
        <v>1911.1214574918549</v>
      </c>
      <c r="AS72" s="125">
        <v>69</v>
      </c>
      <c r="AT72" s="125">
        <f>[1]节奏总纲!AT72</f>
        <v>1299.1334624119136</v>
      </c>
      <c r="AU72" s="125">
        <f>[1]节奏总纲!AU72</f>
        <v>1039.3067699295316</v>
      </c>
      <c r="AV72" s="125">
        <f>[1]节奏总纲!AV72</f>
        <v>779.48007744714778</v>
      </c>
      <c r="AW72" s="125">
        <f>[1]节奏总纲!AW72</f>
        <v>519.65338496476579</v>
      </c>
      <c r="AX72" s="125">
        <f>[1]节奏总纲!AX72</f>
        <v>259.8266924823829</v>
      </c>
      <c r="AZ72" s="107">
        <v>69</v>
      </c>
      <c r="BA72" s="107">
        <v>35.536749707250202</v>
      </c>
      <c r="BB72" s="107">
        <v>37.045197000674086</v>
      </c>
      <c r="BC72" s="107">
        <v>38.976971320055128</v>
      </c>
      <c r="BD72" s="107">
        <v>41.690869443102159</v>
      </c>
      <c r="BE72" s="107">
        <v>46.368730644141969</v>
      </c>
    </row>
    <row r="73" spans="6:57" x14ac:dyDescent="0.15">
      <c r="F73" s="125">
        <f>[1]节奏总纲!F73</f>
        <v>71</v>
      </c>
      <c r="G73" s="125">
        <f>[1]节奏总纲!G73</f>
        <v>136.18700320464549</v>
      </c>
      <c r="I73" s="125">
        <f>[1]节奏总纲!I73</f>
        <v>71</v>
      </c>
      <c r="J73" s="125">
        <f>[1]节奏总纲!J73</f>
        <v>12797.106216824561</v>
      </c>
      <c r="K73" s="125">
        <f>[1]节奏总纲!K73</f>
        <v>1.36</v>
      </c>
      <c r="N73" s="115">
        <f>[1]节奏总纲!N73</f>
        <v>80</v>
      </c>
      <c r="O73" s="107">
        <v>70</v>
      </c>
      <c r="P73" s="107">
        <f>[1]节奏总纲!P73</f>
        <v>127</v>
      </c>
      <c r="Q73" s="107">
        <f>[1]节奏总纲!Q73</f>
        <v>109.9693</v>
      </c>
      <c r="R73" s="107">
        <f>[1]节奏总纲!R73</f>
        <v>90.106499999999997</v>
      </c>
      <c r="S73" s="107">
        <f>[1]节奏总纲!S73</f>
        <v>65.925700000000006</v>
      </c>
      <c r="T73" s="107">
        <f>[1]节奏总纲!T73</f>
        <v>36.4998</v>
      </c>
      <c r="V73" s="107">
        <v>70</v>
      </c>
      <c r="W73" s="107">
        <f>[1]节奏总纲!W73</f>
        <v>8.5717770832886799</v>
      </c>
      <c r="X73" s="107">
        <f>[1]节奏总纲!X73</f>
        <v>7.4578302432946799</v>
      </c>
      <c r="Y73" s="107">
        <f>[1]节奏总纲!Y73</f>
        <v>6.2119468858016944</v>
      </c>
      <c r="Z73" s="107">
        <f>[1]节奏总纲!Z73</f>
        <v>4.3903953724768101</v>
      </c>
      <c r="AA73" s="107">
        <f>[1]节奏总纲!AA73</f>
        <v>2.4398430891538254</v>
      </c>
      <c r="AC73" s="107">
        <v>70</v>
      </c>
      <c r="AD73" s="107">
        <f>[1]节奏总纲!AD73</f>
        <v>61.488808450176215</v>
      </c>
      <c r="AE73" s="107">
        <f>[1]节奏总纲!AE73</f>
        <v>63.513184670725188</v>
      </c>
      <c r="AF73" s="107">
        <f>[1]节奏总纲!AF73</f>
        <v>66.314314361313961</v>
      </c>
      <c r="AG73" s="107">
        <f>[1]节奏总纲!AG73</f>
        <v>70.869228289085072</v>
      </c>
      <c r="AH73" s="107">
        <f>[1]节奏总纲!AH73</f>
        <v>79.403426131671111</v>
      </c>
      <c r="AL73" s="125">
        <v>70</v>
      </c>
      <c r="AM73" s="125">
        <f>[1]节奏总纲!AM73</f>
        <v>11058.525000000001</v>
      </c>
      <c r="AN73" s="125">
        <f>[1]节奏总纲!AN73</f>
        <v>8846.8200000000015</v>
      </c>
      <c r="AO73" s="125">
        <f>[1]节奏总纲!AO73</f>
        <v>6635.1150000000007</v>
      </c>
      <c r="AP73" s="125">
        <f>[1]节奏总纲!AP73</f>
        <v>4423.4100000000008</v>
      </c>
      <c r="AQ73" s="125">
        <f>[1]节奏总纲!AQ73</f>
        <v>2211.7050000000004</v>
      </c>
      <c r="AS73" s="125">
        <v>70</v>
      </c>
      <c r="AT73" s="125">
        <f>[1]节奏总纲!AT73</f>
        <v>1502.9177125407277</v>
      </c>
      <c r="AU73" s="125">
        <f>[1]节奏总纲!AU73</f>
        <v>1202.3341700325818</v>
      </c>
      <c r="AV73" s="125">
        <f>[1]节奏总纲!AV73</f>
        <v>901.75062752443682</v>
      </c>
      <c r="AW73" s="125">
        <f>[1]节奏总纲!AW73</f>
        <v>601.16708501629091</v>
      </c>
      <c r="AX73" s="125">
        <f>[1]节奏总纲!AX73</f>
        <v>300.58354250814546</v>
      </c>
      <c r="AZ73" s="107">
        <v>70</v>
      </c>
      <c r="BA73" s="107">
        <v>35.634340563113874</v>
      </c>
      <c r="BB73" s="107">
        <v>37.135950591746003</v>
      </c>
      <c r="BC73" s="107">
        <v>39.070187171981765</v>
      </c>
      <c r="BD73" s="107">
        <v>41.791434980831518</v>
      </c>
      <c r="BE73" s="107">
        <v>46.465050858235607</v>
      </c>
    </row>
    <row r="74" spans="6:57" x14ac:dyDescent="0.15">
      <c r="F74" s="125">
        <f>[1]节奏总纲!F74</f>
        <v>72</v>
      </c>
      <c r="G74" s="125">
        <f>[1]节奏总纲!G74</f>
        <v>146.03338943962044</v>
      </c>
      <c r="I74" s="125">
        <f>[1]节奏总纲!I74</f>
        <v>72</v>
      </c>
      <c r="J74" s="125">
        <f>[1]节奏总纲!J74</f>
        <v>14808.205062920617</v>
      </c>
      <c r="K74" s="125">
        <f>[1]节奏总纲!K74</f>
        <v>1.37</v>
      </c>
      <c r="N74" s="115">
        <f>[1]节奏总纲!N74</f>
        <v>81</v>
      </c>
      <c r="O74" s="107">
        <v>71</v>
      </c>
      <c r="P74" s="107">
        <f>[1]节奏总纲!P74</f>
        <v>136.18700320464549</v>
      </c>
      <c r="Q74" s="107">
        <f>[1]节奏总纲!Q74</f>
        <v>118.03327567746625</v>
      </c>
      <c r="R74" s="107">
        <f>[1]节奏总纲!R74</f>
        <v>96.583822672734584</v>
      </c>
      <c r="S74" s="107">
        <f>[1]节奏总纲!S74</f>
        <v>70.612961161608681</v>
      </c>
      <c r="T74" s="107">
        <f>[1]节奏总纲!T74</f>
        <v>39.126526020694648</v>
      </c>
      <c r="V74" s="107">
        <v>71</v>
      </c>
      <c r="W74" s="107">
        <f>[1]节奏总纲!W74</f>
        <v>9.1870032046454924</v>
      </c>
      <c r="X74" s="107">
        <f>[1]节奏总纲!X74</f>
        <v>8.0639756774662459</v>
      </c>
      <c r="Y74" s="107">
        <f>[1]节奏总纲!Y74</f>
        <v>6.4773226727345872</v>
      </c>
      <c r="Z74" s="107">
        <f>[1]节奏总纲!Z74</f>
        <v>4.6872611616086743</v>
      </c>
      <c r="AA74" s="107">
        <f>[1]节奏总纲!AA74</f>
        <v>2.6267260206946474</v>
      </c>
      <c r="AC74" s="107">
        <v>71</v>
      </c>
      <c r="AD74" s="107">
        <f>[1]节奏总纲!AD74</f>
        <v>61.691928656135218</v>
      </c>
      <c r="AE74" s="107">
        <f>[1]节奏总纲!AE74</f>
        <v>63.716030809921811</v>
      </c>
      <c r="AF74" s="107">
        <f>[1]节奏总纲!AF74</f>
        <v>66.52254964941018</v>
      </c>
      <c r="AG74" s="107">
        <f>[1]节奏总纲!AG74</f>
        <v>71.07781362467729</v>
      </c>
      <c r="AH74" s="107">
        <f>[1]节奏总纲!AH74</f>
        <v>79.618252875757847</v>
      </c>
      <c r="AL74" s="125">
        <v>71</v>
      </c>
      <c r="AM74" s="125">
        <f>[1]节奏总纲!AM74</f>
        <v>12797.106216824561</v>
      </c>
      <c r="AN74" s="125">
        <f>[1]节奏总纲!AN74</f>
        <v>10237.684973459649</v>
      </c>
      <c r="AO74" s="125">
        <f>[1]节奏总纲!AO74</f>
        <v>7678.2637300947363</v>
      </c>
      <c r="AP74" s="125">
        <f>[1]节奏总纲!AP74</f>
        <v>5118.8424867298245</v>
      </c>
      <c r="AQ74" s="125">
        <f>[1]节奏总纲!AQ74</f>
        <v>2559.4212433649122</v>
      </c>
      <c r="AS74" s="125">
        <v>71</v>
      </c>
      <c r="AT74" s="125">
        <f>[1]节奏总纲!AT74</f>
        <v>1738.5812168245593</v>
      </c>
      <c r="AU74" s="125">
        <f>[1]节奏总纲!AU74</f>
        <v>1390.8649734596474</v>
      </c>
      <c r="AV74" s="125">
        <f>[1]节奏总纲!AV74</f>
        <v>1043.1487300947356</v>
      </c>
      <c r="AW74" s="125">
        <f>[1]节奏总纲!AW74</f>
        <v>695.43248672982372</v>
      </c>
      <c r="AX74" s="125">
        <f>[1]节奏总纲!AX74</f>
        <v>347.71624336491186</v>
      </c>
      <c r="AZ74" s="107">
        <v>71</v>
      </c>
      <c r="BA74" s="107">
        <v>35.731931418977545</v>
      </c>
      <c r="BB74" s="107">
        <v>37.226704182817912</v>
      </c>
      <c r="BC74" s="107">
        <v>39.160241683169971</v>
      </c>
      <c r="BD74" s="107">
        <v>41.892000518560877</v>
      </c>
      <c r="BE74" s="107">
        <v>46.561371072329244</v>
      </c>
    </row>
    <row r="75" spans="6:57" x14ac:dyDescent="0.15">
      <c r="F75" s="125">
        <f>[1]节奏总纲!F75</f>
        <v>73</v>
      </c>
      <c r="G75" s="125">
        <f>[1]节奏总纲!G75</f>
        <v>156.58648490814926</v>
      </c>
      <c r="I75" s="125">
        <f>[1]节奏总纲!I75</f>
        <v>73</v>
      </c>
      <c r="J75" s="125">
        <f>[1]节奏总纲!J75</f>
        <v>17134.425155737379</v>
      </c>
      <c r="K75" s="125">
        <f>[1]节奏总纲!K75</f>
        <v>1.38</v>
      </c>
      <c r="N75" s="115">
        <f>[1]节奏总纲!N75</f>
        <v>82</v>
      </c>
      <c r="O75" s="107">
        <v>72</v>
      </c>
      <c r="P75" s="107">
        <f>[1]节奏总纲!P75</f>
        <v>146.03338943962044</v>
      </c>
      <c r="Q75" s="107">
        <f>[1]节奏总纲!Q75</f>
        <v>126.581741966263</v>
      </c>
      <c r="R75" s="107">
        <f>[1]节奏总纲!R75</f>
        <v>103.31862302853146</v>
      </c>
      <c r="S75" s="107">
        <f>[1]节奏总纲!S75</f>
        <v>75.586882373947532</v>
      </c>
      <c r="T75" s="107">
        <f>[1]节奏总纲!T75</f>
        <v>41.896979430227098</v>
      </c>
      <c r="V75" s="107">
        <v>72</v>
      </c>
      <c r="W75" s="107">
        <f>[1]节奏总纲!W75</f>
        <v>9.8463862349749434</v>
      </c>
      <c r="X75" s="107">
        <f>[1]节奏总纲!X75</f>
        <v>8.548466288796746</v>
      </c>
      <c r="Y75" s="107">
        <f>[1]节奏总纲!Y75</f>
        <v>6.7348003557968781</v>
      </c>
      <c r="Z75" s="107">
        <f>[1]节奏总纲!Z75</f>
        <v>4.9739212123388512</v>
      </c>
      <c r="AA75" s="107">
        <f>[1]节奏总纲!AA75</f>
        <v>2.7704534095324505</v>
      </c>
      <c r="AC75" s="107">
        <v>72</v>
      </c>
      <c r="AD75" s="107">
        <f>[1]节奏总纲!AD75</f>
        <v>61.895048862094221</v>
      </c>
      <c r="AE75" s="107">
        <f>[1]节奏总纲!AE75</f>
        <v>63.918876949118435</v>
      </c>
      <c r="AF75" s="107">
        <f>[1]节奏总纲!AF75</f>
        <v>66.7307849375064</v>
      </c>
      <c r="AG75" s="107">
        <f>[1]节奏总纲!AG75</f>
        <v>71.278862245535876</v>
      </c>
      <c r="AH75" s="107">
        <f>[1]节奏总纲!AH75</f>
        <v>79.833079619844597</v>
      </c>
      <c r="AL75" s="125">
        <v>72</v>
      </c>
      <c r="AM75" s="125">
        <f>[1]节奏总纲!AM75</f>
        <v>14808.205062920617</v>
      </c>
      <c r="AN75" s="125">
        <f>[1]节奏总纲!AN75</f>
        <v>11846.564050336494</v>
      </c>
      <c r="AO75" s="125">
        <f>[1]节奏总纲!AO75</f>
        <v>8884.9230377523691</v>
      </c>
      <c r="AP75" s="125">
        <f>[1]节奏总纲!AP75</f>
        <v>5923.2820251682469</v>
      </c>
      <c r="AQ75" s="125">
        <f>[1]节奏总纲!AQ75</f>
        <v>2961.6410125841235</v>
      </c>
      <c r="AS75" s="125">
        <v>72</v>
      </c>
      <c r="AT75" s="125">
        <f>[1]节奏总纲!AT75</f>
        <v>2011.0988460960561</v>
      </c>
      <c r="AU75" s="125">
        <f>[1]节奏总纲!AU75</f>
        <v>1608.8790768768449</v>
      </c>
      <c r="AV75" s="125">
        <f>[1]节奏总纲!AV75</f>
        <v>1206.6593076576328</v>
      </c>
      <c r="AW75" s="125">
        <f>[1]节奏总纲!AW75</f>
        <v>804.43953843842246</v>
      </c>
      <c r="AX75" s="125">
        <f>[1]节奏总纲!AX75</f>
        <v>402.21976921921123</v>
      </c>
      <c r="AZ75" s="107">
        <v>72</v>
      </c>
      <c r="BA75" s="107">
        <v>35.829522274841217</v>
      </c>
      <c r="BB75" s="107">
        <v>37.317457773889828</v>
      </c>
      <c r="BC75" s="107">
        <v>39.250296194358178</v>
      </c>
      <c r="BD75" s="107">
        <v>41.992566056290244</v>
      </c>
      <c r="BE75" s="107">
        <v>46.657691286422882</v>
      </c>
    </row>
    <row r="76" spans="6:57" x14ac:dyDescent="0.15">
      <c r="F76" s="125">
        <f>[1]节奏总纲!F76</f>
        <v>74</v>
      </c>
      <c r="G76" s="125">
        <f>[1]节奏总纲!G76</f>
        <v>167.89701257893043</v>
      </c>
      <c r="I76" s="125">
        <f>[1]节奏总纲!I76</f>
        <v>74</v>
      </c>
      <c r="J76" s="125">
        <f>[1]节奏总纲!J76</f>
        <v>19825.014596370729</v>
      </c>
      <c r="K76" s="125">
        <f>[1]节奏总纲!K76</f>
        <v>1.39</v>
      </c>
      <c r="N76" s="115">
        <f>[1]节奏总纲!N76</f>
        <v>83</v>
      </c>
      <c r="O76" s="107">
        <v>73</v>
      </c>
      <c r="P76" s="107">
        <f>[1]节奏总纲!P76</f>
        <v>156.58648490814926</v>
      </c>
      <c r="Q76" s="107">
        <f>[1]节奏总纲!Q76</f>
        <v>135.41599214856748</v>
      </c>
      <c r="R76" s="107">
        <f>[1]节奏总纲!R76</f>
        <v>110.58137564213501</v>
      </c>
      <c r="S76" s="107">
        <f>[1]节奏总纲!S76</f>
        <v>80.955212697513176</v>
      </c>
      <c r="T76" s="107">
        <f>[1]节奏总纲!T76</f>
        <v>44.877686574675579</v>
      </c>
      <c r="V76" s="107">
        <v>73</v>
      </c>
      <c r="W76" s="107">
        <f>[1]节奏总纲!W76</f>
        <v>10.553095468528824</v>
      </c>
      <c r="X76" s="107">
        <f>[1]节奏总纲!X76</f>
        <v>8.834250182304487</v>
      </c>
      <c r="Y76" s="107">
        <f>[1]节奏总纲!Y76</f>
        <v>7.2627526136035527</v>
      </c>
      <c r="Z76" s="107">
        <f>[1]节奏总纲!Z76</f>
        <v>5.3683303235656439</v>
      </c>
      <c r="AA76" s="107">
        <f>[1]节奏总纲!AA76</f>
        <v>2.9807071444484805</v>
      </c>
      <c r="AC76" s="107">
        <v>73</v>
      </c>
      <c r="AD76" s="107">
        <f>[1]节奏总纲!AD76</f>
        <v>62.091594979242075</v>
      </c>
      <c r="AE76" s="107">
        <f>[1]节奏总纲!AE76</f>
        <v>64.114306430026588</v>
      </c>
      <c r="AF76" s="107">
        <f>[1]节奏总纲!AF76</f>
        <v>66.939020225602619</v>
      </c>
      <c r="AG76" s="107">
        <f>[1]节奏总纲!AG76</f>
        <v>71.479910866394462</v>
      </c>
      <c r="AH76" s="107">
        <f>[1]节奏总纲!AH76</f>
        <v>80.043898354812981</v>
      </c>
      <c r="AL76" s="125">
        <v>73</v>
      </c>
      <c r="AM76" s="125">
        <f>[1]节奏总纲!AM76</f>
        <v>17134.425155737379</v>
      </c>
      <c r="AN76" s="125">
        <f>[1]节奏总纲!AN76</f>
        <v>13707.540124589905</v>
      </c>
      <c r="AO76" s="125">
        <f>[1]节奏总纲!AO76</f>
        <v>10280.655093442427</v>
      </c>
      <c r="AP76" s="125">
        <f>[1]节奏总纲!AP76</f>
        <v>6853.7700622949524</v>
      </c>
      <c r="AQ76" s="125">
        <f>[1]节奏总纲!AQ76</f>
        <v>3426.8850311474762</v>
      </c>
      <c r="AS76" s="125">
        <v>73</v>
      </c>
      <c r="AT76" s="125">
        <f>[1]节奏总纲!AT76</f>
        <v>2326.2200928167622</v>
      </c>
      <c r="AU76" s="125">
        <f>[1]节奏总纲!AU76</f>
        <v>1860.9760742534108</v>
      </c>
      <c r="AV76" s="125">
        <f>[1]节奏总纲!AV76</f>
        <v>1395.7320556900577</v>
      </c>
      <c r="AW76" s="125">
        <f>[1]节奏总纲!AW76</f>
        <v>930.48803712670542</v>
      </c>
      <c r="AX76" s="125">
        <f>[1]节奏总纲!AX76</f>
        <v>465.24401856335271</v>
      </c>
      <c r="AZ76" s="107">
        <v>73</v>
      </c>
      <c r="BA76" s="107">
        <v>35.927113130704889</v>
      </c>
      <c r="BB76" s="107">
        <v>37.408211364961737</v>
      </c>
      <c r="BC76" s="107">
        <v>39.340350705546385</v>
      </c>
      <c r="BD76" s="107">
        <v>42.080366850119908</v>
      </c>
      <c r="BE76" s="107">
        <v>46.754011500516519</v>
      </c>
    </row>
    <row r="77" spans="6:57" x14ac:dyDescent="0.15">
      <c r="F77" s="125">
        <f>[1]节奏总纲!F77</f>
        <v>75</v>
      </c>
      <c r="G77" s="125">
        <f>[1]节奏总纲!G77</f>
        <v>180.01933598375612</v>
      </c>
      <c r="I77" s="125">
        <f>[1]节奏总纲!I77</f>
        <v>75</v>
      </c>
      <c r="J77" s="125">
        <f>[1]节奏总纲!J77</f>
        <v>22936.899999999998</v>
      </c>
      <c r="K77" s="125">
        <f>[1]节奏总纲!K77</f>
        <v>1.4</v>
      </c>
      <c r="N77" s="115">
        <f>[1]节奏总纲!N77</f>
        <v>84</v>
      </c>
      <c r="O77" s="107">
        <v>74</v>
      </c>
      <c r="P77" s="107">
        <f>[1]节奏总纲!P77</f>
        <v>167.89701257893043</v>
      </c>
      <c r="Q77" s="107">
        <f>[1]节奏总纲!Q77</f>
        <v>145.16375707574326</v>
      </c>
      <c r="R77" s="107">
        <f>[1]节奏总纲!R77</f>
        <v>118.70318789330381</v>
      </c>
      <c r="S77" s="107">
        <f>[1]节奏总纲!S77</f>
        <v>86.869914308338593</v>
      </c>
      <c r="T77" s="107">
        <f>[1]节奏总纲!T77</f>
        <v>48.169652908895138</v>
      </c>
      <c r="V77" s="107">
        <v>74</v>
      </c>
      <c r="W77" s="107">
        <f>[1]节奏总纲!W77</f>
        <v>11.31052767078117</v>
      </c>
      <c r="X77" s="107">
        <f>[1]节奏总纲!X77</f>
        <v>9.7477649271757798</v>
      </c>
      <c r="Y77" s="107">
        <f>[1]节奏总纲!Y77</f>
        <v>8.1218122511687909</v>
      </c>
      <c r="Z77" s="107">
        <f>[1]节奏总纲!Z77</f>
        <v>5.9147016108254178</v>
      </c>
      <c r="AA77" s="107">
        <f>[1]节奏总纲!AA77</f>
        <v>3.2919663342195591</v>
      </c>
      <c r="AC77" s="107">
        <v>74</v>
      </c>
      <c r="AD77" s="107">
        <f>[1]节奏总纲!AD77</f>
        <v>62.281112832649576</v>
      </c>
      <c r="AE77" s="107">
        <f>[1]节奏总纲!AE77</f>
        <v>64.304793036447776</v>
      </c>
      <c r="AF77" s="107">
        <f>[1]节奏总纲!AF77</f>
        <v>67.14262442756818</v>
      </c>
      <c r="AG77" s="107">
        <f>[1]节奏总纲!AG77</f>
        <v>71.680959487253048</v>
      </c>
      <c r="AH77" s="107">
        <f>[1]节奏总纲!AH77</f>
        <v>80.24075196383977</v>
      </c>
      <c r="AL77" s="125">
        <v>74</v>
      </c>
      <c r="AM77" s="125">
        <f>[1]节奏总纲!AM77</f>
        <v>19825.014596370729</v>
      </c>
      <c r="AN77" s="125">
        <f>[1]节奏总纲!AN77</f>
        <v>15860.011677096583</v>
      </c>
      <c r="AO77" s="125">
        <f>[1]节奏总纲!AO77</f>
        <v>11895.008757822437</v>
      </c>
      <c r="AP77" s="125">
        <f>[1]节奏总纲!AP77</f>
        <v>7930.0058385482916</v>
      </c>
      <c r="AQ77" s="125">
        <f>[1]节奏总纲!AQ77</f>
        <v>3965.0029192741458</v>
      </c>
      <c r="AS77" s="125">
        <v>74</v>
      </c>
      <c r="AT77" s="125">
        <f>[1]节奏总纲!AT77</f>
        <v>2690.58944063335</v>
      </c>
      <c r="AU77" s="125">
        <f>[1]节奏总纲!AU77</f>
        <v>2152.4715525066786</v>
      </c>
      <c r="AV77" s="125">
        <f>[1]节奏总纲!AV77</f>
        <v>1614.3536643800107</v>
      </c>
      <c r="AW77" s="125">
        <f>[1]节奏总纲!AW77</f>
        <v>1076.2357762533393</v>
      </c>
      <c r="AX77" s="125">
        <f>[1]节奏总纲!AX77</f>
        <v>538.11788812666964</v>
      </c>
      <c r="AZ77" s="107">
        <v>74</v>
      </c>
      <c r="BA77" s="107">
        <v>36.021306837933537</v>
      </c>
      <c r="BB77" s="107">
        <v>37.498964956033646</v>
      </c>
      <c r="BC77" s="107">
        <v>39.430405216734592</v>
      </c>
      <c r="BD77" s="107">
        <v>42.167148737437564</v>
      </c>
      <c r="BE77" s="107">
        <v>46.850331714610157</v>
      </c>
    </row>
    <row r="78" spans="6:57" x14ac:dyDescent="0.15">
      <c r="F78" s="125">
        <f>[1]节奏总纲!F78</f>
        <v>76</v>
      </c>
      <c r="G78" s="125">
        <f>[1]节奏总纲!G78</f>
        <v>193.01172051333091</v>
      </c>
      <c r="I78" s="125">
        <f>[1]节奏总纲!I78</f>
        <v>76</v>
      </c>
      <c r="J78" s="125">
        <f>[1]节奏总纲!J78</f>
        <v>26535.88112606269</v>
      </c>
      <c r="K78" s="125">
        <f>[1]节奏总纲!K78</f>
        <v>1.41</v>
      </c>
      <c r="N78" s="115">
        <f>[1]节奏总纲!N78</f>
        <v>85</v>
      </c>
      <c r="O78" s="107">
        <v>75</v>
      </c>
      <c r="P78" s="107">
        <f>[1]节奏总纲!P78</f>
        <v>180.01933598375612</v>
      </c>
      <c r="Q78" s="107">
        <f>[1]节奏总纲!Q78</f>
        <v>155.75272949314578</v>
      </c>
      <c r="R78" s="107">
        <f>[1]节奏总纲!R78</f>
        <v>127.38168214210583</v>
      </c>
      <c r="S78" s="107">
        <f>[1]节奏总纲!S78</f>
        <v>93.214012172388934</v>
      </c>
      <c r="T78" s="107">
        <f>[1]节奏总纲!T78</f>
        <v>51.755559095329879</v>
      </c>
      <c r="V78" s="107">
        <v>75</v>
      </c>
      <c r="W78" s="107">
        <f>[1]节奏总纲!W78</f>
        <v>12.122323404825693</v>
      </c>
      <c r="X78" s="107">
        <f>[1]节奏总纲!X78</f>
        <v>10.588972417402516</v>
      </c>
      <c r="Y78" s="107">
        <f>[1]节奏总纲!Y78</f>
        <v>8.6784942488020249</v>
      </c>
      <c r="Z78" s="107">
        <f>[1]节奏总纲!Z78</f>
        <v>6.3440978640503403</v>
      </c>
      <c r="AA78" s="107">
        <f>[1]节奏总纲!AA78</f>
        <v>3.585906186434741</v>
      </c>
      <c r="AC78" s="107">
        <v>75</v>
      </c>
      <c r="AD78" s="107">
        <f>[1]节奏总纲!AD78</f>
        <v>62.470630686057078</v>
      </c>
      <c r="AE78" s="107">
        <f>[1]节奏总纲!AE78</f>
        <v>64.495279642868965</v>
      </c>
      <c r="AF78" s="107">
        <f>[1]节奏总纲!AF78</f>
        <v>67.344310856946692</v>
      </c>
      <c r="AG78" s="107">
        <f>[1]节奏总纲!AG78</f>
        <v>71.882008108111634</v>
      </c>
      <c r="AH78" s="107">
        <f>[1]节奏总纲!AH78</f>
        <v>80.437605572866573</v>
      </c>
      <c r="AL78" s="125">
        <v>75</v>
      </c>
      <c r="AM78" s="125">
        <f>[1]节奏总纲!AM78</f>
        <v>22936.899999999998</v>
      </c>
      <c r="AN78" s="125">
        <f>[1]节奏总纲!AN78</f>
        <v>18349.52</v>
      </c>
      <c r="AO78" s="125">
        <f>[1]节奏总纲!AO78</f>
        <v>13762.139999999998</v>
      </c>
      <c r="AP78" s="125">
        <f>[1]节奏总纲!AP78</f>
        <v>9174.76</v>
      </c>
      <c r="AQ78" s="125">
        <f>[1]节奏总纲!AQ78</f>
        <v>4587.38</v>
      </c>
      <c r="AS78" s="125">
        <v>75</v>
      </c>
      <c r="AT78" s="125">
        <f>[1]节奏总纲!AT78</f>
        <v>3111.8854036292687</v>
      </c>
      <c r="AU78" s="125">
        <f>[1]节奏总纲!AU78</f>
        <v>2489.5083229034171</v>
      </c>
      <c r="AV78" s="125">
        <f>[1]节奏总纲!AV78</f>
        <v>1867.1312421775601</v>
      </c>
      <c r="AW78" s="125">
        <f>[1]节奏总纲!AW78</f>
        <v>1244.7541614517086</v>
      </c>
      <c r="AX78" s="125">
        <f>[1]节奏总纲!AX78</f>
        <v>622.37708072585428</v>
      </c>
      <c r="AZ78" s="107">
        <v>75</v>
      </c>
      <c r="BA78" s="107">
        <v>36.105477566569242</v>
      </c>
      <c r="BB78" s="107">
        <v>37.589718547105562</v>
      </c>
      <c r="BC78" s="107">
        <v>39.520459727922798</v>
      </c>
      <c r="BD78" s="107">
        <v>42.253930624755228</v>
      </c>
      <c r="BE78" s="107">
        <v>46.946651928703787</v>
      </c>
    </row>
    <row r="79" spans="6:57" x14ac:dyDescent="0.15">
      <c r="F79" s="125">
        <f>[1]节奏总纲!F79</f>
        <v>77</v>
      </c>
      <c r="G79" s="125">
        <f>[1]节奏总纲!G79</f>
        <v>206.93661346719625</v>
      </c>
      <c r="I79" s="125">
        <f>[1]节奏总纲!I79</f>
        <v>77</v>
      </c>
      <c r="J79" s="125">
        <f>[1]节奏总纲!J79</f>
        <v>30698.011006346387</v>
      </c>
      <c r="K79" s="125">
        <f>[1]节奏总纲!K79</f>
        <v>1.42</v>
      </c>
      <c r="N79" s="115">
        <f>[1]节奏总纲!N79</f>
        <v>86</v>
      </c>
      <c r="O79" s="107">
        <v>76</v>
      </c>
      <c r="P79" s="107">
        <f>[1]节奏总纲!P79</f>
        <v>193.01172051333091</v>
      </c>
      <c r="Q79" s="107">
        <f>[1]节奏总纲!Q79</f>
        <v>166.97443941608256</v>
      </c>
      <c r="R79" s="107">
        <f>[1]节奏总纲!R79</f>
        <v>136.51718991907896</v>
      </c>
      <c r="S79" s="107">
        <f>[1]节奏总纲!S79</f>
        <v>100.0379747420594</v>
      </c>
      <c r="T79" s="107">
        <f>[1]节奏总纲!T79</f>
        <v>55.664580196044632</v>
      </c>
      <c r="V79" s="107">
        <v>76</v>
      </c>
      <c r="W79" s="107">
        <f>[1]节奏总纲!W79</f>
        <v>12.992384529574792</v>
      </c>
      <c r="X79" s="107">
        <f>[1]节奏总纲!X79</f>
        <v>11.221709922936782</v>
      </c>
      <c r="Y79" s="107">
        <f>[1]节奏总纲!Y79</f>
        <v>9.1355077769731281</v>
      </c>
      <c r="Z79" s="107">
        <f>[1]节奏总纲!Z79</f>
        <v>6.8239625696704707</v>
      </c>
      <c r="AA79" s="107">
        <f>[1]节奏总纲!AA79</f>
        <v>3.9090211007147531</v>
      </c>
      <c r="AC79" s="107">
        <v>76</v>
      </c>
      <c r="AD79" s="107">
        <f>[1]节奏总纲!AD79</f>
        <v>62.660148539464579</v>
      </c>
      <c r="AE79" s="107">
        <f>[1]节奏总纲!AE79</f>
        <v>64.685766249290154</v>
      </c>
      <c r="AF79" s="107">
        <f>[1]节奏总纲!AF79</f>
        <v>67.545997286325218</v>
      </c>
      <c r="AG79" s="107">
        <f>[1]节奏总纲!AG79</f>
        <v>72.076954583856178</v>
      </c>
      <c r="AH79" s="107">
        <f>[1]节奏总纲!AH79</f>
        <v>80.634459181893376</v>
      </c>
      <c r="AL79" s="125">
        <v>76</v>
      </c>
      <c r="AM79" s="125">
        <f>[1]节奏总纲!AM79</f>
        <v>26535.88112606269</v>
      </c>
      <c r="AN79" s="125">
        <f>[1]节奏总纲!AN79</f>
        <v>21228.704900850153</v>
      </c>
      <c r="AO79" s="125">
        <f>[1]节奏总纲!AO79</f>
        <v>15921.528675637614</v>
      </c>
      <c r="AP79" s="125">
        <f>[1]节奏总纲!AP79</f>
        <v>10614.352450425076</v>
      </c>
      <c r="AQ79" s="125">
        <f>[1]节奏总纲!AQ79</f>
        <v>5307.1762252125382</v>
      </c>
      <c r="AS79" s="125">
        <v>76</v>
      </c>
      <c r="AT79" s="125">
        <f>[1]节奏总纲!AT79</f>
        <v>3598.9811260626921</v>
      </c>
      <c r="AU79" s="125">
        <f>[1]节奏总纲!AU79</f>
        <v>2879.1849008501522</v>
      </c>
      <c r="AV79" s="125">
        <f>[1]节奏总纲!AV79</f>
        <v>2159.388675637616</v>
      </c>
      <c r="AW79" s="125">
        <f>[1]节奏总纲!AW79</f>
        <v>1439.5924504250761</v>
      </c>
      <c r="AX79" s="125">
        <f>[1]节奏总纲!AX79</f>
        <v>719.79622521253805</v>
      </c>
      <c r="AZ79" s="107">
        <v>76</v>
      </c>
      <c r="BA79" s="107">
        <v>36.189648295204947</v>
      </c>
      <c r="BB79" s="107">
        <v>37.680472138177471</v>
      </c>
      <c r="BC79" s="107">
        <v>39.610514239111005</v>
      </c>
      <c r="BD79" s="107">
        <v>42.340712512072891</v>
      </c>
      <c r="BE79" s="107">
        <v>47.037096473408994</v>
      </c>
    </row>
    <row r="80" spans="6:57" x14ac:dyDescent="0.15">
      <c r="F80" s="125">
        <f>[1]节奏总纲!F80</f>
        <v>78</v>
      </c>
      <c r="G80" s="125">
        <f>[1]节奏总纲!G80</f>
        <v>221.86094420380775</v>
      </c>
      <c r="I80" s="125">
        <f>[1]节奏总纲!I80</f>
        <v>78</v>
      </c>
      <c r="J80" s="125">
        <f>[1]节奏总纲!J80</f>
        <v>35511.190322760085</v>
      </c>
      <c r="K80" s="125">
        <f>[1]节奏总纲!K80</f>
        <v>1.43</v>
      </c>
      <c r="N80" s="115">
        <f>[1]节奏总纲!N80</f>
        <v>87</v>
      </c>
      <c r="O80" s="107">
        <v>77</v>
      </c>
      <c r="P80" s="107">
        <f>[1]节奏总纲!P80</f>
        <v>206.93661346719625</v>
      </c>
      <c r="Q80" s="107">
        <f>[1]节奏总纲!Q80</f>
        <v>179.12433261720508</v>
      </c>
      <c r="R80" s="107">
        <f>[1]节奏总纲!R80</f>
        <v>146.53181599612165</v>
      </c>
      <c r="S80" s="107">
        <f>[1]节奏总纲!S80</f>
        <v>107.42079605082158</v>
      </c>
      <c r="T80" s="107">
        <f>[1]节奏总纲!T80</f>
        <v>59.535663694512365</v>
      </c>
      <c r="V80" s="107">
        <v>77</v>
      </c>
      <c r="W80" s="107">
        <f>[1]节奏总纲!W80</f>
        <v>13.924892953865339</v>
      </c>
      <c r="X80" s="107">
        <f>[1]节奏总纲!X80</f>
        <v>12.149893201122524</v>
      </c>
      <c r="Y80" s="107">
        <f>[1]节奏总纲!Y80</f>
        <v>10.014626077042692</v>
      </c>
      <c r="Z80" s="107">
        <f>[1]节奏总纲!Z80</f>
        <v>7.3828213087621748</v>
      </c>
      <c r="AA80" s="107">
        <f>[1]节奏总纲!AA80</f>
        <v>3.8710834984677334</v>
      </c>
      <c r="AC80" s="107">
        <v>77</v>
      </c>
      <c r="AD80" s="107">
        <f>[1]节奏总纲!AD80</f>
        <v>62.849666392872081</v>
      </c>
      <c r="AE80" s="107">
        <f>[1]节奏总纲!AE80</f>
        <v>64.876252855711357</v>
      </c>
      <c r="AF80" s="107">
        <f>[1]节奏总纲!AF80</f>
        <v>67.747683715703729</v>
      </c>
      <c r="AG80" s="107">
        <f>[1]节奏总纲!AG80</f>
        <v>72.263232241847945</v>
      </c>
      <c r="AH80" s="107">
        <f>[1]节奏总纲!AH80</f>
        <v>80.83131279092018</v>
      </c>
      <c r="AL80" s="125">
        <v>77</v>
      </c>
      <c r="AM80" s="125">
        <f>[1]节奏总纲!AM80</f>
        <v>30698.011006346387</v>
      </c>
      <c r="AN80" s="125">
        <f>[1]节奏总纲!AN80</f>
        <v>24558.40880507711</v>
      </c>
      <c r="AO80" s="125">
        <f>[1]节奏总纲!AO80</f>
        <v>18418.806603807832</v>
      </c>
      <c r="AP80" s="125">
        <f>[1]节奏总纲!AP80</f>
        <v>12279.204402538555</v>
      </c>
      <c r="AQ80" s="125">
        <f>[1]节奏总纲!AQ80</f>
        <v>6139.6022012692774</v>
      </c>
      <c r="AS80" s="125">
        <v>77</v>
      </c>
      <c r="AT80" s="125">
        <f>[1]节奏总纲!AT80</f>
        <v>4162.1298802836973</v>
      </c>
      <c r="AU80" s="125">
        <f>[1]节奏总纲!AU80</f>
        <v>3329.7039042269571</v>
      </c>
      <c r="AV80" s="125">
        <f>[1]节奏总纲!AV80</f>
        <v>2497.2779281702187</v>
      </c>
      <c r="AW80" s="125">
        <f>[1]节奏总纲!AW80</f>
        <v>1664.8519521134785</v>
      </c>
      <c r="AX80" s="125">
        <f>[1]节奏总纲!AX80</f>
        <v>832.42597605673927</v>
      </c>
      <c r="AZ80" s="107">
        <v>77</v>
      </c>
      <c r="BA80" s="107">
        <v>36.273819023840659</v>
      </c>
      <c r="BB80" s="107">
        <v>37.771225729249387</v>
      </c>
      <c r="BC80" s="107">
        <v>39.700568750299212</v>
      </c>
      <c r="BD80" s="107">
        <v>42.427494399390554</v>
      </c>
      <c r="BE80" s="107">
        <v>47.12024662670057</v>
      </c>
    </row>
    <row r="81" spans="6:57" x14ac:dyDescent="0.15">
      <c r="F81" s="125">
        <f>[1]节奏总纲!F81</f>
        <v>79</v>
      </c>
      <c r="G81" s="125">
        <f>[1]节奏总纲!G81</f>
        <v>237.85644583342264</v>
      </c>
      <c r="I81" s="125">
        <f>[1]节奏总纲!I81</f>
        <v>79</v>
      </c>
      <c r="J81" s="125">
        <f>[1]节奏总纲!J81</f>
        <v>41077.009235645834</v>
      </c>
      <c r="K81" s="125">
        <f>[1]节奏总纲!K81</f>
        <v>1.44</v>
      </c>
      <c r="N81" s="115">
        <f>[1]节奏总纲!N81</f>
        <v>88</v>
      </c>
      <c r="O81" s="107">
        <v>78</v>
      </c>
      <c r="P81" s="107">
        <f>[1]节奏总纲!P81</f>
        <v>221.86094420380775</v>
      </c>
      <c r="Q81" s="107">
        <f>[1]节奏总纲!Q81</f>
        <v>192.04283330281601</v>
      </c>
      <c r="R81" s="107">
        <f>[1]节奏总纲!R81</f>
        <v>157.23285115723854</v>
      </c>
      <c r="S81" s="107">
        <f>[1]节奏总纲!S81</f>
        <v>115.1680161361966</v>
      </c>
      <c r="T81" s="107">
        <f>[1]节奏总纲!T81</f>
        <v>63.651904892072437</v>
      </c>
      <c r="V81" s="107">
        <v>78</v>
      </c>
      <c r="W81" s="107">
        <f>[1]节奏总纲!W81</f>
        <v>14.924330736611495</v>
      </c>
      <c r="X81" s="107">
        <f>[1]节奏总纲!X81</f>
        <v>12.918500685610923</v>
      </c>
      <c r="Y81" s="107">
        <f>[1]节奏总纲!Y81</f>
        <v>10.701035161116891</v>
      </c>
      <c r="Z81" s="107">
        <f>[1]节奏总纲!Z81</f>
        <v>7.7472200853750195</v>
      </c>
      <c r="AA81" s="107">
        <f>[1]节奏总纲!AA81</f>
        <v>4.1162411975600719</v>
      </c>
      <c r="AC81" s="107">
        <v>78</v>
      </c>
      <c r="AD81" s="107">
        <f>[1]节奏总纲!AD81</f>
        <v>63.036560194527354</v>
      </c>
      <c r="AE81" s="107">
        <f>[1]节奏总纲!AE81</f>
        <v>65.061438622789353</v>
      </c>
      <c r="AF81" s="107">
        <f>[1]节奏总纲!AF81</f>
        <v>67.949370145082256</v>
      </c>
      <c r="AG81" s="107">
        <f>[1]节奏总纲!AG81</f>
        <v>72.449509899839711</v>
      </c>
      <c r="AH81" s="107">
        <f>[1]节奏总纲!AH81</f>
        <v>81.026624803116562</v>
      </c>
      <c r="AL81" s="125">
        <v>78</v>
      </c>
      <c r="AM81" s="125">
        <f>[1]节奏总纲!AM81</f>
        <v>35511.190322760085</v>
      </c>
      <c r="AN81" s="125">
        <f>[1]节奏总纲!AN81</f>
        <v>28408.952258208068</v>
      </c>
      <c r="AO81" s="125">
        <f>[1]节奏总纲!AO81</f>
        <v>21306.714193656051</v>
      </c>
      <c r="AP81" s="125">
        <f>[1]节奏总纲!AP81</f>
        <v>14204.476129104034</v>
      </c>
      <c r="AQ81" s="125">
        <f>[1]节奏总纲!AQ81</f>
        <v>7102.238064552017</v>
      </c>
      <c r="AS81" s="125">
        <v>78</v>
      </c>
      <c r="AT81" s="125">
        <f>[1]节奏总纲!AT81</f>
        <v>4813.179316413698</v>
      </c>
      <c r="AU81" s="125">
        <f>[1]节奏总纲!AU81</f>
        <v>3850.5434531309584</v>
      </c>
      <c r="AV81" s="125">
        <f>[1]节奏总纲!AV81</f>
        <v>2887.9075898482188</v>
      </c>
      <c r="AW81" s="125">
        <f>[1]节奏总纲!AW81</f>
        <v>1925.2717265654792</v>
      </c>
      <c r="AX81" s="125">
        <f>[1]节奏总纲!AX81</f>
        <v>962.63586328273959</v>
      </c>
      <c r="AZ81" s="107">
        <v>78</v>
      </c>
      <c r="BA81" s="107">
        <v>36.357989752476364</v>
      </c>
      <c r="BB81" s="107">
        <v>37.861979320321296</v>
      </c>
      <c r="BC81" s="107">
        <v>39.790623261487418</v>
      </c>
      <c r="BD81" s="107">
        <v>42.51427628670821</v>
      </c>
      <c r="BE81" s="107">
        <v>47.203396779992147</v>
      </c>
    </row>
    <row r="82" spans="6:57" x14ac:dyDescent="0.15">
      <c r="F82" s="125">
        <f>[1]节奏总纲!F82</f>
        <v>80</v>
      </c>
      <c r="G82" s="125">
        <f>[1]节奏总纲!G82</f>
        <v>255</v>
      </c>
      <c r="I82" s="125">
        <f>[1]节奏总纲!I82</f>
        <v>80</v>
      </c>
      <c r="J82" s="125">
        <f>[1]节奏总纲!J82</f>
        <v>47512.875</v>
      </c>
      <c r="K82" s="125">
        <f>[1]节奏总纲!K82</f>
        <v>1.45</v>
      </c>
      <c r="N82" s="115">
        <f>[1]节奏总纲!N82</f>
        <v>89</v>
      </c>
      <c r="O82" s="107">
        <v>79</v>
      </c>
      <c r="P82" s="107">
        <f>[1]节奏总纲!P82</f>
        <v>237.85644583342264</v>
      </c>
      <c r="Q82" s="107">
        <f>[1]节奏总纲!Q82</f>
        <v>206.07882467007735</v>
      </c>
      <c r="R82" s="107">
        <f>[1]节奏总纲!R82</f>
        <v>168.73536267423003</v>
      </c>
      <c r="S82" s="107">
        <f>[1]节奏总纲!S82</f>
        <v>123.11449636337954</v>
      </c>
      <c r="T82" s="107">
        <f>[1]节奏总纲!T82</f>
        <v>68.122086086692235</v>
      </c>
      <c r="V82" s="107">
        <v>79</v>
      </c>
      <c r="W82" s="107">
        <f>[1]节奏总纲!W82</f>
        <v>15.995501629614893</v>
      </c>
      <c r="X82" s="107">
        <f>[1]节奏总纲!X82</f>
        <v>14.035991367261346</v>
      </c>
      <c r="Y82" s="107">
        <f>[1]节奏总纲!Y82</f>
        <v>11.50251151699149</v>
      </c>
      <c r="Z82" s="107">
        <f>[1]节奏总纲!Z82</f>
        <v>7.9464802271829456</v>
      </c>
      <c r="AA82" s="107">
        <f>[1]节奏总纲!AA82</f>
        <v>4.4701811946197978</v>
      </c>
      <c r="AC82" s="107">
        <v>79</v>
      </c>
      <c r="AD82" s="107">
        <f>[1]节奏总纲!AD82</f>
        <v>63.213386604241791</v>
      </c>
      <c r="AE82" s="107">
        <f>[1]节奏总纲!AE82</f>
        <v>65.23679566619937</v>
      </c>
      <c r="AF82" s="107">
        <f>[1]节奏总纲!AF82</f>
        <v>68.132712808893615</v>
      </c>
      <c r="AG82" s="107">
        <f>[1]节奏总纲!AG82</f>
        <v>72.635787557831478</v>
      </c>
      <c r="AH82" s="107">
        <f>[1]节奏总纲!AH82</f>
        <v>81.212704266341873</v>
      </c>
      <c r="AL82" s="125">
        <v>79</v>
      </c>
      <c r="AM82" s="125">
        <f>[1]节奏总纲!AM82</f>
        <v>41077.009235645834</v>
      </c>
      <c r="AN82" s="125">
        <f>[1]节奏总纲!AN82</f>
        <v>32861.60738851667</v>
      </c>
      <c r="AO82" s="125">
        <f>[1]节奏总纲!AO82</f>
        <v>24646.205541387499</v>
      </c>
      <c r="AP82" s="125">
        <f>[1]节奏总纲!AP82</f>
        <v>16430.803694258335</v>
      </c>
      <c r="AQ82" s="125">
        <f>[1]节奏总纲!AQ82</f>
        <v>8215.4018471291674</v>
      </c>
      <c r="AS82" s="125">
        <v>79</v>
      </c>
      <c r="AT82" s="125">
        <f>[1]节奏总纲!AT82</f>
        <v>5565.8189128857484</v>
      </c>
      <c r="AU82" s="125">
        <f>[1]节奏总纲!AU82</f>
        <v>4452.6551303086017</v>
      </c>
      <c r="AV82" s="125">
        <f>[1]节奏总纲!AV82</f>
        <v>3339.4913477314476</v>
      </c>
      <c r="AW82" s="125">
        <f>[1]节奏总纲!AW82</f>
        <v>2226.3275651543008</v>
      </c>
      <c r="AX82" s="125">
        <f>[1]节奏总纲!AX82</f>
        <v>1113.1637825771504</v>
      </c>
      <c r="AZ82" s="107">
        <v>79</v>
      </c>
      <c r="BA82" s="107">
        <v>36.442160481112069</v>
      </c>
      <c r="BB82" s="107">
        <v>37.952732911393213</v>
      </c>
      <c r="BC82" s="107">
        <v>39.880677772675625</v>
      </c>
      <c r="BD82" s="107">
        <v>42.601058174025873</v>
      </c>
      <c r="BE82" s="107">
        <v>47.286546933283724</v>
      </c>
    </row>
    <row r="83" spans="6:57" x14ac:dyDescent="0.15">
      <c r="F83" s="125">
        <f>[1]节奏总纲!F83</f>
        <v>81</v>
      </c>
      <c r="G83" s="125">
        <f>[1]节奏总纲!G83</f>
        <v>273.37400640929098</v>
      </c>
      <c r="I83" s="125"/>
      <c r="J83" s="125"/>
      <c r="K83" s="125"/>
      <c r="N83" s="115">
        <f>[1]节奏总纲!N83</f>
        <v>90</v>
      </c>
      <c r="O83" s="107">
        <v>80</v>
      </c>
      <c r="P83" s="107">
        <f>[1]节奏总纲!P83</f>
        <v>255</v>
      </c>
      <c r="Q83" s="107">
        <f>[1]节奏总纲!Q83</f>
        <v>221.08500000000001</v>
      </c>
      <c r="R83" s="107">
        <f>[1]节奏总纲!R83</f>
        <v>180.33600000000001</v>
      </c>
      <c r="S83" s="107">
        <f>[1]节奏总纲!S83</f>
        <v>131.58000000000001</v>
      </c>
      <c r="T83" s="107">
        <f>[1]节奏总纲!T83</f>
        <v>72.777000000000001</v>
      </c>
      <c r="V83" s="107">
        <v>80</v>
      </c>
      <c r="W83" s="107">
        <f>[1]节奏总纲!W83</f>
        <v>17.14355416657736</v>
      </c>
      <c r="X83" s="107">
        <f>[1]节奏总纲!X83</f>
        <v>15.006175329922655</v>
      </c>
      <c r="Y83" s="107">
        <f>[1]节奏总纲!Y83</f>
        <v>11.600637325769981</v>
      </c>
      <c r="Z83" s="107">
        <f>[1]节奏总纲!Z83</f>
        <v>8.4655036366204683</v>
      </c>
      <c r="AA83" s="107">
        <f>[1]节奏总纲!AA83</f>
        <v>4.6549139133077659</v>
      </c>
      <c r="AC83" s="107">
        <v>80</v>
      </c>
      <c r="AD83" s="107">
        <f>[1]节奏总纲!AD83</f>
        <v>63.39021301395622</v>
      </c>
      <c r="AE83" s="107">
        <f>[1]节奏总纲!AE83</f>
        <v>65.412152709609373</v>
      </c>
      <c r="AF83" s="107">
        <f>[1]节奏总纲!AF83</f>
        <v>68.309907165737044</v>
      </c>
      <c r="AG83" s="107">
        <f>[1]节奏总纲!AG83</f>
        <v>72.822065215823244</v>
      </c>
      <c r="AH83" s="107">
        <f>[1]节奏总纲!AH83</f>
        <v>81.398783729567185</v>
      </c>
      <c r="AL83" s="125">
        <v>80</v>
      </c>
      <c r="AM83" s="125">
        <f>[1]节奏总纲!AM83</f>
        <v>47512.875</v>
      </c>
      <c r="AN83" s="125">
        <f>[1]节奏总纲!AN83</f>
        <v>38010.300000000003</v>
      </c>
      <c r="AO83" s="125">
        <f>[1]节奏总纲!AO83</f>
        <v>28507.724999999999</v>
      </c>
      <c r="AP83" s="125">
        <f>[1]节奏总纲!AP83</f>
        <v>19005.150000000001</v>
      </c>
      <c r="AQ83" s="125">
        <f>[1]节奏总纲!AQ83</f>
        <v>9502.5750000000007</v>
      </c>
      <c r="AS83" s="125">
        <v>80</v>
      </c>
      <c r="AT83" s="125">
        <f>[1]节奏总纲!AT83</f>
        <v>6435.8657643541665</v>
      </c>
      <c r="AU83" s="125">
        <f>[1]节奏总纲!AU83</f>
        <v>5148.6926114833332</v>
      </c>
      <c r="AV83" s="125">
        <f>[1]节奏总纲!AV83</f>
        <v>3861.5194586124999</v>
      </c>
      <c r="AW83" s="125">
        <f>[1]节奏总纲!AW83</f>
        <v>2574.3463057416666</v>
      </c>
      <c r="AX83" s="125">
        <f>[1]节奏总纲!AX83</f>
        <v>1287.1731528708333</v>
      </c>
      <c r="AZ83" s="107">
        <v>80</v>
      </c>
      <c r="BA83" s="107">
        <v>36.526331209747774</v>
      </c>
      <c r="BB83" s="107">
        <v>38.037513426486328</v>
      </c>
      <c r="BC83" s="107">
        <v>39.970732283863832</v>
      </c>
      <c r="BD83" s="107">
        <v>42.687840061343536</v>
      </c>
      <c r="BE83" s="107">
        <v>47.3696970865753</v>
      </c>
    </row>
    <row r="84" spans="6:57" x14ac:dyDescent="0.15">
      <c r="F84" s="125">
        <f>[1]节奏总纲!F84</f>
        <v>82</v>
      </c>
      <c r="G84" s="125">
        <f>[1]节奏总纲!G84</f>
        <v>293.06677887924064</v>
      </c>
      <c r="I84" s="125"/>
      <c r="J84" s="125"/>
      <c r="K84" s="125"/>
      <c r="N84" s="115">
        <f>[1]节奏总纲!N84</f>
        <v>91</v>
      </c>
      <c r="O84" s="107">
        <v>81</v>
      </c>
      <c r="P84" s="107">
        <f>[1]节奏总纲!P84</f>
        <v>273.37400640929098</v>
      </c>
      <c r="Q84" s="107">
        <f>[1]节奏总纲!Q84</f>
        <v>236.35916594147301</v>
      </c>
      <c r="R84" s="107">
        <f>[1]节奏总纲!R84</f>
        <v>192.67399971726829</v>
      </c>
      <c r="S84" s="107">
        <f>[1]节奏总纲!S84</f>
        <v>140.76027590014394</v>
      </c>
      <c r="T84" s="107">
        <f>[1]节奏总纲!T84</f>
        <v>77.856917025366073</v>
      </c>
      <c r="V84" s="107">
        <v>81</v>
      </c>
      <c r="W84" s="107">
        <f>[1]节奏总纲!W84</f>
        <v>18.374006409290985</v>
      </c>
      <c r="X84" s="107">
        <f>[1]节奏总纲!X84</f>
        <v>15.274165941473001</v>
      </c>
      <c r="Y84" s="107">
        <f>[1]节奏总纲!Y84</f>
        <v>12.337999717268275</v>
      </c>
      <c r="Z84" s="107">
        <f>[1]节奏总纲!Z84</f>
        <v>9.1802759001439256</v>
      </c>
      <c r="AA84" s="107">
        <f>[1]节奏总纲!AA84</f>
        <v>5.0799170253660719</v>
      </c>
      <c r="AC84" s="107">
        <v>81</v>
      </c>
      <c r="AD84" s="107">
        <f>[1]节奏总纲!AD84</f>
        <v>63.567039423670657</v>
      </c>
      <c r="AE84" s="107">
        <f>[1]节奏总纲!AE84</f>
        <v>65.58750975301939</v>
      </c>
      <c r="AF84" s="107">
        <f>[1]节奏总纲!AF84</f>
        <v>68.487101522580488</v>
      </c>
      <c r="AG84" s="107">
        <f>[1]节奏总纲!AG84</f>
        <v>73.007572199822363</v>
      </c>
      <c r="AH84" s="107">
        <f>[1]节奏总纲!AH84</f>
        <v>81.584863192792497</v>
      </c>
      <c r="AZ84" s="107">
        <v>81</v>
      </c>
      <c r="BA84" s="107">
        <v>36.610501938383479</v>
      </c>
      <c r="BB84" s="107">
        <v>38.11580158428373</v>
      </c>
      <c r="BC84" s="107">
        <v>40.052446592012309</v>
      </c>
      <c r="BD84" s="107">
        <v>42.774621948661192</v>
      </c>
      <c r="BE84" s="107">
        <v>47.452847239866877</v>
      </c>
    </row>
    <row r="85" spans="6:57" x14ac:dyDescent="0.15">
      <c r="F85" s="125">
        <f>[1]节奏总纲!F85</f>
        <v>83</v>
      </c>
      <c r="G85" s="125">
        <f>[1]节奏总纲!G85</f>
        <v>314.1729698162988</v>
      </c>
      <c r="I85" s="125"/>
      <c r="J85" s="125"/>
      <c r="K85" s="125"/>
      <c r="N85" s="115">
        <f>[1]节奏总纲!N85</f>
        <v>92</v>
      </c>
      <c r="O85" s="107">
        <v>82</v>
      </c>
      <c r="P85" s="107">
        <f>[1]节奏总纲!P85</f>
        <v>293.06677887924064</v>
      </c>
      <c r="Q85" s="107">
        <f>[1]节奏总纲!Q85</f>
        <v>253.15108359588808</v>
      </c>
      <c r="R85" s="107">
        <f>[1]节奏总纲!R85</f>
        <v>206.37762568676126</v>
      </c>
      <c r="S85" s="107">
        <f>[1]节奏总纲!S85</f>
        <v>150.81216441125721</v>
      </c>
      <c r="T85" s="107">
        <f>[1]节奏总纲!T85</f>
        <v>83.230965201704336</v>
      </c>
      <c r="V85" s="107">
        <v>82</v>
      </c>
      <c r="W85" s="107">
        <f>[1]节奏总纲!W85</f>
        <v>19.692772469949659</v>
      </c>
      <c r="X85" s="107">
        <f>[1]节奏总纲!X85</f>
        <v>16.791917654415073</v>
      </c>
      <c r="Y85" s="107">
        <f>[1]节奏总纲!Y85</f>
        <v>13.703625969492975</v>
      </c>
      <c r="Z85" s="107">
        <f>[1]节奏总纲!Z85</f>
        <v>10.051888511113276</v>
      </c>
      <c r="AA85" s="107">
        <f>[1]节奏总纲!AA85</f>
        <v>5.3740481763382633</v>
      </c>
      <c r="AC85" s="107">
        <v>82</v>
      </c>
      <c r="AD85" s="107">
        <f>[1]节奏总纲!AD85</f>
        <v>63.743865833385094</v>
      </c>
      <c r="AE85" s="107">
        <f>[1]节奏总纲!AE85</f>
        <v>65.762866796429392</v>
      </c>
      <c r="AF85" s="107">
        <f>[1]节奏总纲!AF85</f>
        <v>68.664295879423918</v>
      </c>
      <c r="AG85" s="107">
        <f>[1]节奏总纲!AG85</f>
        <v>73.176642436293761</v>
      </c>
      <c r="AH85" s="107">
        <f>[1]节奏总纲!AH85</f>
        <v>81.770942656017823</v>
      </c>
      <c r="AZ85" s="107">
        <v>82</v>
      </c>
      <c r="BA85" s="107">
        <v>36.694672667019191</v>
      </c>
      <c r="BB85" s="107">
        <v>38.194089742081125</v>
      </c>
      <c r="BC85" s="107">
        <v>40.130145246845366</v>
      </c>
      <c r="BD85" s="107">
        <v>42.861403835978855</v>
      </c>
      <c r="BE85" s="107">
        <v>47.535997393158453</v>
      </c>
    </row>
    <row r="86" spans="6:57" x14ac:dyDescent="0.15">
      <c r="F86" s="125">
        <f>[1]节奏总纲!F86</f>
        <v>84</v>
      </c>
      <c r="G86" s="125">
        <f>[1]节奏总纲!G86</f>
        <v>336.79402515786086</v>
      </c>
      <c r="I86" s="125"/>
      <c r="J86" s="125"/>
      <c r="K86" s="125"/>
      <c r="N86" s="115">
        <f>[1]节奏总纲!N86</f>
        <v>93</v>
      </c>
      <c r="O86" s="107">
        <v>83</v>
      </c>
      <c r="P86" s="107">
        <f>[1]节奏总纲!P86</f>
        <v>314.1729698162988</v>
      </c>
      <c r="Q86" s="107">
        <f>[1]节奏总纲!Q86</f>
        <v>271.53969781222702</v>
      </c>
      <c r="R86" s="107">
        <f>[1]节奏总纲!R86</f>
        <v>221.55477831445393</v>
      </c>
      <c r="S86" s="107">
        <f>[1]节奏总纲!S86</f>
        <v>161.57915837652246</v>
      </c>
      <c r="T86" s="107">
        <f>[1]节奏总纲!T86</f>
        <v>89.193706130847232</v>
      </c>
      <c r="V86" s="107">
        <v>83</v>
      </c>
      <c r="W86" s="107">
        <f>[1]节奏总纲!W86</f>
        <v>21.106190937058159</v>
      </c>
      <c r="X86" s="107">
        <f>[1]节奏总纲!X86</f>
        <v>18.388614216338937</v>
      </c>
      <c r="Y86" s="107">
        <f>[1]节奏总纲!Y86</f>
        <v>15.177152627692664</v>
      </c>
      <c r="Z86" s="107">
        <f>[1]节奏总纲!Z86</f>
        <v>10.766993965265243</v>
      </c>
      <c r="AA86" s="107">
        <f>[1]节奏总纲!AA86</f>
        <v>5.9627409291428961</v>
      </c>
      <c r="AC86" s="107">
        <v>83</v>
      </c>
      <c r="AD86" s="107">
        <f>[1]节奏总纲!AD86</f>
        <v>63.920692243099523</v>
      </c>
      <c r="AE86" s="107">
        <f>[1]节奏总纲!AE86</f>
        <v>65.938223839839395</v>
      </c>
      <c r="AF86" s="107">
        <f>[1]节奏总纲!AF86</f>
        <v>68.841490236267347</v>
      </c>
      <c r="AG86" s="107">
        <f>[1]节奏总纲!AG86</f>
        <v>73.34571267276516</v>
      </c>
      <c r="AH86" s="107">
        <f>[1]节奏总纲!AH86</f>
        <v>81.957022119243135</v>
      </c>
      <c r="AZ86" s="107">
        <v>83</v>
      </c>
      <c r="BA86" s="107">
        <v>36.778843395654896</v>
      </c>
      <c r="BB86" s="107">
        <v>38.272377899878528</v>
      </c>
      <c r="BC86" s="107">
        <v>40.207843901678423</v>
      </c>
      <c r="BD86" s="107">
        <v>42.948185723296518</v>
      </c>
      <c r="BE86" s="107">
        <v>47.619147546450023</v>
      </c>
    </row>
    <row r="87" spans="6:57" x14ac:dyDescent="0.15">
      <c r="F87" s="125">
        <f>[1]节奏总纲!F87</f>
        <v>85</v>
      </c>
      <c r="G87" s="125">
        <f>[1]节奏总纲!G87</f>
        <v>361.0386719675123</v>
      </c>
      <c r="I87" s="125"/>
      <c r="J87" s="125"/>
      <c r="K87" s="125"/>
      <c r="N87" s="115">
        <f>[1]节奏总纲!N87</f>
        <v>94</v>
      </c>
      <c r="O87" s="107">
        <v>84</v>
      </c>
      <c r="P87" s="107">
        <f>[1]节奏总纲!P87</f>
        <v>336.79402515786086</v>
      </c>
      <c r="Q87" s="107">
        <f>[1]节奏总纲!Q87</f>
        <v>291.2594729565181</v>
      </c>
      <c r="R87" s="107">
        <f>[1]节奏总纲!R87</f>
        <v>237.27139072371298</v>
      </c>
      <c r="S87" s="107">
        <f>[1]节奏总纲!S87</f>
        <v>172.97741132107731</v>
      </c>
      <c r="T87" s="107">
        <f>[1]节奏总纲!T87</f>
        <v>95.64950314483248</v>
      </c>
      <c r="V87" s="107">
        <v>84</v>
      </c>
      <c r="W87" s="107">
        <f>[1]节奏总纲!W87</f>
        <v>22.621055341562055</v>
      </c>
      <c r="X87" s="107">
        <f>[1]节奏总纲!X87</f>
        <v>19.719775144291077</v>
      </c>
      <c r="Y87" s="107">
        <f>[1]节奏总纲!Y87</f>
        <v>15.716612409259056</v>
      </c>
      <c r="Z87" s="107">
        <f>[1]节奏总纲!Z87</f>
        <v>11.398252944554855</v>
      </c>
      <c r="AA87" s="107">
        <f>[1]节奏总纲!AA87</f>
        <v>6.4557970139852472</v>
      </c>
      <c r="AC87" s="107">
        <v>84</v>
      </c>
      <c r="AD87" s="107">
        <f>[1]节奏总纲!AD87</f>
        <v>64.090988120365651</v>
      </c>
      <c r="AE87" s="107">
        <f>[1]节奏总纲!AE87</f>
        <v>66.105889403880397</v>
      </c>
      <c r="AF87" s="107">
        <f>[1]节奏总纲!AF87</f>
        <v>69.01697485309198</v>
      </c>
      <c r="AG87" s="107">
        <f>[1]节奏总纲!AG87</f>
        <v>73.514782909236544</v>
      </c>
      <c r="AH87" s="107">
        <f>[1]节奏总纲!AH87</f>
        <v>82.128973371044353</v>
      </c>
      <c r="AZ87" s="107">
        <v>84</v>
      </c>
      <c r="BA87" s="107">
        <v>36.863014124290601</v>
      </c>
      <c r="BB87" s="107">
        <v>38.35066605767593</v>
      </c>
      <c r="BC87" s="107">
        <v>40.28554255651148</v>
      </c>
      <c r="BD87" s="107">
        <v>43.030177309109042</v>
      </c>
      <c r="BE87" s="107">
        <v>47.7022976997416</v>
      </c>
    </row>
    <row r="88" spans="6:57" x14ac:dyDescent="0.15">
      <c r="F88" s="125">
        <f>[1]节奏总纲!F88</f>
        <v>86</v>
      </c>
      <c r="G88" s="125">
        <f>[1]节奏总纲!G88</f>
        <v>387.02344102666189</v>
      </c>
      <c r="I88" s="125"/>
      <c r="J88" s="125"/>
      <c r="K88" s="125"/>
      <c r="N88" s="115">
        <f>[1]节奏总纲!N88</f>
        <v>95</v>
      </c>
      <c r="O88" s="107">
        <v>85</v>
      </c>
      <c r="P88" s="107">
        <f>[1]节奏总纲!P88</f>
        <v>361.0386719675123</v>
      </c>
      <c r="Q88" s="107">
        <f>[1]节奏总纲!Q88</f>
        <v>311.72078937675008</v>
      </c>
      <c r="R88" s="107">
        <f>[1]节奏总纲!R88</f>
        <v>253.91849799475142</v>
      </c>
      <c r="S88" s="107">
        <f>[1]节奏总纲!S88</f>
        <v>185.57387739130132</v>
      </c>
      <c r="T88" s="107">
        <f>[1]节奏总纲!T88</f>
        <v>102.53498283877349</v>
      </c>
      <c r="V88" s="107">
        <v>85</v>
      </c>
      <c r="W88" s="107">
        <f>[1]节奏总纲!W88</f>
        <v>24.244646809651442</v>
      </c>
      <c r="X88" s="107">
        <f>[1]节奏总纲!X88</f>
        <v>20.461316420231981</v>
      </c>
      <c r="Y88" s="107">
        <f>[1]节奏总纲!Y88</f>
        <v>16.647107271038436</v>
      </c>
      <c r="Z88" s="107">
        <f>[1]节奏总纲!Z88</f>
        <v>12.596466070224011</v>
      </c>
      <c r="AA88" s="107">
        <f>[1]节奏总纲!AA88</f>
        <v>6.8854796939410079</v>
      </c>
      <c r="AC88" s="107">
        <v>85</v>
      </c>
      <c r="AD88" s="107">
        <f>[1]节奏总纲!AD88</f>
        <v>64.255972994404218</v>
      </c>
      <c r="AE88" s="107">
        <f>[1]节奏总纲!AE88</f>
        <v>66.269371604948859</v>
      </c>
      <c r="AF88" s="107">
        <f>[1]节奏总纲!AF88</f>
        <v>69.17795498031839</v>
      </c>
      <c r="AG88" s="107">
        <f>[1]节奏总纲!AG88</f>
        <v>73.683853145707943</v>
      </c>
      <c r="AH88" s="107">
        <f>[1]节奏总纲!AH88</f>
        <v>82.296681479091191</v>
      </c>
      <c r="AZ88" s="107">
        <v>85</v>
      </c>
      <c r="BA88" s="107">
        <v>36.947184852926306</v>
      </c>
      <c r="BB88" s="107">
        <v>38.428954215473325</v>
      </c>
      <c r="BC88" s="107">
        <v>40.363241211344537</v>
      </c>
      <c r="BD88" s="107">
        <v>43.105070725978337</v>
      </c>
      <c r="BE88" s="107">
        <v>47.785447853033176</v>
      </c>
    </row>
    <row r="89" spans="6:57" x14ac:dyDescent="0.15">
      <c r="F89" s="125">
        <f>[1]节奏总纲!F89</f>
        <v>87</v>
      </c>
      <c r="G89" s="125">
        <f>[1]节奏总纲!G89</f>
        <v>414.87322693439216</v>
      </c>
      <c r="N89" s="115">
        <f>[1]节奏总纲!N89</f>
        <v>96</v>
      </c>
      <c r="O89" s="107">
        <v>86</v>
      </c>
      <c r="P89" s="107">
        <f>[1]节奏总纲!P89</f>
        <v>387.02344102666189</v>
      </c>
      <c r="Q89" s="107">
        <f>[1]节奏总纲!Q89</f>
        <v>334.00122960600919</v>
      </c>
      <c r="R89" s="107">
        <f>[1]节奏总纲!R89</f>
        <v>272.23228841815398</v>
      </c>
      <c r="S89" s="107">
        <f>[1]节奏总纲!S89</f>
        <v>199.39447681693619</v>
      </c>
      <c r="T89" s="107">
        <f>[1]节奏总纲!T89</f>
        <v>108.94709864900531</v>
      </c>
      <c r="V89" s="107">
        <v>86</v>
      </c>
      <c r="W89" s="107">
        <f>[1]节奏总纲!W89</f>
        <v>25.984769059149585</v>
      </c>
      <c r="X89" s="107">
        <f>[1]节奏总纲!X89</f>
        <v>22.280440229259113</v>
      </c>
      <c r="Y89" s="107">
        <f>[1]节奏总纲!Y89</f>
        <v>18.313790423402565</v>
      </c>
      <c r="Z89" s="107">
        <f>[1]节奏总纲!Z89</f>
        <v>13.820599425634867</v>
      </c>
      <c r="AA89" s="107">
        <f>[1]节奏总纲!AA89</f>
        <v>6.4121158102318248</v>
      </c>
      <c r="AC89" s="107">
        <v>86</v>
      </c>
      <c r="AD89" s="107">
        <f>[1]节奏总纲!AD89</f>
        <v>64.420957868442798</v>
      </c>
      <c r="AE89" s="107">
        <f>[1]节奏总纲!AE89</f>
        <v>66.43285380601732</v>
      </c>
      <c r="AF89" s="107">
        <f>[1]节奏总纲!AF89</f>
        <v>69.338935107544785</v>
      </c>
      <c r="AG89" s="107">
        <f>[1]节奏总纲!AG89</f>
        <v>73.852923382179341</v>
      </c>
      <c r="AH89" s="107">
        <f>[1]节奏总纲!AH89</f>
        <v>82.464389587138029</v>
      </c>
      <c r="AZ89" s="107">
        <v>86</v>
      </c>
      <c r="BA89" s="107">
        <v>37.027046282459708</v>
      </c>
      <c r="BB89" s="107">
        <v>38.507242373270728</v>
      </c>
      <c r="BC89" s="107">
        <v>40.440939866177594</v>
      </c>
      <c r="BD89" s="107">
        <v>43.179964142847631</v>
      </c>
      <c r="BE89" s="107">
        <v>47.868598006324753</v>
      </c>
    </row>
    <row r="90" spans="6:57" x14ac:dyDescent="0.15">
      <c r="F90" s="125">
        <f>[1]节奏总纲!F90</f>
        <v>88</v>
      </c>
      <c r="G90" s="125">
        <f>[1]节奏总纲!G90</f>
        <v>444.72188840761549</v>
      </c>
      <c r="N90" s="115">
        <f>[1]节奏总纲!N90</f>
        <v>97</v>
      </c>
      <c r="O90" s="107">
        <v>87</v>
      </c>
      <c r="P90" s="107">
        <f>[1]节奏总纲!P90</f>
        <v>414.87322693439216</v>
      </c>
      <c r="Q90" s="107">
        <f>[1]节奏总纲!Q90</f>
        <v>358.28451878054108</v>
      </c>
      <c r="R90" s="107">
        <f>[1]节奏总纲!R90</f>
        <v>292.4026503433596</v>
      </c>
      <c r="S90" s="107">
        <f>[1]节奏总纲!S90</f>
        <v>212.58104148118252</v>
      </c>
      <c r="T90" s="107">
        <f>[1]节奏总纲!T90</f>
        <v>115.74963031469542</v>
      </c>
      <c r="V90" s="107">
        <v>87</v>
      </c>
      <c r="W90" s="107">
        <f>[1]节奏总纲!W90</f>
        <v>27.849785907730279</v>
      </c>
      <c r="X90" s="107">
        <f>[1]节奏总纲!X90</f>
        <v>24.283289174531888</v>
      </c>
      <c r="Y90" s="107">
        <f>[1]节奏总纲!Y90</f>
        <v>20.170361925205611</v>
      </c>
      <c r="Z90" s="107">
        <f>[1]节奏总纲!Z90</f>
        <v>13.186564664246333</v>
      </c>
      <c r="AA90" s="107">
        <f>[1]节奏总纲!AA90</f>
        <v>6.8025316656901111</v>
      </c>
      <c r="AC90" s="107">
        <v>87</v>
      </c>
      <c r="AD90" s="107">
        <f>[1]节奏总纲!AD90</f>
        <v>64.585942742481365</v>
      </c>
      <c r="AE90" s="107">
        <f>[1]节奏总纲!AE90</f>
        <v>66.596336007085796</v>
      </c>
      <c r="AF90" s="107">
        <f>[1]节奏总纲!AF90</f>
        <v>69.49991523477118</v>
      </c>
      <c r="AG90" s="107">
        <f>[1]节奏总纲!AG90</f>
        <v>74.02050499447661</v>
      </c>
      <c r="AH90" s="107">
        <f>[1]节奏总纲!AH90</f>
        <v>82.632097695184868</v>
      </c>
      <c r="AZ90" s="107">
        <v>87</v>
      </c>
      <c r="BA90" s="107">
        <v>37.099649155317238</v>
      </c>
      <c r="BB90" s="107">
        <v>38.58553053106813</v>
      </c>
      <c r="BC90" s="107">
        <v>40.518638521010651</v>
      </c>
      <c r="BD90" s="107">
        <v>43.254857559716925</v>
      </c>
      <c r="BE90" s="107">
        <v>47.951748159616329</v>
      </c>
    </row>
    <row r="91" spans="6:57" x14ac:dyDescent="0.15">
      <c r="F91" s="125">
        <f>[1]节奏总纲!F91</f>
        <v>89</v>
      </c>
      <c r="G91" s="125">
        <f>[1]节奏总纲!G91</f>
        <v>476.71289166684534</v>
      </c>
      <c r="N91" s="115">
        <f>[1]节奏总纲!N91</f>
        <v>98</v>
      </c>
      <c r="O91" s="107">
        <v>88</v>
      </c>
      <c r="P91" s="107">
        <f>[1]节奏总纲!P91</f>
        <v>444.72188840761549</v>
      </c>
      <c r="Q91" s="107">
        <f>[1]节奏总纲!Q91</f>
        <v>384.7733778502689</v>
      </c>
      <c r="R91" s="107">
        <f>[1]节奏总纲!R91</f>
        <v>312.90632068359827</v>
      </c>
      <c r="S91" s="107">
        <f>[1]节奏总纲!S91</f>
        <v>226.0076636887502</v>
      </c>
      <c r="T91" s="107">
        <f>[1]节奏总纲!T91</f>
        <v>123.1879630889095</v>
      </c>
      <c r="V91" s="107">
        <v>88</v>
      </c>
      <c r="W91" s="107">
        <f>[1]节奏总纲!W91</f>
        <v>29.848661473223331</v>
      </c>
      <c r="X91" s="107">
        <f>[1]节奏总纲!X91</f>
        <v>26.488859069727823</v>
      </c>
      <c r="Y91" s="107">
        <f>[1]节奏总纲!Y91</f>
        <v>20.503670340238671</v>
      </c>
      <c r="Z91" s="107">
        <f>[1]节奏总纲!Z91</f>
        <v>13.426622207567675</v>
      </c>
      <c r="AA91" s="107">
        <f>[1]节奏总纲!AA91</f>
        <v>7.438332774214075</v>
      </c>
      <c r="AC91" s="107">
        <v>88</v>
      </c>
      <c r="AD91" s="107">
        <f>[1]节奏总纲!AD91</f>
        <v>64.750927616519931</v>
      </c>
      <c r="AE91" s="107">
        <f>[1]节奏总纲!AE91</f>
        <v>66.759818208154257</v>
      </c>
      <c r="AF91" s="107">
        <f>[1]节奏总纲!AF91</f>
        <v>69.660895361997589</v>
      </c>
      <c r="AG91" s="107">
        <f>[1]节奏总纲!AG91</f>
        <v>74.178131818877702</v>
      </c>
      <c r="AH91" s="107">
        <f>[1]节奏总纲!AH91</f>
        <v>82.799805803231706</v>
      </c>
      <c r="AZ91" s="107">
        <v>88</v>
      </c>
      <c r="BA91" s="107">
        <v>37.172252028174768</v>
      </c>
      <c r="BB91" s="107">
        <v>38.663818688865533</v>
      </c>
      <c r="BC91" s="107">
        <v>40.596337175843701</v>
      </c>
      <c r="BD91" s="107">
        <v>43.329750976586219</v>
      </c>
      <c r="BE91" s="107">
        <v>48.030128751164234</v>
      </c>
    </row>
    <row r="92" spans="6:57" x14ac:dyDescent="0.15">
      <c r="F92" s="125">
        <f>[1]节奏总纲!F92</f>
        <v>90</v>
      </c>
      <c r="G92" s="125">
        <f>[1]节奏总纲!G92</f>
        <v>511</v>
      </c>
      <c r="N92" s="115">
        <f>[1]节奏总纲!N92</f>
        <v>99</v>
      </c>
      <c r="O92" s="107">
        <v>89</v>
      </c>
      <c r="P92" s="107">
        <f>[1]节奏总纲!P92</f>
        <v>476.71289166684534</v>
      </c>
      <c r="Q92" s="107">
        <f>[1]节奏总纲!Q92</f>
        <v>411.78459582182103</v>
      </c>
      <c r="R92" s="107">
        <f>[1]节奏总纲!R92</f>
        <v>332.60258451595797</v>
      </c>
      <c r="S92" s="107">
        <f>[1]节奏总纲!S92</f>
        <v>240.31096868925673</v>
      </c>
      <c r="T92" s="107">
        <f>[1]节奏总纲!T92</f>
        <v>130.61933231671563</v>
      </c>
      <c r="V92" s="107">
        <v>89</v>
      </c>
      <c r="W92" s="107">
        <f>[1]节奏总纲!W92</f>
        <v>31.991003259229842</v>
      </c>
      <c r="X92" s="107">
        <f>[1]节奏总纲!X92</f>
        <v>27.011217971552128</v>
      </c>
      <c r="Y92" s="107">
        <f>[1]节奏总纲!Y92</f>
        <v>19.696263832359705</v>
      </c>
      <c r="Z92" s="107">
        <f>[1]节奏总纲!Z92</f>
        <v>14.303305000506526</v>
      </c>
      <c r="AA92" s="107">
        <f>[1]节奏总纲!AA92</f>
        <v>7.4313692278061296</v>
      </c>
      <c r="AC92" s="107">
        <v>89</v>
      </c>
      <c r="AD92" s="107">
        <f>[1]节奏总纲!AD92</f>
        <v>64.915912490558512</v>
      </c>
      <c r="AE92" s="107">
        <f>[1]节奏总纲!AE92</f>
        <v>66.923300409222719</v>
      </c>
      <c r="AF92" s="107">
        <f>[1]节奏总纲!AF92</f>
        <v>69.821875489223984</v>
      </c>
      <c r="AG92" s="107">
        <f>[1]节奏总纲!AG92</f>
        <v>74.335758643278794</v>
      </c>
      <c r="AH92" s="107">
        <f>[1]节奏总纲!AH92</f>
        <v>82.967513911278544</v>
      </c>
      <c r="AZ92" s="107">
        <v>89</v>
      </c>
      <c r="BA92" s="107">
        <v>37.244854901032298</v>
      </c>
      <c r="BB92" s="107">
        <v>38.742106846662928</v>
      </c>
      <c r="BC92" s="107">
        <v>40.674035830676758</v>
      </c>
      <c r="BD92" s="107">
        <v>43.404644393455513</v>
      </c>
      <c r="BE92" s="107">
        <v>48.101914750802706</v>
      </c>
    </row>
    <row r="93" spans="6:57" x14ac:dyDescent="0.15">
      <c r="F93" s="125">
        <f>[1]节奏总纲!F93</f>
        <v>91</v>
      </c>
      <c r="G93" s="125">
        <f>[1]节奏总纲!G93</f>
        <v>547.74801281858208</v>
      </c>
      <c r="N93" s="115">
        <f>[1]节奏总纲!N93</f>
        <v>100</v>
      </c>
      <c r="O93" s="107">
        <v>90</v>
      </c>
      <c r="P93" s="107">
        <f>[1]节奏总纲!P93</f>
        <v>511</v>
      </c>
      <c r="Q93" s="107">
        <f>[1]节奏总纲!Q93</f>
        <v>438.13140000000004</v>
      </c>
      <c r="R93" s="107">
        <f>[1]节奏总纲!R93</f>
        <v>354.12299999999999</v>
      </c>
      <c r="S93" s="107">
        <f>[1]节奏总纲!S93</f>
        <v>254.88680000000002</v>
      </c>
      <c r="T93" s="107">
        <f>[1]节奏总纲!T93</f>
        <v>138.48100000000002</v>
      </c>
      <c r="V93" s="107">
        <v>90</v>
      </c>
      <c r="W93" s="107">
        <f>[1]节奏总纲!W93</f>
        <v>34.287108333154663</v>
      </c>
      <c r="X93" s="107">
        <f>[1]节奏总纲!X93</f>
        <v>26.346804178179013</v>
      </c>
      <c r="Y93" s="107">
        <f>[1]节奏总纲!Y93</f>
        <v>21.520415484042019</v>
      </c>
      <c r="Z93" s="107">
        <f>[1]节奏总纲!Z93</f>
        <v>14.575831310743297</v>
      </c>
      <c r="AA93" s="107">
        <f>[1]节奏总纲!AA93</f>
        <v>7.861667683284395</v>
      </c>
      <c r="AC93" s="107">
        <v>90</v>
      </c>
      <c r="AD93" s="107">
        <f>[1]节奏总纲!AD93</f>
        <v>65.075479910097457</v>
      </c>
      <c r="AE93" s="107">
        <f>[1]节奏总纲!AE93</f>
        <v>67.083433628014333</v>
      </c>
      <c r="AF93" s="107">
        <f>[1]节奏总纲!AF93</f>
        <v>69.982855616450394</v>
      </c>
      <c r="AG93" s="107">
        <f>[1]节奏总纲!AG93</f>
        <v>74.493385467679886</v>
      </c>
      <c r="AH93" s="107">
        <f>[1]节奏总纲!AH93</f>
        <v>83.124894550960335</v>
      </c>
      <c r="AZ93" s="107">
        <v>90</v>
      </c>
      <c r="BA93" s="107">
        <v>37.317457773889828</v>
      </c>
      <c r="BB93" s="107">
        <v>38.82039500446033</v>
      </c>
      <c r="BC93" s="107">
        <v>40.751734485509814</v>
      </c>
      <c r="BD93" s="107">
        <v>43.479537810324807</v>
      </c>
      <c r="BE93" s="107">
        <v>48.173700750441178</v>
      </c>
    </row>
    <row r="94" spans="6:57" x14ac:dyDescent="0.15">
      <c r="F94" s="125">
        <f>[1]节奏总纲!F94</f>
        <v>92</v>
      </c>
      <c r="G94" s="125">
        <f>[1]节奏总纲!G94</f>
        <v>587.1335577584814</v>
      </c>
      <c r="N94" s="115">
        <f>[1]节奏总纲!N94</f>
        <v>101</v>
      </c>
      <c r="O94" s="107">
        <v>91</v>
      </c>
      <c r="P94" s="107">
        <f>[1]节奏总纲!P94</f>
        <v>547.74801281858208</v>
      </c>
      <c r="Q94" s="107">
        <f>[1]节奏总纲!Q94</f>
        <v>469.6391461906523</v>
      </c>
      <c r="R94" s="107">
        <f>[1]节奏总纲!R94</f>
        <v>378.43910205635837</v>
      </c>
      <c r="S94" s="107">
        <f>[1]节奏总纲!S94</f>
        <v>272.61418597980827</v>
      </c>
      <c r="T94" s="107">
        <f>[1]节奏总纲!T94</f>
        <v>147.89196346101718</v>
      </c>
      <c r="V94" s="107">
        <v>91</v>
      </c>
      <c r="W94" s="107">
        <f>[1]节奏总纲!W94</f>
        <v>36.748012818582083</v>
      </c>
      <c r="X94" s="107">
        <f>[1]节奏总纲!X94</f>
        <v>31.507746190652256</v>
      </c>
      <c r="Y94" s="107">
        <f>[1]节奏总纲!Y94</f>
        <v>24.316102056358375</v>
      </c>
      <c r="Z94" s="107">
        <f>[1]节奏总纲!Z94</f>
        <v>17.727385979808247</v>
      </c>
      <c r="AA94" s="107">
        <f>[1]节奏总纲!AA94</f>
        <v>9.4109634610171611</v>
      </c>
      <c r="AC94" s="107">
        <v>91</v>
      </c>
      <c r="AD94" s="107">
        <f>[1]节奏总纲!AD94</f>
        <v>65.229416240679981</v>
      </c>
      <c r="AE94" s="107">
        <f>[1]节奏总纲!AE94</f>
        <v>67.240606973055961</v>
      </c>
      <c r="AF94" s="107">
        <f>[1]节奏总纲!AF94</f>
        <v>70.137942795989005</v>
      </c>
      <c r="AG94" s="107">
        <f>[1]节奏总纲!AG94</f>
        <v>74.651012292080978</v>
      </c>
      <c r="AH94" s="107">
        <f>[1]节奏总纲!AH94</f>
        <v>83.279794092850153</v>
      </c>
      <c r="AZ94" s="107">
        <v>91</v>
      </c>
      <c r="BA94" s="107">
        <v>37.390060646747358</v>
      </c>
      <c r="BB94" s="107">
        <v>38.898683162257733</v>
      </c>
      <c r="BC94" s="107">
        <v>40.829433140342871</v>
      </c>
      <c r="BD94" s="107">
        <v>43.554431227194108</v>
      </c>
      <c r="BE94" s="107">
        <v>48.24548675007965</v>
      </c>
    </row>
    <row r="95" spans="6:57" x14ac:dyDescent="0.15">
      <c r="F95" s="125">
        <f>[1]节奏总纲!F95</f>
        <v>93</v>
      </c>
      <c r="G95" s="125">
        <f>[1]节奏总纲!G95</f>
        <v>629.34593963259704</v>
      </c>
      <c r="N95" s="115">
        <f>[1]节奏总纲!N95</f>
        <v>102</v>
      </c>
      <c r="O95" s="107">
        <v>92</v>
      </c>
      <c r="P95" s="107">
        <f>[1]节奏总纲!P95</f>
        <v>587.1335577584814</v>
      </c>
      <c r="Q95" s="107">
        <f>[1]节奏总纲!Q95</f>
        <v>502.29275866238083</v>
      </c>
      <c r="R95" s="107">
        <f>[1]节奏总纲!R95</f>
        <v>405.12215485335213</v>
      </c>
      <c r="S95" s="107">
        <f>[1]节奏总纲!S95</f>
        <v>291.57052478286187</v>
      </c>
      <c r="T95" s="107">
        <f>[1]节奏总纲!T95</f>
        <v>157.64536025815227</v>
      </c>
      <c r="V95" s="107">
        <v>92</v>
      </c>
      <c r="W95" s="107">
        <f>[1]节奏总纲!W95</f>
        <v>39.385544939899319</v>
      </c>
      <c r="X95" s="107">
        <f>[1]节奏总纲!X95</f>
        <v>32.653612471728536</v>
      </c>
      <c r="Y95" s="107">
        <f>[1]节奏总纲!Y95</f>
        <v>26.683052796993763</v>
      </c>
      <c r="Z95" s="107">
        <f>[1]节奏总纲!Z95</f>
        <v>18.956338803053598</v>
      </c>
      <c r="AA95" s="107">
        <f>[1]节奏总纲!AA95</f>
        <v>9.7533967971350819</v>
      </c>
      <c r="AC95" s="107">
        <v>92</v>
      </c>
      <c r="AD95" s="107">
        <f>[1]节奏总纲!AD95</f>
        <v>65.38335257126252</v>
      </c>
      <c r="AE95" s="107">
        <f>[1]节奏总纲!AE95</f>
        <v>67.397780318097588</v>
      </c>
      <c r="AF95" s="107">
        <f>[1]节奏总纲!AF95</f>
        <v>70.292327570459079</v>
      </c>
      <c r="AG95" s="107">
        <f>[1]节奏总纲!AG95</f>
        <v>74.808639116482055</v>
      </c>
      <c r="AH95" s="107">
        <f>[1]节奏总纲!AH95</f>
        <v>83.434693634739986</v>
      </c>
      <c r="AZ95" s="107">
        <v>92</v>
      </c>
      <c r="BA95" s="107">
        <v>37.462663519604888</v>
      </c>
      <c r="BB95" s="107">
        <v>38.976971320055128</v>
      </c>
      <c r="BC95" s="107">
        <v>40.907131795175928</v>
      </c>
      <c r="BD95" s="107">
        <v>43.629324644063402</v>
      </c>
      <c r="BE95" s="107">
        <v>48.317272749718121</v>
      </c>
    </row>
    <row r="96" spans="6:57" x14ac:dyDescent="0.15">
      <c r="F96" s="125">
        <f>[1]节奏总纲!F96</f>
        <v>94</v>
      </c>
      <c r="G96" s="125">
        <f>[1]节奏总纲!G96</f>
        <v>674.58805031572183</v>
      </c>
      <c r="N96" s="115">
        <f>[1]节奏总纲!N96</f>
        <v>103</v>
      </c>
      <c r="O96" s="107">
        <v>93</v>
      </c>
      <c r="P96" s="107">
        <f>[1]节奏总纲!P96</f>
        <v>629.34593963259704</v>
      </c>
      <c r="Q96" s="107">
        <f>[1]节奏总纲!Q96</f>
        <v>538.34251676172357</v>
      </c>
      <c r="R96" s="107">
        <f>[1]节奏总纲!R96</f>
        <v>433.68228700082267</v>
      </c>
      <c r="S96" s="107">
        <f>[1]节奏总纲!S96</f>
        <v>311.52624011813555</v>
      </c>
      <c r="T96" s="107">
        <f>[1]节奏总纲!T96</f>
        <v>168.35003885171972</v>
      </c>
      <c r="V96" s="107">
        <v>93</v>
      </c>
      <c r="W96" s="107">
        <f>[1]节奏总纲!W96</f>
        <v>42.212381874115636</v>
      </c>
      <c r="X96" s="107">
        <f>[1]节奏总纲!X96</f>
        <v>36.049758099342739</v>
      </c>
      <c r="Y96" s="107">
        <f>[1]节奏总纲!Y96</f>
        <v>28.56013214747054</v>
      </c>
      <c r="Z96" s="107">
        <f>[1]节奏总纲!Z96</f>
        <v>19.95571533527368</v>
      </c>
      <c r="AA96" s="107">
        <f>[1]节奏总纲!AA96</f>
        <v>10.704678593567451</v>
      </c>
      <c r="AC96" s="107">
        <v>93</v>
      </c>
      <c r="AD96" s="107">
        <f>[1]节奏总纲!AD96</f>
        <v>65.537288901845059</v>
      </c>
      <c r="AE96" s="107">
        <f>[1]节奏总纲!AE96</f>
        <v>67.554953663139216</v>
      </c>
      <c r="AF96" s="107">
        <f>[1]节奏总纲!AF96</f>
        <v>70.446712344929153</v>
      </c>
      <c r="AG96" s="107">
        <f>[1]节奏总纲!AG96</f>
        <v>74.966265940883147</v>
      </c>
      <c r="AH96" s="107">
        <f>[1]节奏总纲!AH96</f>
        <v>83.589593176629805</v>
      </c>
      <c r="AZ96" s="107">
        <v>93</v>
      </c>
      <c r="BA96" s="107">
        <v>37.535266392462418</v>
      </c>
      <c r="BB96" s="107">
        <v>39.047673544184711</v>
      </c>
      <c r="BC96" s="107">
        <v>40.984830450008985</v>
      </c>
      <c r="BD96" s="107">
        <v>43.704218060932696</v>
      </c>
      <c r="BE96" s="107">
        <v>48.389058749356593</v>
      </c>
    </row>
    <row r="97" spans="6:57" x14ac:dyDescent="0.15">
      <c r="F97" s="125">
        <f>[1]节奏总纲!F97</f>
        <v>95</v>
      </c>
      <c r="G97" s="125">
        <f>[1]节奏总纲!G97</f>
        <v>723.0773439350246</v>
      </c>
      <c r="N97" s="115">
        <f>[1]节奏总纲!N97</f>
        <v>104</v>
      </c>
      <c r="O97" s="107">
        <v>94</v>
      </c>
      <c r="P97" s="107">
        <f>[1]节奏总纲!P97</f>
        <v>674.58805031572183</v>
      </c>
      <c r="Q97" s="107">
        <f>[1]节奏总纲!Q97</f>
        <v>576.30057138472114</v>
      </c>
      <c r="R97" s="107">
        <f>[1]节奏总纲!R97</f>
        <v>464.04911981218504</v>
      </c>
      <c r="S97" s="107">
        <f>[1]节奏总纲!S97</f>
        <v>332.70682641571403</v>
      </c>
      <c r="T97" s="107">
        <f>[1]节奏总纲!T97</f>
        <v>179.6427977990767</v>
      </c>
      <c r="V97" s="107">
        <v>94</v>
      </c>
      <c r="W97" s="107">
        <f>[1]节奏总纲!W97</f>
        <v>45.242110683124793</v>
      </c>
      <c r="X97" s="107">
        <f>[1]节奏总纲!X97</f>
        <v>37.958054622997565</v>
      </c>
      <c r="Y97" s="107">
        <f>[1]节奏总纲!Y97</f>
        <v>30.366832811362372</v>
      </c>
      <c r="Z97" s="107">
        <f>[1]节奏总纲!Z97</f>
        <v>21.180586297578486</v>
      </c>
      <c r="AA97" s="107">
        <f>[1]节奏总纲!AA97</f>
        <v>11.292758947356987</v>
      </c>
      <c r="AC97" s="107">
        <v>94</v>
      </c>
      <c r="AD97" s="107">
        <f>[1]节奏总纲!AD97</f>
        <v>65.691225232427584</v>
      </c>
      <c r="AE97" s="107">
        <f>[1]节奏总纲!AE97</f>
        <v>67.712127008180858</v>
      </c>
      <c r="AF97" s="107">
        <f>[1]节奏总纲!AF97</f>
        <v>70.601097119399213</v>
      </c>
      <c r="AG97" s="107">
        <f>[1]节奏总纲!AG97</f>
        <v>75.115180559621535</v>
      </c>
      <c r="AH97" s="107">
        <f>[1]节奏总纲!AH97</f>
        <v>83.744492718519624</v>
      </c>
      <c r="AZ97" s="107">
        <v>94</v>
      </c>
      <c r="BA97" s="107">
        <v>37.607869265319941</v>
      </c>
      <c r="BB97" s="107">
        <v>39.115214427575864</v>
      </c>
      <c r="BC97" s="107">
        <v>41.053954370816207</v>
      </c>
      <c r="BD97" s="107">
        <v>43.77911147780199</v>
      </c>
      <c r="BE97" s="107">
        <v>48.460844748995065</v>
      </c>
    </row>
    <row r="98" spans="6:57" x14ac:dyDescent="0.15">
      <c r="F98" s="125">
        <f>[1]节奏总纲!F98</f>
        <v>96</v>
      </c>
      <c r="G98" s="125">
        <f>[1]节奏总纲!G98</f>
        <v>775.04688205332377</v>
      </c>
      <c r="N98" s="115">
        <f>[1]节奏总纲!N98</f>
        <v>105</v>
      </c>
      <c r="O98" s="107">
        <v>95</v>
      </c>
      <c r="P98" s="107">
        <f>[1]节奏总纲!P98</f>
        <v>723.0773439350246</v>
      </c>
      <c r="Q98" s="107">
        <f>[1]节奏总纲!Q98</f>
        <v>618.15882133005255</v>
      </c>
      <c r="R98" s="107">
        <f>[1]节奏总纲!R98</f>
        <v>495.95875020503337</v>
      </c>
      <c r="S98" s="107">
        <f>[1]节奏总纲!S98</f>
        <v>355.39251454406457</v>
      </c>
      <c r="T98" s="107">
        <f>[1]节奏总纲!T98</f>
        <v>192.84472762747106</v>
      </c>
      <c r="V98" s="107">
        <v>95</v>
      </c>
      <c r="W98" s="107">
        <f>[1]节奏总纲!W98</f>
        <v>48.489293619302771</v>
      </c>
      <c r="X98" s="107">
        <f>[1]节奏总纲!X98</f>
        <v>41.858249945331409</v>
      </c>
      <c r="Y98" s="107">
        <f>[1]节奏总纲!Y98</f>
        <v>31.909630392848328</v>
      </c>
      <c r="Z98" s="107">
        <f>[1]节奏总纲!Z98</f>
        <v>22.685688128350534</v>
      </c>
      <c r="AA98" s="107">
        <f>[1]节奏总纲!AA98</f>
        <v>13.201929828394356</v>
      </c>
      <c r="AC98" s="107">
        <v>95</v>
      </c>
      <c r="AD98" s="107">
        <f>[1]节奏总纲!AD98</f>
        <v>65.845161563010123</v>
      </c>
      <c r="AE98" s="107">
        <f>[1]节奏总纲!AE98</f>
        <v>67.869300353222485</v>
      </c>
      <c r="AF98" s="107">
        <f>[1]节奏总纲!AF98</f>
        <v>70.755481893869288</v>
      </c>
      <c r="AG98" s="107">
        <f>[1]节奏总纲!AG98</f>
        <v>75.261722981240993</v>
      </c>
      <c r="AH98" s="107">
        <f>[1]节奏总纲!AH98</f>
        <v>83.899392260409456</v>
      </c>
      <c r="AZ98" s="107">
        <v>95</v>
      </c>
      <c r="BA98" s="107">
        <v>37.680472138177471</v>
      </c>
      <c r="BB98" s="107">
        <v>39.182755310967018</v>
      </c>
      <c r="BC98" s="107">
        <v>41.120998062635785</v>
      </c>
      <c r="BD98" s="107">
        <v>43.854004894671284</v>
      </c>
      <c r="BE98" s="107">
        <v>48.532630748633537</v>
      </c>
    </row>
    <row r="99" spans="6:57" x14ac:dyDescent="0.15">
      <c r="F99" s="125">
        <f>[1]节奏总纲!F99</f>
        <v>97</v>
      </c>
      <c r="G99" s="125">
        <f>[1]节奏总纲!G99</f>
        <v>830.74645386878444</v>
      </c>
      <c r="N99" s="115">
        <f>[1]节奏总纲!N99</f>
        <v>106</v>
      </c>
      <c r="O99" s="107">
        <v>96</v>
      </c>
      <c r="P99" s="107">
        <f>[1]节奏总纲!P99</f>
        <v>775.04688205332377</v>
      </c>
      <c r="Q99" s="107">
        <f>[1]节奏总纲!Q99</f>
        <v>661.0374857032798</v>
      </c>
      <c r="R99" s="107">
        <f>[1]节奏总纲!R99</f>
        <v>529.97705794806279</v>
      </c>
      <c r="S99" s="107">
        <f>[1]节奏总纲!S99</f>
        <v>380.70302846459265</v>
      </c>
      <c r="T99" s="107">
        <f>[1]节奏总纲!T99</f>
        <v>206.86001282003213</v>
      </c>
      <c r="V99" s="107">
        <v>96</v>
      </c>
      <c r="W99" s="107">
        <f>[1]节奏总纲!W99</f>
        <v>51.96953811829917</v>
      </c>
      <c r="X99" s="107">
        <f>[1]节奏总纲!X99</f>
        <v>42.878664373227252</v>
      </c>
      <c r="Y99" s="107">
        <f>[1]节奏总纲!Y99</f>
        <v>34.018307743029425</v>
      </c>
      <c r="Z99" s="107">
        <f>[1]节奏总纲!Z99</f>
        <v>25.310513920528081</v>
      </c>
      <c r="AA99" s="107">
        <f>[1]节奏总纲!AA99</f>
        <v>14.015285192561066</v>
      </c>
      <c r="AC99" s="107">
        <v>96</v>
      </c>
      <c r="AD99" s="107">
        <f>[1]节奏总纲!AD99</f>
        <v>65.999097893592648</v>
      </c>
      <c r="AE99" s="107">
        <f>[1]节奏总纲!AE99</f>
        <v>68.025215371037646</v>
      </c>
      <c r="AF99" s="107">
        <f>[1]节奏总纲!AF99</f>
        <v>70.909866668339362</v>
      </c>
      <c r="AG99" s="107">
        <f>[1]节奏总纲!AG99</f>
        <v>75.408265402860437</v>
      </c>
      <c r="AH99" s="107">
        <f>[1]节奏总纲!AH99</f>
        <v>84.050903767166133</v>
      </c>
      <c r="AZ99" s="107">
        <v>96</v>
      </c>
      <c r="BA99" s="107">
        <v>37.753075011035001</v>
      </c>
      <c r="BB99" s="107">
        <v>39.250296194358178</v>
      </c>
      <c r="BC99" s="107">
        <v>41.188041754455355</v>
      </c>
      <c r="BD99" s="107">
        <v>43.928898311540578</v>
      </c>
      <c r="BE99" s="107">
        <v>48.604416748272008</v>
      </c>
    </row>
    <row r="100" spans="6:57" x14ac:dyDescent="0.15">
      <c r="F100" s="125">
        <f>[1]节奏总纲!F100</f>
        <v>98</v>
      </c>
      <c r="G100" s="125">
        <f>[1]节奏总纲!G100</f>
        <v>890.4437768152311</v>
      </c>
      <c r="N100" s="115">
        <f>[1]节奏总纲!N100</f>
        <v>107</v>
      </c>
      <c r="O100" s="107">
        <v>97</v>
      </c>
      <c r="P100" s="107">
        <f>[1]节奏总纲!P100</f>
        <v>830.74645386878444</v>
      </c>
      <c r="Q100" s="107">
        <f>[1]节奏总纲!Q100</f>
        <v>707.71290405081743</v>
      </c>
      <c r="R100" s="107">
        <f>[1]节奏总纲!R100</f>
        <v>569.31054483627804</v>
      </c>
      <c r="S100" s="107">
        <f>[1]节奏总纲!S100</f>
        <v>409.80722569347137</v>
      </c>
      <c r="T100" s="107">
        <f>[1]节奏总纲!T100</f>
        <v>223.30464679992923</v>
      </c>
      <c r="V100" s="107">
        <v>97</v>
      </c>
      <c r="W100" s="107">
        <f>[1]节奏总纲!W100</f>
        <v>55.699571815460672</v>
      </c>
      <c r="X100" s="107">
        <f>[1]节奏总纲!X100</f>
        <v>46.675418347537629</v>
      </c>
      <c r="Y100" s="107">
        <f>[1]节奏总纲!Y100</f>
        <v>39.333486888215248</v>
      </c>
      <c r="Z100" s="107">
        <f>[1]节奏总纲!Z100</f>
        <v>29.104197228878718</v>
      </c>
      <c r="AA100" s="107">
        <f>[1]节奏总纲!AA100</f>
        <v>16.444633979897105</v>
      </c>
      <c r="AC100" s="107">
        <v>97</v>
      </c>
      <c r="AD100" s="107">
        <f>[1]节奏总纲!AD100</f>
        <v>66.142785979989682</v>
      </c>
      <c r="AE100" s="107">
        <f>[1]节奏总纲!AE100</f>
        <v>68.174918074940805</v>
      </c>
      <c r="AF100" s="107">
        <f>[1]节奏总纲!AF100</f>
        <v>71.061795050376986</v>
      </c>
      <c r="AG100" s="107">
        <f>[1]节奏总纲!AG100</f>
        <v>75.554807824479894</v>
      </c>
      <c r="AH100" s="107">
        <f>[1]节奏总纲!AH100</f>
        <v>84.196136930932482</v>
      </c>
      <c r="AZ100" s="107">
        <v>97</v>
      </c>
      <c r="BA100" s="107">
        <v>37.825677883892531</v>
      </c>
      <c r="BB100" s="107">
        <v>39.317837077749331</v>
      </c>
      <c r="BC100" s="107">
        <v>41.255085446274933</v>
      </c>
      <c r="BD100" s="107">
        <v>44.003272544984547</v>
      </c>
      <c r="BE100" s="107">
        <v>48.67620274791048</v>
      </c>
    </row>
    <row r="101" spans="6:57" x14ac:dyDescent="0.15">
      <c r="F101" s="125">
        <f>[1]节奏总纲!F101</f>
        <v>99</v>
      </c>
      <c r="G101" s="125">
        <f>[1]节奏总纲!G101</f>
        <v>954.42578333369079</v>
      </c>
      <c r="N101" s="115">
        <f>[1]节奏总纲!N101</f>
        <v>108</v>
      </c>
      <c r="O101" s="107">
        <v>98</v>
      </c>
      <c r="P101" s="107">
        <f>[1]节奏总纲!P101</f>
        <v>890.4437768152311</v>
      </c>
      <c r="Q101" s="107">
        <f>[1]节奏总纲!Q101</f>
        <v>760.34994102252585</v>
      </c>
      <c r="R101" s="107">
        <f>[1]节奏总纲!R101</f>
        <v>612.98149595960513</v>
      </c>
      <c r="S101" s="107">
        <f>[1]节奏总纲!S101</f>
        <v>441.9272464333992</v>
      </c>
      <c r="T101" s="107">
        <f>[1]节奏总纲!T101</f>
        <v>240.77599725083846</v>
      </c>
      <c r="V101" s="107">
        <v>98</v>
      </c>
      <c r="W101" s="107">
        <f>[1]节奏总纲!W101</f>
        <v>59.697322946446661</v>
      </c>
      <c r="X101" s="107">
        <f>[1]节奏总纲!X101</f>
        <v>52.637036971708426</v>
      </c>
      <c r="Y101" s="107">
        <f>[1]节奏总纲!Y101</f>
        <v>43.670951123327086</v>
      </c>
      <c r="Z101" s="107">
        <f>[1]节奏总纲!Z101</f>
        <v>32.120020739927838</v>
      </c>
      <c r="AA101" s="107">
        <f>[1]节奏总纲!AA101</f>
        <v>17.471350450909227</v>
      </c>
      <c r="AC101" s="107">
        <v>98</v>
      </c>
      <c r="AD101" s="107">
        <f>[1]节奏总纲!AD101</f>
        <v>66.286413655019302</v>
      </c>
      <c r="AE101" s="107">
        <f>[1]节奏总纲!AE101</f>
        <v>68.324620778843951</v>
      </c>
      <c r="AF101" s="107">
        <f>[1]节奏总纲!AF101</f>
        <v>71.210277551293188</v>
      </c>
      <c r="AG101" s="107">
        <f>[1]节奏总纲!AG101</f>
        <v>75.701350246099338</v>
      </c>
      <c r="AH101" s="107">
        <f>[1]节奏总纲!AH101</f>
        <v>84.341370094698831</v>
      </c>
      <c r="AZ101" s="107">
        <v>98</v>
      </c>
      <c r="BA101" s="107">
        <v>37.898280756750061</v>
      </c>
      <c r="BB101" s="107">
        <v>39.385377961140485</v>
      </c>
      <c r="BC101" s="107">
        <v>41.322129138094503</v>
      </c>
      <c r="BD101" s="107">
        <v>44.067911160744309</v>
      </c>
      <c r="BE101" s="107">
        <v>48.747988747548945</v>
      </c>
    </row>
    <row r="102" spans="6:57" x14ac:dyDescent="0.15">
      <c r="F102" s="125">
        <f>[1]节奏总纲!F102</f>
        <v>100</v>
      </c>
      <c r="G102" s="125">
        <f>[1]节奏总纲!G102</f>
        <v>1023</v>
      </c>
      <c r="N102" s="115">
        <f>[1]节奏总纲!N102</f>
        <v>109</v>
      </c>
      <c r="O102" s="107">
        <v>99</v>
      </c>
      <c r="P102" s="107">
        <f>[1]节奏总纲!P102</f>
        <v>954.42578333369079</v>
      </c>
      <c r="Q102" s="107">
        <f>[1]节奏总纲!Q102</f>
        <v>816.51125764197252</v>
      </c>
      <c r="R102" s="107">
        <f>[1]节奏总纲!R102</f>
        <v>658.6492330785801</v>
      </c>
      <c r="S102" s="107">
        <f>[1]节奏总纲!S102</f>
        <v>475.39948267851139</v>
      </c>
      <c r="T102" s="107">
        <f>[1]节奏总纲!T102</f>
        <v>257.59951892176309</v>
      </c>
      <c r="V102" s="107">
        <v>99</v>
      </c>
      <c r="W102" s="107">
        <f>[1]节奏总纲!W102</f>
        <v>63.982006518459684</v>
      </c>
      <c r="X102" s="107">
        <f>[1]节奏总纲!X102</f>
        <v>56.161316619446666</v>
      </c>
      <c r="Y102" s="107">
        <f>[1]节奏总纲!Y102</f>
        <v>45.667737118974969</v>
      </c>
      <c r="Z102" s="107">
        <f>[1]节奏总纲!Z102</f>
        <v>33.472236245112185</v>
      </c>
      <c r="AA102" s="107">
        <f>[1]节奏总纲!AA102</f>
        <v>16.823521670924634</v>
      </c>
      <c r="AC102" s="107">
        <v>99</v>
      </c>
      <c r="AD102" s="107">
        <f>[1]节奏总纲!AD102</f>
        <v>66.430041330048923</v>
      </c>
      <c r="AE102" s="107">
        <f>[1]节奏总纲!AE102</f>
        <v>68.474323482747096</v>
      </c>
      <c r="AF102" s="107">
        <f>[1]节奏总纲!AF102</f>
        <v>71.358760052209377</v>
      </c>
      <c r="AG102" s="107">
        <f>[1]节奏总纲!AG102</f>
        <v>75.847892667718796</v>
      </c>
      <c r="AH102" s="107">
        <f>[1]节奏总纲!AH102</f>
        <v>84.48660325846518</v>
      </c>
      <c r="AZ102" s="107">
        <v>99</v>
      </c>
      <c r="BA102" s="107">
        <v>37.970883629607592</v>
      </c>
      <c r="BB102" s="107">
        <v>39.452918844531645</v>
      </c>
      <c r="BC102" s="107">
        <v>41.389172829914081</v>
      </c>
      <c r="BD102" s="107">
        <v>44.132549776504064</v>
      </c>
      <c r="BE102" s="107">
        <v>48.819774747187417</v>
      </c>
    </row>
    <row r="103" spans="6:57" x14ac:dyDescent="0.15">
      <c r="F103" s="125">
        <f>[1]节奏总纲!F103</f>
        <v>101</v>
      </c>
      <c r="G103" s="125">
        <f>[1]节奏总纲!G103</f>
        <v>1096.4960256371633</v>
      </c>
      <c r="N103" s="115">
        <f>[1]节奏总纲!N103</f>
        <v>110</v>
      </c>
      <c r="O103" s="107">
        <v>100</v>
      </c>
      <c r="P103" s="107">
        <f>[1]节奏总纲!P103</f>
        <v>1023</v>
      </c>
      <c r="Q103" s="107">
        <f>[1]节奏总纲!Q103</f>
        <v>875.38110000000006</v>
      </c>
      <c r="R103" s="107">
        <f>[1]节奏总纲!R103</f>
        <v>706.6884</v>
      </c>
      <c r="S103" s="107">
        <f>[1]节奏总纲!S103</f>
        <v>508.22640000000001</v>
      </c>
      <c r="T103" s="107">
        <f>[1]节奏总纲!T103</f>
        <v>274.77780000000001</v>
      </c>
      <c r="V103" s="107">
        <v>100</v>
      </c>
      <c r="W103" s="107">
        <f>[1]节奏总纲!W103</f>
        <v>68.574216666309212</v>
      </c>
      <c r="X103" s="107">
        <f>[1]节奏总纲!X103</f>
        <v>58.86984235802754</v>
      </c>
      <c r="Y103" s="107">
        <f>[1]节奏总纲!Y103</f>
        <v>48.039166921419906</v>
      </c>
      <c r="Z103" s="107">
        <f>[1]节奏总纲!Z103</f>
        <v>32.826917321488622</v>
      </c>
      <c r="AA103" s="107">
        <f>[1]节奏总纲!AA103</f>
        <v>17.178281078236921</v>
      </c>
      <c r="AC103" s="107">
        <v>100</v>
      </c>
      <c r="AD103" s="107">
        <f>[1]节奏总纲!AD103</f>
        <v>66.573669005078543</v>
      </c>
      <c r="AE103" s="107">
        <f>[1]节奏总纲!AE103</f>
        <v>68.624026186650241</v>
      </c>
      <c r="AF103" s="107">
        <f>[1]节奏总纲!AF103</f>
        <v>71.507242553125565</v>
      </c>
      <c r="AG103" s="107">
        <f>[1]节奏总纲!AG103</f>
        <v>75.994435089338239</v>
      </c>
      <c r="AH103" s="107">
        <f>[1]节奏总纲!AH103</f>
        <v>84.63183642223153</v>
      </c>
      <c r="AZ103" s="107">
        <v>100</v>
      </c>
      <c r="BA103" s="107">
        <v>38.037513426486328</v>
      </c>
      <c r="BB103" s="107">
        <v>39.520459727922798</v>
      </c>
      <c r="BC103" s="107">
        <v>41.456216521733651</v>
      </c>
      <c r="BD103" s="107">
        <v>44.197188392263818</v>
      </c>
      <c r="BE103" s="107">
        <v>48.891560746825888</v>
      </c>
    </row>
    <row r="104" spans="6:57" x14ac:dyDescent="0.15">
      <c r="F104" s="125">
        <f>[1]节奏总纲!F104</f>
        <v>102</v>
      </c>
      <c r="G104" s="125">
        <f>[1]节奏总纲!G104</f>
        <v>1175.2671155169628</v>
      </c>
      <c r="N104" s="115">
        <f>[1]节奏总纲!N104</f>
        <v>111</v>
      </c>
      <c r="O104" s="107">
        <v>101</v>
      </c>
      <c r="P104" s="107">
        <f>[1]节奏总纲!P104</f>
        <v>1096.4960256371633</v>
      </c>
      <c r="Q104" s="107">
        <f>[1]节奏总纲!Q104</f>
        <v>939.14884595823037</v>
      </c>
      <c r="R104" s="107">
        <f>[1]节奏总纲!R104</f>
        <v>756.25330888195151</v>
      </c>
      <c r="S104" s="107">
        <f>[1]节奏总纲!S104</f>
        <v>541.99798547244984</v>
      </c>
      <c r="T104" s="107">
        <f>[1]节奏总纲!T104</f>
        <v>293.42233646050488</v>
      </c>
      <c r="V104" s="107">
        <v>101</v>
      </c>
      <c r="W104" s="107">
        <f>[1]节奏总纲!W104</f>
        <v>73.496025637163257</v>
      </c>
      <c r="X104" s="107">
        <f>[1]节奏总纲!X104</f>
        <v>63.767745958230307</v>
      </c>
      <c r="Y104" s="107">
        <f>[1]节奏总纲!Y104</f>
        <v>49.56490888195151</v>
      </c>
      <c r="Z104" s="107">
        <f>[1]节奏总纲!Z104</f>
        <v>33.771585472449829</v>
      </c>
      <c r="AA104" s="107">
        <f>[1]节奏总纲!AA104</f>
        <v>18.644536460504867</v>
      </c>
      <c r="AC104" s="107">
        <v>101</v>
      </c>
      <c r="AD104" s="107">
        <f>[1]节奏总纲!AD104</f>
        <v>66.717296680108163</v>
      </c>
      <c r="AE104" s="107">
        <f>[1]节奏总纲!AE104</f>
        <v>68.773728890553386</v>
      </c>
      <c r="AF104" s="107">
        <f>[1]节奏总纲!AF104</f>
        <v>71.655725054041767</v>
      </c>
      <c r="AG104" s="107">
        <f>[1]节奏总纲!AG104</f>
        <v>76.130305911210229</v>
      </c>
      <c r="AH104" s="107">
        <f>[1]节奏总纲!AH104</f>
        <v>84.777069585997879</v>
      </c>
      <c r="AZ104" s="107">
        <v>101</v>
      </c>
      <c r="BA104" s="107">
        <v>38.100143952724252</v>
      </c>
      <c r="BB104" s="107">
        <v>39.588000611313952</v>
      </c>
      <c r="BC104" s="107">
        <v>41.523260213553229</v>
      </c>
      <c r="BD104" s="107">
        <v>44.261827008023573</v>
      </c>
      <c r="BE104" s="107">
        <v>48.96334674646436</v>
      </c>
    </row>
    <row r="105" spans="6:57" x14ac:dyDescent="0.15">
      <c r="F105" s="125">
        <f>[1]节奏总纲!F105</f>
        <v>103</v>
      </c>
      <c r="G105" s="125">
        <f>[1]节奏总纲!G105</f>
        <v>1259.6918792651943</v>
      </c>
      <c r="N105" s="115">
        <f>[1]节奏总纲!N105</f>
        <v>112</v>
      </c>
      <c r="O105" s="107">
        <v>102</v>
      </c>
      <c r="P105" s="107">
        <f>[1]节奏总纲!P105</f>
        <v>1175.2671155169628</v>
      </c>
      <c r="Q105" s="107">
        <f>[1]节奏总纲!Q105</f>
        <v>1004.2657502092447</v>
      </c>
      <c r="R105" s="107">
        <f>[1]节奏总纲!R105</f>
        <v>806.23324124463659</v>
      </c>
      <c r="S105" s="107">
        <f>[1]节奏总纲!S105</f>
        <v>577.99636741124232</v>
      </c>
      <c r="T105" s="107">
        <f>[1]节奏总纲!T105</f>
        <v>313.56126641992563</v>
      </c>
      <c r="V105" s="107">
        <v>102</v>
      </c>
      <c r="W105" s="107">
        <f>[1]节奏总纲!W105</f>
        <v>78.771089879799547</v>
      </c>
      <c r="X105" s="107">
        <f>[1]节奏总纲!X105</f>
        <v>65.116904251014375</v>
      </c>
      <c r="Y105" s="107">
        <f>[1]节奏总纲!Y105</f>
        <v>49.979932362685076</v>
      </c>
      <c r="Z105" s="107">
        <f>[1]节奏总纲!Z105</f>
        <v>35.998381938792477</v>
      </c>
      <c r="AA105" s="107">
        <f>[1]节奏总纲!AA105</f>
        <v>20.13892995942075</v>
      </c>
      <c r="AC105" s="107">
        <v>102</v>
      </c>
      <c r="AD105" s="107">
        <f>[1]节奏总纲!AD105</f>
        <v>66.860924355137783</v>
      </c>
      <c r="AE105" s="107">
        <f>[1]节奏总纲!AE105</f>
        <v>68.923431594456531</v>
      </c>
      <c r="AF105" s="107">
        <f>[1]节奏总纲!AF105</f>
        <v>71.804207554957955</v>
      </c>
      <c r="AG105" s="107">
        <f>[1]节奏总纲!AG105</f>
        <v>76.265755485049056</v>
      </c>
      <c r="AH105" s="107">
        <f>[1]节奏总纲!AH105</f>
        <v>84.922302749764228</v>
      </c>
      <c r="AZ105" s="107">
        <v>102</v>
      </c>
      <c r="BA105" s="107">
        <v>38.16277447896217</v>
      </c>
      <c r="BB105" s="107">
        <v>39.655541494705105</v>
      </c>
      <c r="BC105" s="107">
        <v>41.590303905372799</v>
      </c>
      <c r="BD105" s="107">
        <v>44.326465623783335</v>
      </c>
      <c r="BE105" s="107">
        <v>49.030333272797542</v>
      </c>
    </row>
    <row r="106" spans="6:57" x14ac:dyDescent="0.15">
      <c r="F106" s="125">
        <f>[1]节奏总纲!F106</f>
        <v>104</v>
      </c>
      <c r="G106" s="125">
        <f>[1]节奏总纲!G106</f>
        <v>1350.1761006314437</v>
      </c>
      <c r="N106" s="115">
        <f>[1]节奏总纲!N106</f>
        <v>113</v>
      </c>
      <c r="O106" s="107">
        <v>103</v>
      </c>
      <c r="P106" s="107">
        <f>[1]节奏总纲!P106</f>
        <v>1259.6918792651943</v>
      </c>
      <c r="Q106" s="107">
        <f>[1]节奏总纲!Q106</f>
        <v>1073.383450321872</v>
      </c>
      <c r="R106" s="107">
        <f>[1]节奏总纲!R106</f>
        <v>861.50327622946634</v>
      </c>
      <c r="S106" s="107">
        <f>[1]节奏总纲!S106</f>
        <v>619.01258947091651</v>
      </c>
      <c r="T106" s="107">
        <f>[1]节奏总纲!T106</f>
        <v>335.8338550121008</v>
      </c>
      <c r="V106" s="107">
        <v>103</v>
      </c>
      <c r="W106" s="107">
        <f>[1]节奏总纲!W106</f>
        <v>84.424763748231499</v>
      </c>
      <c r="X106" s="107">
        <f>[1]节奏总纲!X106</f>
        <v>69.11770011262729</v>
      </c>
      <c r="Y106" s="107">
        <f>[1]节奏总纲!Y106</f>
        <v>55.270034984829749</v>
      </c>
      <c r="Z106" s="107">
        <f>[1]节奏总纲!Z106</f>
        <v>41.016222059674192</v>
      </c>
      <c r="AA106" s="107">
        <f>[1]节奏总纲!AA106</f>
        <v>22.272588592175168</v>
      </c>
      <c r="AC106" s="107">
        <v>103</v>
      </c>
      <c r="AD106" s="107">
        <f>[1]节奏总纲!AD106</f>
        <v>67.004247194324648</v>
      </c>
      <c r="AE106" s="107">
        <f>[1]节奏总纲!AE106</f>
        <v>69.0655056802525</v>
      </c>
      <c r="AF106" s="107">
        <f>[1]节奏总纲!AF106</f>
        <v>71.952690055874157</v>
      </c>
      <c r="AG106" s="107">
        <f>[1]节奏总纲!AG106</f>
        <v>76.401205058887882</v>
      </c>
      <c r="AH106" s="107">
        <f>[1]节奏总纲!AH106</f>
        <v>85.072521641060263</v>
      </c>
      <c r="AZ106" s="107">
        <v>103</v>
      </c>
      <c r="BA106" s="107">
        <v>38.225405005200088</v>
      </c>
      <c r="BB106" s="107">
        <v>39.723082378096265</v>
      </c>
      <c r="BC106" s="107">
        <v>41.657347597192377</v>
      </c>
      <c r="BD106" s="107">
        <v>44.39110423954309</v>
      </c>
      <c r="BE106" s="107">
        <v>49.09231260978715</v>
      </c>
    </row>
    <row r="107" spans="6:57" x14ac:dyDescent="0.15">
      <c r="F107" s="125">
        <f>[1]节奏总纲!F107</f>
        <v>105</v>
      </c>
      <c r="G107" s="125">
        <f>[1]节奏总纲!G107</f>
        <v>1447.1546878700494</v>
      </c>
      <c r="N107" s="115">
        <f>[1]节奏总纲!N107</f>
        <v>114</v>
      </c>
      <c r="O107" s="107">
        <v>104</v>
      </c>
      <c r="P107" s="107">
        <f>[1]节奏总纲!P107</f>
        <v>1350.1761006314437</v>
      </c>
      <c r="Q107" s="107">
        <f>[1]节奏总纲!Q107</f>
        <v>1150.7550905681794</v>
      </c>
      <c r="R107" s="107">
        <f>[1]节奏总纲!R107</f>
        <v>925.41069937279144</v>
      </c>
      <c r="S107" s="107">
        <f>[1]节奏总纲!S107</f>
        <v>665.09674717104917</v>
      </c>
      <c r="T107" s="107">
        <f>[1]节奏总纲!T107</f>
        <v>360.49701886859549</v>
      </c>
      <c r="V107" s="107">
        <v>104</v>
      </c>
      <c r="W107" s="107">
        <f>[1]节奏总纲!W107</f>
        <v>90.484221366249358</v>
      </c>
      <c r="X107" s="107">
        <f>[1]节奏总纲!X107</f>
        <v>77.371640246307379</v>
      </c>
      <c r="Y107" s="107">
        <f>[1]节奏总纲!Y107</f>
        <v>63.907423143325104</v>
      </c>
      <c r="Z107" s="107">
        <f>[1]节奏总纲!Z107</f>
        <v>46.084157700132664</v>
      </c>
      <c r="AA107" s="107">
        <f>[1]节奏总纲!AA107</f>
        <v>24.663163856494691</v>
      </c>
      <c r="AC107" s="107">
        <v>104</v>
      </c>
      <c r="AD107" s="107">
        <f>[1]节奏总纲!AD107</f>
        <v>67.138256553625013</v>
      </c>
      <c r="AE107" s="107">
        <f>[1]节奏总纲!AE107</f>
        <v>69.199592937186125</v>
      </c>
      <c r="AF107" s="107">
        <f>[1]节奏总纲!AF107</f>
        <v>72.093818006439079</v>
      </c>
      <c r="AG107" s="107">
        <f>[1]节奏总纲!AG107</f>
        <v>76.536654632726695</v>
      </c>
      <c r="AH107" s="107">
        <f>[1]节奏总纲!AH107</f>
        <v>85.228476403824274</v>
      </c>
      <c r="AZ107" s="107">
        <v>104</v>
      </c>
      <c r="BA107" s="107">
        <v>38.288035531438013</v>
      </c>
      <c r="BB107" s="107">
        <v>39.790623261487418</v>
      </c>
      <c r="BC107" s="107">
        <v>41.724391289011947</v>
      </c>
      <c r="BD107" s="107">
        <v>44.455742855302844</v>
      </c>
      <c r="BE107" s="107">
        <v>49.154291946776759</v>
      </c>
    </row>
    <row r="108" spans="6:57" x14ac:dyDescent="0.15">
      <c r="F108" s="125">
        <f>[1]节奏总纲!F108</f>
        <v>106</v>
      </c>
      <c r="G108" s="125">
        <f>[1]节奏总纲!G108</f>
        <v>1551.0937641066464</v>
      </c>
      <c r="N108" s="115">
        <f>[1]节奏总纲!N108</f>
        <v>115</v>
      </c>
      <c r="O108" s="107">
        <v>105</v>
      </c>
      <c r="P108" s="107">
        <f>[1]节奏总纲!P108</f>
        <v>1447.1546878700494</v>
      </c>
      <c r="Q108" s="107">
        <f>[1]节奏总纲!Q108</f>
        <v>1234.8570951595132</v>
      </c>
      <c r="R108" s="107">
        <f>[1]节奏总纲!R108</f>
        <v>993.18226228521496</v>
      </c>
      <c r="S108" s="107">
        <f>[1]节奏总纲!S108</f>
        <v>713.59197658872131</v>
      </c>
      <c r="T108" s="107">
        <f>[1]节奏总纲!T108</f>
        <v>386.39030166130323</v>
      </c>
      <c r="V108" s="107">
        <v>105</v>
      </c>
      <c r="W108" s="107">
        <f>[1]节奏总纲!W108</f>
        <v>96.978587238605769</v>
      </c>
      <c r="X108" s="107">
        <f>[1]节奏总纲!X108</f>
        <v>84.102004591333753</v>
      </c>
      <c r="Y108" s="107">
        <f>[1]节奏总纲!Y108</f>
        <v>67.771562912423519</v>
      </c>
      <c r="Z108" s="107">
        <f>[1]节奏总纲!Z108</f>
        <v>48.495229417672135</v>
      </c>
      <c r="AA108" s="107">
        <f>[1]节奏总纲!AA108</f>
        <v>25.893282792707737</v>
      </c>
      <c r="AC108" s="107">
        <v>105</v>
      </c>
      <c r="AD108" s="107">
        <f>[1]节奏总纲!AD108</f>
        <v>67.272265912925377</v>
      </c>
      <c r="AE108" s="107">
        <f>[1]节奏总纲!AE108</f>
        <v>69.333680194119751</v>
      </c>
      <c r="AF108" s="107">
        <f>[1]节奏总纲!AF108</f>
        <v>72.23150684883845</v>
      </c>
      <c r="AG108" s="107">
        <f>[1]节奏总纲!AG108</f>
        <v>76.672104206565521</v>
      </c>
      <c r="AH108" s="107">
        <f>[1]节奏总纲!AH108</f>
        <v>85.384431166588271</v>
      </c>
      <c r="AZ108" s="107">
        <v>105</v>
      </c>
      <c r="BA108" s="107">
        <v>38.35066605767593</v>
      </c>
      <c r="BB108" s="107">
        <v>39.858164144878572</v>
      </c>
      <c r="BC108" s="107">
        <v>41.791434980831518</v>
      </c>
      <c r="BD108" s="107">
        <v>44.520381471062606</v>
      </c>
      <c r="BE108" s="107">
        <v>49.216271283766375</v>
      </c>
    </row>
    <row r="109" spans="6:57" x14ac:dyDescent="0.15">
      <c r="F109" s="125">
        <f>[1]节奏总纲!F109</f>
        <v>107</v>
      </c>
      <c r="G109" s="125">
        <f>[1]节奏总纲!G109</f>
        <v>1662.4929077375689</v>
      </c>
      <c r="N109" s="115">
        <f>[1]节奏总纲!N109</f>
        <v>116</v>
      </c>
      <c r="O109" s="107">
        <v>106</v>
      </c>
      <c r="P109" s="107">
        <f>[1]节奏总纲!P109</f>
        <v>1551.0937641066464</v>
      </c>
      <c r="Q109" s="107">
        <f>[1]节奏总纲!Q109</f>
        <v>1324.4789651706653</v>
      </c>
      <c r="R109" s="107">
        <f>[1]节奏总纲!R109</f>
        <v>1064.6707596828021</v>
      </c>
      <c r="S109" s="107">
        <f>[1]节奏总纲!S109</f>
        <v>764.3790069517554</v>
      </c>
      <c r="T109" s="107">
        <f>[1]节奏总纲!T109</f>
        <v>412.59094125236794</v>
      </c>
      <c r="V109" s="107">
        <v>106</v>
      </c>
      <c r="W109" s="107">
        <f>[1]节奏总纲!W109</f>
        <v>103.93907623659697</v>
      </c>
      <c r="X109" s="107">
        <f>[1]节奏总纲!X109</f>
        <v>89.621870011152168</v>
      </c>
      <c r="Y109" s="107">
        <f>[1]节奏总纲!Y109</f>
        <v>71.488497397587139</v>
      </c>
      <c r="Z109" s="107">
        <f>[1]节奏总纲!Z109</f>
        <v>50.787030363034091</v>
      </c>
      <c r="AA109" s="107">
        <f>[1]节奏总纲!AA109</f>
        <v>26.200639591064714</v>
      </c>
      <c r="AC109" s="107">
        <v>106</v>
      </c>
      <c r="AD109" s="107">
        <f>[1]节奏总纲!AD109</f>
        <v>67.406275272225741</v>
      </c>
      <c r="AE109" s="107">
        <f>[1]节奏总纲!AE109</f>
        <v>69.467767451053362</v>
      </c>
      <c r="AF109" s="107">
        <f>[1]节奏总纲!AF109</f>
        <v>72.369195691237806</v>
      </c>
      <c r="AG109" s="107">
        <f>[1]节奏总纲!AG109</f>
        <v>76.807553780404334</v>
      </c>
      <c r="AH109" s="107">
        <f>[1]节奏总纲!AH109</f>
        <v>85.540385929352269</v>
      </c>
      <c r="AZ109" s="107">
        <v>106</v>
      </c>
      <c r="BA109" s="107">
        <v>38.413296583913848</v>
      </c>
      <c r="BB109" s="107">
        <v>39.925705028269732</v>
      </c>
      <c r="BC109" s="107">
        <v>41.858478672651096</v>
      </c>
      <c r="BD109" s="107">
        <v>44.585020086822361</v>
      </c>
      <c r="BE109" s="107">
        <v>49.278250620755983</v>
      </c>
    </row>
    <row r="110" spans="6:57" x14ac:dyDescent="0.15">
      <c r="F110" s="125">
        <f>[1]节奏总纲!F110</f>
        <v>108</v>
      </c>
      <c r="G110" s="125">
        <f>[1]节奏总纲!G110</f>
        <v>1781.8875536304624</v>
      </c>
      <c r="N110" s="115">
        <f>[1]节奏总纲!N110</f>
        <v>117</v>
      </c>
      <c r="O110" s="107">
        <v>107</v>
      </c>
      <c r="P110" s="107">
        <f>[1]节奏总纲!P110</f>
        <v>1662.4929077375689</v>
      </c>
      <c r="Q110" s="107">
        <f>[1]节奏总纲!Q110</f>
        <v>1418.9376967540152</v>
      </c>
      <c r="R110" s="107">
        <f>[1]节奏总纲!R110</f>
        <v>1141.6338797433884</v>
      </c>
      <c r="S110" s="107">
        <f>[1]节奏总纲!S110</f>
        <v>816.11776840837263</v>
      </c>
      <c r="T110" s="107">
        <f>[1]节奏总纲!T110</f>
        <v>440.22812196890823</v>
      </c>
      <c r="V110" s="107">
        <v>107</v>
      </c>
      <c r="W110" s="107">
        <f>[1]节奏总纲!W110</f>
        <v>111.39914363092248</v>
      </c>
      <c r="X110" s="107">
        <f>[1]节奏总纲!X110</f>
        <v>94.458731583349845</v>
      </c>
      <c r="Y110" s="107">
        <f>[1]节奏总纲!Y110</f>
        <v>76.963120060586334</v>
      </c>
      <c r="Z110" s="107">
        <f>[1]节奏总纲!Z110</f>
        <v>51.738761456617226</v>
      </c>
      <c r="AA110" s="107">
        <f>[1]节奏总纲!AA110</f>
        <v>27.637180716540286</v>
      </c>
      <c r="AC110" s="107">
        <v>107</v>
      </c>
      <c r="AD110" s="107">
        <f>[1]节奏总纲!AD110</f>
        <v>67.540284631526106</v>
      </c>
      <c r="AE110" s="107">
        <f>[1]节奏总纲!AE110</f>
        <v>69.601854707986988</v>
      </c>
      <c r="AF110" s="107">
        <f>[1]节奏总纲!AF110</f>
        <v>72.506884533637162</v>
      </c>
      <c r="AG110" s="107">
        <f>[1]节奏总纲!AG110</f>
        <v>76.94300335424316</v>
      </c>
      <c r="AH110" s="107">
        <f>[1]节奏总纲!AH110</f>
        <v>85.696340692116266</v>
      </c>
      <c r="AZ110" s="107">
        <v>107</v>
      </c>
      <c r="BA110" s="107">
        <v>38.475927110151773</v>
      </c>
      <c r="BB110" s="107">
        <v>39.993245911660885</v>
      </c>
      <c r="BC110" s="107">
        <v>41.925522364470666</v>
      </c>
      <c r="BD110" s="107">
        <v>44.649658702582116</v>
      </c>
      <c r="BE110" s="107">
        <v>49.340229957745592</v>
      </c>
    </row>
    <row r="111" spans="6:57" x14ac:dyDescent="0.15">
      <c r="F111" s="125">
        <f>[1]节奏总纲!F111</f>
        <v>109</v>
      </c>
      <c r="G111" s="125">
        <f>[1]节奏总纲!G111</f>
        <v>1909.8515666673818</v>
      </c>
      <c r="N111" s="115">
        <f>[1]节奏总纲!N111</f>
        <v>118</v>
      </c>
      <c r="O111" s="107">
        <v>108</v>
      </c>
      <c r="P111" s="107">
        <f>[1]节奏总纲!P111</f>
        <v>1781.8875536304624</v>
      </c>
      <c r="Q111" s="107">
        <f>[1]节奏总纲!Q111</f>
        <v>1520.8410270235997</v>
      </c>
      <c r="R111" s="107">
        <f>[1]节奏总纲!R111</f>
        <v>1218.0983316617842</v>
      </c>
      <c r="S111" s="107">
        <f>[1]节奏总纲!S111</f>
        <v>871.69939123602228</v>
      </c>
      <c r="T111" s="107">
        <f>[1]节奏总纲!T111</f>
        <v>471.13106917989433</v>
      </c>
      <c r="V111" s="107">
        <v>108</v>
      </c>
      <c r="W111" s="107">
        <f>[1]节奏总纲!W111</f>
        <v>119.39464589289355</v>
      </c>
      <c r="X111" s="107">
        <f>[1]节奏总纲!X111</f>
        <v>101.90333026958456</v>
      </c>
      <c r="Y111" s="107">
        <f>[1]节奏总纲!Y111</f>
        <v>76.464451918395753</v>
      </c>
      <c r="Z111" s="107">
        <f>[1]节奏总纲!Z111</f>
        <v>55.581622827649653</v>
      </c>
      <c r="AA111" s="107">
        <f>[1]节奏总纲!AA111</f>
        <v>30.902947210986099</v>
      </c>
      <c r="AC111" s="107">
        <v>108</v>
      </c>
      <c r="AD111" s="107">
        <f>[1]节奏总纲!AD111</f>
        <v>67.674293990826456</v>
      </c>
      <c r="AE111" s="107">
        <f>[1]节奏总纲!AE111</f>
        <v>69.735941964920613</v>
      </c>
      <c r="AF111" s="107">
        <f>[1]节奏总纲!AF111</f>
        <v>72.644573376036519</v>
      </c>
      <c r="AG111" s="107">
        <f>[1]节奏总纲!AG111</f>
        <v>77.074762810762508</v>
      </c>
      <c r="AH111" s="107">
        <f>[1]节奏总纲!AH111</f>
        <v>85.852295454880277</v>
      </c>
      <c r="AZ111" s="107">
        <v>108</v>
      </c>
      <c r="BA111" s="107">
        <v>38.53855763638969</v>
      </c>
      <c r="BB111" s="107">
        <v>40.052446592012309</v>
      </c>
      <c r="BC111" s="107">
        <v>41.992566056290244</v>
      </c>
      <c r="BD111" s="107">
        <v>44.71429731834187</v>
      </c>
      <c r="BE111" s="107">
        <v>49.402209294735208</v>
      </c>
    </row>
    <row r="112" spans="6:57" x14ac:dyDescent="0.15">
      <c r="F112" s="125">
        <f>[1]节奏总纲!F112</f>
        <v>110</v>
      </c>
      <c r="G112" s="125">
        <f>[1]节奏总纲!G112</f>
        <v>2047</v>
      </c>
      <c r="N112" s="115">
        <f>[1]节奏总纲!N112</f>
        <v>119</v>
      </c>
      <c r="O112" s="107">
        <v>109</v>
      </c>
      <c r="P112" s="107">
        <f>[1]节奏总纲!P112</f>
        <v>1909.8515666673818</v>
      </c>
      <c r="Q112" s="107">
        <f>[1]节奏总纲!Q112</f>
        <v>1624.7107277639418</v>
      </c>
      <c r="R112" s="107">
        <f>[1]节奏总纲!R112</f>
        <v>1301.5638426838207</v>
      </c>
      <c r="S112" s="107">
        <f>[1]节奏总纲!S112</f>
        <v>931.81657937701561</v>
      </c>
      <c r="T112" s="107">
        <f>[1]节奏总纲!T112</f>
        <v>504.58278391352223</v>
      </c>
      <c r="V112" s="107">
        <v>109</v>
      </c>
      <c r="W112" s="107">
        <f>[1]节奏总纲!W112</f>
        <v>127.96401303691937</v>
      </c>
      <c r="X112" s="107">
        <f>[1]节奏总纲!X112</f>
        <v>103.86970074034207</v>
      </c>
      <c r="Y112" s="107">
        <f>[1]节奏总纲!Y112</f>
        <v>83.46551102203648</v>
      </c>
      <c r="Z112" s="107">
        <f>[1]节奏总纲!Z112</f>
        <v>60.117188140993335</v>
      </c>
      <c r="AA112" s="107">
        <f>[1]节奏总纲!AA112</f>
        <v>33.451714733627909</v>
      </c>
      <c r="AC112" s="107">
        <v>109</v>
      </c>
      <c r="AD112" s="107">
        <f>[1]节奏总纲!AD112</f>
        <v>67.80830335012682</v>
      </c>
      <c r="AE112" s="107">
        <f>[1]节奏总纲!AE112</f>
        <v>69.870029221854239</v>
      </c>
      <c r="AF112" s="107">
        <f>[1]节奏总纲!AF112</f>
        <v>72.782262218435889</v>
      </c>
      <c r="AG112" s="107">
        <f>[1]节奏总纲!AG112</f>
        <v>77.203841369133116</v>
      </c>
      <c r="AH112" s="107">
        <f>[1]节奏总纲!AH112</f>
        <v>86.007776715139968</v>
      </c>
      <c r="AZ112" s="107">
        <v>109</v>
      </c>
      <c r="BA112" s="107">
        <v>38.601188162627608</v>
      </c>
      <c r="BB112" s="107">
        <v>40.110720583137102</v>
      </c>
      <c r="BC112" s="107">
        <v>42.051439554347354</v>
      </c>
      <c r="BD112" s="107">
        <v>44.778935934101632</v>
      </c>
      <c r="BE112" s="107">
        <v>49.464188631724817</v>
      </c>
    </row>
    <row r="113" spans="6:57" x14ac:dyDescent="0.15">
      <c r="F113" s="125">
        <f>[1]节奏总纲!F113</f>
        <v>111</v>
      </c>
      <c r="G113" s="125">
        <f>[1]节奏总纲!G113</f>
        <v>2193.9920512743265</v>
      </c>
      <c r="N113" s="115">
        <f>[1]节奏总纲!N113</f>
        <v>120</v>
      </c>
      <c r="O113" s="107">
        <v>110</v>
      </c>
      <c r="P113" s="107">
        <f>[1]节奏总纲!P113</f>
        <v>2047</v>
      </c>
      <c r="Q113" s="107">
        <f>[1]节奏总纲!Q113</f>
        <v>1741.3829000000001</v>
      </c>
      <c r="R113" s="107">
        <f>[1]节奏总纲!R113</f>
        <v>1397.2821999999999</v>
      </c>
      <c r="S113" s="107">
        <f>[1]节奏总纲!S113</f>
        <v>1001.3924000000001</v>
      </c>
      <c r="T113" s="107">
        <f>[1]节奏总纲!T113</f>
        <v>542.04559999999992</v>
      </c>
      <c r="V113" s="107">
        <v>110</v>
      </c>
      <c r="W113" s="107">
        <f>[1]节奏总纲!W113</f>
        <v>137.1484333326182</v>
      </c>
      <c r="X113" s="107">
        <f>[1]节奏总纲!X113</f>
        <v>116.67217223605826</v>
      </c>
      <c r="Y113" s="107">
        <f>[1]节奏总纲!Y113</f>
        <v>95.718357316179208</v>
      </c>
      <c r="Z113" s="107">
        <f>[1]节奏总纲!Z113</f>
        <v>69.575820622984452</v>
      </c>
      <c r="AA113" s="107">
        <f>[1]节奏总纲!AA113</f>
        <v>37.462816086477687</v>
      </c>
      <c r="AC113" s="107">
        <v>110</v>
      </c>
      <c r="AD113" s="107">
        <f>[1]节奏总纲!AD113</f>
        <v>67.942312709427185</v>
      </c>
      <c r="AE113" s="107">
        <f>[1]节奏总纲!AE113</f>
        <v>70.003807055133578</v>
      </c>
      <c r="AF113" s="107">
        <f>[1]节奏总纲!AF113</f>
        <v>72.919951060835245</v>
      </c>
      <c r="AG113" s="107">
        <f>[1]节奏总纲!AG113</f>
        <v>77.332919927503724</v>
      </c>
      <c r="AH113" s="107">
        <f>[1]节奏总纲!AH113</f>
        <v>86.154780808490045</v>
      </c>
      <c r="AZ113" s="107">
        <v>110</v>
      </c>
      <c r="BA113" s="107">
        <v>38.663818688865533</v>
      </c>
      <c r="BB113" s="107">
        <v>40.168994574261895</v>
      </c>
      <c r="BC113" s="107">
        <v>42.109294145892463</v>
      </c>
      <c r="BD113" s="107">
        <v>44.843574549861387</v>
      </c>
      <c r="BE113" s="107">
        <v>49.526167968714425</v>
      </c>
    </row>
    <row r="114" spans="6:57" x14ac:dyDescent="0.15">
      <c r="F114" s="125">
        <f>[1]节奏总纲!F114</f>
        <v>112</v>
      </c>
      <c r="G114" s="125">
        <f>[1]节奏总纲!G114</f>
        <v>2351.5342310339256</v>
      </c>
      <c r="N114" s="125">
        <f>[1]节奏总纲!N114</f>
        <v>121</v>
      </c>
      <c r="O114" s="125">
        <v>111</v>
      </c>
      <c r="P114" s="125">
        <f>[1]节奏总纲!P114</f>
        <v>2193.9920512743265</v>
      </c>
      <c r="Q114" s="125">
        <f>[1]节奏总纲!Q114</f>
        <v>1869.0618284805987</v>
      </c>
      <c r="R114" s="125">
        <f>[1]节奏总纲!R114</f>
        <v>1500.4711638665117</v>
      </c>
      <c r="S114" s="125">
        <f>[1]节奏总纲!S114</f>
        <v>1076.5918995603122</v>
      </c>
      <c r="T114" s="125">
        <f>[1]节奏总纲!T114</f>
        <v>583.16308722871599</v>
      </c>
      <c r="U114" s="125"/>
      <c r="V114" s="125">
        <v>111</v>
      </c>
      <c r="W114" s="125">
        <f>[1]节奏总纲!W114</f>
        <v>146.99205127432651</v>
      </c>
      <c r="X114" s="125">
        <f>[1]节奏总纲!X114</f>
        <v>127.67892848059864</v>
      </c>
      <c r="Y114" s="125">
        <f>[1]节奏总纲!Y114</f>
        <v>103.18896386651181</v>
      </c>
      <c r="Z114" s="125">
        <f>[1]节奏总纲!Z114</f>
        <v>75.19949956031212</v>
      </c>
      <c r="AA114" s="125">
        <f>[1]节奏总纲!AA114</f>
        <v>41.117487228716072</v>
      </c>
      <c r="AC114" s="107">
        <v>111</v>
      </c>
      <c r="AD114" s="107">
        <f>[1]节奏总纲!AD114</f>
        <v>68.071211008105138</v>
      </c>
      <c r="AE114" s="107">
        <f>[1]节奏总纲!AE114</f>
        <v>70.127815365673797</v>
      </c>
      <c r="AF114" s="107">
        <f>[1]节奏总纲!AF114</f>
        <v>73.051543220271398</v>
      </c>
      <c r="AG114" s="107">
        <f>[1]节奏总纲!AG114</f>
        <v>77.461998485874332</v>
      </c>
      <c r="AH114" s="107">
        <f>[1]节奏总纲!AH114</f>
        <v>86.301784901840136</v>
      </c>
      <c r="AZ114" s="107">
        <v>111</v>
      </c>
      <c r="BA114" s="107">
        <v>38.72644921510345</v>
      </c>
      <c r="BB114" s="107">
        <v>40.227268565386687</v>
      </c>
      <c r="BC114" s="107">
        <v>42.167148737437572</v>
      </c>
      <c r="BD114" s="107">
        <v>44.908213165621142</v>
      </c>
      <c r="BE114" s="107">
        <v>49.588147305704041</v>
      </c>
    </row>
    <row r="115" spans="6:57" x14ac:dyDescent="0.15">
      <c r="F115" s="125">
        <f>[1]节奏总纲!F115</f>
        <v>113</v>
      </c>
      <c r="G115" s="125">
        <f>[1]节奏总纲!G115</f>
        <v>2520.3837585303886</v>
      </c>
      <c r="N115" s="125">
        <f>[1]节奏总纲!N115</f>
        <v>122</v>
      </c>
      <c r="O115" s="125">
        <v>112</v>
      </c>
      <c r="P115" s="125">
        <f>[1]节奏总纲!P115</f>
        <v>2351.5342310339256</v>
      </c>
      <c r="Q115" s="125">
        <f>[1]节奏总纲!Q115</f>
        <v>2004.6829319564217</v>
      </c>
      <c r="R115" s="125">
        <f>[1]节奏总纲!R115</f>
        <v>1609.3900277196187</v>
      </c>
      <c r="S115" s="125">
        <f>[1]节奏总纲!S115</f>
        <v>1155.3087677069677</v>
      </c>
      <c r="T115" s="125">
        <f>[1]节奏总纲!T115</f>
        <v>623.15657122399034</v>
      </c>
      <c r="U115" s="125"/>
      <c r="V115" s="125">
        <v>112</v>
      </c>
      <c r="W115" s="125">
        <f>[1]节奏总纲!W115</f>
        <v>157.54217975959909</v>
      </c>
      <c r="X115" s="125">
        <f>[1]节奏总纲!X115</f>
        <v>135.62110347582302</v>
      </c>
      <c r="Y115" s="125">
        <f>[1]节奏总纲!Y115</f>
        <v>108.91886385310704</v>
      </c>
      <c r="Z115" s="125">
        <f>[1]节奏总纲!Z115</f>
        <v>78.716868146655543</v>
      </c>
      <c r="AA115" s="125">
        <f>[1]节奏总纲!AA115</f>
        <v>39.993483995274346</v>
      </c>
      <c r="AC115" s="107">
        <v>112</v>
      </c>
      <c r="AD115" s="107">
        <f>[1]节奏总纲!AD115</f>
        <v>68.196246161507091</v>
      </c>
      <c r="AE115" s="107">
        <f>[1]节奏总纲!AE115</f>
        <v>70.251823676214016</v>
      </c>
      <c r="AF115" s="107">
        <f>[1]节奏总纲!AF115</f>
        <v>73.174668450093861</v>
      </c>
      <c r="AG115" s="107">
        <f>[1]节奏总纲!AG115</f>
        <v>77.591077044244926</v>
      </c>
      <c r="AH115" s="107">
        <f>[1]节奏总纲!AH115</f>
        <v>86.448788995190213</v>
      </c>
      <c r="AZ115" s="107">
        <v>112</v>
      </c>
      <c r="BA115" s="107">
        <v>38.789079741341368</v>
      </c>
      <c r="BB115" s="107">
        <v>40.28554255651148</v>
      </c>
      <c r="BC115" s="107">
        <v>42.225003328982673</v>
      </c>
      <c r="BD115" s="107">
        <v>44.972851781380903</v>
      </c>
      <c r="BE115" s="107">
        <v>49.65012664269365</v>
      </c>
    </row>
    <row r="116" spans="6:57" x14ac:dyDescent="0.15">
      <c r="F116" s="125">
        <f>[1]节奏总纲!F116</f>
        <v>114</v>
      </c>
      <c r="G116" s="125">
        <f>[1]节奏总纲!G116</f>
        <v>2701.3522012628878</v>
      </c>
      <c r="N116" s="125">
        <f>[1]节奏总纲!N116</f>
        <v>123</v>
      </c>
      <c r="O116" s="125">
        <v>113</v>
      </c>
      <c r="P116" s="125">
        <f>[1]节奏总纲!P116</f>
        <v>2520.3837585303886</v>
      </c>
      <c r="Q116" s="125">
        <f>[1]节奏总纲!Q116</f>
        <v>2149.6353076505684</v>
      </c>
      <c r="R116" s="125">
        <f>[1]节奏总纲!R116</f>
        <v>1726.7149129691693</v>
      </c>
      <c r="S116" s="125">
        <f>[1]节奏总纲!S116</f>
        <v>1235.7441568074496</v>
      </c>
      <c r="T116" s="125">
        <f>[1]节奏总纲!T116</f>
        <v>665.63335062787564</v>
      </c>
      <c r="U116" s="125"/>
      <c r="V116" s="125">
        <v>113</v>
      </c>
      <c r="W116" s="125">
        <f>[1]节奏总纲!W116</f>
        <v>168.849527496463</v>
      </c>
      <c r="X116" s="125">
        <f>[1]节奏总纲!X116</f>
        <v>144.95237569414667</v>
      </c>
      <c r="Y116" s="125">
        <f>[1]节奏总纲!Y116</f>
        <v>117.32488524955056</v>
      </c>
      <c r="Z116" s="125">
        <f>[1]节奏总纲!Z116</f>
        <v>80.435389100481871</v>
      </c>
      <c r="AA116" s="125">
        <f>[1]节奏总纲!AA116</f>
        <v>42.476779403885303</v>
      </c>
      <c r="AC116" s="107">
        <v>113</v>
      </c>
      <c r="AD116" s="107">
        <f>[1]节奏总纲!AD116</f>
        <v>68.321281314909029</v>
      </c>
      <c r="AE116" s="107">
        <f>[1]节奏总纲!AE116</f>
        <v>70.375831986754235</v>
      </c>
      <c r="AF116" s="107">
        <f>[1]节奏总纲!AF116</f>
        <v>73.297793679916325</v>
      </c>
      <c r="AG116" s="107">
        <f>[1]节奏总纲!AG116</f>
        <v>77.720155602615534</v>
      </c>
      <c r="AH116" s="107">
        <f>[1]节奏总纲!AH116</f>
        <v>86.595793088540304</v>
      </c>
      <c r="AZ116" s="107">
        <v>113</v>
      </c>
      <c r="BA116" s="107">
        <v>38.851710267579293</v>
      </c>
      <c r="BB116" s="107">
        <v>40.343816547636273</v>
      </c>
      <c r="BC116" s="107">
        <v>42.282857920527782</v>
      </c>
      <c r="BD116" s="107">
        <v>45.032359480672049</v>
      </c>
      <c r="BE116" s="107">
        <v>49.712105979683258</v>
      </c>
    </row>
    <row r="117" spans="6:57" x14ac:dyDescent="0.15">
      <c r="F117" s="125">
        <f>[1]节奏总纲!F117</f>
        <v>115</v>
      </c>
      <c r="G117" s="125">
        <f>[1]节奏总纲!G117</f>
        <v>2895.3093757400989</v>
      </c>
      <c r="N117" s="125">
        <f>[1]节奏总纲!N117</f>
        <v>124</v>
      </c>
      <c r="O117" s="125">
        <v>114</v>
      </c>
      <c r="P117" s="125">
        <f>[1]节奏总纲!P117</f>
        <v>2701.3522012628878</v>
      </c>
      <c r="Q117" s="125">
        <f>[1]节奏总纲!Q117</f>
        <v>2304.5235628973696</v>
      </c>
      <c r="R117" s="125">
        <f>[1]节奏总纲!R117</f>
        <v>1846.3742295631837</v>
      </c>
      <c r="S117" s="125">
        <f>[1]节奏总纲!S117</f>
        <v>1319.3404150967945</v>
      </c>
      <c r="T117" s="125">
        <f>[1]节奏总纲!T117</f>
        <v>710.99589937239205</v>
      </c>
      <c r="U117" s="125"/>
      <c r="V117" s="125">
        <v>114</v>
      </c>
      <c r="W117" s="125">
        <f>[1]节奏总纲!W117</f>
        <v>180.96844273249917</v>
      </c>
      <c r="X117" s="125">
        <f>[1]节奏总纲!X117</f>
        <v>154.88825524680124</v>
      </c>
      <c r="Y117" s="125">
        <f>[1]节奏总纲!Y117</f>
        <v>119.6593165940144</v>
      </c>
      <c r="Z117" s="125">
        <f>[1]节奏总纲!Z117</f>
        <v>83.59625828934486</v>
      </c>
      <c r="AA117" s="125">
        <f>[1]节奏总纲!AA117</f>
        <v>45.362548744516403</v>
      </c>
      <c r="AC117" s="107">
        <v>114</v>
      </c>
      <c r="AD117" s="107">
        <f>[1]节奏总纲!AD117</f>
        <v>68.446316468310982</v>
      </c>
      <c r="AE117" s="107">
        <f>[1]节奏总纲!AE117</f>
        <v>70.499840297294455</v>
      </c>
      <c r="AF117" s="107">
        <f>[1]节奏总纲!AF117</f>
        <v>73.420918909738774</v>
      </c>
      <c r="AG117" s="107">
        <f>[1]节奏总纲!AG117</f>
        <v>77.849234160986143</v>
      </c>
      <c r="AH117" s="107">
        <f>[1]节奏总纲!AH117</f>
        <v>86.742797181890381</v>
      </c>
      <c r="AZ117" s="107">
        <v>114</v>
      </c>
      <c r="BA117" s="107">
        <v>38.91434079381721</v>
      </c>
      <c r="BB117" s="107">
        <v>40.402090538761065</v>
      </c>
      <c r="BC117" s="107">
        <v>42.340712512072891</v>
      </c>
      <c r="BD117" s="107">
        <v>45.088151688727308</v>
      </c>
      <c r="BE117" s="107">
        <v>49.774085316672867</v>
      </c>
    </row>
    <row r="118" spans="6:57" x14ac:dyDescent="0.15">
      <c r="F118" s="125">
        <f>[1]节奏总纲!F118</f>
        <v>116</v>
      </c>
      <c r="G118" s="125">
        <f>[1]节奏总纲!G118</f>
        <v>3103.1875282132928</v>
      </c>
      <c r="N118" s="125">
        <f>[1]节奏总纲!N118</f>
        <v>125</v>
      </c>
      <c r="O118" s="125">
        <v>115</v>
      </c>
      <c r="P118" s="125">
        <f>[1]节奏总纲!P118</f>
        <v>2895.3093757400989</v>
      </c>
      <c r="Q118" s="125">
        <f>[1]节奏总纲!Q118</f>
        <v>2463.0396859421021</v>
      </c>
      <c r="R118" s="125">
        <f>[1]节奏总纲!R118</f>
        <v>1969.9684992535633</v>
      </c>
      <c r="S118" s="125">
        <f>[1]节奏总纲!S118</f>
        <v>1407.1203566096881</v>
      </c>
      <c r="T118" s="125">
        <f>[1]节奏总纲!T118</f>
        <v>758.86058738147995</v>
      </c>
      <c r="U118" s="125"/>
      <c r="V118" s="125">
        <v>115</v>
      </c>
      <c r="W118" s="125">
        <f>[1]节奏总纲!W118</f>
        <v>193.95717447721108</v>
      </c>
      <c r="X118" s="125">
        <f>[1]节奏总纲!X118</f>
        <v>158.51612304473247</v>
      </c>
      <c r="Y118" s="125">
        <f>[1]节奏总纲!Y118</f>
        <v>123.59426969037963</v>
      </c>
      <c r="Z118" s="125">
        <f>[1]节奏总纲!Z118</f>
        <v>87.779941512893629</v>
      </c>
      <c r="AA118" s="125">
        <f>[1]节奏总纲!AA118</f>
        <v>47.864688009087899</v>
      </c>
      <c r="AC118" s="107">
        <v>115</v>
      </c>
      <c r="AD118" s="107">
        <f>[1]节奏总纲!AD118</f>
        <v>68.571351621712935</v>
      </c>
      <c r="AE118" s="107">
        <f>[1]节奏总纲!AE118</f>
        <v>70.623848607834674</v>
      </c>
      <c r="AF118" s="107">
        <f>[1]节奏总纲!AF118</f>
        <v>73.544044139561237</v>
      </c>
      <c r="AG118" s="107">
        <f>[1]节奏总纲!AG118</f>
        <v>77.978312719356751</v>
      </c>
      <c r="AH118" s="107">
        <f>[1]节奏总纲!AH118</f>
        <v>86.889801275240458</v>
      </c>
      <c r="AZ118" s="107">
        <v>115</v>
      </c>
      <c r="BA118" s="107">
        <v>38.976971320055128</v>
      </c>
      <c r="BB118" s="107">
        <v>40.460364529885858</v>
      </c>
      <c r="BC118" s="107">
        <v>42.398567103617999</v>
      </c>
      <c r="BD118" s="107">
        <v>45.143943896782567</v>
      </c>
      <c r="BE118" s="107">
        <v>49.836064653662483</v>
      </c>
    </row>
    <row r="119" spans="6:57" x14ac:dyDescent="0.15">
      <c r="F119" s="125">
        <f>[1]节奏总纲!F119</f>
        <v>117</v>
      </c>
      <c r="G119" s="125">
        <f>[1]节奏总纲!G119</f>
        <v>3325.985815475135</v>
      </c>
      <c r="N119" s="125">
        <f>[1]节奏总纲!N119</f>
        <v>126</v>
      </c>
      <c r="O119" s="125">
        <v>116</v>
      </c>
      <c r="P119" s="125">
        <f>[1]节奏总纲!P119</f>
        <v>3103.1875282132928</v>
      </c>
      <c r="Q119" s="125">
        <f>[1]节奏总纲!Q119</f>
        <v>2636.7784427228348</v>
      </c>
      <c r="R119" s="125">
        <f>[1]节奏总纲!R119</f>
        <v>2108.9262441737537</v>
      </c>
      <c r="S119" s="125">
        <f>[1]节奏总纲!S119</f>
        <v>1509.0800949701243</v>
      </c>
      <c r="T119" s="125">
        <f>[1]节奏总纲!T119</f>
        <v>813.34545114470404</v>
      </c>
      <c r="U119" s="125"/>
      <c r="V119" s="125">
        <v>116</v>
      </c>
      <c r="W119" s="125">
        <f>[1]节奏总纲!W119</f>
        <v>207.87815247319395</v>
      </c>
      <c r="X119" s="125">
        <f>[1]节奏总纲!X119</f>
        <v>173.73875678073273</v>
      </c>
      <c r="Y119" s="125">
        <f>[1]节奏总纲!Y119</f>
        <v>138.95774492019041</v>
      </c>
      <c r="Z119" s="125">
        <f>[1]节奏总纲!Z119</f>
        <v>101.95973836043618</v>
      </c>
      <c r="AA119" s="125">
        <f>[1]节奏总纲!AA119</f>
        <v>54.484863763224098</v>
      </c>
      <c r="AC119" s="107">
        <v>116</v>
      </c>
      <c r="AD119" s="107">
        <f>[1]节奏总纲!AD119</f>
        <v>68.696386775114874</v>
      </c>
      <c r="AE119" s="107">
        <f>[1]节奏总纲!AE119</f>
        <v>70.747856918374893</v>
      </c>
      <c r="AF119" s="107">
        <f>[1]节奏总纲!AF119</f>
        <v>73.667169369383686</v>
      </c>
      <c r="AG119" s="107">
        <f>[1]节奏总纲!AG119</f>
        <v>78.10469841238104</v>
      </c>
      <c r="AH119" s="107">
        <f>[1]节奏总纲!AH119</f>
        <v>87.033659382136349</v>
      </c>
      <c r="AZ119" s="107">
        <v>116</v>
      </c>
      <c r="BA119" s="107">
        <v>39.034165367506482</v>
      </c>
      <c r="BB119" s="107">
        <v>40.518638521010644</v>
      </c>
      <c r="BC119" s="107">
        <v>42.456421695163108</v>
      </c>
      <c r="BD119" s="107">
        <v>45.199736104837825</v>
      </c>
      <c r="BE119" s="107">
        <v>49.898043990652091</v>
      </c>
    </row>
    <row r="120" spans="6:57" x14ac:dyDescent="0.15">
      <c r="F120" s="125">
        <f>[1]节奏总纲!F120</f>
        <v>118</v>
      </c>
      <c r="G120" s="125">
        <f>[1]节奏总纲!G120</f>
        <v>3564.7751072609281</v>
      </c>
      <c r="N120" s="125">
        <f>[1]节奏总纲!N120</f>
        <v>127</v>
      </c>
      <c r="O120" s="125">
        <v>117</v>
      </c>
      <c r="P120" s="125">
        <f>[1]节奏总纲!P120</f>
        <v>3325.985815475135</v>
      </c>
      <c r="Q120" s="125">
        <f>[1]节奏总纲!Q120</f>
        <v>2826.7553445723174</v>
      </c>
      <c r="R120" s="125">
        <f>[1]节奏总纲!R120</f>
        <v>2262.6681502677343</v>
      </c>
      <c r="S120" s="125">
        <f>[1]节奏总纲!S120</f>
        <v>1618.0920992286531</v>
      </c>
      <c r="T120" s="125">
        <f>[1]节奏总纲!T120</f>
        <v>873.07127656222303</v>
      </c>
      <c r="U120" s="125"/>
      <c r="V120" s="125">
        <v>117</v>
      </c>
      <c r="W120" s="125">
        <f>[1]节奏总纲!W120</f>
        <v>222.79828726184223</v>
      </c>
      <c r="X120" s="125">
        <f>[1]节奏总纲!X120</f>
        <v>189.9769018494826</v>
      </c>
      <c r="Y120" s="125">
        <f>[1]节奏总纲!Y120</f>
        <v>153.74190609398056</v>
      </c>
      <c r="Z120" s="125">
        <f>[1]节奏总纲!Z120</f>
        <v>109.0120042585288</v>
      </c>
      <c r="AA120" s="125">
        <f>[1]节奏总纲!AA120</f>
        <v>59.72582541751899</v>
      </c>
      <c r="AC120" s="107">
        <v>117</v>
      </c>
      <c r="AD120" s="107">
        <f>[1]节奏总纲!AD120</f>
        <v>68.821421928516827</v>
      </c>
      <c r="AE120" s="107">
        <f>[1]节奏总纲!AE120</f>
        <v>70.871865228915112</v>
      </c>
      <c r="AF120" s="107">
        <f>[1]节奏总纲!AF120</f>
        <v>73.790294599206149</v>
      </c>
      <c r="AG120" s="107">
        <f>[1]节奏总纲!AG120</f>
        <v>78.230540290975199</v>
      </c>
      <c r="AH120" s="107">
        <f>[1]节奏总纲!AH120</f>
        <v>87.168098110592624</v>
      </c>
      <c r="AZ120" s="107">
        <v>117</v>
      </c>
      <c r="BA120" s="107">
        <v>39.088198074219406</v>
      </c>
      <c r="BB120" s="107">
        <v>40.576912512135436</v>
      </c>
      <c r="BC120" s="107">
        <v>42.51427628670821</v>
      </c>
      <c r="BD120" s="107">
        <v>45.255528312893091</v>
      </c>
      <c r="BE120" s="107">
        <v>49.9600233276417</v>
      </c>
    </row>
    <row r="121" spans="6:57" x14ac:dyDescent="0.15">
      <c r="F121" s="125">
        <f>[1]节奏总纲!F121</f>
        <v>119</v>
      </c>
      <c r="G121" s="125">
        <f>[1]节奏总纲!G121</f>
        <v>3820.7031333347636</v>
      </c>
      <c r="N121" s="125">
        <f>[1]节奏总纲!N121</f>
        <v>128</v>
      </c>
      <c r="O121" s="125">
        <v>118</v>
      </c>
      <c r="P121" s="125">
        <f>[1]节奏总纲!P121</f>
        <v>3564.7751072609281</v>
      </c>
      <c r="Q121" s="125">
        <f>[1]节奏总纲!Q121</f>
        <v>3030.4153186825147</v>
      </c>
      <c r="R121" s="125">
        <f>[1]节奏总纲!R121</f>
        <v>2426.1859380017877</v>
      </c>
      <c r="S121" s="125">
        <f>[1]节奏总纲!S121</f>
        <v>1737.4713872789764</v>
      </c>
      <c r="T121" s="125">
        <f>[1]节奏总纲!T121</f>
        <v>936.10994316671975</v>
      </c>
      <c r="U121" s="125"/>
      <c r="V121" s="125">
        <v>118</v>
      </c>
      <c r="W121" s="125">
        <f>[1]节奏总纲!W121</f>
        <v>238.78929178579301</v>
      </c>
      <c r="X121" s="125">
        <f>[1]节奏总纲!X121</f>
        <v>203.65997411019725</v>
      </c>
      <c r="Y121" s="125">
        <f>[1]节奏总纲!Y121</f>
        <v>163.5177877340534</v>
      </c>
      <c r="Z121" s="125">
        <f>[1]节奏总纲!Z121</f>
        <v>119.37928805032334</v>
      </c>
      <c r="AA121" s="125">
        <f>[1]节奏总纲!AA121</f>
        <v>63.038666604496711</v>
      </c>
      <c r="AC121" s="107">
        <v>118</v>
      </c>
      <c r="AD121" s="107">
        <f>[1]节奏总纲!AD121</f>
        <v>68.946457081918766</v>
      </c>
      <c r="AE121" s="107">
        <f>[1]节奏总纲!AE121</f>
        <v>70.995873539455332</v>
      </c>
      <c r="AF121" s="107">
        <f>[1]节奏总纲!AF121</f>
        <v>73.913419829028598</v>
      </c>
      <c r="AG121" s="107">
        <f>[1]节奏总纲!AG121</f>
        <v>78.356382169569343</v>
      </c>
      <c r="AH121" s="107">
        <f>[1]节奏总纲!AH121</f>
        <v>87.302536839048898</v>
      </c>
      <c r="AZ121" s="107">
        <v>118</v>
      </c>
      <c r="BA121" s="107">
        <v>39.14223078093233</v>
      </c>
      <c r="BB121" s="107">
        <v>40.635186503260229</v>
      </c>
      <c r="BC121" s="107">
        <v>42.572130878253319</v>
      </c>
      <c r="BD121" s="107">
        <v>45.31132052094835</v>
      </c>
      <c r="BE121" s="107">
        <v>50</v>
      </c>
    </row>
    <row r="122" spans="6:57" x14ac:dyDescent="0.15">
      <c r="F122" s="125">
        <f>[1]节奏总纲!F122</f>
        <v>120</v>
      </c>
      <c r="G122" s="125">
        <f>[1]节奏总纲!G122</f>
        <v>4095</v>
      </c>
      <c r="N122" s="125">
        <f>[1]节奏总纲!N122</f>
        <v>129</v>
      </c>
      <c r="O122" s="125">
        <v>119</v>
      </c>
      <c r="P122" s="125">
        <f>[1]节奏总纲!P122</f>
        <v>3820.7031333347636</v>
      </c>
      <c r="Q122" s="125">
        <f>[1]节奏总纲!Q122</f>
        <v>3250.2721555278836</v>
      </c>
      <c r="R122" s="125">
        <f>[1]节奏总纲!R122</f>
        <v>2604.5733259943081</v>
      </c>
      <c r="S122" s="125">
        <f>[1]节奏总纲!S122</f>
        <v>1863.3569181273642</v>
      </c>
      <c r="T122" s="125">
        <f>[1]节奏总纲!T122</f>
        <v>1000.260080307041</v>
      </c>
      <c r="U122" s="125"/>
      <c r="V122" s="125">
        <v>119</v>
      </c>
      <c r="W122" s="125">
        <f>[1]节奏总纲!W122</f>
        <v>255.92802607383555</v>
      </c>
      <c r="X122" s="125">
        <f>[1]节奏总纲!X122</f>
        <v>219.85683684536889</v>
      </c>
      <c r="Y122" s="125">
        <f>[1]节奏总纲!Y122</f>
        <v>178.38738799252042</v>
      </c>
      <c r="Z122" s="125">
        <f>[1]节奏总纲!Z122</f>
        <v>125.88553084838782</v>
      </c>
      <c r="AA122" s="125">
        <f>[1]节奏总纲!AA122</f>
        <v>64.150137140321249</v>
      </c>
      <c r="AC122" s="107">
        <v>119</v>
      </c>
      <c r="AD122" s="107">
        <f>[1]节奏总纲!AD122</f>
        <v>69.066704614192943</v>
      </c>
      <c r="AE122" s="107">
        <f>[1]节奏总纲!AE122</f>
        <v>71.113087458015798</v>
      </c>
      <c r="AF122" s="107">
        <f>[1]节奏总纲!AF122</f>
        <v>74.034200876118248</v>
      </c>
      <c r="AG122" s="107">
        <f>[1]节奏总纲!AG122</f>
        <v>78.482224048163502</v>
      </c>
      <c r="AH122" s="107">
        <f>[1]节奏总纲!AH122</f>
        <v>87.436975567505186</v>
      </c>
      <c r="AZ122" s="107">
        <v>119</v>
      </c>
      <c r="BA122" s="107">
        <v>39.196263487645254</v>
      </c>
      <c r="BB122" s="107">
        <v>40.693460494385022</v>
      </c>
      <c r="BC122" s="107">
        <v>42.629985469798427</v>
      </c>
      <c r="BD122" s="107">
        <v>45.367112729003608</v>
      </c>
      <c r="BE122" s="107">
        <v>50</v>
      </c>
    </row>
    <row r="123" spans="6:57" x14ac:dyDescent="0.15">
      <c r="F123" s="125">
        <f>[1]节奏总纲!F123</f>
        <v>121</v>
      </c>
      <c r="G123" s="125">
        <f>[1]节奏总纲!G123</f>
        <v>4388.9841025486576</v>
      </c>
      <c r="N123" s="125">
        <f>[1]节奏总纲!N123</f>
        <v>130</v>
      </c>
      <c r="O123" s="125">
        <v>120</v>
      </c>
      <c r="P123" s="125">
        <f>[1]节奏总纲!P123</f>
        <v>4095</v>
      </c>
      <c r="Q123" s="125">
        <f>[1]节奏总纲!Q123</f>
        <v>3486.0735</v>
      </c>
      <c r="R123" s="125">
        <f>[1]节奏总纲!R123</f>
        <v>2791.971</v>
      </c>
      <c r="S123" s="125">
        <f>[1]节奏总纲!S123</f>
        <v>1988.5319999999999</v>
      </c>
      <c r="T123" s="125">
        <f>[1]节奏总纲!T123</f>
        <v>1067.9759999999999</v>
      </c>
      <c r="U123" s="125"/>
      <c r="V123" s="125">
        <v>120</v>
      </c>
      <c r="W123" s="125">
        <f>[1]节奏总纲!W123</f>
        <v>274.29686666523639</v>
      </c>
      <c r="X123" s="125">
        <f>[1]节奏总纲!X123</f>
        <v>235.8013444721164</v>
      </c>
      <c r="Y123" s="125">
        <f>[1]节奏总纲!Y123</f>
        <v>187.3976740056919</v>
      </c>
      <c r="Z123" s="125">
        <f>[1]节奏总纲!Z123</f>
        <v>125.1750818726357</v>
      </c>
      <c r="AA123" s="125">
        <f>[1]节奏总纲!AA123</f>
        <v>67.715919692958892</v>
      </c>
      <c r="AC123" s="107">
        <v>120</v>
      </c>
      <c r="AD123" s="107">
        <f>[1]节奏总纲!AD123</f>
        <v>69.18336653741882</v>
      </c>
      <c r="AE123" s="107">
        <f>[1]节奏总纲!AE123</f>
        <v>71.230067506391322</v>
      </c>
      <c r="AF123" s="107">
        <f>[1]节奏总纲!AF123</f>
        <v>74.149428238300118</v>
      </c>
      <c r="AG123" s="107">
        <f>[1]节奏总纲!AG123</f>
        <v>78.608065926757661</v>
      </c>
      <c r="AH123" s="107">
        <f>[1]节奏总纲!AH123</f>
        <v>87.571414295961461</v>
      </c>
      <c r="AZ123" s="107">
        <v>120</v>
      </c>
      <c r="BA123" s="107">
        <v>39.250296194358178</v>
      </c>
      <c r="BB123" s="107">
        <v>40.751734485509814</v>
      </c>
      <c r="BC123" s="107">
        <v>42.687840061343536</v>
      </c>
      <c r="BD123" s="107">
        <v>45.422904937058867</v>
      </c>
      <c r="BE123" s="107">
        <v>50</v>
      </c>
    </row>
    <row r="124" spans="6:57" x14ac:dyDescent="0.15">
      <c r="F124" s="125">
        <f>[1]节奏总纲!F124</f>
        <v>122</v>
      </c>
      <c r="G124" s="125">
        <f>[1]节奏总纲!G124</f>
        <v>4704.0684620678521</v>
      </c>
      <c r="N124" s="125">
        <f>[1]节奏总纲!N124</f>
        <v>131</v>
      </c>
      <c r="O124" s="125">
        <v>121</v>
      </c>
      <c r="P124" s="125">
        <f>[1]节奏总纲!P124</f>
        <v>4388.9841025486576</v>
      </c>
      <c r="Q124" s="125">
        <f>[1]节奏总纲!Q124</f>
        <v>3731.5142839868686</v>
      </c>
      <c r="R124" s="125">
        <f>[1]节奏总纲!R124</f>
        <v>2978.8035103997736</v>
      </c>
      <c r="S124" s="125">
        <f>[1]节奏总纲!S124</f>
        <v>2122.0738135822758</v>
      </c>
      <c r="T124" s="125">
        <f>[1]节奏总纲!T124</f>
        <v>1143.3303587139253</v>
      </c>
      <c r="U124" s="125"/>
      <c r="V124" s="125">
        <v>121</v>
      </c>
      <c r="W124" s="125">
        <f>[1]节奏总纲!W124</f>
        <v>293.98410254865757</v>
      </c>
      <c r="X124" s="125">
        <f>[1]节奏总纲!X124</f>
        <v>245.44078398686861</v>
      </c>
      <c r="Y124" s="125">
        <f>[1]节奏总纲!Y124</f>
        <v>186.83251039977358</v>
      </c>
      <c r="Z124" s="125">
        <f>[1]节奏总纲!Z124</f>
        <v>133.54181358227584</v>
      </c>
      <c r="AA124" s="125">
        <f>[1]节奏总纲!AA124</f>
        <v>75.354358713925421</v>
      </c>
      <c r="AC124" s="107">
        <v>121</v>
      </c>
      <c r="AD124" s="107">
        <f>[1]节奏总纲!AD124</f>
        <v>69.300028460644711</v>
      </c>
      <c r="AE124" s="107">
        <f>[1]节奏总纲!AE124</f>
        <v>71.347047554766846</v>
      </c>
      <c r="AF124" s="107">
        <f>[1]节奏总纲!AF124</f>
        <v>74.264655600481987</v>
      </c>
      <c r="AG124" s="107">
        <f>[1]节奏总纲!AG124</f>
        <v>78.733907805351805</v>
      </c>
      <c r="AH124" s="107">
        <f>[1]节奏总纲!AH124</f>
        <v>87.705853024417735</v>
      </c>
      <c r="AZ124" s="107">
        <v>121</v>
      </c>
      <c r="BA124" s="107">
        <v>39.304328901071102</v>
      </c>
      <c r="BB124" s="107">
        <v>40.810008476634607</v>
      </c>
      <c r="BC124" s="107">
        <v>42.745694652888645</v>
      </c>
      <c r="BD124" s="107">
        <v>45.478697145114126</v>
      </c>
      <c r="BE124" s="107">
        <v>50</v>
      </c>
    </row>
    <row r="125" spans="6:57" x14ac:dyDescent="0.15">
      <c r="F125" s="125">
        <f>[1]节奏总纲!F125</f>
        <v>123</v>
      </c>
      <c r="G125" s="125">
        <f>[1]节奏总纲!G125</f>
        <v>5041.7675170607781</v>
      </c>
      <c r="N125" s="125">
        <f>[1]节奏总纲!N125</f>
        <v>132</v>
      </c>
      <c r="O125" s="125">
        <v>122</v>
      </c>
      <c r="P125" s="125">
        <f>[1]节奏总纲!P125</f>
        <v>4704.0684620678521</v>
      </c>
      <c r="Q125" s="125">
        <f>[1]节奏总纲!Q125</f>
        <v>3989.5204626797454</v>
      </c>
      <c r="R125" s="125">
        <f>[1]节奏总纲!R125</f>
        <v>3183.7135351275219</v>
      </c>
      <c r="S125" s="125">
        <f>[1]节奏总纲!S125</f>
        <v>2271.1242534863591</v>
      </c>
      <c r="T125" s="125">
        <f>[1]节奏总纲!T125</f>
        <v>1223.9986138300551</v>
      </c>
      <c r="U125" s="125"/>
      <c r="V125" s="125">
        <v>122</v>
      </c>
      <c r="W125" s="125">
        <f>[1]节奏总纲!W125</f>
        <v>315.08435951919455</v>
      </c>
      <c r="X125" s="125">
        <f>[1]节奏总纲!X125</f>
        <v>258.0061786928768</v>
      </c>
      <c r="Y125" s="125">
        <f>[1]节奏总纲!Y125</f>
        <v>204.91002472774835</v>
      </c>
      <c r="Z125" s="125">
        <f>[1]节奏总纲!Z125</f>
        <v>149.05043990408331</v>
      </c>
      <c r="AA125" s="125">
        <f>[1]节奏总纲!AA125</f>
        <v>80.668255116129785</v>
      </c>
      <c r="AC125" s="107">
        <v>122</v>
      </c>
      <c r="AD125" s="107">
        <f>[1]节奏总纲!AD125</f>
        <v>69.416690383870588</v>
      </c>
      <c r="AE125" s="107">
        <f>[1]节奏总纲!AE125</f>
        <v>71.46402760314237</v>
      </c>
      <c r="AF125" s="107">
        <f>[1]节奏总纲!AF125</f>
        <v>74.379882962663856</v>
      </c>
      <c r="AG125" s="107">
        <f>[1]节奏总纲!AG125</f>
        <v>78.859749683945964</v>
      </c>
      <c r="AH125" s="107">
        <f>[1]节奏总纲!AH125</f>
        <v>87.840291752874009</v>
      </c>
      <c r="AZ125" s="107">
        <v>122</v>
      </c>
      <c r="BA125" s="107">
        <v>39.358361607784026</v>
      </c>
      <c r="BB125" s="107">
        <v>40.8682824677594</v>
      </c>
      <c r="BC125" s="107">
        <v>42.803549244433754</v>
      </c>
      <c r="BD125" s="107">
        <v>45.534489353169384</v>
      </c>
      <c r="BE125" s="107">
        <v>50</v>
      </c>
    </row>
    <row r="126" spans="6:57" x14ac:dyDescent="0.15">
      <c r="F126" s="125">
        <f>[1]节奏总纲!F126</f>
        <v>124</v>
      </c>
      <c r="G126" s="125">
        <f>[1]节奏总纲!G126</f>
        <v>5403.704402525771</v>
      </c>
      <c r="N126" s="125">
        <f>[1]节奏总纲!N126</f>
        <v>133</v>
      </c>
      <c r="O126" s="125">
        <v>123</v>
      </c>
      <c r="P126" s="125">
        <f>[1]节奏总纲!P126</f>
        <v>5041.7675170607781</v>
      </c>
      <c r="Q126" s="125">
        <f>[1]节奏总纲!Q126</f>
        <v>4275.9230312192458</v>
      </c>
      <c r="R126" s="125">
        <f>[1]节奏总纲!R126</f>
        <v>3419.8309068223257</v>
      </c>
      <c r="S126" s="125">
        <f>[1]节奏总纲!S126</f>
        <v>2442.7363620159467</v>
      </c>
      <c r="T126" s="125">
        <f>[1]节奏总纲!T126</f>
        <v>1316.4054987045693</v>
      </c>
      <c r="U126" s="125"/>
      <c r="V126" s="125">
        <v>123</v>
      </c>
      <c r="W126" s="125">
        <f>[1]节奏总纲!W126</f>
        <v>337.69905499292599</v>
      </c>
      <c r="X126" s="125">
        <f>[1]节奏总纲!X126</f>
        <v>286.40256853950041</v>
      </c>
      <c r="Y126" s="125">
        <f>[1]节奏总纲!Y126</f>
        <v>236.11737169480375</v>
      </c>
      <c r="Z126" s="125">
        <f>[1]节奏总纲!Z126</f>
        <v>171.61210852958766</v>
      </c>
      <c r="AA126" s="125">
        <f>[1]节奏总纲!AA126</f>
        <v>92.406884874514162</v>
      </c>
      <c r="AC126" s="107">
        <v>123</v>
      </c>
      <c r="AD126" s="107">
        <f>[1]节奏总纲!AD126</f>
        <v>69.533352307096465</v>
      </c>
      <c r="AE126" s="107">
        <f>[1]节奏总纲!AE126</f>
        <v>71.581007651517908</v>
      </c>
      <c r="AF126" s="107">
        <f>[1]节奏总纲!AF126</f>
        <v>74.495110324845726</v>
      </c>
      <c r="AG126" s="107">
        <f>[1]节奏总纲!AG126</f>
        <v>78.985591562540122</v>
      </c>
      <c r="AH126" s="107">
        <f>[1]节奏总纲!AH126</f>
        <v>87.974730481330297</v>
      </c>
      <c r="AZ126" s="107">
        <v>123</v>
      </c>
      <c r="BA126" s="107">
        <v>39.41239431449695</v>
      </c>
      <c r="BB126" s="107">
        <v>40.926556458884193</v>
      </c>
      <c r="BC126" s="107">
        <v>42.861403835978855</v>
      </c>
      <c r="BD126" s="107">
        <v>45.590281561224643</v>
      </c>
      <c r="BE126" s="107">
        <v>50</v>
      </c>
    </row>
    <row r="127" spans="6:57" x14ac:dyDescent="0.15">
      <c r="F127" s="125">
        <f>[1]节奏总纲!F127</f>
        <v>125</v>
      </c>
      <c r="G127" s="125">
        <f>[1]节奏总纲!G127</f>
        <v>5791.6187514801986</v>
      </c>
      <c r="N127" s="125">
        <f>[1]节奏总纲!N127</f>
        <v>134</v>
      </c>
      <c r="O127" s="125">
        <v>124</v>
      </c>
      <c r="P127" s="125">
        <f>[1]节奏总纲!P127</f>
        <v>5403.704402525771</v>
      </c>
      <c r="Q127" s="125">
        <f>[1]节奏总纲!Q127</f>
        <v>4591.5276308261473</v>
      </c>
      <c r="R127" s="125">
        <f>[1]节奏总纲!R127</f>
        <v>3671.276771076009</v>
      </c>
      <c r="S127" s="125">
        <f>[1]节奏总纲!S127</f>
        <v>2624.0388578665143</v>
      </c>
      <c r="T127" s="125">
        <f>[1]节奏总纲!T127</f>
        <v>1415.7705534617521</v>
      </c>
      <c r="U127" s="125"/>
      <c r="V127" s="125">
        <v>124</v>
      </c>
      <c r="W127" s="125">
        <f>[1]节奏总纲!W127</f>
        <v>361.93688546499288</v>
      </c>
      <c r="X127" s="125">
        <f>[1]节奏总纲!X127</f>
        <v>315.6045996069015</v>
      </c>
      <c r="Y127" s="125">
        <f>[1]节奏总纲!Y127</f>
        <v>251.44586425368334</v>
      </c>
      <c r="Z127" s="125">
        <f>[1]节奏总纲!Z127</f>
        <v>181.30249585056754</v>
      </c>
      <c r="AA127" s="125">
        <f>[1]节奏总纲!AA127</f>
        <v>99.365054757182861</v>
      </c>
      <c r="AC127" s="107">
        <v>124</v>
      </c>
      <c r="AD127" s="107">
        <f>[1]节奏总纲!AD127</f>
        <v>69.650014230322356</v>
      </c>
      <c r="AE127" s="107">
        <f>[1]节奏总纲!AE127</f>
        <v>71.697987699893432</v>
      </c>
      <c r="AF127" s="107">
        <f>[1]节奏总纲!AF127</f>
        <v>74.610337687027609</v>
      </c>
      <c r="AG127" s="107">
        <f>[1]节奏总纲!AG127</f>
        <v>79.104601412347151</v>
      </c>
      <c r="AH127" s="107">
        <f>[1]节奏总纲!AH127</f>
        <v>88.109271506528316</v>
      </c>
      <c r="AZ127" s="107">
        <v>124</v>
      </c>
      <c r="BA127" s="107">
        <v>39.466427021209874</v>
      </c>
      <c r="BB127" s="107">
        <v>40.984830450008978</v>
      </c>
      <c r="BC127" s="107">
        <v>42.919258427523964</v>
      </c>
      <c r="BD127" s="107">
        <v>45.646073769279901</v>
      </c>
      <c r="BE127" s="107">
        <v>50</v>
      </c>
    </row>
    <row r="128" spans="6:57" x14ac:dyDescent="0.15">
      <c r="F128" s="125">
        <f>[1]节奏总纲!F128</f>
        <v>126</v>
      </c>
      <c r="G128" s="125">
        <f>[1]节奏总纲!G128</f>
        <v>6207.3750564265865</v>
      </c>
      <c r="N128" s="125">
        <f>[1]节奏总纲!N128</f>
        <v>135</v>
      </c>
      <c r="O128" s="125">
        <v>125</v>
      </c>
      <c r="P128" s="125">
        <f>[1]节奏总纲!P128</f>
        <v>5791.6187514801986</v>
      </c>
      <c r="Q128" s="125">
        <f>[1]节奏总纲!Q128</f>
        <v>4918.821805632133</v>
      </c>
      <c r="R128" s="125">
        <f>[1]节奏总纲!R128</f>
        <v>3940.0382366319791</v>
      </c>
      <c r="S128" s="125">
        <f>[1]节奏总纲!S128</f>
        <v>2816.4641988448207</v>
      </c>
      <c r="T128" s="125">
        <f>[1]节奏总纲!T128</f>
        <v>1509.8750085108877</v>
      </c>
      <c r="U128" s="125"/>
      <c r="V128" s="125">
        <v>125</v>
      </c>
      <c r="W128" s="125">
        <f>[1]节奏总纲!W128</f>
        <v>387.91434895442762</v>
      </c>
      <c r="X128" s="125">
        <f>[1]节奏总纲!X128</f>
        <v>327.29417480598568</v>
      </c>
      <c r="Y128" s="125">
        <f>[1]节奏总纲!Y128</f>
        <v>268.76146555597006</v>
      </c>
      <c r="Z128" s="125">
        <f>[1]节奏总纲!Z128</f>
        <v>192.42534097830639</v>
      </c>
      <c r="AA128" s="125">
        <f>[1]节奏总纲!AA128</f>
        <v>94.104455049135595</v>
      </c>
      <c r="AC128" s="107">
        <v>125</v>
      </c>
      <c r="AD128" s="107">
        <f>[1]节奏总纲!AD128</f>
        <v>69.766676153548232</v>
      </c>
      <c r="AE128" s="107">
        <f>[1]节奏总纲!AE128</f>
        <v>71.814967748268955</v>
      </c>
      <c r="AF128" s="107">
        <f>[1]节奏总纲!AF128</f>
        <v>74.725565049209479</v>
      </c>
      <c r="AG128" s="107">
        <f>[1]节奏总纲!AG128</f>
        <v>79.222727875098187</v>
      </c>
      <c r="AH128" s="107">
        <f>[1]节奏总纲!AH128</f>
        <v>88.243836210467165</v>
      </c>
      <c r="AZ128" s="107">
        <v>125</v>
      </c>
      <c r="BA128" s="107">
        <v>39.520459727922798</v>
      </c>
      <c r="BB128" s="107">
        <v>41.037193447861313</v>
      </c>
      <c r="BC128" s="107">
        <v>42.977113019069073</v>
      </c>
      <c r="BD128" s="107">
        <v>45.701865977335167</v>
      </c>
      <c r="BE128" s="107">
        <v>50</v>
      </c>
    </row>
    <row r="129" spans="6:57" x14ac:dyDescent="0.15">
      <c r="F129" s="125">
        <f>[1]节奏总纲!F129</f>
        <v>127</v>
      </c>
      <c r="G129" s="125">
        <f>[1]节奏总纲!G129</f>
        <v>6652.971630950271</v>
      </c>
      <c r="N129" s="125">
        <f>[1]节奏总纲!N129</f>
        <v>136</v>
      </c>
      <c r="O129" s="125">
        <v>126</v>
      </c>
      <c r="P129" s="125">
        <f>[1]节奏总纲!P129</f>
        <v>6207.3750564265865</v>
      </c>
      <c r="Q129" s="125">
        <f>[1]节奏总纲!Q129</f>
        <v>5279.3724854908123</v>
      </c>
      <c r="R129" s="125">
        <f>[1]节奏总纲!R129</f>
        <v>4225.9809384152195</v>
      </c>
      <c r="S129" s="125">
        <f>[1]节奏总纲!S129</f>
        <v>3006.8524773330387</v>
      </c>
      <c r="T129" s="125">
        <f>[1]节奏总纲!T129</f>
        <v>1610.1930896370566</v>
      </c>
      <c r="U129" s="125"/>
      <c r="V129" s="125">
        <v>126</v>
      </c>
      <c r="W129" s="125">
        <f>[1]节奏总纲!W129</f>
        <v>415.7563049463879</v>
      </c>
      <c r="X129" s="125">
        <f>[1]节奏总纲!X129</f>
        <v>360.55067985867936</v>
      </c>
      <c r="Y129" s="125">
        <f>[1]节奏总纲!Y129</f>
        <v>285.94270178324041</v>
      </c>
      <c r="Z129" s="125">
        <f>[1]节奏总纲!Z129</f>
        <v>190.38827848821802</v>
      </c>
      <c r="AA129" s="125">
        <f>[1]节奏总纲!AA129</f>
        <v>100.31808112616886</v>
      </c>
      <c r="AC129" s="107">
        <v>126</v>
      </c>
      <c r="AD129" s="107">
        <f>[1]节奏总纲!AD129</f>
        <v>69.883338076774123</v>
      </c>
      <c r="AE129" s="107">
        <f>[1]节奏总纲!AE129</f>
        <v>71.931947796644479</v>
      </c>
      <c r="AF129" s="107">
        <f>[1]节奏总纲!AF129</f>
        <v>74.840792411391348</v>
      </c>
      <c r="AG129" s="107">
        <f>[1]节奏总纲!AG129</f>
        <v>79.340854337849223</v>
      </c>
      <c r="AH129" s="107">
        <f>[1]节奏总纲!AH129</f>
        <v>88.378400914406001</v>
      </c>
      <c r="AZ129" s="107">
        <v>126</v>
      </c>
      <c r="BA129" s="107">
        <v>39.574492434635722</v>
      </c>
      <c r="BB129" s="107">
        <v>41.087476216725996</v>
      </c>
      <c r="BC129" s="107">
        <v>43.030177309109042</v>
      </c>
      <c r="BD129" s="107">
        <v>45.757658185390426</v>
      </c>
      <c r="BE129" s="107">
        <v>50</v>
      </c>
    </row>
    <row r="130" spans="6:57" x14ac:dyDescent="0.15">
      <c r="F130" s="125">
        <f>[1]节奏总纲!F130</f>
        <v>128</v>
      </c>
      <c r="G130" s="125">
        <f>[1]节奏总纲!G130</f>
        <v>7130.5502145218443</v>
      </c>
      <c r="N130" s="125">
        <f>[1]节奏总纲!N130</f>
        <v>137</v>
      </c>
      <c r="O130" s="125">
        <v>127</v>
      </c>
      <c r="P130" s="125">
        <f>[1]节奏总纲!P130</f>
        <v>6652.971630950271</v>
      </c>
      <c r="Q130" s="125">
        <f>[1]节奏总纲!Q130</f>
        <v>5658.3523721232059</v>
      </c>
      <c r="R130" s="125">
        <f>[1]节奏总纲!R130</f>
        <v>4508.7188742949984</v>
      </c>
      <c r="S130" s="125">
        <f>[1]节奏总纲!S130</f>
        <v>3203.4058403025556</v>
      </c>
      <c r="T130" s="125">
        <f>[1]节奏总纲!T130</f>
        <v>1719.793166600645</v>
      </c>
      <c r="U130" s="125"/>
      <c r="V130" s="125">
        <v>127</v>
      </c>
      <c r="W130" s="125">
        <f>[1]节奏总纲!W130</f>
        <v>445.59657452368447</v>
      </c>
      <c r="X130" s="125">
        <f>[1]节奏总纲!X130</f>
        <v>378.97988663239357</v>
      </c>
      <c r="Y130" s="125">
        <f>[1]节奏总纲!Y130</f>
        <v>282.73793587977889</v>
      </c>
      <c r="Z130" s="125">
        <f>[1]节奏总纲!Z130</f>
        <v>196.55336296951691</v>
      </c>
      <c r="AA130" s="125">
        <f>[1]节奏总纲!AA130</f>
        <v>109.60007696358844</v>
      </c>
      <c r="AC130" s="107">
        <v>127</v>
      </c>
      <c r="AD130" s="107">
        <f>[1]节奏总纲!AD130</f>
        <v>70</v>
      </c>
      <c r="AE130" s="107">
        <f>[1]节奏总纲!AE130</f>
        <v>72.047345051940553</v>
      </c>
      <c r="AF130" s="107">
        <f>[1]节奏总纲!AF130</f>
        <v>74.956019773573217</v>
      </c>
      <c r="AG130" s="107">
        <f>[1]节奏总纲!AG130</f>
        <v>79.458980800600258</v>
      </c>
      <c r="AH130" s="107">
        <f>[1]节奏总纲!AH130</f>
        <v>88.51296561834485</v>
      </c>
      <c r="AZ130" s="107">
        <v>127</v>
      </c>
      <c r="BA130" s="107">
        <v>39.628525141348646</v>
      </c>
      <c r="BB130" s="107">
        <v>41.137758985590679</v>
      </c>
      <c r="BC130" s="107">
        <v>43.080106253688569</v>
      </c>
      <c r="BD130" s="107">
        <v>45.813450393445684</v>
      </c>
      <c r="BE130" s="107">
        <v>50</v>
      </c>
    </row>
    <row r="131" spans="6:57" x14ac:dyDescent="0.15">
      <c r="F131" s="125">
        <f>[1]节奏总纲!F131</f>
        <v>129</v>
      </c>
      <c r="G131" s="125">
        <f>[1]节奏总纲!G131</f>
        <v>7642.4062666695281</v>
      </c>
      <c r="N131" s="125">
        <f>[1]节奏总纲!N131</f>
        <v>138</v>
      </c>
      <c r="O131" s="125">
        <v>128</v>
      </c>
      <c r="P131" s="125">
        <f>[1]节奏总纲!P131</f>
        <v>7130.5502145218443</v>
      </c>
      <c r="Q131" s="125">
        <f>[1]节奏总纲!Q131</f>
        <v>6036.010756592741</v>
      </c>
      <c r="R131" s="125">
        <f>[1]节奏总纲!R131</f>
        <v>4805.9908445877236</v>
      </c>
      <c r="S131" s="125">
        <f>[1]节奏总纲!S131</f>
        <v>3419.0988278632244</v>
      </c>
      <c r="T131" s="125">
        <f>[1]节奏总纲!T131</f>
        <v>1838.9689003251838</v>
      </c>
      <c r="U131" s="125"/>
      <c r="V131" s="125">
        <v>128</v>
      </c>
      <c r="W131" s="125">
        <f>[1]节奏总纲!W131</f>
        <v>477.57858357157329</v>
      </c>
      <c r="X131" s="125">
        <f>[1]节奏总纲!X131</f>
        <v>377.65838446953512</v>
      </c>
      <c r="Y131" s="125">
        <f>[1]节奏总纲!Y131</f>
        <v>297.2719702927252</v>
      </c>
      <c r="Z131" s="125">
        <f>[1]节奏总纲!Z131</f>
        <v>215.69298756066883</v>
      </c>
      <c r="AA131" s="125">
        <f>[1]节奏总纲!AA131</f>
        <v>119.17573372453876</v>
      </c>
      <c r="AC131" s="107">
        <v>128</v>
      </c>
      <c r="AD131" s="107">
        <f>[1]节奏总纲!AD131</f>
        <v>70.108849423225877</v>
      </c>
      <c r="AE131" s="107">
        <f>[1]节奏总纲!AE131</f>
        <v>72.160540850040434</v>
      </c>
      <c r="AF131" s="107">
        <f>[1]节奏总纲!AF131</f>
        <v>75.067682921736733</v>
      </c>
      <c r="AG131" s="107">
        <f>[1]节奏总纲!AG131</f>
        <v>79.577107263351294</v>
      </c>
      <c r="AH131" s="107">
        <f>[1]节奏总纲!AH131</f>
        <v>88.6475303222837</v>
      </c>
      <c r="AZ131" s="107">
        <v>128</v>
      </c>
      <c r="BA131" s="107">
        <v>39.68255784806157</v>
      </c>
      <c r="BB131" s="107">
        <v>41.188041754455355</v>
      </c>
      <c r="BC131" s="107">
        <v>43.130035198268104</v>
      </c>
      <c r="BD131" s="107">
        <v>45.869242601500943</v>
      </c>
      <c r="BE131" s="107">
        <v>50</v>
      </c>
    </row>
    <row r="132" spans="6:57" x14ac:dyDescent="0.15">
      <c r="F132" s="125">
        <f>[1]节奏总纲!F132</f>
        <v>130</v>
      </c>
      <c r="G132" s="125">
        <f>[1]节奏总纲!G132</f>
        <v>8191</v>
      </c>
      <c r="N132" s="125">
        <f>[1]节奏总纲!N132</f>
        <v>139</v>
      </c>
      <c r="O132" s="125">
        <v>129</v>
      </c>
      <c r="P132" s="125">
        <f>[1]节奏总纲!P132</f>
        <v>7642.4062666695281</v>
      </c>
      <c r="Q132" s="125">
        <f>[1]节奏总纲!Q132</f>
        <v>6469.2969047357556</v>
      </c>
      <c r="R132" s="125">
        <f>[1]节奏总纲!R132</f>
        <v>5159.388470628599</v>
      </c>
      <c r="S132" s="125">
        <f>[1]节奏总纲!S132</f>
        <v>3676.7616548947103</v>
      </c>
      <c r="T132" s="125">
        <f>[1]节奏总纲!T132</f>
        <v>1975.5620199340731</v>
      </c>
      <c r="U132" s="125"/>
      <c r="V132" s="125">
        <v>129</v>
      </c>
      <c r="W132" s="125">
        <f>[1]节奏总纲!W132</f>
        <v>511.85605214768384</v>
      </c>
      <c r="X132" s="125">
        <f>[1]节奏总纲!X132</f>
        <v>433.28614814301454</v>
      </c>
      <c r="Y132" s="125">
        <f>[1]节奏总纲!Y132</f>
        <v>353.39762604087537</v>
      </c>
      <c r="Z132" s="125">
        <f>[1]节奏总纲!Z132</f>
        <v>257.6628270314859</v>
      </c>
      <c r="AA132" s="125">
        <f>[1]节奏总纲!AA132</f>
        <v>136.59311960888931</v>
      </c>
      <c r="AC132" s="107">
        <v>129</v>
      </c>
      <c r="AD132" s="107">
        <f>[1]节奏总纲!AD132</f>
        <v>70.217698846451768</v>
      </c>
      <c r="AE132" s="107">
        <f>[1]节奏总纲!AE132</f>
        <v>72.273736648140314</v>
      </c>
      <c r="AF132" s="107">
        <f>[1]节奏总纲!AF132</f>
        <v>75.177145912126889</v>
      </c>
      <c r="AG132" s="107">
        <f>[1]节奏总纲!AG132</f>
        <v>79.69523372610233</v>
      </c>
      <c r="AH132" s="107">
        <f>[1]节奏总纲!AH132</f>
        <v>88.782095026222549</v>
      </c>
      <c r="AZ132" s="107">
        <v>129</v>
      </c>
      <c r="BA132" s="107">
        <v>39.736590554774494</v>
      </c>
      <c r="BB132" s="107">
        <v>41.238324523320038</v>
      </c>
      <c r="BC132" s="107">
        <v>43.179964142847631</v>
      </c>
      <c r="BD132" s="107">
        <v>45.925034809556202</v>
      </c>
      <c r="BE132" s="107">
        <v>50</v>
      </c>
    </row>
    <row r="133" spans="6:57" x14ac:dyDescent="0.15">
      <c r="F133" s="125">
        <f>[1]节奏总纲!F133</f>
        <v>131</v>
      </c>
      <c r="G133" s="125">
        <f>[1]节奏总纲!G133</f>
        <v>8778.9682050973151</v>
      </c>
      <c r="N133" s="125">
        <f>[1]节奏总纲!N133</f>
        <v>140</v>
      </c>
      <c r="O133" s="125">
        <v>130</v>
      </c>
      <c r="P133" s="125">
        <f>[1]节奏总纲!P133</f>
        <v>8191</v>
      </c>
      <c r="Q133" s="125">
        <f>[1]节奏总纲!Q133</f>
        <v>6941.8725000000004</v>
      </c>
      <c r="R133" s="125">
        <f>[1]节奏总纲!R133</f>
        <v>5542.0306</v>
      </c>
      <c r="S133" s="125">
        <f>[1]节奏总纲!S133</f>
        <v>3951.3384000000001</v>
      </c>
      <c r="T133" s="125">
        <f>[1]节奏总纲!T133</f>
        <v>2124.7454000000002</v>
      </c>
      <c r="U133" s="125"/>
      <c r="V133" s="125">
        <v>130</v>
      </c>
      <c r="W133" s="125">
        <f>[1]节奏总纲!W133</f>
        <v>548.59373333047188</v>
      </c>
      <c r="X133" s="125">
        <f>[1]节奏总纲!X133</f>
        <v>472.57559526424484</v>
      </c>
      <c r="Y133" s="125">
        <f>[1]节奏总纲!Y133</f>
        <v>382.6421293714011</v>
      </c>
      <c r="Z133" s="125">
        <f>[1]节奏总纲!Z133</f>
        <v>274.57674510528977</v>
      </c>
      <c r="AA133" s="125">
        <f>[1]节奏总纲!AA133</f>
        <v>149.18338006592717</v>
      </c>
      <c r="AC133" s="107">
        <v>130</v>
      </c>
      <c r="AD133" s="107">
        <f>[1]节奏总纲!AD133</f>
        <v>70.326548269677644</v>
      </c>
      <c r="AE133" s="107">
        <f>[1]节奏总纲!AE133</f>
        <v>72.386932446240195</v>
      </c>
      <c r="AF133" s="107">
        <f>[1]节奏总纲!AF133</f>
        <v>75.286608902517045</v>
      </c>
      <c r="AG133" s="107">
        <f>[1]节奏总纲!AG133</f>
        <v>79.813360188853366</v>
      </c>
      <c r="AH133" s="107">
        <f>[1]节奏总纲!AH133</f>
        <v>88.916659730161399</v>
      </c>
      <c r="AZ133" s="107">
        <v>130</v>
      </c>
      <c r="BA133" s="107">
        <v>39.790623261487418</v>
      </c>
      <c r="BB133" s="107">
        <v>41.288607292184714</v>
      </c>
      <c r="BC133" s="107">
        <v>43.229893087427158</v>
      </c>
      <c r="BD133" s="107">
        <v>45.98082701761146</v>
      </c>
      <c r="BE133" s="107">
        <v>50</v>
      </c>
    </row>
    <row r="134" spans="6:57" x14ac:dyDescent="0.15">
      <c r="F134" s="125">
        <f>[1]节奏总纲!F134</f>
        <v>132</v>
      </c>
      <c r="G134" s="125">
        <f>[1]节奏总纲!G134</f>
        <v>9409.1369241357042</v>
      </c>
      <c r="N134" s="125">
        <f>[1]节奏总纲!N134</f>
        <v>141</v>
      </c>
      <c r="O134" s="125">
        <v>131</v>
      </c>
      <c r="P134" s="125">
        <f>[1]节奏总纲!P134</f>
        <v>8778.9682050973151</v>
      </c>
      <c r="Q134" s="125">
        <f>[1]节奏总纲!Q134</f>
        <v>7443.6871411020138</v>
      </c>
      <c r="R134" s="125">
        <f>[1]节奏总纲!R134</f>
        <v>5945.117268491902</v>
      </c>
      <c r="S134" s="125">
        <f>[1]节奏总纲!S134</f>
        <v>4244.6311271645518</v>
      </c>
      <c r="T134" s="125">
        <f>[1]节奏总纲!T134</f>
        <v>2275.5085587612239</v>
      </c>
      <c r="U134" s="125"/>
      <c r="V134" s="125">
        <v>131</v>
      </c>
      <c r="W134" s="125">
        <f>[1]节奏总纲!W134</f>
        <v>587.96820509731515</v>
      </c>
      <c r="X134" s="125">
        <f>[1]节奏总纲!X134</f>
        <v>501.81464110201341</v>
      </c>
      <c r="Y134" s="125">
        <f>[1]节奏总纲!Y134</f>
        <v>403.08666849190195</v>
      </c>
      <c r="Z134" s="125">
        <f>[1]节奏总纲!Z134</f>
        <v>293.29272716455171</v>
      </c>
      <c r="AA134" s="125">
        <f>[1]节奏总纲!AA134</f>
        <v>150.76315876122362</v>
      </c>
      <c r="AC134" s="107">
        <v>131</v>
      </c>
      <c r="AD134" s="107">
        <f>[1]节奏总纲!AD134</f>
        <v>70.435397692903535</v>
      </c>
      <c r="AE134" s="107">
        <f>[1]节奏总纲!AE134</f>
        <v>72.50012824434009</v>
      </c>
      <c r="AF134" s="107">
        <f>[1]节奏总纲!AF134</f>
        <v>75.396071892907202</v>
      </c>
      <c r="AG134" s="107">
        <f>[1]节奏总纲!AG134</f>
        <v>79.931486651604402</v>
      </c>
      <c r="AH134" s="107">
        <f>[1]节奏总纲!AH134</f>
        <v>89.048420729369383</v>
      </c>
      <c r="AZ134" s="107">
        <v>131</v>
      </c>
      <c r="BA134" s="107">
        <v>39.844655968200342</v>
      </c>
      <c r="BB134" s="107">
        <v>41.338890061049398</v>
      </c>
      <c r="BC134" s="107">
        <v>43.279822032006692</v>
      </c>
      <c r="BD134" s="107">
        <v>46.031609894814238</v>
      </c>
      <c r="BE134" s="107">
        <v>50</v>
      </c>
    </row>
    <row r="135" spans="6:57" x14ac:dyDescent="0.15">
      <c r="F135" s="125">
        <f>[1]节奏总纲!F135</f>
        <v>133</v>
      </c>
      <c r="G135" s="125">
        <f>[1]节奏总纲!G135</f>
        <v>10084.535034121556</v>
      </c>
      <c r="N135" s="125">
        <f>[1]节奏总纲!N135</f>
        <v>142</v>
      </c>
      <c r="O135" s="125">
        <v>132</v>
      </c>
      <c r="P135" s="125">
        <f>[1]节奏总纲!P135</f>
        <v>9409.1369241357042</v>
      </c>
      <c r="Q135" s="125">
        <f>[1]节奏总纲!Q135</f>
        <v>7983.6526801291457</v>
      </c>
      <c r="R135" s="125">
        <f>[1]节奏总纲!R135</f>
        <v>6385.9812304109018</v>
      </c>
      <c r="S135" s="125">
        <f>[1]节奏总纲!S135</f>
        <v>4544.6131343575453</v>
      </c>
      <c r="T135" s="125">
        <f>[1]节奏总纲!T135</f>
        <v>2431.3209811966663</v>
      </c>
      <c r="U135" s="125"/>
      <c r="V135" s="125">
        <v>132</v>
      </c>
      <c r="W135" s="125">
        <f>[1]节奏总纲!W135</f>
        <v>630.1687190383891</v>
      </c>
      <c r="X135" s="125">
        <f>[1]节奏总纲!X135</f>
        <v>539.96553902713185</v>
      </c>
      <c r="Y135" s="125">
        <f>[1]节奏总纲!Y135</f>
        <v>440.86396191899985</v>
      </c>
      <c r="Z135" s="125">
        <f>[1]节奏总纲!Z135</f>
        <v>299.98200719299348</v>
      </c>
      <c r="AA135" s="125">
        <f>[1]节奏总纲!AA135</f>
        <v>155.81242243544239</v>
      </c>
      <c r="AC135" s="107">
        <v>132</v>
      </c>
      <c r="AD135" s="107">
        <f>[1]节奏总纲!AD135</f>
        <v>70.544247116129412</v>
      </c>
      <c r="AE135" s="107">
        <f>[1]节奏总纲!AE135</f>
        <v>72.61332404243997</v>
      </c>
      <c r="AF135" s="107">
        <f>[1]节奏总纲!AF135</f>
        <v>75.505534883297358</v>
      </c>
      <c r="AG135" s="107">
        <f>[1]节奏总纲!AG135</f>
        <v>80.045750258986601</v>
      </c>
      <c r="AH135" s="107">
        <f>[1]节奏总纲!AH135</f>
        <v>89.175620204122851</v>
      </c>
      <c r="AZ135" s="107">
        <v>132</v>
      </c>
      <c r="BA135" s="107">
        <v>39.898688674913267</v>
      </c>
      <c r="BB135" s="107">
        <v>41.389172829914081</v>
      </c>
      <c r="BC135" s="107">
        <v>43.329750976586219</v>
      </c>
      <c r="BD135" s="107">
        <v>46.079770001861057</v>
      </c>
      <c r="BE135" s="107">
        <v>50</v>
      </c>
    </row>
    <row r="136" spans="6:57" x14ac:dyDescent="0.15">
      <c r="F136" s="125">
        <f>[1]节奏总纲!F136</f>
        <v>134</v>
      </c>
      <c r="G136" s="125">
        <f>[1]节奏总纲!G136</f>
        <v>10808.408805051544</v>
      </c>
      <c r="N136" s="125">
        <f>[1]节奏总纲!N136</f>
        <v>143</v>
      </c>
      <c r="O136" s="125">
        <v>133</v>
      </c>
      <c r="P136" s="125">
        <f>[1]节奏总纲!P136</f>
        <v>10084.535034121556</v>
      </c>
      <c r="Q136" s="125">
        <f>[1]节奏总纲!Q136</f>
        <v>8562.7786974726132</v>
      </c>
      <c r="R136" s="125">
        <f>[1]节奏总纲!R136</f>
        <v>6827.2302181002942</v>
      </c>
      <c r="S136" s="125">
        <f>[1]节奏总纲!S136</f>
        <v>4847.6359909022322</v>
      </c>
      <c r="T136" s="125">
        <f>[1]节奏总纲!T136</f>
        <v>2595.759317782889</v>
      </c>
      <c r="U136" s="125"/>
      <c r="V136" s="125">
        <v>133</v>
      </c>
      <c r="W136" s="125">
        <f>[1]节奏总纲!W136</f>
        <v>675.39810998585199</v>
      </c>
      <c r="X136" s="125">
        <f>[1]节奏总纲!X136</f>
        <v>579.12601734346754</v>
      </c>
      <c r="Y136" s="125">
        <f>[1]节奏总纲!Y136</f>
        <v>441.24898768939238</v>
      </c>
      <c r="Z136" s="125">
        <f>[1]节奏总纲!Z136</f>
        <v>303.02285654468687</v>
      </c>
      <c r="AA136" s="125">
        <f>[1]节奏总纲!AA136</f>
        <v>164.4383365862227</v>
      </c>
      <c r="AC136" s="107">
        <v>133</v>
      </c>
      <c r="AD136" s="107">
        <f>[1]节奏总纲!AD136</f>
        <v>70.653096539355303</v>
      </c>
      <c r="AE136" s="107">
        <f>[1]节奏总纲!AE136</f>
        <v>72.726519840539851</v>
      </c>
      <c r="AF136" s="107">
        <f>[1]节奏总纲!AF136</f>
        <v>75.614997873687514</v>
      </c>
      <c r="AG136" s="107">
        <f>[1]节奏总纲!AG136</f>
        <v>80.154679447049915</v>
      </c>
      <c r="AH136" s="107">
        <f>[1]节奏总纲!AH136</f>
        <v>89.302819678876304</v>
      </c>
      <c r="AZ136" s="107">
        <v>133</v>
      </c>
      <c r="BA136" s="107">
        <v>39.952721381626191</v>
      </c>
      <c r="BB136" s="107">
        <v>41.439455598778757</v>
      </c>
      <c r="BC136" s="107">
        <v>43.379679921165753</v>
      </c>
      <c r="BD136" s="107">
        <v>46.127930108907876</v>
      </c>
      <c r="BE136" s="107">
        <v>50</v>
      </c>
    </row>
    <row r="137" spans="6:57" x14ac:dyDescent="0.15">
      <c r="F137" s="125">
        <f>[1]节奏总纲!F137</f>
        <v>135</v>
      </c>
      <c r="G137" s="125">
        <f>[1]节奏总纲!G137</f>
        <v>11584.237502960397</v>
      </c>
      <c r="N137" s="125">
        <f>[1]节奏总纲!N137</f>
        <v>144</v>
      </c>
      <c r="O137" s="125">
        <v>134</v>
      </c>
      <c r="P137" s="125">
        <f>[1]节奏总纲!P137</f>
        <v>10808.408805051544</v>
      </c>
      <c r="Q137" s="125">
        <f>[1]节奏总纲!Q137</f>
        <v>9151.4797352371424</v>
      </c>
      <c r="R137" s="125">
        <f>[1]节奏总纲!R137</f>
        <v>7283.7866937242361</v>
      </c>
      <c r="S137" s="125">
        <f>[1]节奏总纲!S137</f>
        <v>5175.0661358586794</v>
      </c>
      <c r="T137" s="125">
        <f>[1]节奏总纲!T137</f>
        <v>2775.5993811372364</v>
      </c>
      <c r="U137" s="125"/>
      <c r="V137" s="125">
        <v>134</v>
      </c>
      <c r="W137" s="125">
        <f>[1]节奏总纲!W137</f>
        <v>723.87377092998759</v>
      </c>
      <c r="X137" s="125">
        <f>[1]节奏总纲!X137</f>
        <v>588.70103776452925</v>
      </c>
      <c r="Y137" s="125">
        <f>[1]节奏总纲!Y137</f>
        <v>456.55647562394188</v>
      </c>
      <c r="Z137" s="125">
        <f>[1]节奏总纲!Z137</f>
        <v>327.43014495644729</v>
      </c>
      <c r="AA137" s="125">
        <f>[1]节奏总纲!AA137</f>
        <v>179.84006335434742</v>
      </c>
      <c r="AC137" s="107">
        <v>134</v>
      </c>
      <c r="AD137" s="107">
        <f>[1]节奏总纲!AD137</f>
        <v>70.76194596258118</v>
      </c>
      <c r="AE137" s="107">
        <f>[1]节奏总纲!AE137</f>
        <v>72.839715638639731</v>
      </c>
      <c r="AF137" s="107">
        <f>[1]节奏总纲!AF137</f>
        <v>75.72446086407767</v>
      </c>
      <c r="AG137" s="107">
        <f>[1]节奏总纲!AG137</f>
        <v>80.263608635113243</v>
      </c>
      <c r="AH137" s="107">
        <f>[1]节奏总纲!AH137</f>
        <v>89.430019153629758</v>
      </c>
      <c r="AZ137" s="107">
        <v>134</v>
      </c>
      <c r="BA137" s="107">
        <v>40.005827399112476</v>
      </c>
      <c r="BB137" s="107">
        <v>41.48973836764344</v>
      </c>
      <c r="BC137" s="107">
        <v>43.42960886574528</v>
      </c>
      <c r="BD137" s="107">
        <v>46.176090215954694</v>
      </c>
      <c r="BE137" s="107">
        <v>50</v>
      </c>
    </row>
    <row r="138" spans="6:57" x14ac:dyDescent="0.15">
      <c r="F138" s="125">
        <f>[1]节奏总纲!F138</f>
        <v>136</v>
      </c>
      <c r="G138" s="125">
        <f>[1]节奏总纲!G138</f>
        <v>12415.750112853173</v>
      </c>
      <c r="N138" s="125">
        <f>[1]节奏总纲!N138</f>
        <v>145</v>
      </c>
      <c r="O138" s="125">
        <v>135</v>
      </c>
      <c r="P138" s="125">
        <f>[1]节奏总纲!P138</f>
        <v>11584.237502960397</v>
      </c>
      <c r="Q138" s="125">
        <f>[1]节奏总纲!Q138</f>
        <v>9796.789656253608</v>
      </c>
      <c r="R138" s="125">
        <f>[1]节奏总纲!R138</f>
        <v>7796.1918394923478</v>
      </c>
      <c r="S138" s="125">
        <f>[1]节奏总纲!S138</f>
        <v>5548.8497639180305</v>
      </c>
      <c r="T138" s="125">
        <f>[1]节奏总纲!T138</f>
        <v>2979.465885761414</v>
      </c>
      <c r="U138" s="125"/>
      <c r="V138" s="125">
        <v>135</v>
      </c>
      <c r="W138" s="125">
        <f>[1]节奏总纲!W138</f>
        <v>775.82869790885343</v>
      </c>
      <c r="X138" s="125">
        <f>[1]节奏总纲!X138</f>
        <v>645.30992101646552</v>
      </c>
      <c r="Y138" s="125">
        <f>[1]节奏总纲!Y138</f>
        <v>512.40514576811165</v>
      </c>
      <c r="Z138" s="125">
        <f>[1]节奏总纲!Z138</f>
        <v>373.78362805935103</v>
      </c>
      <c r="AA138" s="125">
        <f>[1]节奏总纲!AA138</f>
        <v>203.86650462417765</v>
      </c>
      <c r="AC138" s="107">
        <v>135</v>
      </c>
      <c r="AD138" s="107">
        <f>[1]节奏总纲!AD138</f>
        <v>70.870795385807057</v>
      </c>
      <c r="AE138" s="107">
        <f>[1]节奏总纲!AE138</f>
        <v>72.952911436739612</v>
      </c>
      <c r="AF138" s="107">
        <f>[1]节奏总纲!AF138</f>
        <v>75.833923854467812</v>
      </c>
      <c r="AG138" s="107">
        <f>[1]节奏总纲!AG138</f>
        <v>80.372537823176572</v>
      </c>
      <c r="AH138" s="107">
        <f>[1]节奏总纲!AH138</f>
        <v>89.557218628383211</v>
      </c>
      <c r="AZ138" s="107">
        <v>135</v>
      </c>
      <c r="BA138" s="107">
        <v>40.052446592012309</v>
      </c>
      <c r="BB138" s="107">
        <v>41.540021136508116</v>
      </c>
      <c r="BC138" s="107">
        <v>43.479537810324814</v>
      </c>
      <c r="BD138" s="107">
        <v>46.224250323001513</v>
      </c>
      <c r="BE138" s="107">
        <v>50</v>
      </c>
    </row>
    <row r="139" spans="6:57" x14ac:dyDescent="0.15">
      <c r="F139" s="125">
        <f>[1]节奏总纲!F139</f>
        <v>137</v>
      </c>
      <c r="G139" s="125">
        <f>[1]节奏总纲!G139</f>
        <v>13306.943261900544</v>
      </c>
      <c r="N139" s="125">
        <f>[1]节奏总纲!N139</f>
        <v>146</v>
      </c>
      <c r="O139" s="125">
        <v>136</v>
      </c>
      <c r="P139" s="125">
        <f>[1]节奏总纲!P139</f>
        <v>12415.750112853173</v>
      </c>
      <c r="Q139" s="125">
        <f>[1]节奏总纲!Q139</f>
        <v>10507.449320507641</v>
      </c>
      <c r="R139" s="125">
        <f>[1]节奏总纲!R139</f>
        <v>8384.3560512097483</v>
      </c>
      <c r="S139" s="125">
        <f>[1]节奏总纲!S139</f>
        <v>5967.009504237235</v>
      </c>
      <c r="T139" s="125">
        <f>[1]节奏总纲!T139</f>
        <v>3204.5051041274041</v>
      </c>
      <c r="U139" s="125"/>
      <c r="V139" s="125">
        <v>136</v>
      </c>
      <c r="W139" s="125">
        <f>[1]节奏总纲!W139</f>
        <v>831.5126098927758</v>
      </c>
      <c r="X139" s="125">
        <f>[1]节奏总纲!X139</f>
        <v>710.65966425403349</v>
      </c>
      <c r="Y139" s="125">
        <f>[1]节奏总纲!Y139</f>
        <v>588.16421171740058</v>
      </c>
      <c r="Z139" s="125">
        <f>[1]节奏总纲!Z139</f>
        <v>418.1597403192045</v>
      </c>
      <c r="AA139" s="125">
        <f>[1]节奏总纲!AA139</f>
        <v>225.03921836599011</v>
      </c>
      <c r="AC139" s="107">
        <v>136</v>
      </c>
      <c r="AD139" s="107">
        <f>[1]节奏总纲!AD139</f>
        <v>70.979644809032948</v>
      </c>
      <c r="AE139" s="107">
        <f>[1]节奏总纲!AE139</f>
        <v>73.059911975288244</v>
      </c>
      <c r="AF139" s="107">
        <f>[1]节奏总纲!AF139</f>
        <v>75.943386844857969</v>
      </c>
      <c r="AG139" s="107">
        <f>[1]节奏总纲!AG139</f>
        <v>80.4814670112399</v>
      </c>
      <c r="AH139" s="107">
        <f>[1]节奏总纲!AH139</f>
        <v>89.684418103136665</v>
      </c>
      <c r="AZ139" s="107">
        <v>136</v>
      </c>
      <c r="BA139" s="107">
        <v>40.099065784912149</v>
      </c>
      <c r="BB139" s="107">
        <v>41.590303905372799</v>
      </c>
      <c r="BC139" s="107">
        <v>43.529466754904341</v>
      </c>
      <c r="BD139" s="107">
        <v>46.272410430048332</v>
      </c>
      <c r="BE139" s="107">
        <v>50</v>
      </c>
    </row>
    <row r="140" spans="6:57" x14ac:dyDescent="0.15">
      <c r="F140" s="125">
        <f>[1]节奏总纲!F140</f>
        <v>138</v>
      </c>
      <c r="G140" s="125">
        <f>[1]节奏总纲!G140</f>
        <v>14262.10042904369</v>
      </c>
      <c r="N140" s="125">
        <f>[1]节奏总纲!N140</f>
        <v>147</v>
      </c>
      <c r="O140" s="125">
        <v>137</v>
      </c>
      <c r="P140" s="125">
        <f>[1]节奏总纲!P140</f>
        <v>13306.943261900544</v>
      </c>
      <c r="Q140" s="125">
        <f>[1]节奏总纲!Q140</f>
        <v>11274.973025808331</v>
      </c>
      <c r="R140" s="125">
        <f>[1]节奏总纲!R140</f>
        <v>8995.4936450447676</v>
      </c>
      <c r="S140" s="125">
        <f>[1]节奏总纲!S140</f>
        <v>6407.293180605112</v>
      </c>
      <c r="T140" s="125">
        <f>[1]节奏总纲!T140</f>
        <v>3438.5141388751008</v>
      </c>
      <c r="U140" s="125"/>
      <c r="V140" s="125">
        <v>137</v>
      </c>
      <c r="W140" s="125">
        <f>[1]节奏总纲!W140</f>
        <v>891.19314904737075</v>
      </c>
      <c r="X140" s="125">
        <f>[1]节奏总纲!X140</f>
        <v>767.52370530068947</v>
      </c>
      <c r="Y140" s="125">
        <f>[1]节奏总纲!Y140</f>
        <v>611.13759383501929</v>
      </c>
      <c r="Z140" s="125">
        <f>[1]节奏总纲!Z140</f>
        <v>440.28367636787698</v>
      </c>
      <c r="AA140" s="125">
        <f>[1]节奏总纲!AA140</f>
        <v>234.00903474769666</v>
      </c>
      <c r="AC140" s="107">
        <v>137</v>
      </c>
      <c r="AD140" s="107">
        <f>[1]节奏总纲!AD140</f>
        <v>71.082568038258202</v>
      </c>
      <c r="AE140" s="107">
        <f>[1]节奏总纲!AE140</f>
        <v>73.162499594857536</v>
      </c>
      <c r="AF140" s="107">
        <f>[1]节奏总纲!AF140</f>
        <v>76.048210495050611</v>
      </c>
      <c r="AG140" s="107">
        <f>[1]节奏总纲!AG140</f>
        <v>80.590396199303228</v>
      </c>
      <c r="AH140" s="107">
        <f>[1]节奏总纲!AH140</f>
        <v>89.811617577890132</v>
      </c>
      <c r="AZ140" s="107">
        <v>137</v>
      </c>
      <c r="BA140" s="107">
        <v>40.145684977811982</v>
      </c>
      <c r="BB140" s="107">
        <v>41.640586674237483</v>
      </c>
      <c r="BC140" s="107">
        <v>43.579395699483875</v>
      </c>
      <c r="BD140" s="107">
        <v>46.320570537095151</v>
      </c>
      <c r="BE140" s="107">
        <v>50</v>
      </c>
    </row>
    <row r="141" spans="6:57" x14ac:dyDescent="0.15">
      <c r="F141" s="125">
        <f>[1]节奏总纲!F141</f>
        <v>139</v>
      </c>
      <c r="G141" s="125">
        <f>[1]节奏总纲!G141</f>
        <v>15285.812533339058</v>
      </c>
      <c r="N141" s="125">
        <f>[1]节奏总纲!N141</f>
        <v>148</v>
      </c>
      <c r="O141" s="125">
        <v>138</v>
      </c>
      <c r="P141" s="125">
        <f>[1]节奏总纲!P141</f>
        <v>14262.10042904369</v>
      </c>
      <c r="Q141" s="125">
        <f>[1]节奏总纲!Q141</f>
        <v>12084.27769352872</v>
      </c>
      <c r="R141" s="125">
        <f>[1]节奏总纲!R141</f>
        <v>9648.3109402480568</v>
      </c>
      <c r="S141" s="125">
        <f>[1]节奏总纲!S141</f>
        <v>6871.4799867132497</v>
      </c>
      <c r="T141" s="125">
        <f>[1]节奏总纲!T141</f>
        <v>3671.064650435846</v>
      </c>
      <c r="U141" s="125"/>
      <c r="V141" s="125">
        <v>138</v>
      </c>
      <c r="W141" s="125">
        <f>[1]节奏总纲!W141</f>
        <v>955.15716714314658</v>
      </c>
      <c r="X141" s="125">
        <f>[1]节奏总纲!X141</f>
        <v>809.30466772038926</v>
      </c>
      <c r="Y141" s="125">
        <f>[1]节奏总纲!Y141</f>
        <v>652.81729520328918</v>
      </c>
      <c r="Z141" s="125">
        <f>[1]节奏总纲!Z141</f>
        <v>464.18680610813772</v>
      </c>
      <c r="AA141" s="125">
        <f>[1]节奏总纲!AA141</f>
        <v>232.55051156074524</v>
      </c>
      <c r="AC141" s="107">
        <v>138</v>
      </c>
      <c r="AD141" s="107">
        <f>[1]节奏总纲!AD141</f>
        <v>71.184128141237707</v>
      </c>
      <c r="AE141" s="107">
        <f>[1]节奏总纲!AE141</f>
        <v>73.265087214426828</v>
      </c>
      <c r="AF141" s="107">
        <f>[1]节奏总纲!AF141</f>
        <v>76.148064447889894</v>
      </c>
      <c r="AG141" s="107">
        <f>[1]节奏总纲!AG141</f>
        <v>80.699325387366557</v>
      </c>
      <c r="AH141" s="107">
        <f>[1]节奏总纲!AH141</f>
        <v>89.938817052643586</v>
      </c>
      <c r="AZ141" s="107">
        <v>138</v>
      </c>
      <c r="BA141" s="107">
        <v>40.192304170711814</v>
      </c>
      <c r="BB141" s="107">
        <v>41.690869443102159</v>
      </c>
      <c r="BC141" s="107">
        <v>43.629324644063402</v>
      </c>
      <c r="BD141" s="107">
        <v>46.368730644141969</v>
      </c>
      <c r="BE141" s="107">
        <v>50</v>
      </c>
    </row>
    <row r="142" spans="6:57" x14ac:dyDescent="0.15">
      <c r="F142" s="125">
        <f>[1]节奏总纲!F142</f>
        <v>140</v>
      </c>
      <c r="G142" s="125">
        <f>[1]节奏总纲!G142</f>
        <v>16383</v>
      </c>
      <c r="N142" s="125">
        <f>[1]节奏总纲!N142</f>
        <v>149</v>
      </c>
      <c r="O142" s="125">
        <v>139</v>
      </c>
      <c r="P142" s="125">
        <f>[1]节奏总纲!P142</f>
        <v>15285.812533339058</v>
      </c>
      <c r="Q142" s="125">
        <f>[1]节奏总纲!Q142</f>
        <v>12957.783284511519</v>
      </c>
      <c r="R142" s="125">
        <f>[1]节奏总纲!R142</f>
        <v>10342.380760057207</v>
      </c>
      <c r="S142" s="125">
        <f>[1]节奏总纲!S142</f>
        <v>7335.6614347494142</v>
      </c>
      <c r="T142" s="125">
        <f>[1]节奏总纲!T142</f>
        <v>3920.8109148014687</v>
      </c>
      <c r="U142" s="125"/>
      <c r="V142" s="125">
        <v>139</v>
      </c>
      <c r="W142" s="125">
        <f>[1]节奏总纲!W142</f>
        <v>1023.7121042953677</v>
      </c>
      <c r="X142" s="125">
        <f>[1]节奏总纲!X142</f>
        <v>873.50559098279882</v>
      </c>
      <c r="Y142" s="125">
        <f>[1]节奏总纲!Y142</f>
        <v>694.06981980915043</v>
      </c>
      <c r="Z142" s="125">
        <f>[1]节奏总纲!Z142</f>
        <v>464.18144803616451</v>
      </c>
      <c r="AA142" s="125">
        <f>[1]节奏总纲!AA142</f>
        <v>249.74626436562266</v>
      </c>
      <c r="AC142" s="107">
        <v>139</v>
      </c>
      <c r="AD142" s="107">
        <f>[1]节奏总纲!AD142</f>
        <v>71.285688244217212</v>
      </c>
      <c r="AE142" s="107">
        <f>[1]节奏总纲!AE142</f>
        <v>73.367674833996119</v>
      </c>
      <c r="AF142" s="107">
        <f>[1]节奏总纲!AF142</f>
        <v>76.247918400729162</v>
      </c>
      <c r="AG142" s="107">
        <f>[1]节奏总纲!AG142</f>
        <v>80.808254575429885</v>
      </c>
      <c r="AH142" s="107">
        <f>[1]节奏总纲!AH142</f>
        <v>90.055148444912135</v>
      </c>
      <c r="AZ142" s="107">
        <v>139</v>
      </c>
      <c r="BA142" s="107">
        <v>40.238923363611647</v>
      </c>
      <c r="BB142" s="107">
        <v>41.741152211966842</v>
      </c>
      <c r="BC142" s="107">
        <v>43.679253588642929</v>
      </c>
      <c r="BD142" s="107">
        <v>46.416890751188788</v>
      </c>
      <c r="BE142" s="107">
        <v>50</v>
      </c>
    </row>
    <row r="143" spans="6:57" x14ac:dyDescent="0.15">
      <c r="F143" s="125">
        <f>[1]节奏总纲!F143</f>
        <v>141</v>
      </c>
      <c r="G143" s="125">
        <f>[1]节奏总纲!G143</f>
        <v>17558.936410194601</v>
      </c>
      <c r="N143" s="125">
        <f>[1]节奏总纲!N143</f>
        <v>150</v>
      </c>
      <c r="O143" s="125">
        <v>140</v>
      </c>
      <c r="P143" s="125">
        <f>[1]节奏总纲!P143</f>
        <v>16383</v>
      </c>
      <c r="Q143" s="125">
        <f>[1]节奏总纲!Q143</f>
        <v>13881.315900000001</v>
      </c>
      <c r="R143" s="125">
        <f>[1]节奏总纲!R143</f>
        <v>11037.2271</v>
      </c>
      <c r="S143" s="125">
        <f>[1]节奏总纲!S143</f>
        <v>7827.7974000000004</v>
      </c>
      <c r="T143" s="125">
        <f>[1]节奏总纲!T143</f>
        <v>4192.4097000000002</v>
      </c>
      <c r="U143" s="125"/>
      <c r="V143" s="125">
        <v>140</v>
      </c>
      <c r="W143" s="125">
        <f>[1]节奏总纲!W143</f>
        <v>1097.1874666609419</v>
      </c>
      <c r="X143" s="125">
        <f>[1]节奏总纲!X143</f>
        <v>923.53261548848241</v>
      </c>
      <c r="Y143" s="125">
        <f>[1]节奏总纲!Y143</f>
        <v>694.84633994279284</v>
      </c>
      <c r="Z143" s="125">
        <f>[1]节奏总纲!Z143</f>
        <v>492.1359652505862</v>
      </c>
      <c r="AA143" s="125">
        <f>[1]节奏总纲!AA143</f>
        <v>271.59878519853146</v>
      </c>
      <c r="AC143" s="107">
        <v>140</v>
      </c>
      <c r="AD143" s="107">
        <f>[1]节奏总纲!AD143</f>
        <v>71.387248347196717</v>
      </c>
      <c r="AE143" s="107">
        <f>[1]节奏总纲!AE143</f>
        <v>73.470262453565411</v>
      </c>
      <c r="AF143" s="107">
        <f>[1]节奏总纲!AF143</f>
        <v>76.347772353568445</v>
      </c>
      <c r="AG143" s="107">
        <f>[1]节奏总纲!AG143</f>
        <v>80.917183763493213</v>
      </c>
      <c r="AH143" s="107">
        <f>[1]节奏总纲!AH143</f>
        <v>90.16140749098561</v>
      </c>
      <c r="AZ143" s="107">
        <v>140</v>
      </c>
      <c r="BA143" s="107">
        <v>40.28554255651148</v>
      </c>
      <c r="BB143" s="107">
        <v>41.791434980831518</v>
      </c>
      <c r="BC143" s="107">
        <v>43.729182533222463</v>
      </c>
      <c r="BD143" s="107">
        <v>46.465050858235607</v>
      </c>
      <c r="BE143" s="107">
        <v>50</v>
      </c>
    </row>
    <row r="144" spans="6:57" x14ac:dyDescent="0.15">
      <c r="F144" s="125">
        <f>[1]节奏总纲!F144</f>
        <v>142</v>
      </c>
      <c r="G144" s="125">
        <f>[1]节奏总纲!G144</f>
        <v>18819.273848271412</v>
      </c>
      <c r="N144" s="125">
        <f>[1]节奏总纲!N144</f>
        <v>151</v>
      </c>
      <c r="O144" s="125">
        <v>141</v>
      </c>
      <c r="P144" s="125">
        <f>[1]节奏总纲!P144</f>
        <v>17558.936410194601</v>
      </c>
      <c r="Q144" s="125">
        <f>[1]节奏总纲!Q144</f>
        <v>14839.057160255457</v>
      </c>
      <c r="R144" s="125">
        <f>[1]节奏总纲!R144</f>
        <v>11789.069905804656</v>
      </c>
      <c r="S144" s="125">
        <f>[1]节奏总纲!S144</f>
        <v>8380.8803485858825</v>
      </c>
      <c r="T144" s="125">
        <f>[1]节奏总纲!T144</f>
        <v>4489.820040086759</v>
      </c>
      <c r="U144" s="125"/>
      <c r="V144" s="125">
        <v>141</v>
      </c>
      <c r="W144" s="125">
        <f>[1]节奏总纲!W144</f>
        <v>1175.9364101946012</v>
      </c>
      <c r="X144" s="125">
        <f>[1]节奏总纲!X144</f>
        <v>957.74126025545593</v>
      </c>
      <c r="Y144" s="125">
        <f>[1]节奏总纲!Y144</f>
        <v>751.84280580465565</v>
      </c>
      <c r="Z144" s="125">
        <f>[1]节奏总纲!Z144</f>
        <v>553.08294858588215</v>
      </c>
      <c r="AA144" s="125">
        <f>[1]节奏总纲!AA144</f>
        <v>297.41034008675888</v>
      </c>
      <c r="AC144" s="107">
        <v>141</v>
      </c>
      <c r="AD144" s="107">
        <f>[1]节奏总纲!AD144</f>
        <v>71.488808450176208</v>
      </c>
      <c r="AE144" s="107">
        <f>[1]节奏总纲!AE144</f>
        <v>73.572850073134703</v>
      </c>
      <c r="AF144" s="107">
        <f>[1]节奏总纲!AF144</f>
        <v>76.447626306407713</v>
      </c>
      <c r="AG144" s="107">
        <f>[1]节奏总纲!AG144</f>
        <v>81.023848662825003</v>
      </c>
      <c r="AH144" s="107">
        <f>[1]节奏总纲!AH144</f>
        <v>90.267666537059071</v>
      </c>
      <c r="AZ144" s="107">
        <v>141</v>
      </c>
      <c r="BA144" s="107">
        <v>40.332161749411313</v>
      </c>
      <c r="BB144" s="107">
        <v>41.841717749696201</v>
      </c>
      <c r="BC144" s="107">
        <v>43.77911147780199</v>
      </c>
      <c r="BD144" s="107">
        <v>46.513210965282425</v>
      </c>
      <c r="BE144" s="107">
        <v>50</v>
      </c>
    </row>
    <row r="145" spans="6:57" x14ac:dyDescent="0.15">
      <c r="F145" s="125">
        <f>[1]节奏总纲!F145</f>
        <v>143</v>
      </c>
      <c r="G145" s="125">
        <f>[1]节奏总纲!G145</f>
        <v>20170.070068243116</v>
      </c>
      <c r="N145" s="125">
        <f>[1]节奏总纲!N145</f>
        <v>152</v>
      </c>
      <c r="O145" s="125">
        <v>142</v>
      </c>
      <c r="P145" s="125">
        <f>[1]节奏总纲!P145</f>
        <v>18819.273848271412</v>
      </c>
      <c r="Q145" s="125">
        <f>[1]节奏总纲!Q145</f>
        <v>15904.16832917417</v>
      </c>
      <c r="R145" s="125">
        <f>[1]节奏总纲!R145</f>
        <v>12667.253227271489</v>
      </c>
      <c r="S145" s="125">
        <f>[1]节奏总纲!S145</f>
        <v>9003.140609013044</v>
      </c>
      <c r="T145" s="125">
        <f>[1]节奏总纲!T145</f>
        <v>4823.3798873119622</v>
      </c>
      <c r="U145" s="125"/>
      <c r="V145" s="125">
        <v>142</v>
      </c>
      <c r="W145" s="125">
        <f>[1]节奏总纲!W145</f>
        <v>1260.3374380768109</v>
      </c>
      <c r="X145" s="125">
        <f>[1]节奏总纲!X145</f>
        <v>1065.1111689187128</v>
      </c>
      <c r="Y145" s="125">
        <f>[1]节奏总纲!Y145</f>
        <v>878.18332146683315</v>
      </c>
      <c r="Z145" s="125">
        <f>[1]节奏总纲!Z145</f>
        <v>622.26026042716148</v>
      </c>
      <c r="AA145" s="125">
        <f>[1]节奏总纲!AA145</f>
        <v>333.55984722520316</v>
      </c>
      <c r="AC145" s="107">
        <v>142</v>
      </c>
      <c r="AD145" s="107">
        <f>[1]节奏总纲!AD145</f>
        <v>71.590368553155713</v>
      </c>
      <c r="AE145" s="107">
        <f>[1]节奏总纲!AE145</f>
        <v>73.675437692703994</v>
      </c>
      <c r="AF145" s="107">
        <f>[1]节奏总纲!AF145</f>
        <v>76.547480259246996</v>
      </c>
      <c r="AG145" s="107">
        <f>[1]节奏总纲!AG145</f>
        <v>81.123332456233015</v>
      </c>
      <c r="AH145" s="107">
        <f>[1]节奏总纲!AH145</f>
        <v>90.373925583132547</v>
      </c>
      <c r="AZ145" s="107">
        <v>142</v>
      </c>
      <c r="BA145" s="107">
        <v>40.378780942311145</v>
      </c>
      <c r="BB145" s="107">
        <v>41.892000518560877</v>
      </c>
      <c r="BC145" s="107">
        <v>43.829040422381524</v>
      </c>
      <c r="BD145" s="107">
        <v>46.561371072329244</v>
      </c>
      <c r="BE145" s="107">
        <v>50</v>
      </c>
    </row>
    <row r="146" spans="6:57" x14ac:dyDescent="0.15">
      <c r="F146" s="125">
        <f>[1]节奏总纲!F146</f>
        <v>144</v>
      </c>
      <c r="G146" s="125">
        <f>[1]节奏总纲!G146</f>
        <v>21617.817610103088</v>
      </c>
      <c r="N146" s="125">
        <f>[1]节奏总纲!N146</f>
        <v>153</v>
      </c>
      <c r="O146" s="125">
        <v>143</v>
      </c>
      <c r="P146" s="125">
        <f>[1]节奏总纲!P146</f>
        <v>20170.070068243116</v>
      </c>
      <c r="Q146" s="125">
        <f>[1]节奏总纲!Q146</f>
        <v>17065.896284740498</v>
      </c>
      <c r="R146" s="125">
        <f>[1]节奏总纲!R146</f>
        <v>13594.62722599586</v>
      </c>
      <c r="S146" s="125">
        <f>[1]节奏总纲!S146</f>
        <v>9669.5315907157492</v>
      </c>
      <c r="T146" s="125">
        <f>[1]节奏总纲!T146</f>
        <v>5185.7250145453054</v>
      </c>
      <c r="U146" s="125"/>
      <c r="V146" s="125">
        <v>143</v>
      </c>
      <c r="W146" s="125">
        <f>[1]节奏总纲!W146</f>
        <v>1350.796219971704</v>
      </c>
      <c r="X146" s="125">
        <f>[1]节奏总纲!X146</f>
        <v>1161.7279555663281</v>
      </c>
      <c r="Y146" s="125">
        <f>[1]节奏总纲!Y146</f>
        <v>927.37399872437163</v>
      </c>
      <c r="Z146" s="125">
        <f>[1]节奏总纲!Z146</f>
        <v>666.39098170270518</v>
      </c>
      <c r="AA146" s="125">
        <f>[1]节奏总纲!AA146</f>
        <v>362.34512723334319</v>
      </c>
      <c r="AC146" s="107">
        <v>143</v>
      </c>
      <c r="AD146" s="107">
        <f>[1]节奏总纲!AD146</f>
        <v>71.691928656135218</v>
      </c>
      <c r="AE146" s="107">
        <f>[1]节奏总纲!AE146</f>
        <v>73.778025312273286</v>
      </c>
      <c r="AF146" s="107">
        <f>[1]节奏总纲!AF146</f>
        <v>76.647334212086264</v>
      </c>
      <c r="AG146" s="107">
        <f>[1]节奏总纲!AG146</f>
        <v>81.222816249641028</v>
      </c>
      <c r="AH146" s="107">
        <f>[1]节奏总纲!AH146</f>
        <v>90.480184629206022</v>
      </c>
      <c r="AZ146" s="107">
        <v>143</v>
      </c>
      <c r="BA146" s="107">
        <v>40.425400135210978</v>
      </c>
      <c r="BB146" s="107">
        <v>41.94228328742556</v>
      </c>
      <c r="BC146" s="107">
        <v>43.878969366961051</v>
      </c>
      <c r="BD146" s="107">
        <v>46.609531179376063</v>
      </c>
      <c r="BE146" s="107">
        <v>50</v>
      </c>
    </row>
    <row r="147" spans="6:57" x14ac:dyDescent="0.15">
      <c r="F147" s="125">
        <f>[1]节奏总纲!F147</f>
        <v>145</v>
      </c>
      <c r="G147" s="125">
        <f>[1]节奏总纲!G147</f>
        <v>23169.475005920798</v>
      </c>
      <c r="N147" s="125">
        <f>[1]节奏总纲!N147</f>
        <v>154</v>
      </c>
      <c r="O147" s="125">
        <v>144</v>
      </c>
      <c r="P147" s="125">
        <f>[1]节奏总纲!P147</f>
        <v>21617.817610103088</v>
      </c>
      <c r="Q147" s="125">
        <f>[1]节奏总纲!Q147</f>
        <v>18290.835479908223</v>
      </c>
      <c r="R147" s="125">
        <f>[1]节奏总纲!R147</f>
        <v>14585.541541536553</v>
      </c>
      <c r="S147" s="125">
        <f>[1]节奏总纲!S147</f>
        <v>10380.876016371503</v>
      </c>
      <c r="T147" s="125">
        <f>[1]节奏总纲!T147</f>
        <v>5547.1319987524521</v>
      </c>
      <c r="U147" s="125"/>
      <c r="V147" s="125">
        <v>144</v>
      </c>
      <c r="W147" s="125">
        <f>[1]节奏总纲!W147</f>
        <v>1447.7475418599715</v>
      </c>
      <c r="X147" s="125">
        <f>[1]节奏总纲!X147</f>
        <v>1224.9391951677244</v>
      </c>
      <c r="Y147" s="125">
        <f>[1]节奏总纲!Y147</f>
        <v>990.91431554069277</v>
      </c>
      <c r="Z147" s="125">
        <f>[1]节奏总纲!Z147</f>
        <v>711.34442565575409</v>
      </c>
      <c r="AA147" s="125">
        <f>[1]节奏总纲!AA147</f>
        <v>361.40698420714671</v>
      </c>
      <c r="AC147" s="107">
        <v>144</v>
      </c>
      <c r="AD147" s="107">
        <f>[1]节奏总纲!AD147</f>
        <v>71.793488759114723</v>
      </c>
      <c r="AE147" s="107">
        <f>[1]节奏总纲!AE147</f>
        <v>73.880612931842577</v>
      </c>
      <c r="AF147" s="107">
        <f>[1]节奏总纲!AF147</f>
        <v>76.747188164925547</v>
      </c>
      <c r="AG147" s="107">
        <f>[1]节奏总纲!AG147</f>
        <v>81.322300043049054</v>
      </c>
      <c r="AH147" s="107">
        <f>[1]节奏总纲!AH147</f>
        <v>90.586443675279497</v>
      </c>
      <c r="AZ147" s="107">
        <v>144</v>
      </c>
      <c r="BA147" s="107">
        <v>40.472019328110811</v>
      </c>
      <c r="BB147" s="107">
        <v>41.992566056290244</v>
      </c>
      <c r="BC147" s="107">
        <v>43.928898311540586</v>
      </c>
      <c r="BD147" s="107">
        <v>46.657691286422882</v>
      </c>
      <c r="BE147" s="107">
        <v>50</v>
      </c>
    </row>
    <row r="148" spans="6:57" x14ac:dyDescent="0.15">
      <c r="F148" s="125">
        <f>[1]节奏总纲!F148</f>
        <v>146</v>
      </c>
      <c r="G148" s="125">
        <f>[1]节奏总纲!G148</f>
        <v>24832.50022570635</v>
      </c>
      <c r="N148" s="125">
        <f>[1]节奏总纲!N148</f>
        <v>155</v>
      </c>
      <c r="O148" s="125">
        <v>145</v>
      </c>
      <c r="P148" s="125">
        <f>[1]节奏总纲!P148</f>
        <v>23169.475005920798</v>
      </c>
      <c r="Q148" s="125">
        <f>[1]节奏总纲!Q148</f>
        <v>19631.496172516694</v>
      </c>
      <c r="R148" s="125">
        <f>[1]节奏总纲!R148</f>
        <v>15650.9803664995</v>
      </c>
      <c r="S148" s="125">
        <f>[1]节奏总纲!S148</f>
        <v>11105.129370337838</v>
      </c>
      <c r="T148" s="125">
        <f>[1]节奏总纲!T148</f>
        <v>5926.7517065145412</v>
      </c>
      <c r="U148" s="125"/>
      <c r="V148" s="125">
        <v>145</v>
      </c>
      <c r="W148" s="125">
        <f>[1]节奏总纲!W148</f>
        <v>1551.6573958177105</v>
      </c>
      <c r="X148" s="125">
        <f>[1]节奏总纲!X148</f>
        <v>1340.6606926084714</v>
      </c>
      <c r="Y148" s="125">
        <f>[1]节奏总纲!Y148</f>
        <v>1065.4388249629465</v>
      </c>
      <c r="Z148" s="125">
        <f>[1]节奏总纲!Z148</f>
        <v>724.25335396633454</v>
      </c>
      <c r="AA148" s="125">
        <f>[1]节奏总纲!AA148</f>
        <v>379.61970776208909</v>
      </c>
      <c r="AC148" s="107">
        <v>145</v>
      </c>
      <c r="AD148" s="107">
        <f>[1]节奏总纲!AD148</f>
        <v>71.895048862094214</v>
      </c>
      <c r="AE148" s="107">
        <f>[1]节奏总纲!AE148</f>
        <v>73.983200551411869</v>
      </c>
      <c r="AF148" s="107">
        <f>[1]节奏总纲!AF148</f>
        <v>76.847042117764815</v>
      </c>
      <c r="AG148" s="107">
        <f>[1]节奏总纲!AG148</f>
        <v>81.421783836457067</v>
      </c>
      <c r="AH148" s="107">
        <f>[1]节奏总纲!AH148</f>
        <v>90.692702721352973</v>
      </c>
      <c r="AZ148" s="107">
        <v>145</v>
      </c>
      <c r="BA148" s="107">
        <v>40.518638521010651</v>
      </c>
      <c r="BB148" s="107">
        <v>42.036975906461073</v>
      </c>
      <c r="BC148" s="107">
        <v>43.978827256120113</v>
      </c>
      <c r="BD148" s="107">
        <v>46.7058513934697</v>
      </c>
      <c r="BE148" s="107">
        <v>50</v>
      </c>
    </row>
    <row r="149" spans="6:57" x14ac:dyDescent="0.15">
      <c r="F149" s="125">
        <f>[1]节奏总纲!F149</f>
        <v>147</v>
      </c>
      <c r="G149" s="125">
        <f>[1]节奏总纲!G149</f>
        <v>26614.886523801088</v>
      </c>
      <c r="N149" s="125">
        <f>[1]节奏总纲!N149</f>
        <v>156</v>
      </c>
      <c r="O149" s="125">
        <v>146</v>
      </c>
      <c r="P149" s="125">
        <f>[1]节奏总纲!P149</f>
        <v>24832.50022570635</v>
      </c>
      <c r="Q149" s="125">
        <f>[1]节奏总纲!Q149</f>
        <v>21035.61094119585</v>
      </c>
      <c r="R149" s="125">
        <f>[1]节奏总纲!R149</f>
        <v>16719.722401968087</v>
      </c>
      <c r="S149" s="125">
        <f>[1]节奏总纲!S149</f>
        <v>11847.5858576845</v>
      </c>
      <c r="T149" s="125">
        <f>[1]节奏总纲!T149</f>
        <v>6324.8378074874072</v>
      </c>
      <c r="U149" s="125"/>
      <c r="V149" s="125">
        <v>146</v>
      </c>
      <c r="W149" s="125">
        <f>[1]节奏总纲!W149</f>
        <v>1663.0252197855516</v>
      </c>
      <c r="X149" s="125">
        <f>[1]节奏总纲!X149</f>
        <v>1404.1147686791555</v>
      </c>
      <c r="Y149" s="125">
        <f>[1]节奏总纲!Y149</f>
        <v>1068.7420354685873</v>
      </c>
      <c r="Z149" s="125">
        <f>[1]节奏总纲!Z149</f>
        <v>742.45648734666247</v>
      </c>
      <c r="AA149" s="125">
        <f>[1]节奏总纲!AA149</f>
        <v>398.08610097286601</v>
      </c>
      <c r="AC149" s="107">
        <v>146</v>
      </c>
      <c r="AD149" s="107">
        <f>[1]节奏总纲!AD149</f>
        <v>71.996608965073719</v>
      </c>
      <c r="AE149" s="107">
        <f>[1]节奏总纲!AE149</f>
        <v>74.078973000522922</v>
      </c>
      <c r="AF149" s="107">
        <f>[1]节奏总纲!AF149</f>
        <v>76.946896070604097</v>
      </c>
      <c r="AG149" s="107">
        <f>[1]节奏总纲!AG149</f>
        <v>81.521267629865079</v>
      </c>
      <c r="AH149" s="107">
        <f>[1]节奏总纲!AH149</f>
        <v>90.798961767426448</v>
      </c>
      <c r="AZ149" s="107">
        <v>146</v>
      </c>
      <c r="BA149" s="107">
        <v>40.565257713910484</v>
      </c>
      <c r="BB149" s="107">
        <v>42.080366850119908</v>
      </c>
      <c r="BC149" s="107">
        <v>44.024818750237806</v>
      </c>
      <c r="BD149" s="107">
        <v>46.754011500516519</v>
      </c>
      <c r="BE149" s="107">
        <v>50</v>
      </c>
    </row>
    <row r="150" spans="6:57" x14ac:dyDescent="0.15">
      <c r="F150" s="125">
        <f>[1]节奏总纲!F150</f>
        <v>148</v>
      </c>
      <c r="G150" s="125">
        <f>[1]节奏总纲!G150</f>
        <v>28525.200858087381</v>
      </c>
      <c r="N150" s="125">
        <f>[1]节奏总纲!N150</f>
        <v>157</v>
      </c>
      <c r="O150" s="125">
        <v>147</v>
      </c>
      <c r="P150" s="125">
        <f>[1]节奏总纲!P150</f>
        <v>26614.886523801088</v>
      </c>
      <c r="Q150" s="125">
        <f>[1]节奏总纲!Q150</f>
        <v>22470.948692045258</v>
      </c>
      <c r="R150" s="125">
        <f>[1]节奏总纲!R150</f>
        <v>17837.296948251489</v>
      </c>
      <c r="S150" s="125">
        <f>[1]节奏总纲!S150</f>
        <v>12631.425144195997</v>
      </c>
      <c r="T150" s="125">
        <f>[1]节奏总纲!T150</f>
        <v>6754.8581997407164</v>
      </c>
      <c r="U150" s="125"/>
      <c r="V150" s="125">
        <v>147</v>
      </c>
      <c r="W150" s="125">
        <f>[1]节奏总纲!W150</f>
        <v>1782.3862980947379</v>
      </c>
      <c r="X150" s="125">
        <f>[1]节奏总纲!X150</f>
        <v>1435.3377508494086</v>
      </c>
      <c r="Y150" s="125">
        <f>[1]节奏总纲!Y150</f>
        <v>1117.574546283402</v>
      </c>
      <c r="Z150" s="125">
        <f>[1]节奏总纲!Z150</f>
        <v>783.83928651149654</v>
      </c>
      <c r="AA150" s="125">
        <f>[1]节奏总纲!AA150</f>
        <v>430.02039225330918</v>
      </c>
      <c r="AC150" s="107">
        <v>147</v>
      </c>
      <c r="AD150" s="107">
        <f>[1]节奏总纲!AD150</f>
        <v>72.091594979242075</v>
      </c>
      <c r="AE150" s="107">
        <f>[1]节奏总纲!AE150</f>
        <v>74.173410870467364</v>
      </c>
      <c r="AF150" s="107">
        <f>[1]节奏总纲!AF150</f>
        <v>77.043751281705866</v>
      </c>
      <c r="AG150" s="107">
        <f>[1]节奏总纲!AG150</f>
        <v>81.620751423273092</v>
      </c>
      <c r="AH150" s="107">
        <f>[1]节奏总纲!AH150</f>
        <v>90.905220813499923</v>
      </c>
      <c r="AZ150" s="107">
        <v>147</v>
      </c>
      <c r="BA150" s="107">
        <v>40.611876906810316</v>
      </c>
      <c r="BB150" s="107">
        <v>42.123757793778736</v>
      </c>
      <c r="BC150" s="107">
        <v>44.067911160744309</v>
      </c>
      <c r="BD150" s="107">
        <v>46.802171607563338</v>
      </c>
      <c r="BE150" s="107">
        <v>50</v>
      </c>
    </row>
    <row r="151" spans="6:57" x14ac:dyDescent="0.15">
      <c r="F151" s="125">
        <f>[1]节奏总纲!F151</f>
        <v>149</v>
      </c>
      <c r="G151" s="125">
        <f>[1]节奏总纲!G151</f>
        <v>30572.62506667812</v>
      </c>
      <c r="N151" s="125">
        <f>[1]节奏总纲!N151</f>
        <v>158</v>
      </c>
      <c r="O151" s="125">
        <v>148</v>
      </c>
      <c r="P151" s="125">
        <f>[1]节奏总纲!P151</f>
        <v>28525.200858087381</v>
      </c>
      <c r="Q151" s="125">
        <f>[1]节奏总纲!Q151</f>
        <v>24083.827084483179</v>
      </c>
      <c r="R151" s="125">
        <f>[1]节奏总纲!R151</f>
        <v>19128.999695433398</v>
      </c>
      <c r="S151" s="125">
        <f>[1]节奏总纲!S151</f>
        <v>13566.58552810636</v>
      </c>
      <c r="T151" s="125">
        <f>[1]节奏总纲!T151</f>
        <v>7242.5484978683862</v>
      </c>
      <c r="U151" s="125"/>
      <c r="V151" s="125">
        <v>148</v>
      </c>
      <c r="W151" s="125">
        <f>[1]节奏总纲!W151</f>
        <v>1910.3143342862932</v>
      </c>
      <c r="X151" s="125">
        <f>[1]节奏总纲!X151</f>
        <v>1612.8783924379204</v>
      </c>
      <c r="Y151" s="125">
        <f>[1]节奏总纲!Y151</f>
        <v>1291.7027471819092</v>
      </c>
      <c r="Z151" s="125">
        <f>[1]节奏总纲!Z151</f>
        <v>935.16038391036273</v>
      </c>
      <c r="AA151" s="125">
        <f>[1]节奏总纲!AA151</f>
        <v>487.69029812766985</v>
      </c>
      <c r="AC151" s="107">
        <v>148</v>
      </c>
      <c r="AD151" s="107">
        <f>[1]节奏总纲!AD151</f>
        <v>72.186353905945822</v>
      </c>
      <c r="AE151" s="107">
        <f>[1]节奏总纲!AE151</f>
        <v>74.267848740411821</v>
      </c>
      <c r="AF151" s="107">
        <f>[1]节奏总纲!AF151</f>
        <v>77.137200185007629</v>
      </c>
      <c r="AG151" s="107">
        <f>[1]节奏总纲!AG151</f>
        <v>81.720235216681118</v>
      </c>
      <c r="AH151" s="107">
        <f>[1]节奏总纲!AH151</f>
        <v>91.011076811620597</v>
      </c>
      <c r="AZ151" s="107">
        <v>148</v>
      </c>
      <c r="BA151" s="107">
        <v>40.658496099710149</v>
      </c>
      <c r="BB151" s="107">
        <v>42.167148737437564</v>
      </c>
      <c r="BC151" s="107">
        <v>44.111003571250812</v>
      </c>
      <c r="BD151" s="107">
        <v>46.850331714610157</v>
      </c>
      <c r="BE151" s="107">
        <v>50</v>
      </c>
    </row>
    <row r="152" spans="6:57" x14ac:dyDescent="0.15">
      <c r="F152" s="125">
        <f>[1]节奏总纲!F152</f>
        <v>150</v>
      </c>
      <c r="G152" s="125">
        <f>[1]节奏总纲!G152</f>
        <v>32767</v>
      </c>
      <c r="N152" s="125">
        <f>[1]节奏总纲!N152</f>
        <v>159</v>
      </c>
      <c r="O152" s="125">
        <v>149</v>
      </c>
      <c r="P152" s="125">
        <f>[1]节奏总纲!P152</f>
        <v>30572.62506667812</v>
      </c>
      <c r="Q152" s="125">
        <f>[1]节奏总纲!Q152</f>
        <v>25818.581868809673</v>
      </c>
      <c r="R152" s="125">
        <f>[1]节奏总纲!R152</f>
        <v>20520.345944754354</v>
      </c>
      <c r="S152" s="125">
        <f>[1]节奏总纲!S152</f>
        <v>14549.512269232117</v>
      </c>
      <c r="T152" s="125">
        <f>[1]节奏总纲!T152</f>
        <v>7768.50402944291</v>
      </c>
      <c r="U152" s="125"/>
      <c r="V152" s="125">
        <v>149</v>
      </c>
      <c r="W152" s="125">
        <f>[1]节奏总纲!W152</f>
        <v>2047.424208590739</v>
      </c>
      <c r="X152" s="125">
        <f>[1]节奏总纲!X152</f>
        <v>1734.7547843264947</v>
      </c>
      <c r="Y152" s="125">
        <f>[1]节奏总纲!Y152</f>
        <v>1391.3462493209554</v>
      </c>
      <c r="Z152" s="125">
        <f>[1]节奏总纲!Z152</f>
        <v>982.92674112575696</v>
      </c>
      <c r="AA152" s="125">
        <f>[1]节奏总纲!AA152</f>
        <v>525.95553157452377</v>
      </c>
      <c r="AC152" s="107">
        <v>149</v>
      </c>
      <c r="AD152" s="107">
        <f>[1]节奏总纲!AD152</f>
        <v>72.281112832649583</v>
      </c>
      <c r="AE152" s="107">
        <f>[1]节奏总纲!AE152</f>
        <v>74.362286610356264</v>
      </c>
      <c r="AF152" s="107">
        <f>[1]节奏总纲!AF152</f>
        <v>77.230649088309391</v>
      </c>
      <c r="AG152" s="107">
        <f>[1]节奏总纲!AG152</f>
        <v>81.819719010089131</v>
      </c>
      <c r="AH152" s="107">
        <f>[1]节奏总纲!AH152</f>
        <v>91.113605194377854</v>
      </c>
      <c r="AZ152" s="107">
        <v>149</v>
      </c>
      <c r="BA152" s="107">
        <v>40.705115292609982</v>
      </c>
      <c r="BB152" s="107">
        <v>42.2105396810964</v>
      </c>
      <c r="BC152" s="107">
        <v>44.154095981757315</v>
      </c>
      <c r="BD152" s="107">
        <v>46.898491821656968</v>
      </c>
      <c r="BE152" s="107">
        <v>50</v>
      </c>
    </row>
    <row r="153" spans="6:57" x14ac:dyDescent="0.15">
      <c r="F153" s="125">
        <f>[1]节奏总纲!F153</f>
        <v>151</v>
      </c>
      <c r="G153" s="125">
        <f>[1]节奏总纲!G153</f>
        <v>35118.87282038921</v>
      </c>
      <c r="N153" s="125">
        <f>[1]节奏总纲!N153</f>
        <v>160</v>
      </c>
      <c r="O153" s="125">
        <v>150</v>
      </c>
      <c r="P153" s="125">
        <f>[1]节奏总纲!P153</f>
        <v>32767</v>
      </c>
      <c r="Q153" s="125">
        <f>[1]节奏总纲!Q153</f>
        <v>27671.731500000002</v>
      </c>
      <c r="R153" s="125">
        <f>[1]节奏总纲!R153</f>
        <v>21996.487099999998</v>
      </c>
      <c r="S153" s="125">
        <f>[1]节奏总纲!S153</f>
        <v>15603.645400000001</v>
      </c>
      <c r="T153" s="125">
        <f>[1]节奏总纲!T153</f>
        <v>8355.5850000000009</v>
      </c>
      <c r="U153" s="125"/>
      <c r="V153" s="125">
        <v>150</v>
      </c>
      <c r="W153" s="125">
        <f>[1]节奏总纲!W153</f>
        <v>2194.3749333218802</v>
      </c>
      <c r="X153" s="125">
        <f>[1]节奏总纲!X153</f>
        <v>1853.1496311903284</v>
      </c>
      <c r="Y153" s="125">
        <f>[1]节奏总纲!Y153</f>
        <v>1476.1411552456448</v>
      </c>
      <c r="Z153" s="125">
        <f>[1]节奏总纲!Z153</f>
        <v>1054.1331307678847</v>
      </c>
      <c r="AA153" s="125">
        <f>[1]节奏总纲!AA153</f>
        <v>587.08097055709095</v>
      </c>
      <c r="AC153" s="107">
        <v>150</v>
      </c>
      <c r="AD153" s="107">
        <f>[1]节奏总纲!AD153</f>
        <v>72.375871759353331</v>
      </c>
      <c r="AE153" s="107">
        <f>[1]节奏总纲!AE153</f>
        <v>74.456724480300707</v>
      </c>
      <c r="AF153" s="107">
        <f>[1]节奏总纲!AF153</f>
        <v>77.324097991611154</v>
      </c>
      <c r="AG153" s="107">
        <f>[1]节奏总纲!AG153</f>
        <v>81.919202803497143</v>
      </c>
      <c r="AH153" s="107">
        <f>[1]节奏总纲!AH153</f>
        <v>91.216133577135096</v>
      </c>
      <c r="AZ153" s="107">
        <v>150</v>
      </c>
      <c r="BA153" s="107">
        <v>40.751734485509814</v>
      </c>
      <c r="BB153" s="107">
        <v>42.253930624755228</v>
      </c>
      <c r="BC153" s="107">
        <v>44.197188392263818</v>
      </c>
      <c r="BD153" s="107">
        <v>46.946651928703787</v>
      </c>
      <c r="BE153" s="107">
        <v>50</v>
      </c>
    </row>
    <row r="154" spans="6:57" x14ac:dyDescent="0.15">
      <c r="F154" s="125">
        <f>[1]节奏总纲!F154</f>
        <v>152</v>
      </c>
      <c r="G154" s="125">
        <f>[1]节奏总纲!G154</f>
        <v>37639.547696542824</v>
      </c>
      <c r="N154" s="125">
        <f>[1]节奏总纲!N154</f>
        <v>161</v>
      </c>
      <c r="O154" s="125">
        <v>151</v>
      </c>
      <c r="P154" s="125">
        <f>[1]节奏总纲!P154</f>
        <v>35118.87282038921</v>
      </c>
      <c r="Q154" s="125">
        <f>[1]节奏总纲!Q154</f>
        <v>29671.935645946844</v>
      </c>
      <c r="R154" s="125">
        <f>[1]节奏总纲!R154</f>
        <v>23592.858760737468</v>
      </c>
      <c r="S154" s="125">
        <f>[1]节奏总纲!S154</f>
        <v>16804.380644556237</v>
      </c>
      <c r="T154" s="125">
        <f>[1]节奏总纲!T154</f>
        <v>9095.7880604808051</v>
      </c>
      <c r="U154" s="125"/>
      <c r="V154" s="125">
        <v>151</v>
      </c>
      <c r="W154" s="125">
        <f>[1]节奏总纲!W154</f>
        <v>2351.8728203892097</v>
      </c>
      <c r="X154" s="125">
        <f>[1]节奏总纲!X154</f>
        <v>2000.2041459468419</v>
      </c>
      <c r="Y154" s="125">
        <f>[1]节奏总纲!Y154</f>
        <v>1596.3716607374699</v>
      </c>
      <c r="Z154" s="125">
        <f>[1]节奏总纲!Z154</f>
        <v>1200.7352445562356</v>
      </c>
      <c r="AA154" s="125">
        <f>[1]节奏总纲!AA154</f>
        <v>740.2030604808042</v>
      </c>
      <c r="AC154" s="107">
        <v>151</v>
      </c>
      <c r="AD154" s="107">
        <f>[1]节奏总纲!AD154</f>
        <v>72.470630686057078</v>
      </c>
      <c r="AE154" s="107">
        <f>[1]节奏总纲!AE154</f>
        <v>74.551162350245164</v>
      </c>
      <c r="AF154" s="107">
        <f>[1]节奏总纲!AF154</f>
        <v>77.417546894912917</v>
      </c>
      <c r="AG154" s="107">
        <f>[1]节奏总纲!AG154</f>
        <v>82.01744549958407</v>
      </c>
      <c r="AH154" s="107">
        <f>[1]节奏总纲!AH154</f>
        <v>91.318661959892353</v>
      </c>
      <c r="AZ154" s="107">
        <v>151</v>
      </c>
      <c r="BA154" s="107">
        <v>40.798353678409647</v>
      </c>
      <c r="BB154" s="107">
        <v>42.297321568414056</v>
      </c>
      <c r="BC154" s="107">
        <v>44.240280802770329</v>
      </c>
      <c r="BD154" s="107">
        <v>46.994812035750606</v>
      </c>
      <c r="BE154" s="107">
        <v>50</v>
      </c>
    </row>
    <row r="155" spans="6:57" x14ac:dyDescent="0.15">
      <c r="F155" s="125">
        <f>[1]节奏总纲!F155</f>
        <v>153</v>
      </c>
      <c r="G155" s="125">
        <f>[1]节奏总纲!G155</f>
        <v>40341.140136486232</v>
      </c>
      <c r="N155" s="125">
        <f>[1]节奏总纲!N155</f>
        <v>162</v>
      </c>
      <c r="O155" s="125">
        <v>152</v>
      </c>
      <c r="P155" s="125">
        <f>[1]节奏总纲!P155</f>
        <v>37639.547696542824</v>
      </c>
      <c r="Q155" s="125">
        <f>[1]节奏总纲!Q155</f>
        <v>31794.125939269725</v>
      </c>
      <c r="R155" s="125">
        <f>[1]节奏总纲!R155</f>
        <v>25425.514469014677</v>
      </c>
      <c r="S155" s="125">
        <f>[1]节奏总纲!S155</f>
        <v>18255.180632823271</v>
      </c>
      <c r="T155" s="125">
        <f>[1]节奏总纲!T155</f>
        <v>14114.830386203559</v>
      </c>
      <c r="U155" s="125"/>
      <c r="V155" s="125">
        <v>152</v>
      </c>
      <c r="W155" s="125">
        <f>[1]节奏总纲!W155</f>
        <v>2520.6748761536146</v>
      </c>
      <c r="X155" s="125">
        <f>[1]节奏总纲!X155</f>
        <v>2122.1902933228812</v>
      </c>
      <c r="Y155" s="125">
        <f>[1]节奏总纲!Y155</f>
        <v>1832.6557082772088</v>
      </c>
      <c r="Z155" s="125">
        <f>[1]节奏总纲!Z155</f>
        <v>1450.7999882670338</v>
      </c>
      <c r="AA155" s="125">
        <f>[1]节奏总纲!AA155</f>
        <v>5019.042325722754</v>
      </c>
      <c r="AC155" s="107">
        <v>152</v>
      </c>
      <c r="AD155" s="107">
        <f>[1]节奏总纲!AD155</f>
        <v>72.565389612760825</v>
      </c>
      <c r="AE155" s="107">
        <f>[1]节奏总纲!AE155</f>
        <v>74.645600220189607</v>
      </c>
      <c r="AF155" s="107">
        <f>[1]节奏总纲!AF155</f>
        <v>77.51099579821468</v>
      </c>
      <c r="AG155" s="107">
        <f>[1]节奏总纲!AG155</f>
        <v>82.110321933176039</v>
      </c>
      <c r="AH155" s="107">
        <f>[1]节奏总纲!AH155</f>
        <v>91.421190342649595</v>
      </c>
      <c r="AZ155" s="107">
        <v>152</v>
      </c>
      <c r="BA155" s="107">
        <v>40.84497287130948</v>
      </c>
      <c r="BB155" s="107">
        <v>42.340712512072891</v>
      </c>
      <c r="BC155" s="107">
        <v>44.283373213276832</v>
      </c>
      <c r="BD155" s="107">
        <v>47.037096473408994</v>
      </c>
      <c r="BE155" s="107">
        <v>50</v>
      </c>
    </row>
    <row r="156" spans="6:57" x14ac:dyDescent="0.15">
      <c r="F156" s="125">
        <f>[1]节奏总纲!F156</f>
        <v>154</v>
      </c>
      <c r="G156" s="125">
        <f>[1]节奏总纲!G156</f>
        <v>43236.635220206183</v>
      </c>
      <c r="N156" s="125">
        <f>[1]节奏总纲!N156</f>
        <v>163</v>
      </c>
      <c r="O156" s="125">
        <v>153</v>
      </c>
      <c r="P156" s="125">
        <f>[1]节奏总纲!P156</f>
        <v>40341.140136486232</v>
      </c>
      <c r="Q156" s="125">
        <f>[1]节奏总纲!Q156</f>
        <v>34330.31025614978</v>
      </c>
      <c r="R156" s="125">
        <f>[1]节奏总纲!R156</f>
        <v>27552.998713220099</v>
      </c>
      <c r="S156" s="125">
        <f>[1]节奏总纲!S156</f>
        <v>24204.684081891737</v>
      </c>
      <c r="T156" s="125">
        <f>[1]节奏总纲!T156</f>
        <v>24204.684081891737</v>
      </c>
      <c r="U156" s="125"/>
      <c r="V156" s="125">
        <v>153</v>
      </c>
      <c r="W156" s="125">
        <f>[1]节奏总纲!W156</f>
        <v>2701.592439943408</v>
      </c>
      <c r="X156" s="125">
        <f>[1]节奏总纲!X156</f>
        <v>2536.1843168800551</v>
      </c>
      <c r="Y156" s="125">
        <f>[1]节奏总纲!Y156</f>
        <v>2127.4842442054214</v>
      </c>
      <c r="Z156" s="125">
        <f>[1]节奏总纲!Z156</f>
        <v>5949.5034490684666</v>
      </c>
      <c r="AA156" s="125">
        <f>[1]节奏总纲!AA156</f>
        <v>10089.853695688178</v>
      </c>
      <c r="AC156" s="107">
        <v>153</v>
      </c>
      <c r="AD156" s="107">
        <f>[1]节奏总纲!AD156</f>
        <v>72.660148539464572</v>
      </c>
      <c r="AE156" s="107">
        <f>[1]节奏总纲!AE156</f>
        <v>74.74003809013405</v>
      </c>
      <c r="AF156" s="107">
        <f>[1]节奏总纲!AF156</f>
        <v>77.604444701516456</v>
      </c>
      <c r="AG156" s="107">
        <f>[1]节奏总纲!AG156</f>
        <v>82.203198366767992</v>
      </c>
      <c r="AH156" s="107">
        <f>[1]节奏总纲!AH156</f>
        <v>91.523718725406852</v>
      </c>
      <c r="AZ156" s="107">
        <v>153</v>
      </c>
      <c r="BA156" s="107">
        <v>40.891592064209313</v>
      </c>
      <c r="BB156" s="107">
        <v>42.384103455731719</v>
      </c>
      <c r="BC156" s="107">
        <v>44.326465623783335</v>
      </c>
      <c r="BD156" s="107">
        <v>47.078671550054786</v>
      </c>
      <c r="BE156" s="107">
        <v>50</v>
      </c>
    </row>
    <row r="157" spans="6:57" x14ac:dyDescent="0.15">
      <c r="F157" s="125">
        <f>[1]节奏总纲!F157</f>
        <v>155</v>
      </c>
      <c r="G157" s="125">
        <f>[1]节奏总纲!G157</f>
        <v>46339.950011841604</v>
      </c>
      <c r="N157" s="125">
        <f>[1]节奏总纲!N157</f>
        <v>164</v>
      </c>
      <c r="O157" s="125">
        <v>154</v>
      </c>
      <c r="P157" s="125">
        <f>[1]节奏总纲!P157</f>
        <v>43236.635220206183</v>
      </c>
      <c r="Q157" s="125">
        <f>[1]节奏总纲!Q157</f>
        <v>36967.323113276288</v>
      </c>
      <c r="R157" s="125">
        <f>[1]节奏总纲!R157</f>
        <v>33940.758647861854</v>
      </c>
      <c r="S157" s="125">
        <f>[1]节奏总纲!S157</f>
        <v>34156.941823962887</v>
      </c>
      <c r="T157" s="125">
        <f>[1]节奏总纲!T157</f>
        <v>34156.941823962887</v>
      </c>
      <c r="U157" s="125"/>
      <c r="V157" s="125">
        <v>154</v>
      </c>
      <c r="W157" s="125">
        <f>[1]节奏总纲!W157</f>
        <v>2895.4950837199503</v>
      </c>
      <c r="X157" s="125">
        <f>[1]节奏总纲!X157</f>
        <v>2637.0128571265086</v>
      </c>
      <c r="Y157" s="125">
        <f>[1]节奏总纲!Y157</f>
        <v>6387.7599346417555</v>
      </c>
      <c r="Z157" s="125">
        <f>[1]节奏总纲!Z157</f>
        <v>9952.2577420711496</v>
      </c>
      <c r="AA157" s="125">
        <f>[1]节奏总纲!AA157</f>
        <v>9952.2577420711496</v>
      </c>
      <c r="AC157" s="107">
        <v>154</v>
      </c>
      <c r="AD157" s="107">
        <f>[1]节奏总纲!AD157</f>
        <v>72.754907466168333</v>
      </c>
      <c r="AE157" s="107">
        <f>[1]节奏总纲!AE157</f>
        <v>74.834475960078507</v>
      </c>
      <c r="AF157" s="107">
        <f>[1]节奏总纲!AF157</f>
        <v>77.697893604818219</v>
      </c>
      <c r="AG157" s="107">
        <f>[1]节奏总纲!AG157</f>
        <v>82.29607480035996</v>
      </c>
      <c r="AH157" s="107">
        <f>[1]节奏总纲!AH157</f>
        <v>91.626247108164094</v>
      </c>
      <c r="AZ157" s="107">
        <v>154</v>
      </c>
      <c r="BA157" s="107">
        <v>40.938211257109145</v>
      </c>
      <c r="BB157" s="107">
        <v>42.427494399390554</v>
      </c>
      <c r="BC157" s="107">
        <v>44.369558034289838</v>
      </c>
      <c r="BD157" s="107">
        <v>47.12024662670057</v>
      </c>
      <c r="BE157" s="107">
        <v>50</v>
      </c>
    </row>
    <row r="158" spans="6:57" x14ac:dyDescent="0.15">
      <c r="F158" s="125">
        <f>[1]节奏总纲!F158</f>
        <v>156</v>
      </c>
      <c r="G158" s="125">
        <f>[1]节奏总纲!G158</f>
        <v>49666.000451412707</v>
      </c>
      <c r="N158" s="125">
        <f>[1]节奏总纲!N158</f>
        <v>165</v>
      </c>
      <c r="O158" s="125">
        <v>155</v>
      </c>
      <c r="P158" s="125">
        <f>[1]节奏总纲!P158</f>
        <v>46339.950011841604</v>
      </c>
      <c r="Q158" s="125">
        <f>[1]节奏总纲!Q158</f>
        <v>44078.560451263736</v>
      </c>
      <c r="R158" s="125">
        <f>[1]节奏总纲!R158</f>
        <v>44402.940101346627</v>
      </c>
      <c r="S158" s="125">
        <f>[1]节奏总纲!S158</f>
        <v>44402.940101346627</v>
      </c>
      <c r="T158" s="125">
        <f>[1]节奏总纲!T158</f>
        <v>44541.959951382152</v>
      </c>
      <c r="U158" s="125"/>
      <c r="V158" s="125">
        <v>155</v>
      </c>
      <c r="W158" s="125">
        <f>[1]节奏总纲!W158</f>
        <v>3103.314791635421</v>
      </c>
      <c r="X158" s="125">
        <f>[1]节奏总纲!X158</f>
        <v>7111.237337987448</v>
      </c>
      <c r="Y158" s="125">
        <f>[1]节奏总纲!Y158</f>
        <v>10462.181453484773</v>
      </c>
      <c r="Z158" s="125">
        <f>[1]节奏总纲!Z158</f>
        <v>10245.99827738374</v>
      </c>
      <c r="AA158" s="125">
        <f>[1]节奏总纲!AA158</f>
        <v>10385.018127419266</v>
      </c>
      <c r="AC158" s="107">
        <v>155</v>
      </c>
      <c r="AD158" s="107">
        <f>[1]节奏总纲!AD158</f>
        <v>72.849666392872081</v>
      </c>
      <c r="AE158" s="107">
        <f>[1]节奏总纲!AE158</f>
        <v>74.92891383002295</v>
      </c>
      <c r="AF158" s="107">
        <f>[1]节奏总纲!AF158</f>
        <v>77.791342508119982</v>
      </c>
      <c r="AG158" s="107">
        <f>[1]节奏总纲!AG158</f>
        <v>82.388951233951914</v>
      </c>
      <c r="AH158" s="107">
        <f>[1]节奏总纲!AH158</f>
        <v>91.72877549092135</v>
      </c>
      <c r="AZ158" s="107">
        <v>155</v>
      </c>
      <c r="BA158" s="107">
        <v>40.984830450008985</v>
      </c>
      <c r="BB158" s="107">
        <v>42.470885343049382</v>
      </c>
      <c r="BC158" s="107">
        <v>44.412650444796341</v>
      </c>
      <c r="BD158" s="107">
        <v>47.161821703346362</v>
      </c>
      <c r="BE158" s="107">
        <v>50</v>
      </c>
    </row>
    <row r="159" spans="6:57" x14ac:dyDescent="0.15">
      <c r="F159" s="125">
        <f>[1]节奏总纲!F159</f>
        <v>157</v>
      </c>
      <c r="G159" s="125">
        <f>[1]节奏总纲!G159</f>
        <v>53230.773047602182</v>
      </c>
      <c r="N159" s="125">
        <f>[1]节奏总纲!N159</f>
        <v>166</v>
      </c>
      <c r="O159" s="125">
        <v>156</v>
      </c>
      <c r="P159" s="125">
        <f>[1]节奏总纲!P159</f>
        <v>49666.000451412707</v>
      </c>
      <c r="Q159" s="125">
        <f>[1]节奏总纲!Q159</f>
        <v>49666.000451412707</v>
      </c>
      <c r="R159" s="125">
        <f>[1]节奏总纲!R159</f>
        <v>50162.660455926831</v>
      </c>
      <c r="S159" s="125">
        <f>[1]节奏总纲!S159</f>
        <v>50162.660455926831</v>
      </c>
      <c r="T159" s="125">
        <f>[1]节奏总纲!T159</f>
        <v>50311.658457281068</v>
      </c>
      <c r="U159" s="125"/>
      <c r="V159" s="125">
        <v>156</v>
      </c>
      <c r="W159" s="125">
        <f>[1]节奏总纲!W159</f>
        <v>3326.0504395711032</v>
      </c>
      <c r="X159" s="125">
        <f>[1]节奏总纲!X159</f>
        <v>5587.4400001489703</v>
      </c>
      <c r="Y159" s="125">
        <f>[1]节奏总纲!Y159</f>
        <v>5759.720354580204</v>
      </c>
      <c r="Z159" s="125">
        <f>[1]节奏总纲!Z159</f>
        <v>5759.720354580204</v>
      </c>
      <c r="AA159" s="125">
        <f>[1]节奏总纲!AA159</f>
        <v>5769.6985058989158</v>
      </c>
      <c r="AC159" s="107">
        <v>156</v>
      </c>
      <c r="AD159" s="107">
        <f>[1]节奏总纲!AD159</f>
        <v>72.944425319575828</v>
      </c>
      <c r="AE159" s="107">
        <f>[1]节奏总纲!AE159</f>
        <v>75.022035011469043</v>
      </c>
      <c r="AF159" s="107">
        <f>[1]节奏总纲!AF159</f>
        <v>77.884791411421745</v>
      </c>
      <c r="AG159" s="107">
        <f>[1]节奏总纲!AG159</f>
        <v>82.481827667543882</v>
      </c>
      <c r="AH159" s="107">
        <f>[1]节奏总纲!AH159</f>
        <v>91.831303873678593</v>
      </c>
      <c r="AZ159" s="107">
        <v>156</v>
      </c>
      <c r="BA159" s="107">
        <v>41.027136894088379</v>
      </c>
      <c r="BB159" s="107">
        <v>42.51427628670821</v>
      </c>
      <c r="BC159" s="107">
        <v>44.455742855302844</v>
      </c>
      <c r="BD159" s="107">
        <v>47.203396779992147</v>
      </c>
      <c r="BE159" s="107">
        <v>50</v>
      </c>
    </row>
    <row r="160" spans="6:57" x14ac:dyDescent="0.15">
      <c r="F160" s="125">
        <f>[1]节奏总纲!F160</f>
        <v>158</v>
      </c>
      <c r="G160" s="125">
        <f>[1]节奏总纲!G160</f>
        <v>57051.401716174769</v>
      </c>
      <c r="N160" s="125">
        <f>[1]节奏总纲!N160</f>
        <v>167</v>
      </c>
      <c r="O160" s="125">
        <v>157</v>
      </c>
      <c r="P160" s="125">
        <f>[1]节奏总纲!P160</f>
        <v>53230.773047602182</v>
      </c>
      <c r="Q160" s="125">
        <f>[1]节奏总纲!Q160</f>
        <v>53230.773047602182</v>
      </c>
      <c r="R160" s="125">
        <f>[1]节奏总纲!R160</f>
        <v>53763.080778078205</v>
      </c>
      <c r="S160" s="125">
        <f>[1]节奏总纲!S160</f>
        <v>53763.080778078205</v>
      </c>
      <c r="T160" s="125">
        <f>[1]节奏总纲!T160</f>
        <v>53763.080778078205</v>
      </c>
      <c r="U160" s="125"/>
      <c r="V160" s="125">
        <v>157</v>
      </c>
      <c r="W160" s="125">
        <f>[1]节奏总纲!W160</f>
        <v>3564.7725961894757</v>
      </c>
      <c r="X160" s="125">
        <f>[1]节奏总纲!X160</f>
        <v>3564.7725961894757</v>
      </c>
      <c r="Y160" s="125">
        <f>[1]节奏总纲!Y160</f>
        <v>3600.4203221513744</v>
      </c>
      <c r="Z160" s="125">
        <f>[1]节奏总纲!Z160</f>
        <v>3600.4203221513744</v>
      </c>
      <c r="AA160" s="125">
        <f>[1]节奏总纲!AA160</f>
        <v>3451.4223207971372</v>
      </c>
      <c r="AC160" s="107">
        <v>157</v>
      </c>
      <c r="AD160" s="107">
        <f>[1]节奏总纲!AD160</f>
        <v>73.036560194527354</v>
      </c>
      <c r="AE160" s="107">
        <f>[1]节奏总纲!AE160</f>
        <v>75.111147990406067</v>
      </c>
      <c r="AF160" s="107">
        <f>[1]节奏总纲!AF160</f>
        <v>77.978240314723507</v>
      </c>
      <c r="AG160" s="107">
        <f>[1]节奏总纲!AG160</f>
        <v>82.574704101135836</v>
      </c>
      <c r="AH160" s="107">
        <f>[1]节奏总纲!AH160</f>
        <v>91.933832256435849</v>
      </c>
      <c r="AZ160" s="107">
        <v>157</v>
      </c>
      <c r="BA160" s="107">
        <v>41.067363109180121</v>
      </c>
      <c r="BB160" s="107">
        <v>42.557667230367045</v>
      </c>
      <c r="BC160" s="107">
        <v>44.498835265809355</v>
      </c>
      <c r="BD160" s="107">
        <v>47.244971856637939</v>
      </c>
      <c r="BE160" s="107">
        <v>50</v>
      </c>
    </row>
    <row r="161" spans="6:57" x14ac:dyDescent="0.15">
      <c r="F161" s="125">
        <f>[1]节奏总纲!F161</f>
        <v>159</v>
      </c>
      <c r="G161" s="125">
        <f>[1]节奏总纲!G161</f>
        <v>61146.25013335624</v>
      </c>
      <c r="N161" s="125">
        <f>[1]节奏总纲!N161</f>
        <v>168</v>
      </c>
      <c r="O161" s="125">
        <v>158</v>
      </c>
      <c r="P161" s="125">
        <f>[1]节奏总纲!P161</f>
        <v>57051.401716174769</v>
      </c>
      <c r="Q161" s="125">
        <f>[1]节奏总纲!Q161</f>
        <v>57051.401716174769</v>
      </c>
      <c r="R161" s="125">
        <f>[1]节奏总纲!R161</f>
        <v>57621.915733336515</v>
      </c>
      <c r="S161" s="125">
        <f>[1]节奏总纲!S161</f>
        <v>57621.915733336515</v>
      </c>
      <c r="T161" s="125">
        <f>[1]节奏总纲!T161</f>
        <v>57621.915733336515</v>
      </c>
      <c r="U161" s="125"/>
      <c r="V161" s="125">
        <v>158</v>
      </c>
      <c r="W161" s="125">
        <f>[1]节奏总纲!W161</f>
        <v>3820.6286685725863</v>
      </c>
      <c r="X161" s="125">
        <f>[1]节奏总纲!X161</f>
        <v>3820.6286685725863</v>
      </c>
      <c r="Y161" s="125">
        <f>[1]节奏总纲!Y161</f>
        <v>3858.8349552583095</v>
      </c>
      <c r="Z161" s="125">
        <f>[1]节奏总纲!Z161</f>
        <v>3858.8349552583095</v>
      </c>
      <c r="AA161" s="125">
        <f>[1]节奏总纲!AA161</f>
        <v>3858.8349552583095</v>
      </c>
      <c r="AC161" s="107">
        <v>158</v>
      </c>
      <c r="AD161" s="107">
        <f>[1]节奏总纲!AD161</f>
        <v>73.124973399384572</v>
      </c>
      <c r="AE161" s="107">
        <f>[1]节奏总纲!AE161</f>
        <v>75.200260969343077</v>
      </c>
      <c r="AF161" s="107">
        <f>[1]节奏总纲!AF161</f>
        <v>78.066694029528094</v>
      </c>
      <c r="AG161" s="107">
        <f>[1]节奏总纲!AG161</f>
        <v>82.667580534727804</v>
      </c>
      <c r="AH161" s="107">
        <f>[1]节奏总纲!AH161</f>
        <v>92.033129415212969</v>
      </c>
      <c r="AZ161" s="107">
        <v>158</v>
      </c>
      <c r="BA161" s="107">
        <v>41.107589324271871</v>
      </c>
      <c r="BB161" s="107">
        <v>42.601058174025873</v>
      </c>
      <c r="BC161" s="107">
        <v>44.541927676315858</v>
      </c>
      <c r="BD161" s="107">
        <v>47.286546933283724</v>
      </c>
      <c r="BE161" s="107">
        <v>50</v>
      </c>
    </row>
    <row r="162" spans="6:57" x14ac:dyDescent="0.15">
      <c r="F162" s="125">
        <f>[1]节奏总纲!F162</f>
        <v>160</v>
      </c>
      <c r="G162" s="125">
        <f>[1]节奏总纲!G162</f>
        <v>65535</v>
      </c>
      <c r="N162" s="125">
        <f>[1]节奏总纲!N162</f>
        <v>169</v>
      </c>
      <c r="O162" s="125">
        <v>159</v>
      </c>
      <c r="P162" s="125">
        <f>[1]节奏总纲!P162</f>
        <v>61146.25013335624</v>
      </c>
      <c r="Q162" s="125">
        <f>[1]节奏总纲!Q162</f>
        <v>61146.25013335624</v>
      </c>
      <c r="R162" s="125">
        <f>[1]节奏总纲!R162</f>
        <v>61757.7126346898</v>
      </c>
      <c r="S162" s="125">
        <f>[1]节奏总纲!S162</f>
        <v>61757.7126346898</v>
      </c>
      <c r="T162" s="125">
        <f>[1]节奏总纲!T162</f>
        <v>61757.7126346898</v>
      </c>
      <c r="U162" s="125"/>
      <c r="V162" s="125">
        <v>159</v>
      </c>
      <c r="W162" s="125">
        <f>[1]节奏总纲!W162</f>
        <v>4094.8484171814707</v>
      </c>
      <c r="X162" s="125">
        <f>[1]节奏总纲!X162</f>
        <v>4094.8484171814707</v>
      </c>
      <c r="Y162" s="125">
        <f>[1]节奏总纲!Y162</f>
        <v>4135.7969013532856</v>
      </c>
      <c r="Z162" s="125">
        <f>[1]节奏总纲!Z162</f>
        <v>4135.7969013532856</v>
      </c>
      <c r="AA162" s="125">
        <f>[1]节奏总纲!AA162</f>
        <v>4135.7969013532856</v>
      </c>
      <c r="AC162" s="107">
        <v>159</v>
      </c>
      <c r="AD162" s="107">
        <f>[1]节奏总纲!AD162</f>
        <v>73.213386604241791</v>
      </c>
      <c r="AE162" s="107">
        <f>[1]节奏总纲!AE162</f>
        <v>75.289373948280101</v>
      </c>
      <c r="AF162" s="107">
        <f>[1]节奏总纲!AF162</f>
        <v>78.153631564737054</v>
      </c>
      <c r="AG162" s="107">
        <f>[1]节奏总纲!AG162</f>
        <v>82.760456968319758</v>
      </c>
      <c r="AH162" s="107">
        <f>[1]节奏总纲!AH162</f>
        <v>92.126546512350387</v>
      </c>
      <c r="AZ162" s="107">
        <v>159</v>
      </c>
      <c r="BA162" s="107">
        <v>41.147815539363613</v>
      </c>
      <c r="BB162" s="107">
        <v>42.644449117684701</v>
      </c>
      <c r="BC162" s="107">
        <v>44.585020086822361</v>
      </c>
      <c r="BD162" s="107">
        <v>47.328122009929508</v>
      </c>
      <c r="BE162" s="107">
        <v>50</v>
      </c>
    </row>
    <row r="163" spans="6:57" x14ac:dyDescent="0.15">
      <c r="F163" s="125"/>
      <c r="G163" s="125"/>
      <c r="N163" s="125">
        <f>[1]节奏总纲!N163</f>
        <v>170</v>
      </c>
      <c r="O163" s="125">
        <v>160</v>
      </c>
      <c r="P163" s="125">
        <f>[1]节奏总纲!P163</f>
        <v>65535</v>
      </c>
      <c r="Q163" s="125">
        <f>[1]节奏总纲!Q163</f>
        <v>65535</v>
      </c>
      <c r="R163" s="125">
        <f>[1]节奏总纲!R163</f>
        <v>66190.350000000006</v>
      </c>
      <c r="S163" s="125">
        <f>[1]节奏总纲!S163</f>
        <v>66190.350000000006</v>
      </c>
      <c r="T163" s="125">
        <f>[1]节奏总纲!T163</f>
        <v>66190.350000000006</v>
      </c>
      <c r="U163" s="125"/>
      <c r="V163" s="125">
        <v>160</v>
      </c>
      <c r="W163" s="125">
        <f>[1]节奏总纲!W163</f>
        <v>4388.7498666437605</v>
      </c>
      <c r="X163" s="125">
        <f>[1]节奏总纲!X163</f>
        <v>4388.7498666437605</v>
      </c>
      <c r="Y163" s="125">
        <f>[1]节奏总纲!Y163</f>
        <v>4432.6373653102055</v>
      </c>
      <c r="Z163" s="125">
        <f>[1]节奏总纲!Z163</f>
        <v>4432.6373653102055</v>
      </c>
      <c r="AA163" s="125">
        <f>[1]节奏总纲!AA163</f>
        <v>4432.6373653102055</v>
      </c>
      <c r="AC163" s="107">
        <v>160</v>
      </c>
      <c r="AD163" s="107">
        <f>[1]节奏总纲!AD163</f>
        <v>73.301799809099009</v>
      </c>
      <c r="AE163" s="107">
        <f>[1]节奏总纲!AE163</f>
        <v>75.378486927217125</v>
      </c>
      <c r="AF163" s="107">
        <f>[1]节奏总纲!AF163</f>
        <v>78.240569099946029</v>
      </c>
      <c r="AG163" s="107">
        <f>[1]节奏总纲!AG163</f>
        <v>82.853333401911726</v>
      </c>
      <c r="AH163" s="107">
        <f>[1]节奏总纲!AH163</f>
        <v>92.219963609487792</v>
      </c>
      <c r="AZ163" s="107">
        <v>160</v>
      </c>
      <c r="BA163" s="107">
        <v>41.188041754455355</v>
      </c>
      <c r="BB163" s="107">
        <v>42.687840061343536</v>
      </c>
      <c r="BC163" s="107">
        <v>44.628112497328864</v>
      </c>
      <c r="BD163" s="107">
        <v>47.3696970865753</v>
      </c>
      <c r="BE163" s="107">
        <v>50</v>
      </c>
    </row>
    <row r="164" spans="6:57" x14ac:dyDescent="0.15">
      <c r="F164" s="125"/>
      <c r="G164" s="125"/>
      <c r="AC164" s="107">
        <v>161</v>
      </c>
      <c r="AD164" s="107">
        <f>[1]节奏总纲!AD164</f>
        <v>73.390213013956213</v>
      </c>
      <c r="AE164" s="107">
        <f>[1]节奏总纲!AE164</f>
        <v>75.467599906154135</v>
      </c>
      <c r="AF164" s="107">
        <f>[1]节奏总纲!AF164</f>
        <v>78.32750663515499</v>
      </c>
      <c r="AG164" s="107">
        <f>[1]节奏总纲!AG164</f>
        <v>82.94620983550368</v>
      </c>
      <c r="AH164" s="107">
        <f>[1]节奏总纲!AH164</f>
        <v>92.313380706625196</v>
      </c>
      <c r="AZ164" s="107">
        <v>161</v>
      </c>
      <c r="BA164" s="107">
        <v>41.228267969547105</v>
      </c>
      <c r="BB164" s="107">
        <v>42.731231005002364</v>
      </c>
      <c r="BC164" s="107">
        <v>44.671204907835367</v>
      </c>
      <c r="BD164" s="107">
        <v>47.411272163221085</v>
      </c>
      <c r="BE164" s="107">
        <v>50</v>
      </c>
    </row>
    <row r="165" spans="6:57" x14ac:dyDescent="0.15">
      <c r="F165" s="125"/>
      <c r="G165" s="125"/>
      <c r="AC165" s="107">
        <v>162</v>
      </c>
      <c r="AD165" s="107">
        <f>[1]节奏总纲!AD165</f>
        <v>73.478626218813432</v>
      </c>
      <c r="AE165" s="107">
        <f>[1]节奏总纲!AE165</f>
        <v>75.556712885091159</v>
      </c>
      <c r="AF165" s="107">
        <f>[1]节奏总纲!AF165</f>
        <v>78.414444170363964</v>
      </c>
      <c r="AG165" s="107">
        <f>[1]节奏总纲!AG165</f>
        <v>83.036921590135321</v>
      </c>
      <c r="AH165" s="107">
        <f>[1]节奏总纲!AH165</f>
        <v>92.406797803762601</v>
      </c>
      <c r="AZ165" s="107">
        <v>162</v>
      </c>
      <c r="BA165" s="107">
        <v>41.268494184638847</v>
      </c>
      <c r="BB165" s="107">
        <v>42.774621948661192</v>
      </c>
      <c r="BC165" s="107">
        <v>44.714297318341877</v>
      </c>
      <c r="BD165" s="107">
        <v>47.452847239866877</v>
      </c>
      <c r="BE165" s="107">
        <v>50</v>
      </c>
    </row>
    <row r="166" spans="6:57" x14ac:dyDescent="0.15">
      <c r="F166" s="125"/>
      <c r="G166" s="125"/>
      <c r="AC166" s="107">
        <v>163</v>
      </c>
      <c r="AD166" s="107">
        <f>[1]节奏总纲!AD166</f>
        <v>73.56703942367065</v>
      </c>
      <c r="AE166" s="107">
        <f>[1]节奏总纲!AE166</f>
        <v>75.645825864028183</v>
      </c>
      <c r="AF166" s="107">
        <f>[1]节奏总纲!AF166</f>
        <v>78.501381705572925</v>
      </c>
      <c r="AG166" s="107">
        <f>[1]节奏总纲!AG166</f>
        <v>83.124654333465756</v>
      </c>
      <c r="AH166" s="107">
        <f>[1]节奏总纲!AH166</f>
        <v>92.500214900900005</v>
      </c>
      <c r="AZ166" s="107">
        <v>163</v>
      </c>
      <c r="BA166" s="107">
        <v>41.308720399730589</v>
      </c>
      <c r="BB166" s="107">
        <v>42.818012892320027</v>
      </c>
      <c r="BC166" s="107">
        <v>44.757389728848381</v>
      </c>
      <c r="BD166" s="107">
        <v>47.494422316512662</v>
      </c>
      <c r="BE166" s="107">
        <v>50</v>
      </c>
    </row>
    <row r="167" spans="6:57" x14ac:dyDescent="0.15">
      <c r="F167" s="125"/>
      <c r="G167" s="125"/>
      <c r="AC167" s="107">
        <v>164</v>
      </c>
      <c r="AD167" s="107">
        <f>[1]节奏总纲!AD167</f>
        <v>73.655452628527868</v>
      </c>
      <c r="AE167" s="107">
        <f>[1]节奏总纲!AE167</f>
        <v>75.734938842965192</v>
      </c>
      <c r="AF167" s="107">
        <f>[1]节奏总纲!AF167</f>
        <v>78.5883192407819</v>
      </c>
      <c r="AG167" s="107">
        <f>[1]节奏总纲!AG167</f>
        <v>83.21238707679619</v>
      </c>
      <c r="AH167" s="107">
        <f>[1]节奏总纲!AH167</f>
        <v>92.593631998037409</v>
      </c>
      <c r="AZ167" s="107">
        <v>164</v>
      </c>
      <c r="BA167" s="107">
        <v>41.348946614822331</v>
      </c>
      <c r="BB167" s="107">
        <v>42.861403835978855</v>
      </c>
      <c r="BC167" s="107">
        <v>44.800482139354884</v>
      </c>
      <c r="BD167" s="107">
        <v>47.535997393158453</v>
      </c>
      <c r="BE167" s="107">
        <v>50</v>
      </c>
    </row>
    <row r="168" spans="6:57" x14ac:dyDescent="0.15">
      <c r="F168" s="125"/>
      <c r="G168" s="125"/>
      <c r="AC168" s="107">
        <v>165</v>
      </c>
      <c r="AD168" s="107">
        <f>[1]节奏总纲!AD168</f>
        <v>73.743865833385087</v>
      </c>
      <c r="AE168" s="107">
        <f>[1]节奏总纲!AE168</f>
        <v>75.824051821902216</v>
      </c>
      <c r="AF168" s="107">
        <f>[1]节奏总纲!AF168</f>
        <v>78.67525677599086</v>
      </c>
      <c r="AG168" s="107">
        <f>[1]节奏总纲!AG168</f>
        <v>83.300119820126625</v>
      </c>
      <c r="AH168" s="107">
        <f>[1]节奏总纲!AH168</f>
        <v>92.687049095174814</v>
      </c>
      <c r="AZ168" s="107">
        <v>165</v>
      </c>
      <c r="BA168" s="107">
        <v>41.389172829914081</v>
      </c>
      <c r="BB168" s="107">
        <v>42.904794779637683</v>
      </c>
      <c r="BC168" s="107">
        <v>44.843574549861387</v>
      </c>
      <c r="BD168" s="107">
        <v>47.577572469804238</v>
      </c>
      <c r="BE168" s="107">
        <v>50</v>
      </c>
    </row>
    <row r="169" spans="6:57" x14ac:dyDescent="0.15">
      <c r="F169" s="125"/>
      <c r="G169" s="125"/>
      <c r="AC169" s="107">
        <v>166</v>
      </c>
      <c r="AD169" s="107">
        <f>[1]节奏总纲!AD169</f>
        <v>73.832279038242305</v>
      </c>
      <c r="AE169" s="107">
        <f>[1]节奏总纲!AE169</f>
        <v>75.91316480083924</v>
      </c>
      <c r="AF169" s="107">
        <f>[1]节奏总纲!AF169</f>
        <v>78.762194311199835</v>
      </c>
      <c r="AG169" s="107">
        <f>[1]节奏总纲!AG169</f>
        <v>83.387852563457059</v>
      </c>
      <c r="AH169" s="107">
        <f>[1]节奏总纲!AH169</f>
        <v>92.780466192312218</v>
      </c>
      <c r="AZ169" s="107">
        <v>166</v>
      </c>
      <c r="BA169" s="107">
        <v>41.429399045005823</v>
      </c>
      <c r="BB169" s="107">
        <v>42.948185723296518</v>
      </c>
      <c r="BC169" s="107">
        <v>44.88666696036789</v>
      </c>
      <c r="BD169" s="107">
        <v>47.619147546450023</v>
      </c>
      <c r="BE169" s="107">
        <v>50</v>
      </c>
    </row>
    <row r="170" spans="6:57" x14ac:dyDescent="0.15">
      <c r="F170" s="125"/>
      <c r="G170" s="125"/>
      <c r="AC170" s="107">
        <v>167</v>
      </c>
      <c r="AD170" s="107">
        <f>[1]节奏总纲!AD170</f>
        <v>73.920692243099523</v>
      </c>
      <c r="AE170" s="107">
        <f>[1]节奏总纲!AE170</f>
        <v>76.002103770254962</v>
      </c>
      <c r="AF170" s="107">
        <f>[1]节奏总纲!AF170</f>
        <v>78.849131846408795</v>
      </c>
      <c r="AG170" s="107">
        <f>[1]节奏总纲!AG170</f>
        <v>83.475585306787494</v>
      </c>
      <c r="AH170" s="107">
        <f>[1]节奏总纲!AH170</f>
        <v>92.873883289449623</v>
      </c>
      <c r="AZ170" s="107">
        <v>167</v>
      </c>
      <c r="BA170" s="107">
        <v>41.469625260097565</v>
      </c>
      <c r="BB170" s="107">
        <v>42.991576666955346</v>
      </c>
      <c r="BC170" s="107">
        <v>44.9297593708744</v>
      </c>
      <c r="BD170" s="107">
        <v>47.660722623095815</v>
      </c>
      <c r="BE170" s="107">
        <v>50</v>
      </c>
    </row>
    <row r="171" spans="6:57" x14ac:dyDescent="0.15">
      <c r="F171" s="125"/>
      <c r="G171" s="125"/>
      <c r="AC171" s="107">
        <v>168</v>
      </c>
      <c r="AD171" s="107">
        <f>[1]节奏总纲!AD171</f>
        <v>74.008495683346354</v>
      </c>
      <c r="AE171" s="107">
        <f>[1]节奏总纲!AE171</f>
        <v>76.084409020469636</v>
      </c>
      <c r="AF171" s="107">
        <f>[1]节奏总纲!AF171</f>
        <v>78.93606938161777</v>
      </c>
      <c r="AG171" s="107">
        <f>[1]节奏总纲!AG171</f>
        <v>83.563318050117928</v>
      </c>
      <c r="AH171" s="107">
        <f>[1]节奏总纲!AH171</f>
        <v>92.967300386587027</v>
      </c>
      <c r="AZ171" s="107">
        <v>168</v>
      </c>
      <c r="BA171" s="107">
        <v>41.509851475189308</v>
      </c>
      <c r="BB171" s="107">
        <v>43.030177309109042</v>
      </c>
      <c r="BC171" s="107">
        <v>44.972851781380903</v>
      </c>
      <c r="BD171" s="107">
        <v>47.7022976997416</v>
      </c>
      <c r="BE171" s="107">
        <v>50</v>
      </c>
    </row>
    <row r="172" spans="6:57" x14ac:dyDescent="0.15">
      <c r="F172" s="125"/>
      <c r="G172" s="125"/>
      <c r="AC172" s="107">
        <v>169</v>
      </c>
      <c r="AD172" s="107">
        <f>[1]节奏总纲!AD172</f>
        <v>74.090988120365651</v>
      </c>
      <c r="AE172" s="107">
        <f>[1]节奏总纲!AE172</f>
        <v>76.166714270684309</v>
      </c>
      <c r="AF172" s="107">
        <f>[1]节奏总纲!AF172</f>
        <v>79.022812309215297</v>
      </c>
      <c r="AG172" s="107">
        <f>[1]节奏总纲!AG172</f>
        <v>83.651050793448363</v>
      </c>
      <c r="AH172" s="107">
        <f>[1]节奏总纲!AH172</f>
        <v>93.057555567360481</v>
      </c>
      <c r="AZ172" s="107">
        <v>169</v>
      </c>
      <c r="BA172" s="107">
        <v>41.550077690281057</v>
      </c>
      <c r="BB172" s="107">
        <v>43.067624017543686</v>
      </c>
      <c r="BC172" s="107">
        <v>45.013762077986961</v>
      </c>
      <c r="BD172" s="107">
        <v>47.743872776387391</v>
      </c>
      <c r="BE172" s="107">
        <v>50</v>
      </c>
    </row>
    <row r="173" spans="6:57" x14ac:dyDescent="0.15">
      <c r="F173" s="125"/>
      <c r="G173" s="125"/>
      <c r="AC173" s="107">
        <v>170</v>
      </c>
      <c r="AD173" s="107">
        <f>[1]节奏总纲!AD173</f>
        <v>74.173480557384934</v>
      </c>
      <c r="AE173" s="107">
        <f>[1]节奏总纲!AE173</f>
        <v>76.249019520898997</v>
      </c>
      <c r="AF173" s="107">
        <f>[1]节奏总纲!AF173</f>
        <v>79.109014469658547</v>
      </c>
      <c r="AG173" s="107">
        <f>[1]节奏总纲!AG173</f>
        <v>83.738783536778797</v>
      </c>
      <c r="AH173" s="107">
        <f>[1]节奏总纲!AH173</f>
        <v>93.146107887007233</v>
      </c>
      <c r="AZ173" s="107">
        <v>170</v>
      </c>
      <c r="BA173" s="107">
        <v>41.590303905372799</v>
      </c>
      <c r="BB173" s="107">
        <v>43.105070725978337</v>
      </c>
      <c r="BC173" s="107">
        <v>45.050956883357138</v>
      </c>
      <c r="BD173" s="107">
        <v>47.785447853033176</v>
      </c>
      <c r="BE173" s="107">
        <v>50</v>
      </c>
    </row>
    <row r="174" spans="6:57" x14ac:dyDescent="0.15">
      <c r="F174" s="125"/>
      <c r="G174" s="125"/>
      <c r="AC174" s="107">
        <v>171</v>
      </c>
      <c r="AD174" s="107">
        <f>[1]节奏总纲!AD174</f>
        <v>74.255972994404218</v>
      </c>
      <c r="AE174" s="107">
        <f>[1]节奏总纲!AE174</f>
        <v>76.331324771113671</v>
      </c>
      <c r="AF174" s="107">
        <f>[1]节奏总纲!AF174</f>
        <v>79.195216630101797</v>
      </c>
      <c r="AG174" s="107">
        <f>[1]节奏总纲!AG174</f>
        <v>83.826516280109232</v>
      </c>
      <c r="AH174" s="107">
        <f>[1]节奏总纲!AH174</f>
        <v>93.23466020665397</v>
      </c>
      <c r="AZ174" s="107">
        <v>171</v>
      </c>
      <c r="BA174" s="107">
        <v>41.630530120464542</v>
      </c>
      <c r="BB174" s="107">
        <v>43.14251743441298</v>
      </c>
      <c r="BC174" s="107">
        <v>45.088151688727308</v>
      </c>
      <c r="BD174" s="107">
        <v>47.827022929678968</v>
      </c>
      <c r="BE174" s="107">
        <v>50</v>
      </c>
    </row>
    <row r="175" spans="6:57" x14ac:dyDescent="0.15">
      <c r="F175" s="125"/>
      <c r="G175" s="125"/>
      <c r="AC175" s="107">
        <v>172</v>
      </c>
      <c r="AD175" s="107">
        <f>[1]节奏总纲!AD175</f>
        <v>74.338465431423501</v>
      </c>
      <c r="AE175" s="107">
        <f>[1]节奏总纲!AE175</f>
        <v>76.413630021328345</v>
      </c>
      <c r="AF175" s="107">
        <f>[1]节奏总纲!AF175</f>
        <v>79.281418790545047</v>
      </c>
      <c r="AG175" s="107">
        <f>[1]节奏总纲!AG175</f>
        <v>83.914249023439666</v>
      </c>
      <c r="AH175" s="107">
        <f>[1]节奏总纲!AH175</f>
        <v>93.323212526300722</v>
      </c>
      <c r="AZ175" s="107">
        <v>172</v>
      </c>
      <c r="BA175" s="107">
        <v>41.670756335556291</v>
      </c>
      <c r="BB175" s="107">
        <v>43.179964142847631</v>
      </c>
      <c r="BC175" s="107">
        <v>45.125346494097485</v>
      </c>
      <c r="BD175" s="107">
        <v>47.868598006324753</v>
      </c>
      <c r="BE175" s="107">
        <v>50</v>
      </c>
    </row>
    <row r="176" spans="6:57" x14ac:dyDescent="0.15">
      <c r="F176" s="125"/>
      <c r="G176" s="125"/>
      <c r="AC176" s="107">
        <v>173</v>
      </c>
      <c r="AD176" s="107">
        <f>[1]节奏总纲!AD176</f>
        <v>74.420957868442784</v>
      </c>
      <c r="AE176" s="107">
        <f>[1]节奏总纲!AE176</f>
        <v>76.495935271543019</v>
      </c>
      <c r="AF176" s="107">
        <f>[1]节奏总纲!AF176</f>
        <v>79.367620950988297</v>
      </c>
      <c r="AG176" s="107">
        <f>[1]节奏总纲!AG176</f>
        <v>84.00179325525086</v>
      </c>
      <c r="AH176" s="107">
        <f>[1]节奏总纲!AH176</f>
        <v>93.411764845947459</v>
      </c>
      <c r="AZ176" s="107">
        <v>173</v>
      </c>
      <c r="BA176" s="107">
        <v>41.710982550648033</v>
      </c>
      <c r="BB176" s="107">
        <v>43.217410851282274</v>
      </c>
      <c r="BC176" s="107">
        <v>45.162541299467655</v>
      </c>
      <c r="BD176" s="107">
        <v>47.910173082970537</v>
      </c>
      <c r="BE176" s="107">
        <v>50</v>
      </c>
    </row>
    <row r="177" spans="6:57" x14ac:dyDescent="0.15">
      <c r="F177" s="125"/>
      <c r="G177" s="125"/>
      <c r="AC177" s="107">
        <v>174</v>
      </c>
      <c r="AD177" s="107">
        <f>[1]节奏总纲!AD177</f>
        <v>74.503450305462081</v>
      </c>
      <c r="AE177" s="107">
        <f>[1]节奏总纲!AE177</f>
        <v>76.578240521757706</v>
      </c>
      <c r="AF177" s="107">
        <f>[1]节奏总纲!AF177</f>
        <v>79.453823111431561</v>
      </c>
      <c r="AG177" s="107">
        <f>[1]节奏总纲!AG177</f>
        <v>84.08118060043364</v>
      </c>
      <c r="AH177" s="107">
        <f>[1]节奏总纲!AH177</f>
        <v>93.500317165594211</v>
      </c>
      <c r="AZ177" s="107">
        <v>174</v>
      </c>
      <c r="BA177" s="107">
        <v>41.751208765739776</v>
      </c>
      <c r="BB177" s="107">
        <v>43.254857559716925</v>
      </c>
      <c r="BC177" s="107">
        <v>45.199736104837832</v>
      </c>
      <c r="BD177" s="107">
        <v>47.951748159616329</v>
      </c>
      <c r="BE177" s="107">
        <v>50</v>
      </c>
    </row>
    <row r="178" spans="6:57" x14ac:dyDescent="0.15">
      <c r="F178" s="125"/>
      <c r="G178" s="125"/>
      <c r="AC178" s="107">
        <v>175</v>
      </c>
      <c r="AD178" s="107">
        <f>[1]节奏总纲!AD178</f>
        <v>74.585942742481365</v>
      </c>
      <c r="AE178" s="107">
        <f>[1]节奏总纲!AE178</f>
        <v>76.66054577197238</v>
      </c>
      <c r="AF178" s="107">
        <f>[1]节奏总纲!AF178</f>
        <v>79.540025271874811</v>
      </c>
      <c r="AG178" s="107">
        <f>[1]节奏总纲!AG178</f>
        <v>84.160567945616407</v>
      </c>
      <c r="AH178" s="107">
        <f>[1]节奏总纲!AH178</f>
        <v>93.588869485240949</v>
      </c>
      <c r="AZ178" s="107">
        <v>175</v>
      </c>
      <c r="BA178" s="107">
        <v>41.791434980831518</v>
      </c>
      <c r="BB178" s="107">
        <v>43.292304268151575</v>
      </c>
      <c r="BC178" s="107">
        <v>45.236930910208002</v>
      </c>
      <c r="BD178" s="107">
        <v>47.993323236262114</v>
      </c>
      <c r="BE178" s="107">
        <v>50</v>
      </c>
    </row>
    <row r="179" spans="6:57" x14ac:dyDescent="0.15">
      <c r="F179" s="125"/>
      <c r="G179" s="125"/>
      <c r="AC179" s="107">
        <v>176</v>
      </c>
      <c r="AD179" s="107">
        <f>[1]节奏总纲!AD179</f>
        <v>74.668435179500648</v>
      </c>
      <c r="AE179" s="107">
        <f>[1]节奏总纲!AE179</f>
        <v>76.742851022187054</v>
      </c>
      <c r="AF179" s="107">
        <f>[1]节奏总纲!AF179</f>
        <v>79.626227432318061</v>
      </c>
      <c r="AG179" s="107">
        <f>[1]节奏总纲!AG179</f>
        <v>84.239955290799188</v>
      </c>
      <c r="AH179" s="107">
        <f>[1]节奏总纲!AH179</f>
        <v>93.6774218048877</v>
      </c>
      <c r="AZ179" s="107">
        <v>176</v>
      </c>
      <c r="BA179" s="107">
        <v>41.831661195923267</v>
      </c>
      <c r="BB179" s="107">
        <v>43.329750976586219</v>
      </c>
      <c r="BC179" s="107">
        <v>45.274125715578172</v>
      </c>
      <c r="BD179" s="107">
        <v>48.030128751164234</v>
      </c>
      <c r="BE179" s="107">
        <v>50</v>
      </c>
    </row>
    <row r="180" spans="6:57" x14ac:dyDescent="0.15">
      <c r="F180" s="125"/>
      <c r="G180" s="125"/>
      <c r="AC180" s="107">
        <v>177</v>
      </c>
      <c r="AD180" s="107">
        <f>[1]节奏总纲!AD180</f>
        <v>74.750927616519931</v>
      </c>
      <c r="AE180" s="107">
        <f>[1]节奏总纲!AE180</f>
        <v>76.825156272401728</v>
      </c>
      <c r="AF180" s="107">
        <f>[1]节奏总纲!AF180</f>
        <v>79.71242959276131</v>
      </c>
      <c r="AG180" s="107">
        <f>[1]节奏总纲!AG180</f>
        <v>84.319342635981968</v>
      </c>
      <c r="AH180" s="107">
        <f>[1]节奏总纲!AH180</f>
        <v>93.765974124534438</v>
      </c>
      <c r="AZ180" s="107">
        <v>177</v>
      </c>
      <c r="BA180" s="107">
        <v>41.87188741101501</v>
      </c>
      <c r="BB180" s="107">
        <v>43.367197685020869</v>
      </c>
      <c r="BC180" s="107">
        <v>45.31132052094835</v>
      </c>
      <c r="BD180" s="107">
        <v>48.066021750983474</v>
      </c>
      <c r="BE180" s="107">
        <v>50</v>
      </c>
    </row>
    <row r="181" spans="6:57" x14ac:dyDescent="0.15">
      <c r="F181" s="125"/>
      <c r="G181" s="125"/>
      <c r="AC181" s="107">
        <v>178</v>
      </c>
      <c r="AD181" s="107">
        <f>[1]节奏总纲!AD181</f>
        <v>74.833420053539214</v>
      </c>
      <c r="AE181" s="107">
        <f>[1]节奏总纲!AE181</f>
        <v>76.907461522616416</v>
      </c>
      <c r="AF181" s="107">
        <f>[1]节奏总纲!AF181</f>
        <v>79.79863175320456</v>
      </c>
      <c r="AG181" s="107">
        <f>[1]节奏总纲!AG181</f>
        <v>84.398729981164735</v>
      </c>
      <c r="AH181" s="107">
        <f>[1]节奏总纲!AH181</f>
        <v>93.85452644418119</v>
      </c>
      <c r="AZ181" s="107">
        <v>178</v>
      </c>
      <c r="BA181" s="107">
        <v>41.912113626106752</v>
      </c>
      <c r="BB181" s="107">
        <v>43.404644393455513</v>
      </c>
      <c r="BC181" s="107">
        <v>45.34851532631852</v>
      </c>
      <c r="BD181" s="107">
        <v>48.101914750802706</v>
      </c>
      <c r="BE181" s="107">
        <v>50</v>
      </c>
    </row>
    <row r="182" spans="6:57" x14ac:dyDescent="0.15">
      <c r="F182" s="125"/>
      <c r="G182" s="125"/>
      <c r="AC182" s="107">
        <v>179</v>
      </c>
      <c r="AD182" s="107">
        <f>[1]节奏总纲!AD182</f>
        <v>74.915912490558512</v>
      </c>
      <c r="AE182" s="107">
        <f>[1]节奏总纲!AE182</f>
        <v>76.989766772831089</v>
      </c>
      <c r="AF182" s="107">
        <f>[1]节奏总纲!AF182</f>
        <v>79.88483391364781</v>
      </c>
      <c r="AG182" s="107">
        <f>[1]节奏总纲!AG182</f>
        <v>84.478117326347515</v>
      </c>
      <c r="AH182" s="107">
        <f>[1]节奏总纲!AH182</f>
        <v>93.943078763827941</v>
      </c>
      <c r="AZ182" s="107">
        <v>179</v>
      </c>
      <c r="BA182" s="107">
        <v>41.952339841198494</v>
      </c>
      <c r="BB182" s="107">
        <v>43.442091101890163</v>
      </c>
      <c r="BC182" s="107">
        <v>45.385710131688697</v>
      </c>
      <c r="BD182" s="107">
        <v>48.137807750621946</v>
      </c>
      <c r="BE182" s="107">
        <v>50</v>
      </c>
    </row>
    <row r="183" spans="6:57" x14ac:dyDescent="0.15">
      <c r="F183" s="125"/>
      <c r="G183" s="125"/>
      <c r="AC183" s="107">
        <v>180</v>
      </c>
      <c r="AD183" s="107">
        <f>[1]节奏总纲!AD183</f>
        <v>74.998404927577795</v>
      </c>
      <c r="AE183" s="107">
        <f>[1]节奏总纲!AE183</f>
        <v>77.06778397927944</v>
      </c>
      <c r="AF183" s="107">
        <f>[1]节奏总纲!AF183</f>
        <v>79.97103607409106</v>
      </c>
      <c r="AG183" s="107">
        <f>[1]节奏总纲!AG183</f>
        <v>84.557504671530296</v>
      </c>
      <c r="AH183" s="107">
        <f>[1]节奏总纲!AH183</f>
        <v>94.027056817114342</v>
      </c>
      <c r="AZ183" s="107">
        <v>180</v>
      </c>
      <c r="BA183" s="107">
        <v>41.992566056290244</v>
      </c>
      <c r="BB183" s="107">
        <v>43.479537810324807</v>
      </c>
      <c r="BC183" s="107">
        <v>45.422904937058867</v>
      </c>
      <c r="BD183" s="107">
        <v>48.173700750441178</v>
      </c>
      <c r="BE183" s="107">
        <v>50</v>
      </c>
    </row>
    <row r="184" spans="6:57" x14ac:dyDescent="0.15">
      <c r="F184" s="125"/>
      <c r="G184" s="125"/>
      <c r="AC184" s="107">
        <v>181</v>
      </c>
      <c r="AD184" s="107">
        <f>[1]节奏总纲!AD184</f>
        <v>75.075479910097457</v>
      </c>
      <c r="AE184" s="107">
        <f>[1]节奏总纲!AE184</f>
        <v>77.145192343015793</v>
      </c>
      <c r="AF184" s="107">
        <f>[1]节奏总纲!AF184</f>
        <v>80.053817475702374</v>
      </c>
      <c r="AG184" s="107">
        <f>[1]节奏总纲!AG184</f>
        <v>84.636892016713063</v>
      </c>
      <c r="AH184" s="107">
        <f>[1]节奏总纲!AH184</f>
        <v>94.102803318799971</v>
      </c>
      <c r="AZ184" s="107">
        <v>181</v>
      </c>
      <c r="BA184" s="107">
        <v>42.028297717729309</v>
      </c>
      <c r="BB184" s="107">
        <v>43.516984518759458</v>
      </c>
      <c r="BC184" s="107">
        <v>45.460099742429037</v>
      </c>
      <c r="BD184" s="107">
        <v>48.209593750260417</v>
      </c>
      <c r="BE184" s="107">
        <v>50</v>
      </c>
    </row>
    <row r="185" spans="6:57" x14ac:dyDescent="0.15">
      <c r="F185" s="125"/>
      <c r="G185" s="125"/>
      <c r="AC185" s="107">
        <v>182</v>
      </c>
      <c r="AD185" s="107">
        <f>[1]节奏总纲!AD185</f>
        <v>75.152448075388719</v>
      </c>
      <c r="AE185" s="107">
        <f>[1]节奏总纲!AE185</f>
        <v>77.222600706752132</v>
      </c>
      <c r="AF185" s="107">
        <f>[1]节奏总纲!AF185</f>
        <v>80.134867890916794</v>
      </c>
      <c r="AG185" s="107">
        <f>[1]节奏总纲!AG185</f>
        <v>84.716279361895843</v>
      </c>
      <c r="AH185" s="107">
        <f>[1]节奏总纲!AH185</f>
        <v>94.1785498204856</v>
      </c>
      <c r="AZ185" s="107">
        <v>182</v>
      </c>
      <c r="BA185" s="107">
        <v>42.063010472656373</v>
      </c>
      <c r="BB185" s="107">
        <v>43.554431227194108</v>
      </c>
      <c r="BC185" s="107">
        <v>45.497294547799214</v>
      </c>
      <c r="BD185" s="107">
        <v>48.24548675007965</v>
      </c>
      <c r="BE185" s="107">
        <v>50</v>
      </c>
    </row>
    <row r="186" spans="6:57" x14ac:dyDescent="0.15">
      <c r="F186" s="125"/>
      <c r="G186" s="125"/>
      <c r="AC186" s="107">
        <v>183</v>
      </c>
      <c r="AD186" s="107">
        <f>[1]节奏总纲!AD186</f>
        <v>75.229416240679981</v>
      </c>
      <c r="AE186" s="107">
        <f>[1]节奏总纲!AE186</f>
        <v>77.300009070488485</v>
      </c>
      <c r="AF186" s="107">
        <f>[1]节奏总纲!AF186</f>
        <v>80.215918306131215</v>
      </c>
      <c r="AG186" s="107">
        <f>[1]节奏总纲!AG186</f>
        <v>84.795666707078624</v>
      </c>
      <c r="AH186" s="107">
        <f>[1]节奏总纲!AH186</f>
        <v>94.254296322171228</v>
      </c>
      <c r="AZ186" s="107">
        <v>183</v>
      </c>
      <c r="BA186" s="107">
        <v>42.097723227583437</v>
      </c>
      <c r="BB186" s="107">
        <v>43.591877935628752</v>
      </c>
      <c r="BC186" s="107">
        <v>45.534489353169384</v>
      </c>
      <c r="BD186" s="107">
        <v>48.281379749898889</v>
      </c>
      <c r="BE186" s="107">
        <v>50</v>
      </c>
    </row>
    <row r="187" spans="6:57" x14ac:dyDescent="0.15">
      <c r="F187" s="125"/>
      <c r="G187" s="125"/>
      <c r="AC187" s="107">
        <v>184</v>
      </c>
      <c r="AD187" s="107">
        <f>[1]节奏总纲!AD187</f>
        <v>75.306384405971258</v>
      </c>
      <c r="AE187" s="107">
        <f>[1]节奏总纲!AE187</f>
        <v>77.377417434224824</v>
      </c>
      <c r="AF187" s="107">
        <f>[1]节奏总纲!AF187</f>
        <v>80.296968721345635</v>
      </c>
      <c r="AG187" s="107">
        <f>[1]节奏总纲!AG187</f>
        <v>84.87505405226139</v>
      </c>
      <c r="AH187" s="107">
        <f>[1]节奏总纲!AH187</f>
        <v>94.330042823856857</v>
      </c>
      <c r="AZ187" s="107">
        <v>184</v>
      </c>
      <c r="BA187" s="107">
        <v>42.132435982510501</v>
      </c>
      <c r="BB187" s="107">
        <v>43.629324644063402</v>
      </c>
      <c r="BC187" s="107">
        <v>45.571684158539561</v>
      </c>
      <c r="BD187" s="107">
        <v>48.317272749718121</v>
      </c>
      <c r="BE187" s="107">
        <v>50</v>
      </c>
    </row>
    <row r="188" spans="6:57" x14ac:dyDescent="0.15">
      <c r="AC188" s="107">
        <v>185</v>
      </c>
      <c r="AD188" s="107">
        <f>[1]节奏总纲!AD188</f>
        <v>75.38335257126252</v>
      </c>
      <c r="AE188" s="107">
        <f>[1]节奏总纲!AE188</f>
        <v>77.454825797961163</v>
      </c>
      <c r="AF188" s="107">
        <f>[1]节奏总纲!AF188</f>
        <v>80.378019136560056</v>
      </c>
      <c r="AG188" s="107">
        <f>[1]节奏总纲!AG188</f>
        <v>84.954441397444171</v>
      </c>
      <c r="AH188" s="107">
        <f>[1]节奏总纲!AH188</f>
        <v>94.405789325542486</v>
      </c>
      <c r="AZ188" s="107">
        <v>185</v>
      </c>
      <c r="BA188" s="107">
        <v>42.167148737437564</v>
      </c>
      <c r="BB188" s="107">
        <v>43.666771352498046</v>
      </c>
      <c r="BC188" s="107">
        <v>45.608878963909731</v>
      </c>
      <c r="BD188" s="107">
        <v>48.353165749537354</v>
      </c>
      <c r="BE188" s="107">
        <v>50</v>
      </c>
    </row>
    <row r="189" spans="6:57" x14ac:dyDescent="0.15">
      <c r="AC189" s="107">
        <v>186</v>
      </c>
      <c r="AD189" s="107">
        <f>[1]节奏总纲!AD189</f>
        <v>75.460320736553783</v>
      </c>
      <c r="AE189" s="107">
        <f>[1]节奏总纲!AE189</f>
        <v>77.532234161697517</v>
      </c>
      <c r="AF189" s="107">
        <f>[1]节奏总纲!AF189</f>
        <v>80.459069551774476</v>
      </c>
      <c r="AG189" s="107">
        <f>[1]节奏总纲!AG189</f>
        <v>85.030832425973387</v>
      </c>
      <c r="AH189" s="107">
        <f>[1]节奏总纲!AH189</f>
        <v>94.4815358272281</v>
      </c>
      <c r="AZ189" s="107">
        <v>186</v>
      </c>
      <c r="BA189" s="107">
        <v>42.201861492364635</v>
      </c>
      <c r="BB189" s="107">
        <v>43.704218060932696</v>
      </c>
      <c r="BC189" s="107">
        <v>45.646073769279901</v>
      </c>
      <c r="BD189" s="107">
        <v>48.389058749356593</v>
      </c>
      <c r="BE189" s="107">
        <v>50</v>
      </c>
    </row>
    <row r="190" spans="6:57" x14ac:dyDescent="0.15">
      <c r="AC190" s="107">
        <v>187</v>
      </c>
      <c r="AD190" s="107">
        <f>[1]节奏总纲!AD190</f>
        <v>75.537288901845045</v>
      </c>
      <c r="AE190" s="107">
        <f>[1]节奏总纲!AE190</f>
        <v>77.609642525433856</v>
      </c>
      <c r="AF190" s="107">
        <f>[1]节奏总纲!AF190</f>
        <v>80.540119966988897</v>
      </c>
      <c r="AG190" s="107">
        <f>[1]节奏总纲!AG190</f>
        <v>85.103188187775231</v>
      </c>
      <c r="AH190" s="107">
        <f>[1]节奏总纲!AH190</f>
        <v>94.557282328913729</v>
      </c>
      <c r="AZ190" s="107">
        <v>187</v>
      </c>
      <c r="BA190" s="107">
        <v>42.236574247291699</v>
      </c>
      <c r="BB190" s="107">
        <v>43.741664769367347</v>
      </c>
      <c r="BC190" s="107">
        <v>45.683268574650079</v>
      </c>
      <c r="BD190" s="107">
        <v>48.424951749175825</v>
      </c>
      <c r="BE190" s="107">
        <v>50</v>
      </c>
    </row>
    <row r="191" spans="6:57" x14ac:dyDescent="0.15">
      <c r="AC191" s="107">
        <v>188</v>
      </c>
      <c r="AD191" s="107">
        <f>[1]节奏总纲!AD191</f>
        <v>75.614257067136322</v>
      </c>
      <c r="AE191" s="107">
        <f>[1]节奏总纲!AE191</f>
        <v>77.687050889170209</v>
      </c>
      <c r="AF191" s="107">
        <f>[1]节奏总纲!AF191</f>
        <v>80.621170382203317</v>
      </c>
      <c r="AG191" s="107">
        <f>[1]节奏总纲!AG191</f>
        <v>85.175543949577076</v>
      </c>
      <c r="AH191" s="107">
        <f>[1]节奏总纲!AH191</f>
        <v>94.633028830599358</v>
      </c>
      <c r="AZ191" s="107">
        <v>188</v>
      </c>
      <c r="BA191" s="107">
        <v>42.271287002218763</v>
      </c>
      <c r="BB191" s="107">
        <v>43.77911147780199</v>
      </c>
      <c r="BC191" s="107">
        <v>45.720463380020249</v>
      </c>
      <c r="BD191" s="107">
        <v>48.460844748995065</v>
      </c>
      <c r="BE191" s="107">
        <v>50</v>
      </c>
    </row>
    <row r="192" spans="6:57" x14ac:dyDescent="0.15">
      <c r="AC192" s="107">
        <v>189</v>
      </c>
      <c r="AD192" s="107">
        <f>[1]节奏总纲!AD192</f>
        <v>75.691225232427584</v>
      </c>
      <c r="AE192" s="107">
        <f>[1]节奏总纲!AE192</f>
        <v>77.764459252906548</v>
      </c>
      <c r="AF192" s="107">
        <f>[1]节奏总纲!AF192</f>
        <v>80.702220797417738</v>
      </c>
      <c r="AG192" s="107">
        <f>[1]节奏总纲!AG192</f>
        <v>85.247899711378935</v>
      </c>
      <c r="AH192" s="107">
        <f>[1]节奏总纲!AH192</f>
        <v>94.708775332284986</v>
      </c>
      <c r="AZ192" s="107">
        <v>189</v>
      </c>
      <c r="BA192" s="107">
        <v>42.305999757145827</v>
      </c>
      <c r="BB192" s="107">
        <v>43.816558186236641</v>
      </c>
      <c r="BC192" s="107">
        <v>45.757658185390426</v>
      </c>
      <c r="BD192" s="107">
        <v>48.496737748814297</v>
      </c>
      <c r="BE192" s="107">
        <v>50</v>
      </c>
    </row>
    <row r="193" spans="29:57" x14ac:dyDescent="0.15">
      <c r="AC193" s="107">
        <v>190</v>
      </c>
      <c r="AD193" s="107">
        <f>[1]节奏总纲!AD193</f>
        <v>75.768193397718846</v>
      </c>
      <c r="AE193" s="107">
        <f>[1]节奏总纲!AE193</f>
        <v>77.841867616642901</v>
      </c>
      <c r="AF193" s="107">
        <f>[1]节奏总纲!AF193</f>
        <v>80.783271212632158</v>
      </c>
      <c r="AG193" s="107">
        <f>[1]节奏总纲!AG193</f>
        <v>85.320255473180779</v>
      </c>
      <c r="AH193" s="107">
        <f>[1]节奏总纲!AH193</f>
        <v>94.784521833970615</v>
      </c>
      <c r="AZ193" s="107">
        <v>190</v>
      </c>
      <c r="BA193" s="107">
        <v>42.340712512072891</v>
      </c>
      <c r="BB193" s="107">
        <v>43.854004894671284</v>
      </c>
      <c r="BC193" s="107">
        <v>45.794852990760596</v>
      </c>
      <c r="BD193" s="107">
        <v>48.532630748633537</v>
      </c>
      <c r="BE193" s="107">
        <v>50</v>
      </c>
    </row>
    <row r="194" spans="29:57" x14ac:dyDescent="0.15">
      <c r="AC194" s="107">
        <v>191</v>
      </c>
      <c r="AD194" s="107">
        <f>[1]节奏总纲!AD194</f>
        <v>75.845161563010109</v>
      </c>
      <c r="AE194" s="107">
        <f>[1]节奏总纲!AE194</f>
        <v>77.91927598037924</v>
      </c>
      <c r="AF194" s="107">
        <f>[1]节奏总纲!AF194</f>
        <v>80.864321627846579</v>
      </c>
      <c r="AG194" s="107">
        <f>[1]节奏总纲!AG194</f>
        <v>85.392611234982624</v>
      </c>
      <c r="AH194" s="107">
        <f>[1]节奏总纲!AH194</f>
        <v>94.860268335656244</v>
      </c>
      <c r="AZ194" s="107">
        <v>191</v>
      </c>
      <c r="BA194" s="107">
        <v>42.375425266999954</v>
      </c>
      <c r="BB194" s="107">
        <v>43.891451603105935</v>
      </c>
      <c r="BC194" s="107">
        <v>45.832047796130773</v>
      </c>
      <c r="BD194" s="107">
        <v>48.568523748452769</v>
      </c>
      <c r="BE194" s="107">
        <v>50</v>
      </c>
    </row>
    <row r="195" spans="29:57" x14ac:dyDescent="0.15">
      <c r="AC195" s="107">
        <v>192</v>
      </c>
      <c r="AD195" s="107">
        <f>[1]节奏总纲!AD195</f>
        <v>75.922129728301385</v>
      </c>
      <c r="AE195" s="107">
        <f>[1]节奏总纲!AE195</f>
        <v>77.996684344115593</v>
      </c>
      <c r="AF195" s="107">
        <f>[1]节奏总纲!AF195</f>
        <v>80.945372043060999</v>
      </c>
      <c r="AG195" s="107">
        <f>[1]节奏总纲!AG195</f>
        <v>85.464966996784469</v>
      </c>
      <c r="AH195" s="107">
        <f>[1]节奏总纲!AH195</f>
        <v>94.936014837341872</v>
      </c>
      <c r="AZ195" s="107">
        <v>192</v>
      </c>
      <c r="BA195" s="107">
        <v>42.410138021927018</v>
      </c>
      <c r="BB195" s="107">
        <v>43.928898311540578</v>
      </c>
      <c r="BC195" s="107">
        <v>45.869242601500943</v>
      </c>
      <c r="BD195" s="107">
        <v>48.604416748272008</v>
      </c>
      <c r="BE195" s="107">
        <v>50</v>
      </c>
    </row>
    <row r="196" spans="29:57" x14ac:dyDescent="0.15">
      <c r="AC196" s="107">
        <v>193</v>
      </c>
      <c r="AD196" s="107">
        <f>[1]节奏总纲!AD196</f>
        <v>75.999097893592648</v>
      </c>
      <c r="AE196" s="107">
        <f>[1]节奏总纲!AE196</f>
        <v>78.068193736526268</v>
      </c>
      <c r="AF196" s="107">
        <f>[1]节奏总纲!AF196</f>
        <v>81.02378934476593</v>
      </c>
      <c r="AG196" s="107">
        <f>[1]节奏总纲!AG196</f>
        <v>85.537322758586328</v>
      </c>
      <c r="AH196" s="107">
        <f>[1]节奏总纲!AH196</f>
        <v>95.011078787937279</v>
      </c>
      <c r="AZ196" s="107">
        <v>193</v>
      </c>
      <c r="BA196" s="107">
        <v>42.444850776854082</v>
      </c>
      <c r="BB196" s="107">
        <v>43.966345019975229</v>
      </c>
      <c r="BC196" s="107">
        <v>45.906437406871113</v>
      </c>
      <c r="BD196" s="107">
        <v>48.640309748091241</v>
      </c>
      <c r="BE196" s="107">
        <v>50</v>
      </c>
    </row>
    <row r="197" spans="29:57" x14ac:dyDescent="0.15">
      <c r="AC197" s="107">
        <v>194</v>
      </c>
      <c r="AD197" s="107">
        <f>[1]节奏总纲!AD197</f>
        <v>76.070972142474872</v>
      </c>
      <c r="AE197" s="107">
        <f>[1]节奏总纲!AE197</f>
        <v>78.139439149396253</v>
      </c>
      <c r="AF197" s="107">
        <f>[1]节奏总纲!AF197</f>
        <v>81.096762731680187</v>
      </c>
      <c r="AG197" s="107">
        <f>[1]节奏总纲!AG197</f>
        <v>85.609678520388172</v>
      </c>
      <c r="AH197" s="107">
        <f>[1]节奏总纲!AH197</f>
        <v>95.082429458741387</v>
      </c>
      <c r="AZ197" s="107">
        <v>194</v>
      </c>
      <c r="BA197" s="107">
        <v>42.479563531781146</v>
      </c>
      <c r="BB197" s="107">
        <v>44.003272544984547</v>
      </c>
      <c r="BC197" s="107">
        <v>45.94363221224129</v>
      </c>
      <c r="BD197" s="107">
        <v>48.67620274791048</v>
      </c>
      <c r="BE197" s="107">
        <v>50</v>
      </c>
    </row>
    <row r="198" spans="29:57" x14ac:dyDescent="0.15">
      <c r="AC198" s="107">
        <v>195</v>
      </c>
      <c r="AD198" s="107">
        <f>[1]节奏总纲!AD198</f>
        <v>76.142785979989682</v>
      </c>
      <c r="AE198" s="107">
        <f>[1]节奏总纲!AE198</f>
        <v>78.210684562266223</v>
      </c>
      <c r="AF198" s="107">
        <f>[1]节奏总纲!AF198</f>
        <v>81.169736118594443</v>
      </c>
      <c r="AG198" s="107">
        <f>[1]节奏总纲!AG198</f>
        <v>85.682034282190017</v>
      </c>
      <c r="AH198" s="107">
        <f>[1]节奏总纲!AH198</f>
        <v>95.153780129545481</v>
      </c>
      <c r="AZ198" s="107">
        <v>195</v>
      </c>
      <c r="BA198" s="107">
        <v>42.51427628670821</v>
      </c>
      <c r="BB198" s="107">
        <v>44.035591852864428</v>
      </c>
      <c r="BC198" s="107">
        <v>45.98082701761146</v>
      </c>
      <c r="BD198" s="107">
        <v>48.712095747729713</v>
      </c>
      <c r="BE198" s="107">
        <v>50</v>
      </c>
    </row>
    <row r="199" spans="29:57" x14ac:dyDescent="0.15">
      <c r="AC199" s="107">
        <v>196</v>
      </c>
      <c r="AD199" s="107">
        <f>[1]节奏总纲!AD199</f>
        <v>76.214599817504492</v>
      </c>
      <c r="AE199" s="107">
        <f>[1]节奏总纲!AE199</f>
        <v>78.281929975136208</v>
      </c>
      <c r="AF199" s="107">
        <f>[1]节奏总纲!AF199</f>
        <v>81.242709505508685</v>
      </c>
      <c r="AG199" s="107">
        <f>[1]节奏总纲!AG199</f>
        <v>85.754390043991862</v>
      </c>
      <c r="AH199" s="107">
        <f>[1]节奏总纲!AH199</f>
        <v>95.225130800349589</v>
      </c>
      <c r="AZ199" s="107">
        <v>196</v>
      </c>
      <c r="BA199" s="107">
        <v>42.548989041635274</v>
      </c>
      <c r="BB199" s="107">
        <v>44.067911160744309</v>
      </c>
      <c r="BC199" s="107">
        <v>46.01555652579863</v>
      </c>
      <c r="BD199" s="107">
        <v>48.747988747548945</v>
      </c>
      <c r="BE199" s="107">
        <v>50</v>
      </c>
    </row>
    <row r="200" spans="29:57" x14ac:dyDescent="0.15">
      <c r="AC200" s="107">
        <v>197</v>
      </c>
      <c r="AD200" s="107">
        <f>[1]节奏总纲!AD200</f>
        <v>76.286413655019302</v>
      </c>
      <c r="AE200" s="107">
        <f>[1]节奏总纲!AE200</f>
        <v>78.353175388006179</v>
      </c>
      <c r="AF200" s="107">
        <f>[1]节奏总纲!AF200</f>
        <v>81.315682892422942</v>
      </c>
      <c r="AG200" s="107">
        <f>[1]节奏总纲!AG200</f>
        <v>85.82674580579372</v>
      </c>
      <c r="AH200" s="107">
        <f>[1]节奏总纲!AH200</f>
        <v>95.296481471153683</v>
      </c>
      <c r="AZ200" s="107">
        <v>197</v>
      </c>
      <c r="BA200" s="107">
        <v>42.583701796562345</v>
      </c>
      <c r="BB200" s="107">
        <v>44.100230468624183</v>
      </c>
      <c r="BC200" s="107">
        <v>46.047663263829847</v>
      </c>
      <c r="BD200" s="107">
        <v>48.783881747368184</v>
      </c>
      <c r="BE200" s="107">
        <v>50</v>
      </c>
    </row>
    <row r="201" spans="29:57" x14ac:dyDescent="0.15">
      <c r="AC201" s="107">
        <v>198</v>
      </c>
      <c r="AD201" s="107">
        <f>[1]节奏总纲!AD201</f>
        <v>76.358227492534112</v>
      </c>
      <c r="AE201" s="107">
        <f>[1]节奏总纲!AE201</f>
        <v>78.424420800876163</v>
      </c>
      <c r="AF201" s="107">
        <f>[1]节奏总纲!AF201</f>
        <v>81.388656279337198</v>
      </c>
      <c r="AG201" s="107">
        <f>[1]节奏总纲!AG201</f>
        <v>85.899101567595565</v>
      </c>
      <c r="AH201" s="107">
        <f>[1]节奏总纲!AH201</f>
        <v>95.367832141957777</v>
      </c>
      <c r="AZ201" s="107">
        <v>198</v>
      </c>
      <c r="BA201" s="107">
        <v>42.618414551489408</v>
      </c>
      <c r="BB201" s="107">
        <v>44.132549776504064</v>
      </c>
      <c r="BC201" s="107">
        <v>46.079770001861057</v>
      </c>
      <c r="BD201" s="107">
        <v>48.819774747187417</v>
      </c>
      <c r="BE201" s="107">
        <v>50</v>
      </c>
    </row>
    <row r="202" spans="29:57" x14ac:dyDescent="0.15">
      <c r="AC202" s="107">
        <v>199</v>
      </c>
      <c r="AD202" s="107">
        <f>[1]节奏总纲!AD202</f>
        <v>76.430041330048923</v>
      </c>
      <c r="AE202" s="107">
        <f>[1]节奏总纲!AE202</f>
        <v>78.495666213746148</v>
      </c>
      <c r="AF202" s="107">
        <f>[1]节奏总纲!AF202</f>
        <v>81.461629666251454</v>
      </c>
      <c r="AG202" s="107">
        <f>[1]节奏总纲!AG202</f>
        <v>85.97145732939741</v>
      </c>
      <c r="AH202" s="107">
        <f>[1]节奏总纲!AH202</f>
        <v>95.439182812761885</v>
      </c>
      <c r="AZ202" s="107">
        <v>199</v>
      </c>
      <c r="BA202" s="107">
        <v>42.653127306416472</v>
      </c>
      <c r="BB202" s="107">
        <v>44.164869084383938</v>
      </c>
      <c r="BC202" s="107">
        <v>46.111876739892267</v>
      </c>
      <c r="BD202" s="107">
        <v>48.855667747006656</v>
      </c>
      <c r="BE202" s="107">
        <v>50</v>
      </c>
    </row>
    <row r="203" spans="29:57" x14ac:dyDescent="0.15">
      <c r="AC203" s="107">
        <v>200</v>
      </c>
      <c r="AD203" s="107">
        <f>[1]节奏总纲!AD203</f>
        <v>76.501855167563733</v>
      </c>
      <c r="AE203" s="107">
        <f>[1]节奏总纲!AE203</f>
        <v>78.566911626616118</v>
      </c>
      <c r="AF203" s="107">
        <f>[1]节奏总纲!AF203</f>
        <v>81.534603053165696</v>
      </c>
      <c r="AG203" s="107">
        <f>[1]节奏总纲!AG203</f>
        <v>86.045919706798657</v>
      </c>
      <c r="AH203" s="107">
        <f>[1]节奏总纲!AH203</f>
        <v>95.510533483565979</v>
      </c>
      <c r="AZ203" s="107">
        <v>200</v>
      </c>
      <c r="BA203" s="107">
        <v>42.687840061343536</v>
      </c>
      <c r="BB203" s="107">
        <v>44.197188392263818</v>
      </c>
      <c r="BC203" s="107">
        <v>46.143983477923484</v>
      </c>
      <c r="BD203" s="107">
        <v>48.891560746825888</v>
      </c>
      <c r="BE203" s="107">
        <v>50</v>
      </c>
    </row>
    <row r="204" spans="29:57" x14ac:dyDescent="0.15">
      <c r="AC204" s="107">
        <v>201</v>
      </c>
      <c r="AD204" s="107">
        <f>[1]节奏总纲!AD204</f>
        <v>76.573669005078543</v>
      </c>
      <c r="AE204" s="107">
        <f>[1]节奏总纲!AE204</f>
        <v>78.638157039486103</v>
      </c>
      <c r="AF204" s="107">
        <f>[1]节奏总纲!AF204</f>
        <v>81.607576440079953</v>
      </c>
      <c r="AG204" s="107">
        <f>[1]节奏总纲!AG204</f>
        <v>86.121754469336281</v>
      </c>
      <c r="AH204" s="107">
        <f>[1]节奏总纲!AH204</f>
        <v>95.581884154370087</v>
      </c>
      <c r="AZ204" s="107">
        <v>201</v>
      </c>
      <c r="BA204" s="107">
        <v>42.7225528162706</v>
      </c>
      <c r="BB204" s="107">
        <v>44.229507700143699</v>
      </c>
      <c r="BC204" s="107">
        <v>46.176090215954694</v>
      </c>
      <c r="BD204" s="107">
        <v>48.927453746645128</v>
      </c>
      <c r="BE204" s="107">
        <v>50</v>
      </c>
    </row>
    <row r="205" spans="29:57" x14ac:dyDescent="0.15">
      <c r="AC205" s="107">
        <v>202</v>
      </c>
      <c r="AD205" s="107">
        <f>[1]节奏总纲!AD205</f>
        <v>76.645482842593353</v>
      </c>
      <c r="AE205" s="107">
        <f>[1]节奏总纲!AE205</f>
        <v>78.709402452356088</v>
      </c>
      <c r="AF205" s="107">
        <f>[1]节奏总纲!AF205</f>
        <v>81.680549826994209</v>
      </c>
      <c r="AG205" s="107">
        <f>[1]节奏总纲!AG205</f>
        <v>86.197589231873891</v>
      </c>
      <c r="AH205" s="107">
        <f>[1]节奏总纲!AH205</f>
        <v>95.653234825174181</v>
      </c>
      <c r="AZ205" s="107">
        <v>202</v>
      </c>
      <c r="BA205" s="107">
        <v>42.757265571197664</v>
      </c>
      <c r="BB205" s="107">
        <v>44.261827008023573</v>
      </c>
      <c r="BC205" s="107">
        <v>46.208196953985905</v>
      </c>
      <c r="BD205" s="107">
        <v>48.96334674646436</v>
      </c>
      <c r="BE205" s="107">
        <v>50</v>
      </c>
    </row>
    <row r="206" spans="29:57" x14ac:dyDescent="0.15">
      <c r="AC206" s="107">
        <v>203</v>
      </c>
      <c r="AD206" s="107">
        <f>[1]节奏总纲!AD206</f>
        <v>76.717296680108163</v>
      </c>
      <c r="AE206" s="107">
        <f>[1]节奏总纲!AE206</f>
        <v>78.780647865226058</v>
      </c>
      <c r="AF206" s="107">
        <f>[1]节奏总纲!AF206</f>
        <v>81.753523213908451</v>
      </c>
      <c r="AG206" s="107">
        <f>[1]节奏总纲!AG206</f>
        <v>86.273423994411502</v>
      </c>
      <c r="AH206" s="107">
        <f>[1]节奏总纲!AH206</f>
        <v>95.724585495978289</v>
      </c>
      <c r="AZ206" s="107">
        <v>203</v>
      </c>
      <c r="BA206" s="107">
        <v>42.791978326124728</v>
      </c>
      <c r="BB206" s="107">
        <v>44.294146315903454</v>
      </c>
      <c r="BC206" s="107">
        <v>46.240303692017122</v>
      </c>
      <c r="BD206" s="107">
        <v>48.9992397462836</v>
      </c>
      <c r="BE206" s="107">
        <v>50</v>
      </c>
    </row>
    <row r="207" spans="29:57" x14ac:dyDescent="0.15">
      <c r="AC207" s="107">
        <v>204</v>
      </c>
      <c r="AD207" s="107">
        <f>[1]节奏总纲!AD207</f>
        <v>76.789110517622973</v>
      </c>
      <c r="AE207" s="107">
        <f>[1]节奏总纲!AE207</f>
        <v>78.851893278096043</v>
      </c>
      <c r="AF207" s="107">
        <f>[1]节奏总纲!AF207</f>
        <v>81.826496600822708</v>
      </c>
      <c r="AG207" s="107">
        <f>[1]节奏总纲!AG207</f>
        <v>86.349258756949112</v>
      </c>
      <c r="AH207" s="107">
        <f>[1]节奏总纲!AH207</f>
        <v>95.795936166782383</v>
      </c>
      <c r="AZ207" s="107">
        <v>204</v>
      </c>
      <c r="BA207" s="107">
        <v>42.826691081051791</v>
      </c>
      <c r="BB207" s="107">
        <v>44.326465623783335</v>
      </c>
      <c r="BC207" s="107">
        <v>46.272410430048332</v>
      </c>
      <c r="BD207" s="107">
        <v>49.030333272797542</v>
      </c>
      <c r="BE207" s="107">
        <v>50</v>
      </c>
    </row>
    <row r="208" spans="29:57" x14ac:dyDescent="0.15">
      <c r="AC208" s="107">
        <v>205</v>
      </c>
      <c r="AD208" s="107">
        <f>[1]节奏总纲!AD208</f>
        <v>76.860924355137783</v>
      </c>
      <c r="AE208" s="107">
        <f>[1]节奏总纲!AE208</f>
        <v>78.923138690966013</v>
      </c>
      <c r="AF208" s="107">
        <f>[1]节奏总纲!AF208</f>
        <v>81.899469987736964</v>
      </c>
      <c r="AG208" s="107">
        <f>[1]节奏总纲!AG208</f>
        <v>86.425093519486722</v>
      </c>
      <c r="AH208" s="107">
        <f>[1]节奏总纲!AH208</f>
        <v>95.867286837586477</v>
      </c>
      <c r="AZ208" s="107">
        <v>205</v>
      </c>
      <c r="BA208" s="107">
        <v>42.861403835978855</v>
      </c>
      <c r="BB208" s="107">
        <v>44.358784931663209</v>
      </c>
      <c r="BC208" s="107">
        <v>46.304517168079542</v>
      </c>
      <c r="BD208" s="107">
        <v>49.061322941292346</v>
      </c>
      <c r="BE208" s="107">
        <v>50</v>
      </c>
    </row>
    <row r="209" spans="29:57" x14ac:dyDescent="0.15">
      <c r="AC209" s="107">
        <v>206</v>
      </c>
      <c r="AD209" s="107">
        <f>[1]节奏总纲!AD209</f>
        <v>76.932738192652593</v>
      </c>
      <c r="AE209" s="107">
        <f>[1]节奏总纲!AE209</f>
        <v>78.994384103835998</v>
      </c>
      <c r="AF209" s="107">
        <f>[1]节奏总纲!AF209</f>
        <v>81.972443374651206</v>
      </c>
      <c r="AG209" s="107">
        <f>[1]节奏总纲!AG209</f>
        <v>86.500928282024347</v>
      </c>
      <c r="AH209" s="107">
        <f>[1]节奏总纲!AH209</f>
        <v>95.938637508390585</v>
      </c>
      <c r="AZ209" s="107">
        <v>206</v>
      </c>
      <c r="BA209" s="107">
        <v>42.896116590905919</v>
      </c>
      <c r="BB209" s="107">
        <v>44.39110423954309</v>
      </c>
      <c r="BC209" s="107">
        <v>46.336623906110759</v>
      </c>
      <c r="BD209" s="107">
        <v>49.09231260978715</v>
      </c>
      <c r="BE209" s="107">
        <v>50</v>
      </c>
    </row>
    <row r="210" spans="29:57" x14ac:dyDescent="0.15">
      <c r="AC210" s="107">
        <v>207</v>
      </c>
      <c r="AD210" s="107">
        <f>[1]节奏总纲!AD210</f>
        <v>77.004247194324648</v>
      </c>
      <c r="AE210" s="107">
        <f>[1]节奏总纲!AE210</f>
        <v>79.061386416569832</v>
      </c>
      <c r="AF210" s="107">
        <f>[1]节奏总纲!AF210</f>
        <v>82.041007317281839</v>
      </c>
      <c r="AG210" s="107">
        <f>[1]节奏总纲!AG210</f>
        <v>86.576763044561957</v>
      </c>
      <c r="AH210" s="107">
        <f>[1]节奏总纲!AH210</f>
        <v>96.008512635801992</v>
      </c>
      <c r="AZ210" s="107">
        <v>207</v>
      </c>
      <c r="BA210" s="107">
        <v>42.930829345832983</v>
      </c>
      <c r="BB210" s="107">
        <v>44.423423547422971</v>
      </c>
      <c r="BC210" s="107">
        <v>46.368730644141969</v>
      </c>
      <c r="BD210" s="107">
        <v>49.123302278281955</v>
      </c>
      <c r="BE210" s="107">
        <v>50</v>
      </c>
    </row>
    <row r="211" spans="29:57" x14ac:dyDescent="0.15">
      <c r="AC211" s="107">
        <v>208</v>
      </c>
      <c r="AD211" s="107">
        <f>[1]节奏总纲!AD211</f>
        <v>77.07125187397483</v>
      </c>
      <c r="AE211" s="107">
        <f>[1]节奏总纲!AE211</f>
        <v>79.128025648620252</v>
      </c>
      <c r="AF211" s="107">
        <f>[1]节奏总纲!AF211</f>
        <v>82.106895829081836</v>
      </c>
      <c r="AG211" s="107">
        <f>[1]节奏总纲!AG211</f>
        <v>86.652597807099568</v>
      </c>
      <c r="AH211" s="107">
        <f>[1]节奏总纲!AH211</f>
        <v>96.069322745727362</v>
      </c>
      <c r="AZ211" s="107">
        <v>208</v>
      </c>
      <c r="BA211" s="107">
        <v>42.965542100760054</v>
      </c>
      <c r="BB211" s="107">
        <v>44.455742855302844</v>
      </c>
      <c r="BC211" s="107">
        <v>46.400837382173179</v>
      </c>
      <c r="BD211" s="107">
        <v>49.154291946776759</v>
      </c>
      <c r="BE211" s="107">
        <v>50</v>
      </c>
    </row>
    <row r="212" spans="29:57" x14ac:dyDescent="0.15">
      <c r="AC212" s="107">
        <v>209</v>
      </c>
      <c r="AD212" s="107">
        <f>[1]节奏总纲!AD212</f>
        <v>77.138256553625013</v>
      </c>
      <c r="AE212" s="107">
        <f>[1]节奏总纲!AE212</f>
        <v>79.194664880670672</v>
      </c>
      <c r="AF212" s="107">
        <f>[1]节奏总纲!AF212</f>
        <v>82.172784340881819</v>
      </c>
      <c r="AG212" s="107">
        <f>[1]节奏总纲!AG212</f>
        <v>86.728432569637178</v>
      </c>
      <c r="AH212" s="107">
        <f>[1]节奏总纲!AH212</f>
        <v>96.130132855652732</v>
      </c>
      <c r="AZ212" s="107">
        <v>209</v>
      </c>
      <c r="BA212" s="107">
        <v>43.000219942361319</v>
      </c>
      <c r="BB212" s="107">
        <v>44.488062163182725</v>
      </c>
      <c r="BC212" s="107">
        <v>46.432944120204397</v>
      </c>
      <c r="BD212" s="107">
        <v>49.18528161527157</v>
      </c>
      <c r="BE212" s="107">
        <v>50</v>
      </c>
    </row>
    <row r="213" spans="29:57" x14ac:dyDescent="0.15">
      <c r="AC213" s="107">
        <v>210</v>
      </c>
      <c r="AD213" s="107">
        <f>[1]节奏总纲!AD213</f>
        <v>77.205261233275195</v>
      </c>
      <c r="AE213" s="107">
        <f>[1]节奏总纲!AE213</f>
        <v>79.261304112721092</v>
      </c>
      <c r="AF213" s="107">
        <f>[1]节奏总纲!AF213</f>
        <v>82.238672852681816</v>
      </c>
      <c r="AG213" s="107">
        <f>[1]节奏总纲!AG213</f>
        <v>86.804267332174788</v>
      </c>
      <c r="AH213" s="107">
        <f>[1]节奏总纲!AH213</f>
        <v>96.190942965578103</v>
      </c>
      <c r="AZ213" s="107">
        <v>210</v>
      </c>
      <c r="BA213" s="107">
        <v>43.030177309109042</v>
      </c>
      <c r="BB213" s="107">
        <v>44.520381471062606</v>
      </c>
      <c r="BC213" s="107">
        <v>46.465050858235607</v>
      </c>
      <c r="BD213" s="107">
        <v>49.216271283766375</v>
      </c>
      <c r="BE213" s="107">
        <v>50</v>
      </c>
    </row>
    <row r="214" spans="29:57" x14ac:dyDescent="0.15">
      <c r="AC214" s="107">
        <v>211</v>
      </c>
      <c r="AD214" s="107">
        <f>[1]节奏总纲!AD214</f>
        <v>77.272265912925377</v>
      </c>
      <c r="AE214" s="107">
        <f>[1]节奏总纲!AE214</f>
        <v>79.327943344771512</v>
      </c>
      <c r="AF214" s="107">
        <f>[1]节奏总纲!AF214</f>
        <v>82.304561364481813</v>
      </c>
      <c r="AG214" s="107">
        <f>[1]节奏总纲!AG214</f>
        <v>86.880102094712413</v>
      </c>
      <c r="AH214" s="107">
        <f>[1]节奏总纲!AH214</f>
        <v>96.251753075503458</v>
      </c>
      <c r="AZ214" s="107">
        <v>211</v>
      </c>
      <c r="BA214" s="107">
        <v>43.060134675856759</v>
      </c>
      <c r="BB214" s="107">
        <v>44.55270077894248</v>
      </c>
      <c r="BC214" s="107">
        <v>46.497157596266817</v>
      </c>
      <c r="BD214" s="107">
        <v>49.247260952261179</v>
      </c>
      <c r="BE214" s="107">
        <v>50</v>
      </c>
    </row>
    <row r="215" spans="29:57" x14ac:dyDescent="0.15">
      <c r="AC215" s="107">
        <v>212</v>
      </c>
      <c r="AD215" s="107">
        <f>[1]节奏总纲!AD215</f>
        <v>77.339270592575559</v>
      </c>
      <c r="AE215" s="107">
        <f>[1]节奏总纲!AE215</f>
        <v>79.394582576821932</v>
      </c>
      <c r="AF215" s="107">
        <f>[1]节奏总纲!AF215</f>
        <v>82.370449876281796</v>
      </c>
      <c r="AG215" s="107">
        <f>[1]节奏总纲!AG215</f>
        <v>86.955936857250023</v>
      </c>
      <c r="AH215" s="107">
        <f>[1]节奏总纲!AH215</f>
        <v>96.312563185428829</v>
      </c>
      <c r="AZ215" s="107">
        <v>212</v>
      </c>
      <c r="BA215" s="107">
        <v>43.090092042604475</v>
      </c>
      <c r="BB215" s="107">
        <v>44.585020086822361</v>
      </c>
      <c r="BC215" s="107">
        <v>46.529264334298034</v>
      </c>
      <c r="BD215" s="107">
        <v>49.278250620755983</v>
      </c>
      <c r="BE215" s="107">
        <v>50</v>
      </c>
    </row>
    <row r="216" spans="29:57" x14ac:dyDescent="0.15">
      <c r="AC216" s="107">
        <v>213</v>
      </c>
      <c r="AD216" s="107">
        <f>[1]节奏总纲!AD216</f>
        <v>77.406275272225741</v>
      </c>
      <c r="AE216" s="107">
        <f>[1]节奏总纲!AE216</f>
        <v>79.461221808872352</v>
      </c>
      <c r="AF216" s="107">
        <f>[1]节奏总纲!AF216</f>
        <v>82.436338388081793</v>
      </c>
      <c r="AG216" s="107">
        <f>[1]节奏总纲!AG216</f>
        <v>87.031203567981635</v>
      </c>
      <c r="AH216" s="107">
        <f>[1]节奏总纲!AH216</f>
        <v>96.373373295354199</v>
      </c>
      <c r="AZ216" s="107">
        <v>213</v>
      </c>
      <c r="BA216" s="107">
        <v>43.120049409352191</v>
      </c>
      <c r="BB216" s="107">
        <v>44.617339394702242</v>
      </c>
      <c r="BC216" s="107">
        <v>46.561371072329244</v>
      </c>
      <c r="BD216" s="107">
        <v>49.309240289250788</v>
      </c>
      <c r="BE216" s="107">
        <v>50</v>
      </c>
    </row>
    <row r="217" spans="29:57" x14ac:dyDescent="0.15">
      <c r="AC217" s="107">
        <v>214</v>
      </c>
      <c r="AD217" s="107">
        <f>[1]节奏总纲!AD217</f>
        <v>77.473279951875909</v>
      </c>
      <c r="AE217" s="107">
        <f>[1]节奏总纲!AE217</f>
        <v>79.527861040922772</v>
      </c>
      <c r="AF217" s="107">
        <f>[1]节奏总纲!AF217</f>
        <v>82.502226899881776</v>
      </c>
      <c r="AG217" s="107">
        <f>[1]节奏总纲!AG217</f>
        <v>87.10568246405397</v>
      </c>
      <c r="AH217" s="107">
        <f>[1]节奏总纲!AH217</f>
        <v>96.434183405279569</v>
      </c>
      <c r="AZ217" s="107">
        <v>214</v>
      </c>
      <c r="BA217" s="107">
        <v>43.150006776099914</v>
      </c>
      <c r="BB217" s="107">
        <v>44.649658702582116</v>
      </c>
      <c r="BC217" s="107">
        <v>46.593477810360454</v>
      </c>
      <c r="BD217" s="107">
        <v>49.340229957745592</v>
      </c>
      <c r="BE217" s="107">
        <v>50</v>
      </c>
    </row>
    <row r="218" spans="29:57" x14ac:dyDescent="0.15">
      <c r="AC218" s="107">
        <v>215</v>
      </c>
      <c r="AD218" s="107">
        <f>[1]节奏总纲!AD218</f>
        <v>77.540284631526092</v>
      </c>
      <c r="AE218" s="107">
        <f>[1]节奏总纲!AE218</f>
        <v>79.594500272973193</v>
      </c>
      <c r="AF218" s="107">
        <f>[1]节奏总纲!AF218</f>
        <v>82.568115411681774</v>
      </c>
      <c r="AG218" s="107">
        <f>[1]节奏总纲!AG218</f>
        <v>87.180161360126306</v>
      </c>
      <c r="AH218" s="107">
        <f>[1]节奏总纲!AH218</f>
        <v>96.494993515204939</v>
      </c>
      <c r="AZ218" s="107">
        <v>215</v>
      </c>
      <c r="BA218" s="107">
        <v>43.179964142847631</v>
      </c>
      <c r="BB218" s="107">
        <v>44.681978010461997</v>
      </c>
      <c r="BC218" s="107">
        <v>46.625584548391664</v>
      </c>
      <c r="BD218" s="107">
        <v>49.371219626240396</v>
      </c>
      <c r="BE218" s="107">
        <v>50</v>
      </c>
    </row>
    <row r="219" spans="29:57" x14ac:dyDescent="0.15">
      <c r="AC219" s="107">
        <v>216</v>
      </c>
      <c r="AD219" s="107">
        <f>[1]节奏总纲!AD219</f>
        <v>77.607289311176274</v>
      </c>
      <c r="AE219" s="107">
        <f>[1]节奏总纲!AE219</f>
        <v>79.661139505023613</v>
      </c>
      <c r="AF219" s="107">
        <f>[1]节奏总纲!AF219</f>
        <v>82.634003923481771</v>
      </c>
      <c r="AG219" s="107">
        <f>[1]节奏总纲!AG219</f>
        <v>87.254640256198641</v>
      </c>
      <c r="AH219" s="107">
        <f>[1]节奏总纲!AH219</f>
        <v>96.555803625130309</v>
      </c>
      <c r="AZ219" s="107">
        <v>216</v>
      </c>
      <c r="BA219" s="107">
        <v>43.209921509595347</v>
      </c>
      <c r="BB219" s="107">
        <v>44.71429731834187</v>
      </c>
      <c r="BC219" s="107">
        <v>46.657691286422882</v>
      </c>
      <c r="BD219" s="107">
        <v>49.402209294735208</v>
      </c>
      <c r="BE219" s="107">
        <v>50</v>
      </c>
    </row>
    <row r="220" spans="29:57" x14ac:dyDescent="0.15">
      <c r="AC220" s="107">
        <v>217</v>
      </c>
      <c r="AD220" s="107">
        <f>[1]节奏总纲!AD220</f>
        <v>77.674293990826456</v>
      </c>
      <c r="AE220" s="107">
        <f>[1]节奏总纲!AE220</f>
        <v>79.727778737074033</v>
      </c>
      <c r="AF220" s="107">
        <f>[1]节奏总纲!AF220</f>
        <v>82.699892435281754</v>
      </c>
      <c r="AG220" s="107">
        <f>[1]节奏总纲!AG220</f>
        <v>87.329119152270991</v>
      </c>
      <c r="AH220" s="107">
        <f>[1]节奏总纲!AH220</f>
        <v>96.61661373505568</v>
      </c>
      <c r="AZ220" s="107">
        <v>217</v>
      </c>
      <c r="BA220" s="107">
        <v>43.239878876343063</v>
      </c>
      <c r="BB220" s="107">
        <v>44.746616626221751</v>
      </c>
      <c r="BC220" s="107">
        <v>46.689798024454092</v>
      </c>
      <c r="BD220" s="107">
        <v>49.433198963230012</v>
      </c>
      <c r="BE220" s="107">
        <v>50</v>
      </c>
    </row>
    <row r="221" spans="29:57" x14ac:dyDescent="0.15">
      <c r="AC221" s="107">
        <v>218</v>
      </c>
      <c r="AD221" s="107">
        <f>[1]节奏总纲!AD221</f>
        <v>77.741298670476638</v>
      </c>
      <c r="AE221" s="107">
        <f>[1]节奏总纲!AE221</f>
        <v>79.794417969124453</v>
      </c>
      <c r="AF221" s="107">
        <f>[1]节奏总纲!AF221</f>
        <v>82.765780947081751</v>
      </c>
      <c r="AG221" s="107">
        <f>[1]节奏总纲!AG221</f>
        <v>87.403598048343326</v>
      </c>
      <c r="AH221" s="107">
        <f>[1]节奏总纲!AH221</f>
        <v>96.67742384498105</v>
      </c>
      <c r="AZ221" s="107">
        <v>218</v>
      </c>
      <c r="BA221" s="107">
        <v>43.269836243090786</v>
      </c>
      <c r="BB221" s="107">
        <v>44.778935934101632</v>
      </c>
      <c r="BC221" s="107">
        <v>46.721904762485302</v>
      </c>
      <c r="BD221" s="107">
        <v>49.464188631724817</v>
      </c>
      <c r="BE221" s="107">
        <v>50</v>
      </c>
    </row>
    <row r="222" spans="29:57" x14ac:dyDescent="0.15">
      <c r="AC222" s="107">
        <v>219</v>
      </c>
      <c r="AD222" s="107">
        <f>[1]节奏总纲!AD222</f>
        <v>77.80830335012682</v>
      </c>
      <c r="AE222" s="107">
        <f>[1]节奏总纲!AE222</f>
        <v>79.861057201174873</v>
      </c>
      <c r="AF222" s="107">
        <f>[1]节奏总纲!AF222</f>
        <v>82.831669458881734</v>
      </c>
      <c r="AG222" s="107">
        <f>[1]节奏总纲!AG222</f>
        <v>87.478076944415662</v>
      </c>
      <c r="AH222" s="107">
        <f>[1]节奏总纲!AH222</f>
        <v>96.73823395490642</v>
      </c>
      <c r="AZ222" s="107">
        <v>219</v>
      </c>
      <c r="BA222" s="107">
        <v>43.299793609838503</v>
      </c>
      <c r="BB222" s="107">
        <v>44.811255241981506</v>
      </c>
      <c r="BC222" s="107">
        <v>46.754011500516519</v>
      </c>
      <c r="BD222" s="107">
        <v>49.495178300219621</v>
      </c>
      <c r="BE222" s="107">
        <v>50</v>
      </c>
    </row>
    <row r="223" spans="29:57" x14ac:dyDescent="0.15">
      <c r="AC223" s="107">
        <v>220</v>
      </c>
      <c r="AD223" s="107">
        <f>[1]节奏总纲!AD223</f>
        <v>77.875308029777003</v>
      </c>
      <c r="AE223" s="107">
        <f>[1]节奏总纲!AE223</f>
        <v>79.927696433225293</v>
      </c>
      <c r="AF223" s="107">
        <f>[1]节奏总纲!AF223</f>
        <v>82.897557970681731</v>
      </c>
      <c r="AG223" s="107">
        <f>[1]节奏总纲!AG223</f>
        <v>87.552555840488012</v>
      </c>
      <c r="AH223" s="107">
        <f>[1]节奏总纲!AH223</f>
        <v>96.79904406483179</v>
      </c>
      <c r="AZ223" s="107">
        <v>220</v>
      </c>
      <c r="BA223" s="107">
        <v>43.329750976586219</v>
      </c>
      <c r="BB223" s="107">
        <v>44.843574549861387</v>
      </c>
      <c r="BC223" s="107">
        <v>46.786118238547729</v>
      </c>
      <c r="BD223" s="107">
        <v>49.526167968714425</v>
      </c>
      <c r="BE223" s="107">
        <v>50</v>
      </c>
    </row>
    <row r="224" spans="29:57" x14ac:dyDescent="0.15">
      <c r="AC224" s="107">
        <v>221</v>
      </c>
      <c r="AD224" s="107">
        <f>[1]节奏总纲!AD224</f>
        <v>77.942312709427185</v>
      </c>
      <c r="AE224" s="107">
        <f>[1]节奏总纲!AE224</f>
        <v>79.994335665275713</v>
      </c>
      <c r="AF224" s="107">
        <f>[1]节奏总纲!AF224</f>
        <v>82.963446482481729</v>
      </c>
      <c r="AG224" s="107">
        <f>[1]节奏总纲!AG224</f>
        <v>87.627034736560347</v>
      </c>
      <c r="AH224" s="107">
        <f>[1]节奏总纲!AH224</f>
        <v>96.85985417475716</v>
      </c>
      <c r="AZ224" s="107">
        <v>221</v>
      </c>
      <c r="BA224" s="107">
        <v>43.359708343333942</v>
      </c>
      <c r="BB224" s="107">
        <v>44.875893857741268</v>
      </c>
      <c r="BC224" s="107">
        <v>46.818224976578939</v>
      </c>
      <c r="BD224" s="107">
        <v>49.55715763720923</v>
      </c>
      <c r="BE224" s="107">
        <v>50</v>
      </c>
    </row>
    <row r="225" spans="29:57" x14ac:dyDescent="0.15">
      <c r="AC225" s="107">
        <v>222</v>
      </c>
      <c r="AD225" s="107">
        <f>[1]节奏总纲!AD225</f>
        <v>78.008693431404168</v>
      </c>
      <c r="AE225" s="107">
        <f>[1]节奏总纲!AE225</f>
        <v>80.05990507131493</v>
      </c>
      <c r="AF225" s="107">
        <f>[1]节奏总纲!AF225</f>
        <v>83.028328094754301</v>
      </c>
      <c r="AG225" s="107">
        <f>[1]节奏总纲!AG225</f>
        <v>87.701513632632683</v>
      </c>
      <c r="AH225" s="107">
        <f>[1]节奏总纲!AH225</f>
        <v>96.920664284682516</v>
      </c>
      <c r="AZ225" s="107">
        <v>222</v>
      </c>
      <c r="BA225" s="107">
        <v>43.389665710081658</v>
      </c>
      <c r="BB225" s="107">
        <v>44.908213165621142</v>
      </c>
      <c r="BC225" s="107">
        <v>46.850331714610157</v>
      </c>
      <c r="BD225" s="107">
        <v>49.588147305704041</v>
      </c>
      <c r="BE225" s="107">
        <v>50</v>
      </c>
    </row>
    <row r="226" spans="29:57" x14ac:dyDescent="0.15">
      <c r="AC226" s="107">
        <v>223</v>
      </c>
      <c r="AD226" s="107">
        <f>[1]节奏总纲!AD226</f>
        <v>78.071211008105138</v>
      </c>
      <c r="AE226" s="107">
        <f>[1]节奏总纲!AE226</f>
        <v>80.125375094609936</v>
      </c>
      <c r="AF226" s="107">
        <f>[1]节奏总纲!AF226</f>
        <v>83.091955037632331</v>
      </c>
      <c r="AG226" s="107">
        <f>[1]节奏总纲!AG226</f>
        <v>87.775992528705018</v>
      </c>
      <c r="AH226" s="107">
        <f>[1]节奏总纲!AH226</f>
        <v>96.981474394607886</v>
      </c>
      <c r="AZ226" s="107">
        <v>223</v>
      </c>
      <c r="BA226" s="107">
        <v>43.419623076829374</v>
      </c>
      <c r="BB226" s="107">
        <v>44.940532473501023</v>
      </c>
      <c r="BC226" s="107">
        <v>46.882438452641367</v>
      </c>
      <c r="BD226" s="107">
        <v>49.619136974198845</v>
      </c>
      <c r="BE226" s="107">
        <v>50</v>
      </c>
    </row>
    <row r="227" spans="29:57" x14ac:dyDescent="0.15">
      <c r="AC227" s="107">
        <v>224</v>
      </c>
      <c r="AD227" s="107">
        <f>[1]节奏总纲!AD227</f>
        <v>78.133728584806107</v>
      </c>
      <c r="AE227" s="107">
        <f>[1]节奏总纲!AE227</f>
        <v>80.190845117904942</v>
      </c>
      <c r="AF227" s="107">
        <f>[1]节奏总纲!AF227</f>
        <v>83.155581980510348</v>
      </c>
      <c r="AG227" s="107">
        <f>[1]节奏总纲!AG227</f>
        <v>87.850471424777368</v>
      </c>
      <c r="AH227" s="107">
        <f>[1]节奏总纲!AH227</f>
        <v>97.03979962522213</v>
      </c>
      <c r="AZ227" s="107">
        <v>224</v>
      </c>
      <c r="BA227" s="107">
        <v>43.449580443577091</v>
      </c>
      <c r="BB227" s="107">
        <v>44.972851781380903</v>
      </c>
      <c r="BC227" s="107">
        <v>46.914545190672577</v>
      </c>
      <c r="BD227" s="107">
        <v>49.65012664269365</v>
      </c>
      <c r="BE227" s="107">
        <v>50</v>
      </c>
    </row>
    <row r="228" spans="29:57" x14ac:dyDescent="0.15">
      <c r="AC228" s="107">
        <v>225</v>
      </c>
      <c r="AD228" s="107">
        <f>[1]节奏总纲!AD228</f>
        <v>78.196246161507091</v>
      </c>
      <c r="AE228" s="107">
        <f>[1]节奏总纲!AE228</f>
        <v>80.256315141199948</v>
      </c>
      <c r="AF228" s="107">
        <f>[1]节奏总纲!AF228</f>
        <v>83.219208923388379</v>
      </c>
      <c r="AG228" s="107">
        <f>[1]节奏总纲!AG228</f>
        <v>87.924950320849703</v>
      </c>
      <c r="AH228" s="107">
        <f>[1]节奏总纲!AH228</f>
        <v>97.097036185315744</v>
      </c>
      <c r="AZ228" s="107">
        <v>225</v>
      </c>
      <c r="BA228" s="107">
        <v>43.479537810324814</v>
      </c>
      <c r="BB228" s="107">
        <v>45.004463376644416</v>
      </c>
      <c r="BC228" s="107">
        <v>46.946651928703794</v>
      </c>
      <c r="BD228" s="107">
        <v>49.681116311188454</v>
      </c>
      <c r="BE228" s="107">
        <v>50</v>
      </c>
    </row>
    <row r="229" spans="29:57" x14ac:dyDescent="0.15">
      <c r="AC229" s="107">
        <v>226</v>
      </c>
      <c r="AD229" s="107">
        <f>[1]节奏总纲!AD229</f>
        <v>78.25876373820806</v>
      </c>
      <c r="AE229" s="107">
        <f>[1]节奏总纲!AE229</f>
        <v>80.321785164494941</v>
      </c>
      <c r="AF229" s="107">
        <f>[1]节奏总纲!AF229</f>
        <v>83.282835866266396</v>
      </c>
      <c r="AG229" s="107">
        <f>[1]节奏总纲!AG229</f>
        <v>87.999429216922039</v>
      </c>
      <c r="AH229" s="107">
        <f>[1]节奏总纲!AH229</f>
        <v>97.154272745409358</v>
      </c>
      <c r="AZ229" s="107">
        <v>226</v>
      </c>
      <c r="BA229" s="107">
        <v>43.50949517707253</v>
      </c>
      <c r="BB229" s="107">
        <v>45.032359480672049</v>
      </c>
      <c r="BC229" s="107">
        <v>46.978758666735004</v>
      </c>
      <c r="BD229" s="107">
        <v>49.712105979683258</v>
      </c>
      <c r="BE229" s="107">
        <v>50</v>
      </c>
    </row>
    <row r="230" spans="29:57" x14ac:dyDescent="0.15">
      <c r="AC230" s="107">
        <v>227</v>
      </c>
      <c r="AD230" s="107">
        <f>[1]节奏总纲!AD230</f>
        <v>78.321281314909029</v>
      </c>
      <c r="AE230" s="107">
        <f>[1]节奏总纲!AE230</f>
        <v>80.387255187789947</v>
      </c>
      <c r="AF230" s="107">
        <f>[1]节奏总纲!AF230</f>
        <v>83.346462809144427</v>
      </c>
      <c r="AG230" s="107">
        <f>[1]节奏总纲!AG230</f>
        <v>88.069378113045531</v>
      </c>
      <c r="AH230" s="107">
        <f>[1]节奏总纲!AH230</f>
        <v>97.211509305502972</v>
      </c>
      <c r="AZ230" s="107">
        <v>227</v>
      </c>
      <c r="BA230" s="107">
        <v>43.539452543820246</v>
      </c>
      <c r="BB230" s="107">
        <v>45.060255584699682</v>
      </c>
      <c r="BC230" s="107">
        <v>47.009379755645142</v>
      </c>
      <c r="BD230" s="107">
        <v>49.743095648178063</v>
      </c>
      <c r="BE230" s="107">
        <v>50</v>
      </c>
    </row>
    <row r="231" spans="29:57" x14ac:dyDescent="0.15">
      <c r="AC231" s="107">
        <v>228</v>
      </c>
      <c r="AD231" s="107">
        <f>[1]节奏总纲!AD231</f>
        <v>78.383798891610013</v>
      </c>
      <c r="AE231" s="107">
        <f>[1]节奏总纲!AE231</f>
        <v>80.452725211084953</v>
      </c>
      <c r="AF231" s="107">
        <f>[1]节奏总纲!AF231</f>
        <v>83.410089752022458</v>
      </c>
      <c r="AG231" s="107">
        <f>[1]节奏总纲!AG231</f>
        <v>88.139292024548126</v>
      </c>
      <c r="AH231" s="107">
        <f>[1]节奏总纲!AH231</f>
        <v>97.268745865596571</v>
      </c>
      <c r="AZ231" s="107">
        <v>228</v>
      </c>
      <c r="BA231" s="107">
        <v>43.569409910567963</v>
      </c>
      <c r="BB231" s="107">
        <v>45.088151688727308</v>
      </c>
      <c r="BC231" s="107">
        <v>47.037096473409001</v>
      </c>
      <c r="BD231" s="107">
        <v>49.774085316672867</v>
      </c>
      <c r="BE231" s="107">
        <v>50</v>
      </c>
    </row>
    <row r="232" spans="29:57" x14ac:dyDescent="0.15">
      <c r="AC232" s="107">
        <v>229</v>
      </c>
      <c r="AD232" s="107">
        <f>[1]节奏总纲!AD232</f>
        <v>78.446316468310982</v>
      </c>
      <c r="AE232" s="107">
        <f>[1]节奏总纲!AE232</f>
        <v>80.518195234379959</v>
      </c>
      <c r="AF232" s="107">
        <f>[1]节奏总纲!AF232</f>
        <v>83.473716694900475</v>
      </c>
      <c r="AG232" s="107">
        <f>[1]节奏总纲!AG232</f>
        <v>88.209205936050708</v>
      </c>
      <c r="AH232" s="107">
        <f>[1]节奏总纲!AH232</f>
        <v>97.325982425690185</v>
      </c>
      <c r="AZ232" s="107">
        <v>229</v>
      </c>
      <c r="BA232" s="107">
        <v>43.599367277315686</v>
      </c>
      <c r="BB232" s="107">
        <v>45.116047792754941</v>
      </c>
      <c r="BC232" s="107">
        <v>47.06481319117286</v>
      </c>
      <c r="BD232" s="107">
        <v>49.805074985167678</v>
      </c>
      <c r="BE232" s="107">
        <v>50</v>
      </c>
    </row>
    <row r="233" spans="29:57" x14ac:dyDescent="0.15">
      <c r="AC233" s="107">
        <v>230</v>
      </c>
      <c r="AD233" s="107">
        <f>[1]节奏总纲!AD233</f>
        <v>78.508834045011952</v>
      </c>
      <c r="AE233" s="107">
        <f>[1]节奏总纲!AE233</f>
        <v>80.583665257674966</v>
      </c>
      <c r="AF233" s="107">
        <f>[1]节奏总纲!AF233</f>
        <v>83.537343637778505</v>
      </c>
      <c r="AG233" s="107">
        <f>[1]节奏总纲!AG233</f>
        <v>88.279119847553304</v>
      </c>
      <c r="AH233" s="107">
        <f>[1]节奏总纲!AH233</f>
        <v>97.383218985783799</v>
      </c>
      <c r="AZ233" s="107">
        <v>230</v>
      </c>
      <c r="BA233" s="107">
        <v>43.629324644063402</v>
      </c>
      <c r="BB233" s="107">
        <v>45.143943896782567</v>
      </c>
      <c r="BC233" s="107">
        <v>47.092529908936719</v>
      </c>
      <c r="BD233" s="107">
        <v>49.836064653662483</v>
      </c>
      <c r="BE233" s="107">
        <v>50</v>
      </c>
    </row>
    <row r="234" spans="29:57" x14ac:dyDescent="0.15">
      <c r="AC234" s="107">
        <v>231</v>
      </c>
      <c r="AD234" s="107">
        <f>[1]节奏总纲!AD234</f>
        <v>78.571351621712921</v>
      </c>
      <c r="AE234" s="107">
        <f>[1]节奏总纲!AE234</f>
        <v>80.649135280969972</v>
      </c>
      <c r="AF234" s="107">
        <f>[1]节奏总纲!AF234</f>
        <v>83.600970580656536</v>
      </c>
      <c r="AG234" s="107">
        <f>[1]节奏总纲!AG234</f>
        <v>88.349033759055899</v>
      </c>
      <c r="AH234" s="107">
        <f>[1]节奏总纲!AH234</f>
        <v>97.440455545877413</v>
      </c>
      <c r="AZ234" s="107">
        <v>231</v>
      </c>
      <c r="BA234" s="107">
        <v>43.659282010811118</v>
      </c>
      <c r="BB234" s="107">
        <v>45.171840000810199</v>
      </c>
      <c r="BC234" s="107">
        <v>47.120246626700578</v>
      </c>
      <c r="BD234" s="107">
        <v>49.867054322157287</v>
      </c>
      <c r="BE234" s="107">
        <v>50</v>
      </c>
    </row>
    <row r="235" spans="29:57" x14ac:dyDescent="0.15">
      <c r="AC235" s="107">
        <v>232</v>
      </c>
      <c r="AD235" s="107">
        <f>[1]节奏总纲!AD235</f>
        <v>78.633869198413905</v>
      </c>
      <c r="AE235" s="107">
        <f>[1]节奏总纲!AE235</f>
        <v>80.714605304264978</v>
      </c>
      <c r="AF235" s="107">
        <f>[1]节奏总纲!AF235</f>
        <v>83.664597523534553</v>
      </c>
      <c r="AG235" s="107">
        <f>[1]节奏总纲!AG235</f>
        <v>88.418947670558495</v>
      </c>
      <c r="AH235" s="107">
        <f>[1]节奏总纲!AH235</f>
        <v>97.497692105971026</v>
      </c>
      <c r="AZ235" s="107">
        <v>232</v>
      </c>
      <c r="BA235" s="107">
        <v>43.689239377558835</v>
      </c>
      <c r="BB235" s="107">
        <v>45.199736104837825</v>
      </c>
      <c r="BC235" s="107">
        <v>47.147963344464429</v>
      </c>
      <c r="BD235" s="107">
        <v>49.898043990652091</v>
      </c>
      <c r="BE235" s="107">
        <v>50</v>
      </c>
    </row>
    <row r="236" spans="29:57" x14ac:dyDescent="0.15">
      <c r="AC236" s="107">
        <v>233</v>
      </c>
      <c r="AD236" s="107">
        <f>[1]节奏总纲!AD236</f>
        <v>78.696386775114874</v>
      </c>
      <c r="AE236" s="107">
        <f>[1]节奏总纲!AE236</f>
        <v>80.78007532755997</v>
      </c>
      <c r="AF236" s="107">
        <f>[1]节奏总纲!AF236</f>
        <v>83.728224466412584</v>
      </c>
      <c r="AG236" s="107">
        <f>[1]节奏总纲!AG236</f>
        <v>88.488861582061077</v>
      </c>
      <c r="AH236" s="107">
        <f>[1]节奏总纲!AH236</f>
        <v>97.554928666064626</v>
      </c>
      <c r="AZ236" s="107">
        <v>233</v>
      </c>
      <c r="BA236" s="107">
        <v>43.719196744306558</v>
      </c>
      <c r="BB236" s="107">
        <v>45.227632208865458</v>
      </c>
      <c r="BC236" s="107">
        <v>47.175680062228288</v>
      </c>
      <c r="BD236" s="107">
        <v>49.929033659146896</v>
      </c>
      <c r="BE236" s="107">
        <v>50</v>
      </c>
    </row>
    <row r="237" spans="29:57" x14ac:dyDescent="0.15">
      <c r="AC237" s="107">
        <v>234</v>
      </c>
      <c r="AD237" s="107">
        <f>[1]节奏总纲!AD237</f>
        <v>78.758904351815843</v>
      </c>
      <c r="AE237" s="107">
        <f>[1]节奏总纲!AE237</f>
        <v>80.845545350854977</v>
      </c>
      <c r="AF237" s="107">
        <f>[1]节奏总纲!AF237</f>
        <v>83.791851409290615</v>
      </c>
      <c r="AG237" s="107">
        <f>[1]节奏总纲!AG237</f>
        <v>88.558775493563672</v>
      </c>
      <c r="AH237" s="107">
        <f>[1]节奏总纲!AH237</f>
        <v>97.61216522615824</v>
      </c>
      <c r="AZ237" s="107">
        <v>234</v>
      </c>
      <c r="BA237" s="107">
        <v>43.749154111054274</v>
      </c>
      <c r="BB237" s="107">
        <v>45.255528312893091</v>
      </c>
      <c r="BC237" s="107">
        <v>47.203396779992147</v>
      </c>
      <c r="BD237" s="107">
        <v>49.9600233276417</v>
      </c>
      <c r="BE237" s="107">
        <v>50</v>
      </c>
    </row>
    <row r="238" spans="29:57" x14ac:dyDescent="0.15">
      <c r="AC238" s="107">
        <v>235</v>
      </c>
      <c r="AD238" s="107">
        <f>[1]节奏总纲!AD238</f>
        <v>78.821421928516827</v>
      </c>
      <c r="AE238" s="107">
        <f>[1]节奏总纲!AE238</f>
        <v>80.911015374149983</v>
      </c>
      <c r="AF238" s="107">
        <f>[1]节奏总纲!AF238</f>
        <v>83.855478352168632</v>
      </c>
      <c r="AG238" s="107">
        <f>[1]节奏总纲!AG238</f>
        <v>88.628689405066268</v>
      </c>
      <c r="AH238" s="107">
        <f>[1]节奏总纲!AH238</f>
        <v>97.669401786251854</v>
      </c>
      <c r="AZ238" s="107">
        <v>235</v>
      </c>
      <c r="BA238" s="107">
        <v>43.77911147780199</v>
      </c>
      <c r="BB238" s="107">
        <v>45.283424416920717</v>
      </c>
      <c r="BC238" s="107">
        <v>47.231113497756006</v>
      </c>
      <c r="BD238" s="107">
        <v>49.991012996136504</v>
      </c>
      <c r="BE238" s="107">
        <v>50</v>
      </c>
    </row>
    <row r="239" spans="29:57" x14ac:dyDescent="0.15">
      <c r="AC239" s="107">
        <v>236</v>
      </c>
      <c r="AD239" s="107">
        <f>[1]节奏总纲!AD239</f>
        <v>78.883939505217796</v>
      </c>
      <c r="AE239" s="107">
        <f>[1]节奏总纲!AE239</f>
        <v>80.976485397444989</v>
      </c>
      <c r="AF239" s="107">
        <f>[1]节奏总纲!AF239</f>
        <v>83.919105295046663</v>
      </c>
      <c r="AG239" s="107">
        <f>[1]节奏总纲!AG239</f>
        <v>88.698603316568864</v>
      </c>
      <c r="AH239" s="107">
        <f>[1]节奏总纲!AH239</f>
        <v>97.726638346345467</v>
      </c>
      <c r="AZ239" s="107">
        <v>236</v>
      </c>
      <c r="BA239" s="107">
        <v>43.809068844549707</v>
      </c>
      <c r="BB239" s="107">
        <v>45.31132052094835</v>
      </c>
      <c r="BC239" s="107">
        <v>47.258830215519865</v>
      </c>
      <c r="BD239" s="107">
        <v>50</v>
      </c>
      <c r="BE239" s="107">
        <v>50</v>
      </c>
    </row>
    <row r="240" spans="29:57" x14ac:dyDescent="0.15">
      <c r="AC240" s="107">
        <v>237</v>
      </c>
      <c r="AD240" s="107">
        <f>[1]节奏总纲!AD240</f>
        <v>78.946457081918766</v>
      </c>
      <c r="AE240" s="107">
        <f>[1]节奏总纲!AE240</f>
        <v>81.038163244467697</v>
      </c>
      <c r="AF240" s="107">
        <f>[1]节奏总纲!AF240</f>
        <v>83.982732237924694</v>
      </c>
      <c r="AG240" s="107">
        <f>[1]节奏总纲!AG240</f>
        <v>88.768517228071445</v>
      </c>
      <c r="AH240" s="107">
        <f>[1]节奏总纲!AH240</f>
        <v>97.783874906439081</v>
      </c>
      <c r="AZ240" s="107">
        <v>237</v>
      </c>
      <c r="BA240" s="107">
        <v>43.83902621129743</v>
      </c>
      <c r="BB240" s="107">
        <v>45.339216624975975</v>
      </c>
      <c r="BC240" s="107">
        <v>47.286546933283724</v>
      </c>
      <c r="BD240" s="107">
        <v>50</v>
      </c>
      <c r="BE240" s="107">
        <v>50</v>
      </c>
    </row>
    <row r="241" spans="29:57" x14ac:dyDescent="0.15">
      <c r="AC241" s="107">
        <v>238</v>
      </c>
      <c r="AD241" s="107">
        <f>[1]节奏总纲!AD241</f>
        <v>79.008373652580005</v>
      </c>
      <c r="AE241" s="107">
        <f>[1]节奏总纲!AE241</f>
        <v>81.097715704203424</v>
      </c>
      <c r="AF241" s="107">
        <f>[1]节奏总纲!AF241</f>
        <v>84.043767921022209</v>
      </c>
      <c r="AG241" s="107">
        <f>[1]节奏总纲!AG241</f>
        <v>88.838431139574041</v>
      </c>
      <c r="AH241" s="107">
        <f>[1]节奏总纲!AH241</f>
        <v>97.841111466532681</v>
      </c>
      <c r="AZ241" s="107">
        <v>238</v>
      </c>
      <c r="BA241" s="107">
        <v>43.868983578045146</v>
      </c>
      <c r="BB241" s="107">
        <v>45.367112729003608</v>
      </c>
      <c r="BC241" s="107">
        <v>47.314263651047582</v>
      </c>
      <c r="BD241" s="107">
        <v>50</v>
      </c>
      <c r="BE241" s="107">
        <v>50</v>
      </c>
    </row>
    <row r="242" spans="29:57" x14ac:dyDescent="0.15">
      <c r="AC242" s="107">
        <v>239</v>
      </c>
      <c r="AD242" s="107">
        <f>[1]节奏总纲!AD242</f>
        <v>79.066704614192943</v>
      </c>
      <c r="AE242" s="107">
        <f>[1]节奏总纲!AE242</f>
        <v>81.157268163939136</v>
      </c>
      <c r="AF242" s="107">
        <f>[1]节奏总纲!AF242</f>
        <v>84.103838417578672</v>
      </c>
      <c r="AG242" s="107">
        <f>[1]节奏总纲!AG242</f>
        <v>88.908345051076637</v>
      </c>
      <c r="AH242" s="107">
        <f>[1]节奏总纲!AH242</f>
        <v>97.898348026626294</v>
      </c>
      <c r="AZ242" s="107">
        <v>239</v>
      </c>
      <c r="BA242" s="107">
        <v>43.898940944792862</v>
      </c>
      <c r="BB242" s="107">
        <v>45.395008833031234</v>
      </c>
      <c r="BC242" s="107">
        <v>47.341980368811441</v>
      </c>
      <c r="BD242" s="107">
        <v>50</v>
      </c>
      <c r="BE242" s="107">
        <v>50</v>
      </c>
    </row>
    <row r="243" spans="29:57" x14ac:dyDescent="0.15">
      <c r="AC243" s="107">
        <v>240</v>
      </c>
      <c r="AD243" s="107">
        <f>[1]节奏总纲!AD243</f>
        <v>79.125035575805882</v>
      </c>
      <c r="AE243" s="107">
        <f>[1]节奏总纲!AE243</f>
        <v>81.216820623674849</v>
      </c>
      <c r="AF243" s="107">
        <f>[1]节奏总纲!AF243</f>
        <v>84.163908914135135</v>
      </c>
      <c r="AG243" s="107">
        <f>[1]节奏总纲!AG243</f>
        <v>88.978258962579233</v>
      </c>
      <c r="AH243" s="107">
        <f>[1]节奏总纲!AH243</f>
        <v>97.955584586719908</v>
      </c>
      <c r="AZ243" s="107">
        <v>240</v>
      </c>
      <c r="BA243" s="107">
        <v>43.928898311540586</v>
      </c>
      <c r="BB243" s="107">
        <v>45.422904937058867</v>
      </c>
      <c r="BC243" s="107">
        <v>47.3696970865753</v>
      </c>
      <c r="BD243" s="107">
        <v>50</v>
      </c>
      <c r="BE243" s="107">
        <v>50</v>
      </c>
    </row>
    <row r="244" spans="29:57" x14ac:dyDescent="0.15">
      <c r="AC244" s="107">
        <v>241</v>
      </c>
      <c r="AD244" s="107">
        <f>[1]节奏总纲!AD244</f>
        <v>79.18336653741882</v>
      </c>
      <c r="AE244" s="107">
        <f>[1]节奏总纲!AE244</f>
        <v>81.276373083410562</v>
      </c>
      <c r="AF244" s="107">
        <f>[1]节奏总纲!AF244</f>
        <v>84.223979410691598</v>
      </c>
      <c r="AG244" s="107">
        <f>[1]节奏总纲!AG244</f>
        <v>89.047272179270863</v>
      </c>
      <c r="AH244" s="107">
        <f>[1]节奏总纲!AH244</f>
        <v>98.013314854852808</v>
      </c>
      <c r="AZ244" s="107">
        <v>241</v>
      </c>
      <c r="BA244" s="107">
        <v>43.958855678288302</v>
      </c>
      <c r="BB244" s="107">
        <v>45.450801041086493</v>
      </c>
      <c r="BC244" s="107">
        <v>47.397413804339159</v>
      </c>
      <c r="BD244" s="107">
        <v>50</v>
      </c>
      <c r="BE244" s="107">
        <v>50</v>
      </c>
    </row>
    <row r="245" spans="29:57" x14ac:dyDescent="0.15">
      <c r="AC245" s="107">
        <v>242</v>
      </c>
      <c r="AD245" s="107">
        <f>[1]节奏总纲!AD245</f>
        <v>79.241697499031773</v>
      </c>
      <c r="AE245" s="107">
        <f>[1]节奏总纲!AE245</f>
        <v>81.335925543146274</v>
      </c>
      <c r="AF245" s="107">
        <f>[1]节奏总纲!AF245</f>
        <v>84.284049907248061</v>
      </c>
      <c r="AG245" s="107">
        <f>[1]节奏总纲!AG245</f>
        <v>89.11587890081428</v>
      </c>
      <c r="AH245" s="107">
        <f>[1]节奏总纲!AH245</f>
        <v>98.072755441643167</v>
      </c>
      <c r="AZ245" s="107">
        <v>242</v>
      </c>
      <c r="BA245" s="107">
        <v>43.988813045036018</v>
      </c>
      <c r="BB245" s="107">
        <v>45.478697145114126</v>
      </c>
      <c r="BC245" s="107">
        <v>47.425130522103018</v>
      </c>
      <c r="BD245" s="107">
        <v>50</v>
      </c>
      <c r="BE245" s="107">
        <v>50</v>
      </c>
    </row>
    <row r="246" spans="29:57" x14ac:dyDescent="0.15">
      <c r="AC246" s="107">
        <v>243</v>
      </c>
      <c r="AD246" s="107">
        <f>[1]节奏总纲!AD246</f>
        <v>79.300028460644711</v>
      </c>
      <c r="AE246" s="107">
        <f>[1]节奏总纲!AE246</f>
        <v>81.395478002882001</v>
      </c>
      <c r="AF246" s="107">
        <f>[1]节奏总纲!AF246</f>
        <v>84.344120403804524</v>
      </c>
      <c r="AG246" s="107">
        <f>[1]节奏总纲!AG246</f>
        <v>89.184485622357698</v>
      </c>
      <c r="AH246" s="107">
        <f>[1]节奏总纲!AH246</f>
        <v>98.132196028433526</v>
      </c>
      <c r="AZ246" s="107">
        <v>243</v>
      </c>
      <c r="BA246" s="107">
        <v>44.016200268136501</v>
      </c>
      <c r="BB246" s="107">
        <v>45.506593249141758</v>
      </c>
      <c r="BC246" s="107">
        <v>47.452847239866877</v>
      </c>
      <c r="BD246" s="107">
        <v>50</v>
      </c>
      <c r="BE246" s="107">
        <v>50</v>
      </c>
    </row>
    <row r="247" spans="29:57" x14ac:dyDescent="0.15">
      <c r="AC247" s="107">
        <v>244</v>
      </c>
      <c r="AD247" s="107">
        <f>[1]节奏总纲!AD247</f>
        <v>79.358359422257649</v>
      </c>
      <c r="AE247" s="107">
        <f>[1]节奏总纲!AE247</f>
        <v>81.455030462617714</v>
      </c>
      <c r="AF247" s="107">
        <f>[1]节奏总纲!AF247</f>
        <v>84.404190900360987</v>
      </c>
      <c r="AG247" s="107">
        <f>[1]节奏总纲!AG247</f>
        <v>89.253092343901116</v>
      </c>
      <c r="AH247" s="107">
        <f>[1]节奏总纲!AH247</f>
        <v>98.191636615223871</v>
      </c>
      <c r="AZ247" s="107">
        <v>244</v>
      </c>
      <c r="BA247" s="107">
        <v>44.042055714440401</v>
      </c>
      <c r="BB247" s="107">
        <v>45.534489353169384</v>
      </c>
      <c r="BC247" s="107">
        <v>47.480563957630736</v>
      </c>
      <c r="BD247" s="107">
        <v>50</v>
      </c>
      <c r="BE247" s="107">
        <v>50</v>
      </c>
    </row>
    <row r="248" spans="29:57" x14ac:dyDescent="0.15">
      <c r="AC248" s="107">
        <v>245</v>
      </c>
      <c r="AD248" s="107">
        <f>[1]节奏总纲!AD248</f>
        <v>79.416690383870588</v>
      </c>
      <c r="AE248" s="107">
        <f>[1]节奏总纲!AE248</f>
        <v>81.514582922353426</v>
      </c>
      <c r="AF248" s="107">
        <f>[1]节奏总纲!AF248</f>
        <v>84.46426139691745</v>
      </c>
      <c r="AG248" s="107">
        <f>[1]节奏总纲!AG248</f>
        <v>89.321699065444534</v>
      </c>
      <c r="AH248" s="107">
        <f>[1]节奏总纲!AH248</f>
        <v>98.25107720201423</v>
      </c>
      <c r="AZ248" s="107">
        <v>245</v>
      </c>
      <c r="BA248" s="107">
        <v>44.067911160744309</v>
      </c>
      <c r="BB248" s="107">
        <v>45.562385457197017</v>
      </c>
      <c r="BC248" s="107">
        <v>47.508280675394595</v>
      </c>
      <c r="BD248" s="107">
        <v>50</v>
      </c>
      <c r="BE248" s="107">
        <v>50</v>
      </c>
    </row>
    <row r="249" spans="29:57" x14ac:dyDescent="0.15">
      <c r="AC249" s="107">
        <v>246</v>
      </c>
      <c r="AD249" s="107">
        <f>[1]节奏总纲!AD249</f>
        <v>79.475021345483526</v>
      </c>
      <c r="AE249" s="107">
        <f>[1]节奏总纲!AE249</f>
        <v>81.574135382089139</v>
      </c>
      <c r="AF249" s="107">
        <f>[1]节奏总纲!AF249</f>
        <v>84.524331893473914</v>
      </c>
      <c r="AG249" s="107">
        <f>[1]节奏总纲!AG249</f>
        <v>89.390305786987952</v>
      </c>
      <c r="AH249" s="107">
        <f>[1]节奏总纲!AH249</f>
        <v>98.310517788804589</v>
      </c>
      <c r="AZ249" s="107">
        <v>246</v>
      </c>
      <c r="BA249" s="107">
        <v>44.093766607048209</v>
      </c>
      <c r="BB249" s="107">
        <v>45.590281561224643</v>
      </c>
      <c r="BC249" s="107">
        <v>47.535997393158453</v>
      </c>
      <c r="BD249" s="107">
        <v>50</v>
      </c>
      <c r="BE249" s="107">
        <v>50</v>
      </c>
    </row>
    <row r="250" spans="29:57" x14ac:dyDescent="0.15">
      <c r="AC250" s="107">
        <v>247</v>
      </c>
      <c r="AD250" s="107">
        <f>[1]节奏总纲!AD250</f>
        <v>79.533352307096465</v>
      </c>
      <c r="AE250" s="107">
        <f>[1]节奏总纲!AE250</f>
        <v>81.633687841824852</v>
      </c>
      <c r="AF250" s="107">
        <f>[1]节奏总纲!AF250</f>
        <v>84.584402390030377</v>
      </c>
      <c r="AG250" s="107">
        <f>[1]节奏总纲!AG250</f>
        <v>89.45891250853137</v>
      </c>
      <c r="AH250" s="107">
        <f>[1]节奏总纲!AH250</f>
        <v>98.369958375594933</v>
      </c>
      <c r="AZ250" s="107">
        <v>247</v>
      </c>
      <c r="BA250" s="107">
        <v>44.11962205335211</v>
      </c>
      <c r="BB250" s="107">
        <v>45.618177665252276</v>
      </c>
      <c r="BC250" s="107">
        <v>47.563714110922312</v>
      </c>
      <c r="BD250" s="107">
        <v>50</v>
      </c>
      <c r="BE250" s="107">
        <v>50</v>
      </c>
    </row>
    <row r="251" spans="29:57" x14ac:dyDescent="0.15">
      <c r="AC251" s="107">
        <v>248</v>
      </c>
      <c r="AD251" s="107">
        <f>[1]节奏总纲!AD251</f>
        <v>79.591683268709417</v>
      </c>
      <c r="AE251" s="107">
        <f>[1]节奏总纲!AE251</f>
        <v>81.693240301560579</v>
      </c>
      <c r="AF251" s="107">
        <f>[1]节奏总纲!AF251</f>
        <v>84.64447288658684</v>
      </c>
      <c r="AG251" s="107">
        <f>[1]节奏总纲!AG251</f>
        <v>89.527519230074788</v>
      </c>
      <c r="AH251" s="107">
        <f>[1]节奏总纲!AH251</f>
        <v>98.429398962385292</v>
      </c>
      <c r="AZ251" s="107">
        <v>248</v>
      </c>
      <c r="BA251" s="107">
        <v>44.145477499656018</v>
      </c>
      <c r="BB251" s="107">
        <v>45.646073769279901</v>
      </c>
      <c r="BC251" s="107">
        <v>47.591430828686171</v>
      </c>
      <c r="BD251" s="107">
        <v>50</v>
      </c>
      <c r="BE251" s="107">
        <v>50</v>
      </c>
    </row>
    <row r="252" spans="29:57" x14ac:dyDescent="0.15">
      <c r="AC252" s="107">
        <v>249</v>
      </c>
      <c r="AD252" s="107">
        <f>[1]节奏总纲!AD252</f>
        <v>79.650014230322356</v>
      </c>
      <c r="AE252" s="107">
        <f>[1]节奏总纲!AE252</f>
        <v>81.752792761296291</v>
      </c>
      <c r="AF252" s="107">
        <f>[1]节奏总纲!AF252</f>
        <v>84.704543383143317</v>
      </c>
      <c r="AG252" s="107">
        <f>[1]节奏总纲!AG252</f>
        <v>89.596125951618205</v>
      </c>
      <c r="AH252" s="107">
        <f>[1]节奏总纲!AH252</f>
        <v>98.488839549175651</v>
      </c>
      <c r="AZ252" s="107">
        <v>249</v>
      </c>
      <c r="BA252" s="107">
        <v>44.171332945959918</v>
      </c>
      <c r="BB252" s="107">
        <v>45.673969873307534</v>
      </c>
      <c r="BC252" s="107">
        <v>47.61914754645003</v>
      </c>
      <c r="BD252" s="107">
        <v>50</v>
      </c>
      <c r="BE252" s="107">
        <v>50</v>
      </c>
    </row>
    <row r="253" spans="29:57" x14ac:dyDescent="0.15">
      <c r="AC253" s="107">
        <v>250</v>
      </c>
      <c r="AD253" s="107">
        <f>[1]节奏总纲!AD253</f>
        <v>79.708345191935294</v>
      </c>
      <c r="AE253" s="107">
        <f>[1]节奏总纲!AE253</f>
        <v>81.812345221032004</v>
      </c>
      <c r="AF253" s="107">
        <f>[1]节奏总纲!AF253</f>
        <v>84.76461387969978</v>
      </c>
      <c r="AG253" s="107">
        <f>[1]节奏总纲!AG253</f>
        <v>89.664732673161623</v>
      </c>
      <c r="AH253" s="107">
        <f>[1]节奏总纲!AH253</f>
        <v>98.548280135965996</v>
      </c>
      <c r="AZ253" s="107">
        <v>250</v>
      </c>
      <c r="BA253" s="107">
        <v>44.197188392263818</v>
      </c>
      <c r="BB253" s="107">
        <v>45.701865977335167</v>
      </c>
      <c r="BC253" s="107">
        <v>47.646864264213889</v>
      </c>
      <c r="BD253" s="107">
        <v>50</v>
      </c>
      <c r="BE253" s="107">
        <v>50</v>
      </c>
    </row>
    <row r="254" spans="29:57" x14ac:dyDescent="0.15">
      <c r="AC254" s="107">
        <v>251</v>
      </c>
      <c r="AD254" s="107">
        <f>[1]节奏总纲!AD254</f>
        <v>79.766676153548232</v>
      </c>
      <c r="AE254" s="107">
        <f>[1]节奏总纲!AE254</f>
        <v>81.871897680767717</v>
      </c>
      <c r="AF254" s="107">
        <f>[1]节奏总纲!AF254</f>
        <v>84.824684376256243</v>
      </c>
      <c r="AG254" s="107">
        <f>[1]节奏总纲!AG254</f>
        <v>89.733339394705041</v>
      </c>
      <c r="AH254" s="107">
        <f>[1]节奏总纲!AH254</f>
        <v>98.607720722756355</v>
      </c>
      <c r="AZ254" s="107">
        <v>251</v>
      </c>
      <c r="BA254" s="107">
        <v>44.223043838567726</v>
      </c>
      <c r="BB254" s="107">
        <v>45.729762081362793</v>
      </c>
      <c r="BC254" s="107">
        <v>47.674580981977748</v>
      </c>
      <c r="BD254" s="107">
        <v>50</v>
      </c>
      <c r="BE254" s="107">
        <v>50</v>
      </c>
    </row>
    <row r="255" spans="29:57" x14ac:dyDescent="0.15">
      <c r="AC255" s="107">
        <v>252</v>
      </c>
      <c r="AD255" s="107">
        <f>[1]节奏总纲!AD255</f>
        <v>79.825007115161171</v>
      </c>
      <c r="AE255" s="107">
        <f>[1]节奏总纲!AE255</f>
        <v>81.931450140503429</v>
      </c>
      <c r="AF255" s="107">
        <f>[1]节奏总纲!AF255</f>
        <v>84.884754872812707</v>
      </c>
      <c r="AG255" s="107">
        <f>[1]节奏总纲!AG255</f>
        <v>89.801946116248459</v>
      </c>
      <c r="AH255" s="107">
        <f>[1]节奏总纲!AH255</f>
        <v>98.667161309546714</v>
      </c>
      <c r="AZ255" s="107">
        <v>252</v>
      </c>
      <c r="BA255" s="107">
        <v>44.248899284871626</v>
      </c>
      <c r="BB255" s="107">
        <v>45.757658185390426</v>
      </c>
      <c r="BC255" s="107">
        <v>47.7022976997416</v>
      </c>
      <c r="BD255" s="107">
        <v>50</v>
      </c>
      <c r="BE255" s="107">
        <v>50</v>
      </c>
    </row>
    <row r="256" spans="29:57" x14ac:dyDescent="0.15">
      <c r="AC256" s="107">
        <v>253</v>
      </c>
      <c r="AD256" s="107">
        <f>[1]节奏总纲!AD256</f>
        <v>79.883338076774123</v>
      </c>
      <c r="AE256" s="107">
        <f>[1]节奏总纲!AE256</f>
        <v>81.991002600239142</v>
      </c>
      <c r="AF256" s="107">
        <f>[1]节奏总纲!AF256</f>
        <v>84.94482536936917</v>
      </c>
      <c r="AG256" s="107">
        <f>[1]节奏总纲!AG256</f>
        <v>89.870552837791877</v>
      </c>
      <c r="AH256" s="107">
        <f>[1]节奏总纲!AH256</f>
        <v>98.726601896337058</v>
      </c>
      <c r="AZ256" s="107">
        <v>253</v>
      </c>
      <c r="BA256" s="107">
        <v>44.274754731175527</v>
      </c>
      <c r="BB256" s="107">
        <v>45.785554289418052</v>
      </c>
      <c r="BC256" s="107">
        <v>47.730014417505458</v>
      </c>
      <c r="BD256" s="107">
        <v>50</v>
      </c>
      <c r="BE256" s="107">
        <v>50</v>
      </c>
    </row>
    <row r="257" spans="29:57" x14ac:dyDescent="0.15">
      <c r="AC257" s="107">
        <v>254</v>
      </c>
      <c r="AD257" s="107">
        <f>[1]节奏总纲!AD257</f>
        <v>79.941669038387062</v>
      </c>
      <c r="AE257" s="107">
        <f>[1]节奏总纲!AE257</f>
        <v>82.046165327855846</v>
      </c>
      <c r="AF257" s="107">
        <f>[1]节奏总纲!AF257</f>
        <v>85.004450307848032</v>
      </c>
      <c r="AG257" s="107">
        <f>[1]节奏总纲!AG257</f>
        <v>89.939159559335295</v>
      </c>
      <c r="AH257" s="107">
        <f>[1]节奏总纲!AH257</f>
        <v>98.786042483127417</v>
      </c>
      <c r="AZ257" s="107">
        <v>254</v>
      </c>
      <c r="BA257" s="107">
        <v>44.300610177479435</v>
      </c>
      <c r="BB257" s="107">
        <v>45.813450393445684</v>
      </c>
      <c r="BC257" s="107">
        <v>47.757731135269317</v>
      </c>
      <c r="BD257" s="107">
        <v>50</v>
      </c>
      <c r="BE257" s="107">
        <v>50</v>
      </c>
    </row>
    <row r="258" spans="29:57" x14ac:dyDescent="0.15">
      <c r="AC258" s="107">
        <v>255</v>
      </c>
      <c r="AD258" s="107">
        <f>[1]节奏总纲!AD258</f>
        <v>80</v>
      </c>
      <c r="AE258" s="107">
        <f>[1]节奏总纲!AE258</f>
        <v>82.100546804797787</v>
      </c>
      <c r="AF258" s="107">
        <f>[1]节奏总纲!AF258</f>
        <v>85.059053968634842</v>
      </c>
      <c r="AG258" s="107">
        <f>[1]节奏总纲!AG258</f>
        <v>90.006385600230558</v>
      </c>
      <c r="AH258" s="107">
        <f>[1]节奏总纲!AH258</f>
        <v>98.845483069917776</v>
      </c>
      <c r="AZ258" s="107">
        <v>255</v>
      </c>
      <c r="BA258" s="107">
        <v>44.326465623783335</v>
      </c>
      <c r="BB258" s="107">
        <v>45.84134649747331</v>
      </c>
      <c r="BC258" s="107">
        <v>47.785447853033176</v>
      </c>
      <c r="BD258" s="107">
        <v>50</v>
      </c>
      <c r="BE258" s="107">
        <v>50</v>
      </c>
    </row>
    <row r="259" spans="29:57" x14ac:dyDescent="0.15">
      <c r="AC259" s="107">
        <v>256</v>
      </c>
      <c r="AD259" s="107">
        <f>[1]节奏总纲!AD259</f>
        <v>80.054424711612938</v>
      </c>
      <c r="AE259" s="107">
        <f>[1]节奏总纲!AE259</f>
        <v>82.154928281739714</v>
      </c>
      <c r="AF259" s="107">
        <f>[1]节奏总纲!AF259</f>
        <v>85.113657629421638</v>
      </c>
      <c r="AG259" s="107">
        <f>[1]节奏总纲!AG259</f>
        <v>90.062795496260307</v>
      </c>
      <c r="AH259" s="107">
        <f>[1]节奏总纲!AH259</f>
        <v>98.904923656708121</v>
      </c>
      <c r="AZ259" s="107">
        <v>256</v>
      </c>
      <c r="BA259" s="107">
        <v>44.352321070087235</v>
      </c>
      <c r="BB259" s="107">
        <v>45.869242601500943</v>
      </c>
      <c r="BC259" s="107">
        <v>47.813164570797035</v>
      </c>
      <c r="BD259" s="107">
        <v>50</v>
      </c>
      <c r="BE259" s="107">
        <v>50</v>
      </c>
    </row>
    <row r="260" spans="29:57" x14ac:dyDescent="0.15">
      <c r="AC260" s="107">
        <v>257</v>
      </c>
      <c r="AD260" s="107">
        <f>[1]节奏总纲!AD260</f>
        <v>80.108849423225877</v>
      </c>
      <c r="AE260" s="107">
        <f>[1]节奏总纲!AE260</f>
        <v>82.209309758681655</v>
      </c>
      <c r="AF260" s="107">
        <f>[1]节奏总纲!AF260</f>
        <v>85.168261290208434</v>
      </c>
      <c r="AG260" s="107">
        <f>[1]节奏总纲!AG260</f>
        <v>90.119205392290041</v>
      </c>
      <c r="AH260" s="107">
        <f>[1]节奏总纲!AH260</f>
        <v>98.96436424349848</v>
      </c>
      <c r="AZ260" s="107">
        <v>257</v>
      </c>
      <c r="BA260" s="107">
        <v>44.378176516391136</v>
      </c>
      <c r="BB260" s="107">
        <v>45.897138705528576</v>
      </c>
      <c r="BC260" s="107">
        <v>47.840881288560894</v>
      </c>
      <c r="BD260" s="107">
        <v>50</v>
      </c>
      <c r="BE260" s="107">
        <v>50</v>
      </c>
    </row>
    <row r="261" spans="29:57" x14ac:dyDescent="0.15">
      <c r="AC261" s="107">
        <v>258</v>
      </c>
      <c r="AD261" s="107">
        <f>[1]节奏总纲!AD261</f>
        <v>80.163274134838829</v>
      </c>
      <c r="AE261" s="107">
        <f>[1]节奏总纲!AE261</f>
        <v>82.263691235623583</v>
      </c>
      <c r="AF261" s="107">
        <f>[1]节奏总纲!AF261</f>
        <v>85.222864950995231</v>
      </c>
      <c r="AG261" s="107">
        <f>[1]节奏总纲!AG261</f>
        <v>90.175615288319776</v>
      </c>
      <c r="AH261" s="107">
        <f>[1]节奏总纲!AH261</f>
        <v>99.023313221876677</v>
      </c>
      <c r="AZ261" s="107">
        <v>258</v>
      </c>
      <c r="BA261" s="107">
        <v>44.404031962695043</v>
      </c>
      <c r="BB261" s="107">
        <v>45.925034809556202</v>
      </c>
      <c r="BC261" s="107">
        <v>47.868598006324753</v>
      </c>
      <c r="BD261" s="107">
        <v>50</v>
      </c>
      <c r="BE261" s="107">
        <v>50</v>
      </c>
    </row>
    <row r="262" spans="29:57" x14ac:dyDescent="0.15">
      <c r="AC262" s="107">
        <v>259</v>
      </c>
      <c r="AD262" s="107">
        <f>[1]节奏总纲!AD262</f>
        <v>80.217698846451768</v>
      </c>
      <c r="AE262" s="107">
        <f>[1]节奏总纲!AE262</f>
        <v>82.318072712565524</v>
      </c>
      <c r="AF262" s="107">
        <f>[1]节奏总纲!AF262</f>
        <v>85.277468611782027</v>
      </c>
      <c r="AG262" s="107">
        <f>[1]节奏总纲!AG262</f>
        <v>90.23202518434951</v>
      </c>
      <c r="AH262" s="107">
        <f>[1]节奏总纲!AH262</f>
        <v>99.081526263999208</v>
      </c>
      <c r="AZ262" s="107">
        <v>259</v>
      </c>
      <c r="BA262" s="107">
        <v>44.429887408998944</v>
      </c>
      <c r="BB262" s="107">
        <v>45.952930913583835</v>
      </c>
      <c r="BC262" s="107">
        <v>47.896314724088612</v>
      </c>
      <c r="BD262" s="107">
        <v>50</v>
      </c>
      <c r="BE262" s="107">
        <v>50</v>
      </c>
    </row>
    <row r="263" spans="29:57" x14ac:dyDescent="0.15">
      <c r="AC263" s="107">
        <v>260</v>
      </c>
      <c r="AD263" s="107">
        <f>[1]节奏总纲!AD263</f>
        <v>80.272123558064706</v>
      </c>
      <c r="AE263" s="107">
        <f>[1]节奏总纲!AE263</f>
        <v>82.372454189507465</v>
      </c>
      <c r="AF263" s="107">
        <f>[1]节奏总纲!AF263</f>
        <v>85.332072272568837</v>
      </c>
      <c r="AG263" s="107">
        <f>[1]节奏总纲!AG263</f>
        <v>90.288435080379244</v>
      </c>
      <c r="AH263" s="107">
        <f>[1]节奏总纲!AH263</f>
        <v>99.139739306121726</v>
      </c>
      <c r="AZ263" s="107">
        <v>260</v>
      </c>
      <c r="BA263" s="107">
        <v>44.455742855302844</v>
      </c>
      <c r="BB263" s="107">
        <v>45.98082701761146</v>
      </c>
      <c r="BC263" s="107">
        <v>47.92403144185247</v>
      </c>
      <c r="BD263" s="107">
        <v>50</v>
      </c>
      <c r="BE263" s="107">
        <v>50</v>
      </c>
    </row>
    <row r="264" spans="29:57" x14ac:dyDescent="0.15">
      <c r="AC264" s="107">
        <v>261</v>
      </c>
      <c r="AD264" s="107">
        <f>[1]节奏总纲!AD264</f>
        <v>80.326548269677644</v>
      </c>
      <c r="AE264" s="107">
        <f>[1]节奏总纲!AE264</f>
        <v>82.426835666449392</v>
      </c>
      <c r="AF264" s="107">
        <f>[1]节奏总纲!AF264</f>
        <v>85.386675933355633</v>
      </c>
      <c r="AG264" s="107">
        <f>[1]节奏总纲!AG264</f>
        <v>90.344844976408993</v>
      </c>
      <c r="AH264" s="107">
        <f>[1]节奏总纲!AH264</f>
        <v>99.197952348244257</v>
      </c>
      <c r="AZ264" s="107">
        <v>261</v>
      </c>
      <c r="BA264" s="107">
        <v>44.481598301606752</v>
      </c>
      <c r="BB264" s="107">
        <v>46.007529841290832</v>
      </c>
      <c r="BC264" s="107">
        <v>47.951748159616329</v>
      </c>
      <c r="BD264" s="107">
        <v>50</v>
      </c>
      <c r="BE264" s="107">
        <v>50</v>
      </c>
    </row>
    <row r="265" spans="29:57" x14ac:dyDescent="0.15">
      <c r="AC265" s="107">
        <v>262</v>
      </c>
      <c r="AD265" s="107">
        <f>[1]节奏总纲!AD265</f>
        <v>80.380972981290597</v>
      </c>
      <c r="AE265" s="107">
        <f>[1]节奏总纲!AE265</f>
        <v>82.481217143391333</v>
      </c>
      <c r="AF265" s="107">
        <f>[1]节奏总纲!AF265</f>
        <v>85.441279594142429</v>
      </c>
      <c r="AG265" s="107">
        <f>[1]节奏总纲!AG265</f>
        <v>90.401254872438727</v>
      </c>
      <c r="AH265" s="107">
        <f>[1]节奏总纲!AH265</f>
        <v>99.256165390366789</v>
      </c>
      <c r="AZ265" s="107">
        <v>262</v>
      </c>
      <c r="BA265" s="107">
        <v>44.507453747910652</v>
      </c>
      <c r="BB265" s="107">
        <v>46.031609894814238</v>
      </c>
      <c r="BC265" s="107">
        <v>47.979464877380188</v>
      </c>
      <c r="BD265" s="107">
        <v>50</v>
      </c>
      <c r="BE265" s="107">
        <v>50</v>
      </c>
    </row>
    <row r="266" spans="29:57" x14ac:dyDescent="0.15">
      <c r="AC266" s="107">
        <v>263</v>
      </c>
      <c r="AD266" s="107">
        <f>[1]节奏总纲!AD266</f>
        <v>80.435397692903535</v>
      </c>
      <c r="AE266" s="107">
        <f>[1]节奏总纲!AE266</f>
        <v>82.535598620333275</v>
      </c>
      <c r="AF266" s="107">
        <f>[1]节奏总纲!AF266</f>
        <v>85.495883254929225</v>
      </c>
      <c r="AG266" s="107">
        <f>[1]节奏总纲!AG266</f>
        <v>90.457664768468462</v>
      </c>
      <c r="AH266" s="107">
        <f>[1]节奏总纲!AH266</f>
        <v>99.314378432489306</v>
      </c>
      <c r="AZ266" s="107">
        <v>263</v>
      </c>
      <c r="BA266" s="107">
        <v>44.533309194214553</v>
      </c>
      <c r="BB266" s="107">
        <v>46.055689948337651</v>
      </c>
      <c r="BC266" s="107">
        <v>48.006200084618079</v>
      </c>
      <c r="BD266" s="107">
        <v>50</v>
      </c>
      <c r="BE266" s="107">
        <v>50</v>
      </c>
    </row>
    <row r="267" spans="29:57" x14ac:dyDescent="0.15">
      <c r="AC267" s="107">
        <v>264</v>
      </c>
      <c r="AD267" s="107">
        <f>[1]节奏总纲!AD267</f>
        <v>80.489822404516474</v>
      </c>
      <c r="AE267" s="107">
        <f>[1]节奏总纲!AE267</f>
        <v>82.589980097275202</v>
      </c>
      <c r="AF267" s="107">
        <f>[1]节奏总纲!AF267</f>
        <v>85.550486915716021</v>
      </c>
      <c r="AG267" s="107">
        <f>[1]节奏总纲!AG267</f>
        <v>90.514074664498196</v>
      </c>
      <c r="AH267" s="107">
        <f>[1]节奏总纲!AH267</f>
        <v>99.372591474611838</v>
      </c>
      <c r="AZ267" s="107">
        <v>264</v>
      </c>
      <c r="BA267" s="107">
        <v>44.55916464051846</v>
      </c>
      <c r="BB267" s="107">
        <v>46.079770001861057</v>
      </c>
      <c r="BC267" s="107">
        <v>48.030128751164241</v>
      </c>
      <c r="BD267" s="107">
        <v>50</v>
      </c>
      <c r="BE267" s="107">
        <v>50</v>
      </c>
    </row>
    <row r="268" spans="29:57" x14ac:dyDescent="0.15">
      <c r="AC268" s="107">
        <v>265</v>
      </c>
      <c r="AD268" s="107">
        <f>[1]节奏总纲!AD268</f>
        <v>80.544247116129412</v>
      </c>
      <c r="AE268" s="107">
        <f>[1]节奏总纲!AE268</f>
        <v>82.644361574217143</v>
      </c>
      <c r="AF268" s="107">
        <f>[1]节奏总纲!AF268</f>
        <v>85.605090576502832</v>
      </c>
      <c r="AG268" s="107">
        <f>[1]节奏总纲!AG268</f>
        <v>90.57048456052793</v>
      </c>
      <c r="AH268" s="107">
        <f>[1]节奏总纲!AH268</f>
        <v>99.430804516734369</v>
      </c>
      <c r="AZ268" s="107">
        <v>265</v>
      </c>
      <c r="BA268" s="107">
        <v>44.585020086822361</v>
      </c>
      <c r="BB268" s="107">
        <v>46.10385005538447</v>
      </c>
      <c r="BC268" s="107">
        <v>48.054057417710396</v>
      </c>
      <c r="BD268" s="107">
        <v>50</v>
      </c>
      <c r="BE268" s="107">
        <v>50</v>
      </c>
    </row>
    <row r="269" spans="29:57" x14ac:dyDescent="0.15">
      <c r="AC269" s="107">
        <v>266</v>
      </c>
      <c r="AD269" s="107">
        <f>[1]节奏总纲!AD269</f>
        <v>80.598671827742351</v>
      </c>
      <c r="AE269" s="107">
        <f>[1]节奏总纲!AE269</f>
        <v>82.698743051159084</v>
      </c>
      <c r="AF269" s="107">
        <f>[1]节奏总纲!AF269</f>
        <v>85.659694237289628</v>
      </c>
      <c r="AG269" s="107">
        <f>[1]节奏总纲!AG269</f>
        <v>90.626894456557665</v>
      </c>
      <c r="AH269" s="107">
        <f>[1]节奏总纲!AH269</f>
        <v>99.489017558856887</v>
      </c>
      <c r="AZ269" s="107">
        <v>266</v>
      </c>
      <c r="BA269" s="107">
        <v>44.610875533126261</v>
      </c>
      <c r="BB269" s="107">
        <v>46.127930108907876</v>
      </c>
      <c r="BC269" s="107">
        <v>48.077986084256551</v>
      </c>
      <c r="BD269" s="107">
        <v>50</v>
      </c>
      <c r="BE269" s="107">
        <v>50</v>
      </c>
    </row>
    <row r="270" spans="29:57" x14ac:dyDescent="0.15">
      <c r="AC270" s="107">
        <v>267</v>
      </c>
      <c r="AD270" s="107">
        <f>[1]节奏总纲!AD270</f>
        <v>80.653096539355303</v>
      </c>
      <c r="AE270" s="107">
        <f>[1]节奏总纲!AE270</f>
        <v>82.753124528101011</v>
      </c>
      <c r="AF270" s="107">
        <f>[1]节奏总纲!AF270</f>
        <v>85.714297898076424</v>
      </c>
      <c r="AG270" s="107">
        <f>[1]节奏总纲!AG270</f>
        <v>90.683304352587413</v>
      </c>
      <c r="AH270" s="107">
        <f>[1]节奏总纲!AH270</f>
        <v>99.547230600979418</v>
      </c>
      <c r="AZ270" s="107">
        <v>267</v>
      </c>
      <c r="BA270" s="107">
        <v>44.636730979430169</v>
      </c>
      <c r="BB270" s="107">
        <v>46.152010162431289</v>
      </c>
      <c r="BC270" s="107">
        <v>48.101914750802706</v>
      </c>
      <c r="BD270" s="107">
        <v>50</v>
      </c>
      <c r="BE270" s="107">
        <v>50</v>
      </c>
    </row>
    <row r="271" spans="29:57" x14ac:dyDescent="0.15">
      <c r="AC271" s="107">
        <v>268</v>
      </c>
      <c r="AD271" s="107">
        <f>[1]节奏总纲!AD271</f>
        <v>80.707521250968242</v>
      </c>
      <c r="AE271" s="107">
        <f>[1]节奏总纲!AE271</f>
        <v>82.807506005042953</v>
      </c>
      <c r="AF271" s="107">
        <f>[1]节奏总纲!AF271</f>
        <v>85.76890155886322</v>
      </c>
      <c r="AG271" s="107">
        <f>[1]节奏总纲!AG271</f>
        <v>90.739714248617148</v>
      </c>
      <c r="AH271" s="107">
        <f>[1]节奏总纲!AH271</f>
        <v>99.605443643101935</v>
      </c>
      <c r="AZ271" s="107">
        <v>268</v>
      </c>
      <c r="BA271" s="107">
        <v>44.662586425734069</v>
      </c>
      <c r="BB271" s="107">
        <v>46.176090215954694</v>
      </c>
      <c r="BC271" s="107">
        <v>48.125843417348868</v>
      </c>
      <c r="BD271" s="107">
        <v>50</v>
      </c>
      <c r="BE271" s="107">
        <v>50</v>
      </c>
    </row>
    <row r="272" spans="29:57" x14ac:dyDescent="0.15">
      <c r="AC272" s="107">
        <v>269</v>
      </c>
      <c r="AD272" s="107">
        <f>[1]节奏总纲!AD272</f>
        <v>80.76194596258118</v>
      </c>
      <c r="AE272" s="107">
        <f>[1]节奏总纲!AE272</f>
        <v>82.861887481984894</v>
      </c>
      <c r="AF272" s="107">
        <f>[1]节奏总纲!AF272</f>
        <v>85.823505219650016</v>
      </c>
      <c r="AG272" s="107">
        <f>[1]节奏总纲!AG272</f>
        <v>90.796124144646882</v>
      </c>
      <c r="AH272" s="107">
        <f>[1]节奏总纲!AH272</f>
        <v>99.663656685224467</v>
      </c>
      <c r="AZ272" s="107">
        <v>269</v>
      </c>
      <c r="BA272" s="107">
        <v>44.68844187203797</v>
      </c>
      <c r="BB272" s="107">
        <v>46.200170269478107</v>
      </c>
      <c r="BC272" s="107">
        <v>48.149772083895023</v>
      </c>
      <c r="BD272" s="107">
        <v>50</v>
      </c>
      <c r="BE272" s="107">
        <v>50</v>
      </c>
    </row>
    <row r="273" spans="29:57" x14ac:dyDescent="0.15">
      <c r="AC273" s="107">
        <v>270</v>
      </c>
      <c r="AD273" s="107">
        <f>[1]节奏总纲!AD273</f>
        <v>80.816370674194118</v>
      </c>
      <c r="AE273" s="107">
        <f>[1]节奏总纲!AE273</f>
        <v>82.916268958926821</v>
      </c>
      <c r="AF273" s="107">
        <f>[1]节奏总纲!AF273</f>
        <v>85.878108880436827</v>
      </c>
      <c r="AG273" s="107">
        <f>[1]节奏总纲!AG273</f>
        <v>90.852534040676616</v>
      </c>
      <c r="AH273" s="107">
        <f>[1]节奏总纲!AH273</f>
        <v>99.721869727346999</v>
      </c>
      <c r="AZ273" s="107">
        <v>270</v>
      </c>
      <c r="BA273" s="107">
        <v>44.714297318341877</v>
      </c>
      <c r="BB273" s="107">
        <v>46.224250323001513</v>
      </c>
      <c r="BC273" s="107">
        <v>48.173700750441178</v>
      </c>
      <c r="BD273" s="107">
        <v>50</v>
      </c>
      <c r="BE273" s="107">
        <v>50</v>
      </c>
    </row>
    <row r="274" spans="29:57" x14ac:dyDescent="0.15">
      <c r="AC274" s="107">
        <v>271</v>
      </c>
      <c r="AD274" s="107">
        <f>[1]节奏总纲!AD274</f>
        <v>80.870795385807057</v>
      </c>
      <c r="AE274" s="107">
        <f>[1]节奏总纲!AE274</f>
        <v>82.970650435868762</v>
      </c>
      <c r="AF274" s="107">
        <f>[1]节奏总纲!AF274</f>
        <v>85.932712541223623</v>
      </c>
      <c r="AG274" s="107">
        <f>[1]节奏总纲!AG274</f>
        <v>90.908943936706351</v>
      </c>
      <c r="AH274" s="107">
        <f>[1]节奏总纲!AH274</f>
        <v>99.780082769469516</v>
      </c>
      <c r="AZ274" s="107">
        <v>271</v>
      </c>
      <c r="BA274" s="107">
        <v>44.740152764645778</v>
      </c>
      <c r="BB274" s="107">
        <v>46.248330376524919</v>
      </c>
      <c r="BC274" s="107">
        <v>48.19762941698734</v>
      </c>
      <c r="BD274" s="107">
        <v>50</v>
      </c>
      <c r="BE274" s="107">
        <v>50</v>
      </c>
    </row>
    <row r="275" spans="29:57" x14ac:dyDescent="0.15">
      <c r="AC275" s="107">
        <v>272</v>
      </c>
      <c r="AD275" s="107">
        <f>[1]节奏总纲!AD275</f>
        <v>80.925220097420009</v>
      </c>
      <c r="AE275" s="107">
        <f>[1]节奏总纲!AE275</f>
        <v>83.023342162088809</v>
      </c>
      <c r="AF275" s="107">
        <f>[1]节奏总纲!AF275</f>
        <v>85.987316202010419</v>
      </c>
      <c r="AG275" s="107">
        <f>[1]节奏总纲!AG275</f>
        <v>90.965353832736099</v>
      </c>
      <c r="AH275" s="107">
        <f>[1]节奏总纲!AH275</f>
        <v>99.838295811592047</v>
      </c>
      <c r="AZ275" s="107">
        <v>272</v>
      </c>
      <c r="BA275" s="107">
        <v>44.766008210949678</v>
      </c>
      <c r="BB275" s="107">
        <v>46.272410430048332</v>
      </c>
      <c r="BC275" s="107">
        <v>48.221558083533495</v>
      </c>
      <c r="BD275" s="107">
        <v>50</v>
      </c>
      <c r="BE275" s="107">
        <v>50</v>
      </c>
    </row>
    <row r="276" spans="29:57" x14ac:dyDescent="0.15">
      <c r="AC276" s="107">
        <v>273</v>
      </c>
      <c r="AD276" s="107">
        <f>[1]节奏总纲!AD276</f>
        <v>80.979644809032948</v>
      </c>
      <c r="AE276" s="107">
        <f>[1]节奏总纲!AE276</f>
        <v>83.07405267945947</v>
      </c>
      <c r="AF276" s="107">
        <f>[1]节奏总纲!AF276</f>
        <v>86.038061368689995</v>
      </c>
      <c r="AG276" s="107">
        <f>[1]节奏总纲!AG276</f>
        <v>91.020352770869948</v>
      </c>
      <c r="AH276" s="107">
        <f>[1]节奏总纲!AH276</f>
        <v>99.896508853714579</v>
      </c>
      <c r="AZ276" s="107">
        <v>273</v>
      </c>
      <c r="BA276" s="107">
        <v>44.791863657253586</v>
      </c>
      <c r="BB276" s="107">
        <v>46.296490483571738</v>
      </c>
      <c r="BC276" s="107">
        <v>48.24548675007965</v>
      </c>
      <c r="BD276" s="107">
        <v>50</v>
      </c>
      <c r="BE276" s="107">
        <v>50</v>
      </c>
    </row>
    <row r="277" spans="29:57" x14ac:dyDescent="0.15">
      <c r="AC277" s="107">
        <v>274</v>
      </c>
      <c r="AD277" s="107">
        <f>[1]节奏总纲!AD277</f>
        <v>81.031787986768464</v>
      </c>
      <c r="AE277" s="107">
        <f>[1]节奏总纲!AE277</f>
        <v>83.124763196830131</v>
      </c>
      <c r="AF277" s="107">
        <f>[1]节奏总纲!AF277</f>
        <v>86.087639061133402</v>
      </c>
      <c r="AG277" s="107">
        <f>[1]节奏总纲!AG277</f>
        <v>91.073105573528181</v>
      </c>
      <c r="AH277" s="107">
        <f>[1]节奏总纲!AH277</f>
        <v>99.954721895837096</v>
      </c>
      <c r="AZ277" s="107">
        <v>274</v>
      </c>
      <c r="BA277" s="107">
        <v>44.817719103557486</v>
      </c>
      <c r="BB277" s="107">
        <v>46.320570537095151</v>
      </c>
      <c r="BC277" s="107">
        <v>48.269415416625804</v>
      </c>
      <c r="BD277" s="107">
        <v>50</v>
      </c>
      <c r="BE277" s="107">
        <v>50</v>
      </c>
    </row>
    <row r="278" spans="29:57" x14ac:dyDescent="0.15">
      <c r="AC278" s="107">
        <v>275</v>
      </c>
      <c r="AD278" s="107">
        <f>[1]节奏总纲!AD278</f>
        <v>81.082568038258216</v>
      </c>
      <c r="AE278" s="107">
        <f>[1]节奏总纲!AE278</f>
        <v>83.175473714200777</v>
      </c>
      <c r="AF278" s="107">
        <f>[1]节奏总纲!AF278</f>
        <v>86.137216753576809</v>
      </c>
      <c r="AG278" s="107">
        <f>[1]节奏总纲!AG278</f>
        <v>91.125858376186414</v>
      </c>
      <c r="AH278" s="107">
        <f>[1]节奏总纲!AH278</f>
        <v>100.01191770041967</v>
      </c>
      <c r="AZ278" s="107">
        <v>275</v>
      </c>
      <c r="BA278" s="107">
        <v>44.843574549861387</v>
      </c>
      <c r="BB278" s="107">
        <v>46.344650590618556</v>
      </c>
      <c r="BC278" s="107">
        <v>48.293344083171966</v>
      </c>
      <c r="BD278" s="107">
        <v>50</v>
      </c>
      <c r="BE278" s="107">
        <v>50</v>
      </c>
    </row>
    <row r="279" spans="29:57" x14ac:dyDescent="0.15">
      <c r="AC279" s="107">
        <v>276</v>
      </c>
      <c r="AD279" s="107">
        <f>[1]节奏总纲!AD279</f>
        <v>81.133348089747955</v>
      </c>
      <c r="AE279" s="107">
        <f>[1]节奏总纲!AE279</f>
        <v>83.226184231571438</v>
      </c>
      <c r="AF279" s="107">
        <f>[1]节奏总纲!AF279</f>
        <v>86.186794446020215</v>
      </c>
      <c r="AG279" s="107">
        <f>[1]节奏总纲!AG279</f>
        <v>91.178611178844633</v>
      </c>
      <c r="AH279" s="107">
        <f>[1]节奏总纲!AH279</f>
        <v>100.06555271580974</v>
      </c>
      <c r="AZ279" s="107">
        <v>276</v>
      </c>
      <c r="BA279" s="107">
        <v>44.869429996165294</v>
      </c>
      <c r="BB279" s="107">
        <v>46.368730644141969</v>
      </c>
      <c r="BC279" s="107">
        <v>48.317272749718121</v>
      </c>
      <c r="BD279" s="107">
        <v>50</v>
      </c>
      <c r="BE279" s="107">
        <v>50</v>
      </c>
    </row>
    <row r="280" spans="29:57" x14ac:dyDescent="0.15">
      <c r="AC280" s="107">
        <v>277</v>
      </c>
      <c r="AD280" s="107">
        <f>[1]节奏总纲!AD280</f>
        <v>81.184128141237707</v>
      </c>
      <c r="AE280" s="107">
        <f>[1]节奏总纲!AE280</f>
        <v>83.276894748942098</v>
      </c>
      <c r="AF280" s="107">
        <f>[1]节奏总纲!AF280</f>
        <v>86.236372138463622</v>
      </c>
      <c r="AG280" s="107">
        <f>[1]节奏总纲!AG280</f>
        <v>91.231363981502867</v>
      </c>
      <c r="AH280" s="107">
        <f>[1]节奏总纲!AH280</f>
        <v>100.11918773119983</v>
      </c>
      <c r="AZ280" s="107">
        <v>277</v>
      </c>
      <c r="BA280" s="107">
        <v>44.895285442469195</v>
      </c>
      <c r="BB280" s="107">
        <v>46.392810697665375</v>
      </c>
      <c r="BC280" s="107">
        <v>48.341201416264276</v>
      </c>
      <c r="BD280" s="107">
        <v>50</v>
      </c>
      <c r="BE280" s="107">
        <v>50</v>
      </c>
    </row>
    <row r="281" spans="29:57" x14ac:dyDescent="0.15">
      <c r="AC281" s="107">
        <v>278</v>
      </c>
      <c r="AD281" s="107">
        <f>[1]节奏总纲!AD281</f>
        <v>81.23490819272746</v>
      </c>
      <c r="AE281" s="107">
        <f>[1]节奏总纲!AE281</f>
        <v>83.327605266312744</v>
      </c>
      <c r="AF281" s="107">
        <f>[1]节奏总纲!AF281</f>
        <v>86.285949830907029</v>
      </c>
      <c r="AG281" s="107">
        <f>[1]节奏总纲!AG281</f>
        <v>91.2841167841611</v>
      </c>
      <c r="AH281" s="107">
        <f>[1]节奏总纲!AH281</f>
        <v>100.1728227465899</v>
      </c>
      <c r="AZ281" s="107">
        <v>278</v>
      </c>
      <c r="BA281" s="107">
        <v>44.921140888773095</v>
      </c>
      <c r="BB281" s="107">
        <v>46.416890751188788</v>
      </c>
      <c r="BC281" s="107">
        <v>48.365130082810438</v>
      </c>
      <c r="BD281" s="107">
        <v>50</v>
      </c>
      <c r="BE281" s="107">
        <v>50</v>
      </c>
    </row>
    <row r="282" spans="29:57" x14ac:dyDescent="0.15">
      <c r="AC282" s="107">
        <v>279</v>
      </c>
      <c r="AD282" s="107">
        <f>[1]节奏总纲!AD282</f>
        <v>81.285688244217212</v>
      </c>
      <c r="AE282" s="107">
        <f>[1]节奏总纲!AE282</f>
        <v>83.378315783683405</v>
      </c>
      <c r="AF282" s="107">
        <f>[1]节奏总纲!AF282</f>
        <v>86.335527523350422</v>
      </c>
      <c r="AG282" s="107">
        <f>[1]节奏总纲!AG282</f>
        <v>91.336869586819319</v>
      </c>
      <c r="AH282" s="107">
        <f>[1]节奏总纲!AH282</f>
        <v>100.22645776197997</v>
      </c>
      <c r="AZ282" s="107">
        <v>279</v>
      </c>
      <c r="BA282" s="107">
        <v>44.946996335076996</v>
      </c>
      <c r="BB282" s="107">
        <v>46.440970804712194</v>
      </c>
      <c r="BC282" s="107">
        <v>48.389058749356593</v>
      </c>
      <c r="BD282" s="107">
        <v>50</v>
      </c>
      <c r="BE282" s="107">
        <v>50</v>
      </c>
    </row>
    <row r="283" spans="29:57" x14ac:dyDescent="0.15">
      <c r="AC283" s="107">
        <v>280</v>
      </c>
      <c r="AD283" s="107">
        <f>[1]节奏总纲!AD283</f>
        <v>81.336468295706965</v>
      </c>
      <c r="AE283" s="107">
        <f>[1]节奏总纲!AE283</f>
        <v>83.429026301054066</v>
      </c>
      <c r="AF283" s="107">
        <f>[1]节奏总纲!AF283</f>
        <v>86.385105215793828</v>
      </c>
      <c r="AG283" s="107">
        <f>[1]节奏总纲!AG283</f>
        <v>91.389622389477552</v>
      </c>
      <c r="AH283" s="107">
        <f>[1]节奏总纲!AH283</f>
        <v>100.28009277737006</v>
      </c>
      <c r="AZ283" s="107">
        <v>280</v>
      </c>
      <c r="BA283" s="107">
        <v>44.972851781380903</v>
      </c>
      <c r="BB283" s="107">
        <v>46.465050858235607</v>
      </c>
      <c r="BC283" s="107">
        <v>48.412987415902748</v>
      </c>
      <c r="BD283" s="107">
        <v>50</v>
      </c>
      <c r="BE283" s="107">
        <v>50</v>
      </c>
    </row>
    <row r="284" spans="29:57" x14ac:dyDescent="0.15">
      <c r="AC284" s="107">
        <v>281</v>
      </c>
      <c r="AD284" s="107">
        <f>[1]节奏总纲!AD284</f>
        <v>81.387248347196717</v>
      </c>
      <c r="AE284" s="107">
        <f>[1]节奏总纲!AE284</f>
        <v>83.479736818424712</v>
      </c>
      <c r="AF284" s="107">
        <f>[1]节奏总纲!AF284</f>
        <v>86.434682908237235</v>
      </c>
      <c r="AG284" s="107">
        <f>[1]节奏总纲!AG284</f>
        <v>91.442375192135771</v>
      </c>
      <c r="AH284" s="107">
        <f>[1]节奏总纲!AH284</f>
        <v>100.33372779276013</v>
      </c>
      <c r="AZ284" s="107">
        <v>281</v>
      </c>
      <c r="BA284" s="107">
        <v>44.998707227684804</v>
      </c>
      <c r="BB284" s="107">
        <v>46.489130911759013</v>
      </c>
      <c r="BC284" s="107">
        <v>48.43691608244891</v>
      </c>
      <c r="BD284" s="107">
        <v>50</v>
      </c>
      <c r="BE284" s="107">
        <v>50</v>
      </c>
    </row>
    <row r="285" spans="29:57" x14ac:dyDescent="0.15">
      <c r="AC285" s="107">
        <v>282</v>
      </c>
      <c r="AD285" s="107">
        <f>[1]节奏总纲!AD285</f>
        <v>81.43802839868647</v>
      </c>
      <c r="AE285" s="107">
        <f>[1]节奏总纲!AE285</f>
        <v>83.530447335795373</v>
      </c>
      <c r="AF285" s="107">
        <f>[1]节奏总纲!AF285</f>
        <v>86.484260600680642</v>
      </c>
      <c r="AG285" s="107">
        <f>[1]节奏总纲!AG285</f>
        <v>91.495127994794004</v>
      </c>
      <c r="AH285" s="107">
        <f>[1]节奏总纲!AH285</f>
        <v>100.3873628081502</v>
      </c>
      <c r="AZ285" s="107">
        <v>282</v>
      </c>
      <c r="BA285" s="107">
        <v>45.021201039060998</v>
      </c>
      <c r="BB285" s="107">
        <v>46.513210965282425</v>
      </c>
      <c r="BC285" s="107">
        <v>48.460844748995065</v>
      </c>
      <c r="BD285" s="107">
        <v>50</v>
      </c>
      <c r="BE285" s="107">
        <v>50</v>
      </c>
    </row>
    <row r="286" spans="29:57" x14ac:dyDescent="0.15">
      <c r="AC286" s="107">
        <v>283</v>
      </c>
      <c r="AD286" s="107">
        <f>[1]节奏总纲!AD286</f>
        <v>81.488808450176222</v>
      </c>
      <c r="AE286" s="107">
        <f>[1]节奏总纲!AE286</f>
        <v>83.581157853166033</v>
      </c>
      <c r="AF286" s="107">
        <f>[1]节奏总纲!AF286</f>
        <v>86.533838293124049</v>
      </c>
      <c r="AG286" s="107">
        <f>[1]节奏总纲!AG286</f>
        <v>91.547880797452237</v>
      </c>
      <c r="AH286" s="107">
        <f>[1]节奏总纲!AH286</f>
        <v>100.44099782354027</v>
      </c>
      <c r="AZ286" s="107">
        <v>283</v>
      </c>
      <c r="BA286" s="107">
        <v>45.043517922283101</v>
      </c>
      <c r="BB286" s="107">
        <v>46.537291018805831</v>
      </c>
      <c r="BC286" s="107">
        <v>48.48477341554122</v>
      </c>
      <c r="BD286" s="107">
        <v>50</v>
      </c>
      <c r="BE286" s="107">
        <v>50</v>
      </c>
    </row>
    <row r="287" spans="29:57" x14ac:dyDescent="0.15">
      <c r="AC287" s="107">
        <v>284</v>
      </c>
      <c r="AD287" s="107">
        <f>[1]节奏总纲!AD287</f>
        <v>81.539588501665975</v>
      </c>
      <c r="AE287" s="107">
        <f>[1]节奏总纲!AE287</f>
        <v>83.631868370536679</v>
      </c>
      <c r="AF287" s="107">
        <f>[1]节奏总纲!AF287</f>
        <v>86.583415985567456</v>
      </c>
      <c r="AG287" s="107">
        <f>[1]节奏总纲!AG287</f>
        <v>91.600633600110456</v>
      </c>
      <c r="AH287" s="107">
        <f>[1]节奏总纲!AH287</f>
        <v>100.49463283893036</v>
      </c>
      <c r="AZ287" s="107">
        <v>284</v>
      </c>
      <c r="BA287" s="107">
        <v>45.065834805505204</v>
      </c>
      <c r="BB287" s="107">
        <v>46.561371072329244</v>
      </c>
      <c r="BC287" s="107">
        <v>48.508702082087382</v>
      </c>
      <c r="BD287" s="107">
        <v>50</v>
      </c>
      <c r="BE287" s="107">
        <v>50</v>
      </c>
    </row>
    <row r="288" spans="29:57" x14ac:dyDescent="0.15">
      <c r="AC288" s="107">
        <v>285</v>
      </c>
      <c r="AD288" s="107">
        <f>[1]节奏总纲!AD288</f>
        <v>81.590368553155727</v>
      </c>
      <c r="AE288" s="107">
        <f>[1]节奏总纲!AE288</f>
        <v>83.68257888790734</v>
      </c>
      <c r="AF288" s="107">
        <f>[1]节奏总纲!AF288</f>
        <v>86.632993678010848</v>
      </c>
      <c r="AG288" s="107">
        <f>[1]节奏总纲!AG288</f>
        <v>91.653386402768689</v>
      </c>
      <c r="AH288" s="107">
        <f>[1]节奏总纲!AH288</f>
        <v>100.54826785432043</v>
      </c>
      <c r="AZ288" s="107">
        <v>285</v>
      </c>
      <c r="BA288" s="107">
        <v>45.088151688727308</v>
      </c>
      <c r="BB288" s="107">
        <v>46.58545112585265</v>
      </c>
      <c r="BC288" s="107">
        <v>48.532630748633537</v>
      </c>
      <c r="BD288" s="107">
        <v>50</v>
      </c>
      <c r="BE288" s="107">
        <v>50</v>
      </c>
    </row>
    <row r="289" spans="29:57" x14ac:dyDescent="0.15">
      <c r="AC289" s="107">
        <v>286</v>
      </c>
      <c r="AD289" s="107">
        <f>[1]节奏总纲!AD289</f>
        <v>81.64114860464548</v>
      </c>
      <c r="AE289" s="107">
        <f>[1]节奏总纲!AE289</f>
        <v>83.733289405278001</v>
      </c>
      <c r="AF289" s="107">
        <f>[1]节奏总纲!AF289</f>
        <v>86.682571370454255</v>
      </c>
      <c r="AG289" s="107">
        <f>[1]节奏总纲!AG289</f>
        <v>91.706139205426922</v>
      </c>
      <c r="AH289" s="107">
        <f>[1]节奏总纲!AH289</f>
        <v>100.6019028697105</v>
      </c>
      <c r="AZ289" s="107">
        <v>286</v>
      </c>
      <c r="BA289" s="107">
        <v>45.110468571949411</v>
      </c>
      <c r="BB289" s="107">
        <v>46.609531179376063</v>
      </c>
      <c r="BC289" s="107">
        <v>48.556559415179692</v>
      </c>
      <c r="BD289" s="107">
        <v>50</v>
      </c>
      <c r="BE289" s="107">
        <v>50</v>
      </c>
    </row>
    <row r="290" spans="29:57" x14ac:dyDescent="0.15">
      <c r="AC290" s="107">
        <v>287</v>
      </c>
      <c r="AD290" s="107">
        <f>[1]节奏总纲!AD290</f>
        <v>81.691928656135218</v>
      </c>
      <c r="AE290" s="107">
        <f>[1]节奏总纲!AE290</f>
        <v>83.783999922648647</v>
      </c>
      <c r="AF290" s="107">
        <f>[1]节奏总纲!AF290</f>
        <v>86.732149062897662</v>
      </c>
      <c r="AG290" s="107">
        <f>[1]节奏总纲!AG290</f>
        <v>91.758892008085141</v>
      </c>
      <c r="AH290" s="107">
        <f>[1]节奏总纲!AH290</f>
        <v>100.65553788510059</v>
      </c>
      <c r="AZ290" s="107">
        <v>287</v>
      </c>
      <c r="BA290" s="107">
        <v>45.132785455171515</v>
      </c>
      <c r="BB290" s="107">
        <v>46.633611232899469</v>
      </c>
      <c r="BC290" s="107">
        <v>48.580488081725846</v>
      </c>
      <c r="BD290" s="107">
        <v>50</v>
      </c>
      <c r="BE290" s="107">
        <v>50</v>
      </c>
    </row>
    <row r="291" spans="29:57" x14ac:dyDescent="0.15">
      <c r="AC291" s="107">
        <v>288</v>
      </c>
      <c r="AD291" s="107">
        <f>[1]节奏总纲!AD291</f>
        <v>81.742708707624971</v>
      </c>
      <c r="AE291" s="107">
        <f>[1]节奏总纲!AE291</f>
        <v>83.834710440019307</v>
      </c>
      <c r="AF291" s="107">
        <f>[1]节奏总纲!AF291</f>
        <v>86.781726755341069</v>
      </c>
      <c r="AG291" s="107">
        <f>[1]节奏总纲!AG291</f>
        <v>91.811644810743374</v>
      </c>
      <c r="AH291" s="107">
        <f>[1]节奏总纲!AH291</f>
        <v>100.70917290049066</v>
      </c>
      <c r="AZ291" s="107">
        <v>288</v>
      </c>
      <c r="BA291" s="107">
        <v>45.155102338393618</v>
      </c>
      <c r="BB291" s="107">
        <v>46.657691286422882</v>
      </c>
      <c r="BC291" s="107">
        <v>48.604416748272008</v>
      </c>
      <c r="BD291" s="107">
        <v>50</v>
      </c>
      <c r="BE291" s="107">
        <v>50</v>
      </c>
    </row>
    <row r="292" spans="29:57" x14ac:dyDescent="0.15">
      <c r="AC292" s="107">
        <v>289</v>
      </c>
      <c r="AD292" s="107">
        <f>[1]节奏总纲!AD292</f>
        <v>81.793488759114723</v>
      </c>
      <c r="AE292" s="107">
        <f>[1]节奏总纲!AE292</f>
        <v>83.885420957389968</v>
      </c>
      <c r="AF292" s="107">
        <f>[1]节奏总纲!AF292</f>
        <v>86.831304447784476</v>
      </c>
      <c r="AG292" s="107">
        <f>[1]节奏总纲!AG292</f>
        <v>91.864397613401607</v>
      </c>
      <c r="AH292" s="107">
        <f>[1]节奏总纲!AH292</f>
        <v>100.76280791588073</v>
      </c>
      <c r="AZ292" s="107">
        <v>289</v>
      </c>
      <c r="BA292" s="107">
        <v>45.177419221615722</v>
      </c>
      <c r="BB292" s="107">
        <v>46.681771339946287</v>
      </c>
      <c r="BC292" s="107">
        <v>48.628345414818163</v>
      </c>
      <c r="BD292" s="107">
        <v>50</v>
      </c>
      <c r="BE292" s="107">
        <v>50</v>
      </c>
    </row>
    <row r="293" spans="29:57" x14ac:dyDescent="0.15">
      <c r="AC293" s="107">
        <v>290</v>
      </c>
      <c r="AD293" s="107">
        <f>[1]节奏总纲!AD293</f>
        <v>81.844268810604476</v>
      </c>
      <c r="AE293" s="107">
        <f>[1]节奏总纲!AE293</f>
        <v>83.936131474760614</v>
      </c>
      <c r="AF293" s="107">
        <f>[1]节奏总纲!AF293</f>
        <v>86.880882140227882</v>
      </c>
      <c r="AG293" s="107">
        <f>[1]节奏总纲!AG293</f>
        <v>91.917150416059826</v>
      </c>
      <c r="AH293" s="107">
        <f>[1]节奏总纲!AH293</f>
        <v>100.8164429312708</v>
      </c>
      <c r="AZ293" s="107">
        <v>290</v>
      </c>
      <c r="BA293" s="107">
        <v>45.199736104837825</v>
      </c>
      <c r="BB293" s="107">
        <v>46.7058513934697</v>
      </c>
      <c r="BC293" s="107">
        <v>48.652274081364318</v>
      </c>
      <c r="BD293" s="107">
        <v>50</v>
      </c>
      <c r="BE293" s="107">
        <v>50</v>
      </c>
    </row>
    <row r="294" spans="29:57" x14ac:dyDescent="0.15">
      <c r="AC294" s="107">
        <v>291</v>
      </c>
      <c r="AD294" s="107">
        <f>[1]节奏总纲!AD294</f>
        <v>81.895048862094228</v>
      </c>
      <c r="AE294" s="107">
        <f>[1]节奏总纲!AE294</f>
        <v>83.986841992131275</v>
      </c>
      <c r="AF294" s="107">
        <f>[1]节奏总纲!AF294</f>
        <v>86.930459832671289</v>
      </c>
      <c r="AG294" s="107">
        <f>[1]节奏总纲!AG294</f>
        <v>91.969903218718059</v>
      </c>
      <c r="AH294" s="107">
        <f>[1]节奏总纲!AH294</f>
        <v>100.87007794666089</v>
      </c>
      <c r="AZ294" s="107">
        <v>291</v>
      </c>
      <c r="BA294" s="107">
        <v>45.222052988059936</v>
      </c>
      <c r="BB294" s="107">
        <v>46.729931446993106</v>
      </c>
      <c r="BC294" s="107">
        <v>48.67620274791048</v>
      </c>
      <c r="BD294" s="107">
        <v>50</v>
      </c>
      <c r="BE294" s="107">
        <v>50</v>
      </c>
    </row>
    <row r="295" spans="29:57" x14ac:dyDescent="0.15">
      <c r="AC295" s="107">
        <v>292</v>
      </c>
      <c r="AD295" s="107">
        <f>[1]节奏总纲!AD295</f>
        <v>81.945828913583981</v>
      </c>
      <c r="AE295" s="107">
        <f>[1]节奏总纲!AE295</f>
        <v>84.036191564035917</v>
      </c>
      <c r="AF295" s="107">
        <f>[1]节奏总纲!AF295</f>
        <v>86.980037525114682</v>
      </c>
      <c r="AG295" s="107">
        <f>[1]节奏总纲!AG295</f>
        <v>92.021521414287719</v>
      </c>
      <c r="AH295" s="107">
        <f>[1]节奏总纲!AH295</f>
        <v>100.92371296205096</v>
      </c>
      <c r="AZ295" s="107">
        <v>292</v>
      </c>
      <c r="BA295" s="107">
        <v>45.244369871282039</v>
      </c>
      <c r="BB295" s="107">
        <v>46.754011500516519</v>
      </c>
      <c r="BC295" s="107">
        <v>48.700131414456635</v>
      </c>
      <c r="BD295" s="107">
        <v>50</v>
      </c>
      <c r="BE295" s="107">
        <v>50</v>
      </c>
    </row>
    <row r="296" spans="29:57" x14ac:dyDescent="0.15">
      <c r="AC296" s="107">
        <v>293</v>
      </c>
      <c r="AD296" s="107">
        <f>[1]节奏总纲!AD296</f>
        <v>81.996608965073733</v>
      </c>
      <c r="AE296" s="107">
        <f>[1]节奏总纲!AE296</f>
        <v>84.085064274836242</v>
      </c>
      <c r="AF296" s="107">
        <f>[1]节奏总纲!AF296</f>
        <v>87.029133791498197</v>
      </c>
      <c r="AG296" s="107">
        <f>[1]节奏总纲!AG296</f>
        <v>92.071632371634976</v>
      </c>
      <c r="AH296" s="107">
        <f>[1]节奏总纲!AH296</f>
        <v>100.97734797744103</v>
      </c>
      <c r="AZ296" s="107">
        <v>293</v>
      </c>
      <c r="BA296" s="107">
        <v>45.266686754504143</v>
      </c>
      <c r="BB296" s="107">
        <v>46.778091554039925</v>
      </c>
      <c r="BC296" s="107">
        <v>48.72406008100279</v>
      </c>
      <c r="BD296" s="107">
        <v>50</v>
      </c>
      <c r="BE296" s="107">
        <v>50</v>
      </c>
    </row>
    <row r="297" spans="29:57" x14ac:dyDescent="0.15">
      <c r="AC297" s="107">
        <v>294</v>
      </c>
      <c r="AD297" s="107">
        <f>[1]节奏总纲!AD297</f>
        <v>82.044215515890215</v>
      </c>
      <c r="AE297" s="107">
        <f>[1]节奏总纲!AE297</f>
        <v>84.133936985636566</v>
      </c>
      <c r="AF297" s="107">
        <f>[1]节奏总纲!AF297</f>
        <v>87.077905547159801</v>
      </c>
      <c r="AG297" s="107">
        <f>[1]节奏总纲!AG297</f>
        <v>92.121743328982234</v>
      </c>
      <c r="AH297" s="107">
        <f>[1]节奏总纲!AH297</f>
        <v>101.02868392415382</v>
      </c>
      <c r="AZ297" s="107">
        <v>294</v>
      </c>
      <c r="BA297" s="107">
        <v>45.289003637726246</v>
      </c>
      <c r="BB297" s="107">
        <v>46.802171607563338</v>
      </c>
      <c r="BC297" s="107">
        <v>48.747988747548945</v>
      </c>
      <c r="BD297" s="107">
        <v>50</v>
      </c>
      <c r="BE297" s="107">
        <v>50</v>
      </c>
    </row>
    <row r="298" spans="29:57" x14ac:dyDescent="0.15">
      <c r="AC298" s="107">
        <v>295</v>
      </c>
      <c r="AD298" s="107">
        <f>[1]节奏总纲!AD298</f>
        <v>82.091594979242089</v>
      </c>
      <c r="AE298" s="107">
        <f>[1]节奏总纲!AE298</f>
        <v>84.182809696436891</v>
      </c>
      <c r="AF298" s="107">
        <f>[1]节奏总纲!AF298</f>
        <v>87.126677302821392</v>
      </c>
      <c r="AG298" s="107">
        <f>[1]节奏总纲!AG298</f>
        <v>92.171854286329506</v>
      </c>
      <c r="AH298" s="107">
        <f>[1]节奏总纲!AH298</f>
        <v>101.07833899530283</v>
      </c>
      <c r="AZ298" s="107">
        <v>295</v>
      </c>
      <c r="BA298" s="107">
        <v>45.31132052094835</v>
      </c>
      <c r="BB298" s="107">
        <v>46.826251661086744</v>
      </c>
      <c r="BC298" s="107">
        <v>48.771917414095107</v>
      </c>
      <c r="BD298" s="107">
        <v>50</v>
      </c>
      <c r="BE298" s="107">
        <v>50</v>
      </c>
    </row>
    <row r="299" spans="29:57" x14ac:dyDescent="0.15">
      <c r="AC299" s="107">
        <v>296</v>
      </c>
      <c r="AD299" s="107">
        <f>[1]节奏总纲!AD299</f>
        <v>82.138974442593963</v>
      </c>
      <c r="AE299" s="107">
        <f>[1]节奏总纲!AE299</f>
        <v>84.23168240723723</v>
      </c>
      <c r="AF299" s="107">
        <f>[1]节奏总纲!AF299</f>
        <v>87.175449058482982</v>
      </c>
      <c r="AG299" s="107">
        <f>[1]节奏总纲!AG299</f>
        <v>92.221965243676763</v>
      </c>
      <c r="AH299" s="107">
        <f>[1]节奏总纲!AH299</f>
        <v>101.12799406645185</v>
      </c>
      <c r="AZ299" s="107">
        <v>296</v>
      </c>
      <c r="BA299" s="107">
        <v>45.333637404170453</v>
      </c>
      <c r="BB299" s="107">
        <v>46.850331714610157</v>
      </c>
      <c r="BC299" s="107">
        <v>48.795846080641262</v>
      </c>
      <c r="BD299" s="107">
        <v>50</v>
      </c>
      <c r="BE299" s="107">
        <v>50</v>
      </c>
    </row>
    <row r="300" spans="29:57" x14ac:dyDescent="0.15">
      <c r="AC300" s="107">
        <v>297</v>
      </c>
      <c r="AD300" s="107">
        <f>[1]节奏总纲!AD300</f>
        <v>82.186353905945836</v>
      </c>
      <c r="AE300" s="107">
        <f>[1]节奏总纲!AE300</f>
        <v>84.280555118037555</v>
      </c>
      <c r="AF300" s="107">
        <f>[1]节奏总纲!AF300</f>
        <v>87.224220814144587</v>
      </c>
      <c r="AG300" s="107">
        <f>[1]节奏总纲!AG300</f>
        <v>92.272076201024021</v>
      </c>
      <c r="AH300" s="107">
        <f>[1]节奏总纲!AH300</f>
        <v>101.17764913760085</v>
      </c>
      <c r="AZ300" s="107">
        <v>297</v>
      </c>
      <c r="BA300" s="107">
        <v>45.355954287392557</v>
      </c>
      <c r="BB300" s="107">
        <v>46.874411768133562</v>
      </c>
      <c r="BC300" s="107">
        <v>48.819774747187417</v>
      </c>
      <c r="BD300" s="107">
        <v>50</v>
      </c>
      <c r="BE300" s="107">
        <v>50</v>
      </c>
    </row>
    <row r="301" spans="29:57" x14ac:dyDescent="0.15">
      <c r="AC301" s="107">
        <v>298</v>
      </c>
      <c r="AD301" s="107">
        <f>[1]节奏总纲!AD301</f>
        <v>82.23373336929771</v>
      </c>
      <c r="AE301" s="107">
        <f>[1]节奏总纲!AE301</f>
        <v>84.329427828837879</v>
      </c>
      <c r="AF301" s="107">
        <f>[1]节奏总纲!AF301</f>
        <v>87.272992569806178</v>
      </c>
      <c r="AG301" s="107">
        <f>[1]节奏总纲!AG301</f>
        <v>92.322187158371293</v>
      </c>
      <c r="AH301" s="107">
        <f>[1]节奏总纲!AH301</f>
        <v>101.22730420874987</v>
      </c>
      <c r="AZ301" s="107">
        <v>298</v>
      </c>
      <c r="BA301" s="107">
        <v>45.37827117061466</v>
      </c>
      <c r="BB301" s="107">
        <v>46.898491821656968</v>
      </c>
      <c r="BC301" s="107">
        <v>48.843703413733579</v>
      </c>
      <c r="BD301" s="107">
        <v>50</v>
      </c>
      <c r="BE301" s="107">
        <v>50</v>
      </c>
    </row>
    <row r="302" spans="29:57" x14ac:dyDescent="0.15">
      <c r="AC302" s="107">
        <v>299</v>
      </c>
      <c r="AD302" s="107">
        <f>[1]节奏总纲!AD302</f>
        <v>82.281112832649583</v>
      </c>
      <c r="AE302" s="107">
        <f>[1]节奏总纲!AE302</f>
        <v>84.378300539638204</v>
      </c>
      <c r="AF302" s="107">
        <f>[1]节奏总纲!AF302</f>
        <v>87.321764325467768</v>
      </c>
      <c r="AG302" s="107">
        <f>[1]节奏总纲!AG302</f>
        <v>92.37229811571855</v>
      </c>
      <c r="AH302" s="107">
        <f>[1]节奏总纲!AH302</f>
        <v>101.27695927989888</v>
      </c>
      <c r="AZ302" s="107">
        <v>299</v>
      </c>
      <c r="BA302" s="107">
        <v>45.400588053836763</v>
      </c>
      <c r="BB302" s="107">
        <v>46.922571875180381</v>
      </c>
      <c r="BC302" s="107">
        <v>48.867632080279733</v>
      </c>
      <c r="BD302" s="107">
        <v>50</v>
      </c>
      <c r="BE302" s="107">
        <v>50</v>
      </c>
    </row>
    <row r="303" spans="29:57" x14ac:dyDescent="0.15">
      <c r="AC303" s="107">
        <v>300</v>
      </c>
      <c r="AD303" s="107">
        <f>[1]节奏总纲!AD303</f>
        <v>82.328492296001457</v>
      </c>
      <c r="AE303" s="107">
        <f>[1]节奏总纲!AE303</f>
        <v>84.427173250438543</v>
      </c>
      <c r="AF303" s="107">
        <f>[1]节奏总纲!AF303</f>
        <v>87.370536081129359</v>
      </c>
      <c r="AG303" s="107">
        <f>[1]节奏总纲!AG303</f>
        <v>92.422409073065808</v>
      </c>
      <c r="AH303" s="107">
        <f>[1]节奏总纲!AH303</f>
        <v>101.32661435104789</v>
      </c>
      <c r="AZ303" s="107">
        <v>300</v>
      </c>
      <c r="BA303" s="107">
        <v>45.422904937058867</v>
      </c>
      <c r="BB303" s="107">
        <v>46.946651928703787</v>
      </c>
      <c r="BC303" s="107">
        <v>48.891560746825888</v>
      </c>
      <c r="BD303" s="107">
        <v>50</v>
      </c>
      <c r="BE303" s="107">
        <v>50</v>
      </c>
    </row>
    <row r="304" spans="29:57" x14ac:dyDescent="0.15">
      <c r="AC304" s="107">
        <v>301</v>
      </c>
      <c r="AD304" s="107">
        <f>[1]节奏总纲!AD304</f>
        <v>82.375871759353331</v>
      </c>
      <c r="AE304" s="107">
        <f>[1]节奏总纲!AE304</f>
        <v>84.476045961238867</v>
      </c>
      <c r="AF304" s="107">
        <f>[1]节奏总纲!AF304</f>
        <v>87.419307836790964</v>
      </c>
      <c r="AG304" s="107">
        <f>[1]节奏总纲!AG304</f>
        <v>92.472520030413079</v>
      </c>
      <c r="AH304" s="107">
        <f>[1]节奏总纲!AH304</f>
        <v>101.3762694221969</v>
      </c>
      <c r="AZ304" s="107">
        <v>301</v>
      </c>
      <c r="BA304" s="107">
        <v>45.44522182028097</v>
      </c>
      <c r="BB304" s="107">
        <v>46.9707319822272</v>
      </c>
      <c r="BC304" s="107">
        <v>48.91548941337205</v>
      </c>
      <c r="BD304" s="107">
        <v>50</v>
      </c>
      <c r="BE304" s="107">
        <v>50</v>
      </c>
    </row>
    <row r="305" spans="29:57" x14ac:dyDescent="0.15">
      <c r="AC305" s="107">
        <v>302</v>
      </c>
      <c r="AD305" s="107">
        <f>[1]节奏总纲!AD305</f>
        <v>82.423251222705204</v>
      </c>
      <c r="AE305" s="107">
        <f>[1]节奏总纲!AE305</f>
        <v>84.524918672039192</v>
      </c>
      <c r="AF305" s="107">
        <f>[1]节奏总纲!AF305</f>
        <v>87.468079592452554</v>
      </c>
      <c r="AG305" s="107">
        <f>[1]节奏总纲!AG305</f>
        <v>92.522630987760337</v>
      </c>
      <c r="AH305" s="107">
        <f>[1]节奏总纲!AH305</f>
        <v>101.42592449334592</v>
      </c>
      <c r="AZ305" s="107">
        <v>302</v>
      </c>
      <c r="BA305" s="107">
        <v>45.467538703503074</v>
      </c>
      <c r="BB305" s="107">
        <v>46.994812035750606</v>
      </c>
      <c r="BC305" s="107">
        <v>48.939418079918205</v>
      </c>
      <c r="BD305" s="107">
        <v>50</v>
      </c>
      <c r="BE305" s="107">
        <v>50</v>
      </c>
    </row>
    <row r="306" spans="29:57" x14ac:dyDescent="0.15">
      <c r="AC306" s="107">
        <v>303</v>
      </c>
      <c r="AD306" s="107">
        <f>[1]节奏总纲!AD306</f>
        <v>82.470630686057078</v>
      </c>
      <c r="AE306" s="107">
        <f>[1]节奏总纲!AE306</f>
        <v>84.573791382839516</v>
      </c>
      <c r="AF306" s="107">
        <f>[1]节奏总纲!AF306</f>
        <v>87.516851348114145</v>
      </c>
      <c r="AG306" s="107">
        <f>[1]节奏总纲!AG306</f>
        <v>92.572741945107595</v>
      </c>
      <c r="AH306" s="107">
        <f>[1]节奏总纲!AH306</f>
        <v>101.47557956449492</v>
      </c>
      <c r="AZ306" s="107">
        <v>303</v>
      </c>
      <c r="BA306" s="107">
        <v>45.489855586725177</v>
      </c>
      <c r="BB306" s="107">
        <v>47.016308935086101</v>
      </c>
      <c r="BC306" s="107">
        <v>48.96334674646436</v>
      </c>
      <c r="BD306" s="107">
        <v>50</v>
      </c>
      <c r="BE306" s="107">
        <v>50</v>
      </c>
    </row>
    <row r="307" spans="29:57" x14ac:dyDescent="0.15">
      <c r="AC307" s="107">
        <v>304</v>
      </c>
      <c r="AD307" s="107">
        <f>[1]节奏总纲!AD307</f>
        <v>82.518010149408951</v>
      </c>
      <c r="AE307" s="107">
        <f>[1]节奏总纲!AE307</f>
        <v>84.622664093639855</v>
      </c>
      <c r="AF307" s="107">
        <f>[1]节奏总纲!AF307</f>
        <v>87.565623103775735</v>
      </c>
      <c r="AG307" s="107">
        <f>[1]节奏总纲!AG307</f>
        <v>92.622852902454852</v>
      </c>
      <c r="AH307" s="107">
        <f>[1]节奏总纲!AH307</f>
        <v>101.52523463564394</v>
      </c>
      <c r="AZ307" s="107">
        <v>304</v>
      </c>
      <c r="BA307" s="107">
        <v>45.512172469947281</v>
      </c>
      <c r="BB307" s="107">
        <v>47.037096473408994</v>
      </c>
      <c r="BC307" s="107">
        <v>48.987275413010522</v>
      </c>
      <c r="BD307" s="107">
        <v>50</v>
      </c>
      <c r="BE307" s="107">
        <v>50</v>
      </c>
    </row>
    <row r="308" spans="29:57" x14ac:dyDescent="0.15">
      <c r="AC308" s="107">
        <v>305</v>
      </c>
      <c r="AD308" s="107">
        <f>[1]节奏总纲!AD308</f>
        <v>82.565389612760825</v>
      </c>
      <c r="AE308" s="107">
        <f>[1]节奏总纲!AE308</f>
        <v>84.67153680444018</v>
      </c>
      <c r="AF308" s="107">
        <f>[1]节奏总纲!AF308</f>
        <v>87.61439485943734</v>
      </c>
      <c r="AG308" s="107">
        <f>[1]节奏总纲!AG308</f>
        <v>92.672963859802124</v>
      </c>
      <c r="AH308" s="107">
        <f>[1]节奏总纲!AH308</f>
        <v>101.57488970679294</v>
      </c>
      <c r="AZ308" s="107">
        <v>305</v>
      </c>
      <c r="BA308" s="107">
        <v>45.534489353169384</v>
      </c>
      <c r="BB308" s="107">
        <v>47.057884011731893</v>
      </c>
      <c r="BC308" s="107">
        <v>49.009673493801003</v>
      </c>
      <c r="BD308" s="107">
        <v>50</v>
      </c>
      <c r="BE308" s="107">
        <v>50</v>
      </c>
    </row>
    <row r="309" spans="29:57" x14ac:dyDescent="0.15">
      <c r="AC309" s="107">
        <v>306</v>
      </c>
      <c r="AD309" s="107">
        <f>[1]节奏总纲!AD309</f>
        <v>82.612769076112698</v>
      </c>
      <c r="AE309" s="107">
        <f>[1]节奏总纲!AE309</f>
        <v>84.720409515240505</v>
      </c>
      <c r="AF309" s="107">
        <f>[1]节奏总纲!AF309</f>
        <v>87.66316661509893</v>
      </c>
      <c r="AG309" s="107">
        <f>[1]节奏总纲!AG309</f>
        <v>92.723074817149381</v>
      </c>
      <c r="AH309" s="107">
        <f>[1]节奏总纲!AH309</f>
        <v>101.62454477794196</v>
      </c>
      <c r="AZ309" s="107">
        <v>306</v>
      </c>
      <c r="BA309" s="107">
        <v>45.556806236391488</v>
      </c>
      <c r="BB309" s="107">
        <v>47.078671550054786</v>
      </c>
      <c r="BC309" s="107">
        <v>49.030333272797542</v>
      </c>
      <c r="BD309" s="107">
        <v>50</v>
      </c>
      <c r="BE309" s="107">
        <v>50</v>
      </c>
    </row>
    <row r="310" spans="29:57" x14ac:dyDescent="0.15">
      <c r="AC310" s="107">
        <v>307</v>
      </c>
      <c r="AD310" s="107">
        <f>[1]节奏总纲!AD310</f>
        <v>82.660148539464572</v>
      </c>
      <c r="AE310" s="107">
        <f>[1]节奏总纲!AE310</f>
        <v>84.769282226040829</v>
      </c>
      <c r="AF310" s="107">
        <f>[1]节奏总纲!AF310</f>
        <v>87.711938370760521</v>
      </c>
      <c r="AG310" s="107">
        <f>[1]节奏总纲!AG310</f>
        <v>92.773185774496639</v>
      </c>
      <c r="AH310" s="107">
        <f>[1]节奏总纲!AH310</f>
        <v>101.67419984909097</v>
      </c>
      <c r="AZ310" s="107">
        <v>307</v>
      </c>
      <c r="BA310" s="107">
        <v>45.579123119613591</v>
      </c>
      <c r="BB310" s="107">
        <v>47.099459088377678</v>
      </c>
      <c r="BC310" s="107">
        <v>49.05099305179408</v>
      </c>
      <c r="BD310" s="107">
        <v>50</v>
      </c>
      <c r="BE310" s="107">
        <v>50</v>
      </c>
    </row>
    <row r="311" spans="29:57" x14ac:dyDescent="0.15">
      <c r="AC311" s="107">
        <v>308</v>
      </c>
      <c r="AD311" s="107">
        <f>[1]节奏总纲!AD311</f>
        <v>82.707528002816446</v>
      </c>
      <c r="AE311" s="107">
        <f>[1]节奏总纲!AE311</f>
        <v>84.818154936841154</v>
      </c>
      <c r="AF311" s="107">
        <f>[1]节奏总纲!AF311</f>
        <v>87.760710126422126</v>
      </c>
      <c r="AG311" s="107">
        <f>[1]节奏总纲!AG311</f>
        <v>92.823296731843911</v>
      </c>
      <c r="AH311" s="107">
        <f>[1]节奏总纲!AH311</f>
        <v>101.72385492023999</v>
      </c>
      <c r="AZ311" s="107">
        <v>308</v>
      </c>
      <c r="BA311" s="107">
        <v>45.601440002835695</v>
      </c>
      <c r="BB311" s="107">
        <v>47.12024662670057</v>
      </c>
      <c r="BC311" s="107">
        <v>49.071652830790612</v>
      </c>
      <c r="BD311" s="107">
        <v>50</v>
      </c>
      <c r="BE311" s="107">
        <v>50</v>
      </c>
    </row>
    <row r="312" spans="29:57" x14ac:dyDescent="0.15">
      <c r="AC312" s="107">
        <v>309</v>
      </c>
      <c r="AD312" s="107">
        <f>[1]节奏总纲!AD312</f>
        <v>82.754907466168319</v>
      </c>
      <c r="AE312" s="107">
        <f>[1]节奏总纲!AE312</f>
        <v>84.867027647641493</v>
      </c>
      <c r="AF312" s="107">
        <f>[1]节奏总纲!AF312</f>
        <v>87.809481882083716</v>
      </c>
      <c r="AG312" s="107">
        <f>[1]节奏总纲!AG312</f>
        <v>92.873407689191168</v>
      </c>
      <c r="AH312" s="107">
        <f>[1]节奏总纲!AH312</f>
        <v>101.77350999138899</v>
      </c>
      <c r="AZ312" s="107">
        <v>309</v>
      </c>
      <c r="BA312" s="107">
        <v>45.623756886057798</v>
      </c>
      <c r="BB312" s="107">
        <v>47.14103416502347</v>
      </c>
      <c r="BC312" s="107">
        <v>49.09231260978715</v>
      </c>
      <c r="BD312" s="107">
        <v>50</v>
      </c>
      <c r="BE312" s="107">
        <v>50</v>
      </c>
    </row>
    <row r="313" spans="29:57" x14ac:dyDescent="0.15">
      <c r="AC313" s="107">
        <v>310</v>
      </c>
      <c r="AD313" s="107">
        <f>[1]节奏总纲!AD313</f>
        <v>82.802286929520193</v>
      </c>
      <c r="AE313" s="107">
        <f>[1]节奏总纲!AE313</f>
        <v>84.915900358441817</v>
      </c>
      <c r="AF313" s="107">
        <f>[1]节奏总纲!AF313</f>
        <v>87.858253637745307</v>
      </c>
      <c r="AG313" s="107">
        <f>[1]节奏总纲!AG313</f>
        <v>92.923518646538426</v>
      </c>
      <c r="AH313" s="107">
        <f>[1]节奏总纲!AH313</f>
        <v>101.82316506253801</v>
      </c>
      <c r="AZ313" s="107">
        <v>310</v>
      </c>
      <c r="BA313" s="107">
        <v>45.646073769279901</v>
      </c>
      <c r="BB313" s="107">
        <v>47.161821703346362</v>
      </c>
      <c r="BC313" s="107">
        <v>49.112972388783689</v>
      </c>
      <c r="BD313" s="107">
        <v>50</v>
      </c>
      <c r="BE313" s="107">
        <v>50</v>
      </c>
    </row>
    <row r="314" spans="29:57" x14ac:dyDescent="0.15">
      <c r="AC314" s="107">
        <v>311</v>
      </c>
      <c r="AD314" s="107">
        <f>[1]节奏总纲!AD314</f>
        <v>82.849666392872066</v>
      </c>
      <c r="AE314" s="107">
        <f>[1]节奏总纲!AE314</f>
        <v>84.964773069242142</v>
      </c>
      <c r="AF314" s="107">
        <f>[1]节奏总纲!AF314</f>
        <v>87.907025393406897</v>
      </c>
      <c r="AG314" s="107">
        <f>[1]节奏总纲!AG314</f>
        <v>92.973629603885698</v>
      </c>
      <c r="AH314" s="107">
        <f>[1]节奏总纲!AH314</f>
        <v>101.87282013368701</v>
      </c>
      <c r="AZ314" s="107">
        <v>311</v>
      </c>
      <c r="BA314" s="107">
        <v>45.668390652502012</v>
      </c>
      <c r="BB314" s="107">
        <v>47.182609241669255</v>
      </c>
      <c r="BC314" s="107">
        <v>49.133632167780227</v>
      </c>
      <c r="BD314" s="107">
        <v>50</v>
      </c>
      <c r="BE314" s="107">
        <v>50</v>
      </c>
    </row>
    <row r="315" spans="29:57" x14ac:dyDescent="0.15">
      <c r="AC315" s="107">
        <v>312</v>
      </c>
      <c r="AD315" s="107">
        <f>[1]节奏总纲!AD315</f>
        <v>82.89704585622394</v>
      </c>
      <c r="AE315" s="107">
        <f>[1]节奏总纲!AE315</f>
        <v>85.012531647506819</v>
      </c>
      <c r="AF315" s="107">
        <f>[1]节奏总纲!AF315</f>
        <v>87.955797149068502</v>
      </c>
      <c r="AG315" s="107">
        <f>[1]节奏总纲!AG315</f>
        <v>93.022367647203353</v>
      </c>
      <c r="AH315" s="107">
        <f>[1]节奏总纲!AH315</f>
        <v>101.92247520483603</v>
      </c>
      <c r="AZ315" s="107">
        <v>312</v>
      </c>
      <c r="BA315" s="107">
        <v>45.690707535724115</v>
      </c>
      <c r="BB315" s="107">
        <v>47.203396779992147</v>
      </c>
      <c r="BC315" s="107">
        <v>49.154291946776759</v>
      </c>
      <c r="BD315" s="107">
        <v>50</v>
      </c>
      <c r="BE315" s="107">
        <v>50</v>
      </c>
    </row>
    <row r="316" spans="29:57" x14ac:dyDescent="0.15">
      <c r="AC316" s="107">
        <v>313</v>
      </c>
      <c r="AD316" s="107">
        <f>[1]节奏总纲!AD316</f>
        <v>82.944425319575814</v>
      </c>
      <c r="AE316" s="107">
        <f>[1]节奏总纲!AE316</f>
        <v>85.057414064088832</v>
      </c>
      <c r="AF316" s="107">
        <f>[1]节奏总纲!AF316</f>
        <v>88.004756197276762</v>
      </c>
      <c r="AG316" s="107">
        <f>[1]节奏总纲!AG316</f>
        <v>93.069580693431178</v>
      </c>
      <c r="AH316" s="107">
        <f>[1]节奏总纲!AH316</f>
        <v>101.97213027598504</v>
      </c>
      <c r="AZ316" s="107">
        <v>313</v>
      </c>
      <c r="BA316" s="107">
        <v>45.713024418946219</v>
      </c>
      <c r="BB316" s="107">
        <v>47.224184318315039</v>
      </c>
      <c r="BC316" s="107">
        <v>49.174951725773298</v>
      </c>
      <c r="BD316" s="107">
        <v>50</v>
      </c>
      <c r="BE316" s="107">
        <v>50</v>
      </c>
    </row>
    <row r="317" spans="29:57" x14ac:dyDescent="0.15">
      <c r="AC317" s="107">
        <v>314</v>
      </c>
      <c r="AD317" s="107">
        <f>[1]节奏总纲!AD317</f>
        <v>82.991804782927687</v>
      </c>
      <c r="AE317" s="107">
        <f>[1]节奏总纲!AE317</f>
        <v>85.10229648067083</v>
      </c>
      <c r="AF317" s="107">
        <f>[1]节奏总纲!AF317</f>
        <v>88.05552724748766</v>
      </c>
      <c r="AG317" s="107">
        <f>[1]节奏总纲!AG317</f>
        <v>93.116793739659002</v>
      </c>
      <c r="AH317" s="107">
        <f>[1]节奏总纲!AH317</f>
        <v>102.01969836502204</v>
      </c>
      <c r="AZ317" s="107">
        <v>314</v>
      </c>
      <c r="BA317" s="107">
        <v>45.735341302168322</v>
      </c>
      <c r="BB317" s="107">
        <v>47.244971856637939</v>
      </c>
      <c r="BC317" s="107">
        <v>49.195611504769836</v>
      </c>
      <c r="BD317" s="107">
        <v>50</v>
      </c>
      <c r="BE317" s="107">
        <v>50</v>
      </c>
    </row>
    <row r="318" spans="29:57" x14ac:dyDescent="0.15">
      <c r="AC318" s="107">
        <v>315</v>
      </c>
      <c r="AD318" s="107">
        <f>[1]节奏总纲!AD318</f>
        <v>83.03656019452734</v>
      </c>
      <c r="AE318" s="107">
        <f>[1]节奏总纲!AE318</f>
        <v>85.147178897252829</v>
      </c>
      <c r="AF318" s="107">
        <f>[1]节奏总纲!AF318</f>
        <v>88.106298297698572</v>
      </c>
      <c r="AG318" s="107">
        <f>[1]节奏总纲!AG318</f>
        <v>93.164006785886826</v>
      </c>
      <c r="AH318" s="107">
        <f>[1]节奏总纲!AH318</f>
        <v>102.06459660376342</v>
      </c>
      <c r="AZ318" s="107">
        <v>315</v>
      </c>
      <c r="BA318" s="107">
        <v>45.757658185390426</v>
      </c>
      <c r="BB318" s="107">
        <v>47.265759394960831</v>
      </c>
      <c r="BC318" s="107">
        <v>49.216271283766375</v>
      </c>
      <c r="BD318" s="107">
        <v>50</v>
      </c>
      <c r="BE318" s="107">
        <v>50</v>
      </c>
    </row>
    <row r="319" spans="29:57" x14ac:dyDescent="0.15">
      <c r="AC319" s="107">
        <v>316</v>
      </c>
      <c r="AD319" s="107">
        <f>[1]节奏总纲!AD319</f>
        <v>83.080766796955942</v>
      </c>
      <c r="AE319" s="107">
        <f>[1]节奏总纲!AE319</f>
        <v>85.192061313834827</v>
      </c>
      <c r="AF319" s="107">
        <f>[1]节奏总纲!AF319</f>
        <v>88.15706934790947</v>
      </c>
      <c r="AG319" s="107">
        <f>[1]节奏总纲!AG319</f>
        <v>93.211219832114651</v>
      </c>
      <c r="AH319" s="107">
        <f>[1]节奏总纲!AH319</f>
        <v>102.1094948425048</v>
      </c>
      <c r="AZ319" s="107">
        <v>316</v>
      </c>
      <c r="BA319" s="107">
        <v>45.779975068612529</v>
      </c>
      <c r="BB319" s="107">
        <v>47.286546933283724</v>
      </c>
      <c r="BC319" s="107">
        <v>49.236931062762913</v>
      </c>
      <c r="BD319" s="107">
        <v>50</v>
      </c>
      <c r="BE319" s="107">
        <v>50</v>
      </c>
    </row>
    <row r="320" spans="29:57" x14ac:dyDescent="0.15">
      <c r="AC320" s="107">
        <v>317</v>
      </c>
      <c r="AD320" s="107">
        <f>[1]节奏总纲!AD320</f>
        <v>83.124973399384558</v>
      </c>
      <c r="AE320" s="107">
        <f>[1]节奏总纲!AE320</f>
        <v>85.236943730416826</v>
      </c>
      <c r="AF320" s="107">
        <f>[1]节奏总纲!AF320</f>
        <v>88.207840398120382</v>
      </c>
      <c r="AG320" s="107">
        <f>[1]节奏总纲!AG320</f>
        <v>93.258432878342475</v>
      </c>
      <c r="AH320" s="107">
        <f>[1]节奏总纲!AH320</f>
        <v>102.15439308124618</v>
      </c>
      <c r="AZ320" s="107">
        <v>317</v>
      </c>
      <c r="BA320" s="107">
        <v>45.802291951834633</v>
      </c>
      <c r="BB320" s="107">
        <v>47.307334471606616</v>
      </c>
      <c r="BC320" s="107">
        <v>49.257590841759445</v>
      </c>
      <c r="BD320" s="107">
        <v>50</v>
      </c>
      <c r="BE320" s="107">
        <v>50</v>
      </c>
    </row>
    <row r="321" spans="29:57" x14ac:dyDescent="0.15">
      <c r="AC321" s="107">
        <v>318</v>
      </c>
      <c r="AD321" s="107">
        <f>[1]节奏总纲!AD321</f>
        <v>83.16918000181316</v>
      </c>
      <c r="AE321" s="107">
        <f>[1]节奏总纲!AE321</f>
        <v>85.281826146998839</v>
      </c>
      <c r="AF321" s="107">
        <f>[1]节奏总纲!AF321</f>
        <v>88.258611448331294</v>
      </c>
      <c r="AG321" s="107">
        <f>[1]节奏总纲!AG321</f>
        <v>93.3056459245703</v>
      </c>
      <c r="AH321" s="107">
        <f>[1]节奏总纲!AH321</f>
        <v>102.19929131998755</v>
      </c>
      <c r="AZ321" s="107">
        <v>318</v>
      </c>
      <c r="BA321" s="107">
        <v>45.824608835056736</v>
      </c>
      <c r="BB321" s="107">
        <v>47.328122009929508</v>
      </c>
      <c r="BC321" s="107">
        <v>49.278250620755983</v>
      </c>
      <c r="BD321" s="107">
        <v>50</v>
      </c>
      <c r="BE321" s="107">
        <v>50</v>
      </c>
    </row>
    <row r="322" spans="29:57" x14ac:dyDescent="0.15">
      <c r="AC322" s="107">
        <v>319</v>
      </c>
      <c r="AD322" s="107">
        <f>[1]节奏总纲!AD322</f>
        <v>83.213386604241776</v>
      </c>
      <c r="AE322" s="107">
        <f>[1]节奏总纲!AE322</f>
        <v>85.326708563580837</v>
      </c>
      <c r="AF322" s="107">
        <f>[1]节奏总纲!AF322</f>
        <v>88.309382498542192</v>
      </c>
      <c r="AG322" s="107">
        <f>[1]节奏总纲!AG322</f>
        <v>93.352858970798124</v>
      </c>
      <c r="AH322" s="107">
        <f>[1]节奏总纲!AH322</f>
        <v>102.24418955872893</v>
      </c>
      <c r="AZ322" s="107">
        <v>319</v>
      </c>
      <c r="BA322" s="107">
        <v>45.84692571827884</v>
      </c>
      <c r="BB322" s="107">
        <v>47.348909548252408</v>
      </c>
      <c r="BC322" s="107">
        <v>49.298910399752522</v>
      </c>
      <c r="BD322" s="107">
        <v>50</v>
      </c>
      <c r="BE322" s="107">
        <v>50</v>
      </c>
    </row>
    <row r="323" spans="29:57" x14ac:dyDescent="0.15">
      <c r="AC323" s="107">
        <v>320</v>
      </c>
      <c r="AD323" s="107">
        <f>[1]节奏总纲!AD323</f>
        <v>83.257593206670379</v>
      </c>
      <c r="AE323" s="107">
        <f>[1]节奏总纲!AE323</f>
        <v>85.371590980162836</v>
      </c>
      <c r="AF323" s="107">
        <f>[1]节奏总纲!AF323</f>
        <v>88.360153548753104</v>
      </c>
      <c r="AG323" s="107">
        <f>[1]节奏总纲!AG323</f>
        <v>93.400072017025948</v>
      </c>
      <c r="AH323" s="107">
        <f>[1]节奏总纲!AH323</f>
        <v>102.28908779747032</v>
      </c>
      <c r="AZ323" s="107">
        <v>320</v>
      </c>
      <c r="BA323" s="107">
        <v>45.869242601500943</v>
      </c>
      <c r="BB323" s="107">
        <v>47.3696970865753</v>
      </c>
      <c r="BC323" s="107">
        <v>49.319570178749061</v>
      </c>
      <c r="BD323" s="107">
        <v>50</v>
      </c>
      <c r="BE323" s="107">
        <v>50</v>
      </c>
    </row>
    <row r="324" spans="29:57" x14ac:dyDescent="0.15">
      <c r="AC324" s="107">
        <v>321</v>
      </c>
      <c r="AD324" s="107">
        <f>[1]节奏总纲!AD324</f>
        <v>83.301799809098995</v>
      </c>
      <c r="AE324" s="107">
        <f>[1]节奏总纲!AE324</f>
        <v>85.416473396744834</v>
      </c>
      <c r="AF324" s="107">
        <f>[1]节奏总纲!AF324</f>
        <v>88.410924598964016</v>
      </c>
      <c r="AG324" s="107">
        <f>[1]节奏总纲!AG324</f>
        <v>93.447285063253773</v>
      </c>
      <c r="AH324" s="107">
        <f>[1]节奏总纲!AH324</f>
        <v>102.3339860362117</v>
      </c>
      <c r="AZ324" s="107">
        <v>321</v>
      </c>
      <c r="BA324" s="107">
        <v>45.891559484723047</v>
      </c>
      <c r="BB324" s="107">
        <v>47.390484624898193</v>
      </c>
      <c r="BC324" s="107">
        <v>49.340229957745592</v>
      </c>
      <c r="BD324" s="107">
        <v>50</v>
      </c>
      <c r="BE324" s="107">
        <v>50</v>
      </c>
    </row>
    <row r="325" spans="29:57" x14ac:dyDescent="0.15">
      <c r="AC325" s="107">
        <v>322</v>
      </c>
      <c r="AD325" s="107">
        <f>[1]节奏总纲!AD325</f>
        <v>83.346006411527597</v>
      </c>
      <c r="AE325" s="107">
        <f>[1]节奏总纲!AE325</f>
        <v>85.461355813326847</v>
      </c>
      <c r="AF325" s="107">
        <f>[1]节奏总纲!AF325</f>
        <v>88.461695649174914</v>
      </c>
      <c r="AG325" s="107">
        <f>[1]节奏总纲!AG325</f>
        <v>93.494498109481597</v>
      </c>
      <c r="AH325" s="107">
        <f>[1]节奏总纲!AH325</f>
        <v>102.37888427495307</v>
      </c>
      <c r="AZ325" s="107">
        <v>322</v>
      </c>
      <c r="BA325" s="107">
        <v>45.91387636794515</v>
      </c>
      <c r="BB325" s="107">
        <v>47.411272163221085</v>
      </c>
      <c r="BC325" s="107">
        <v>49.360889736742131</v>
      </c>
      <c r="BD325" s="107">
        <v>50</v>
      </c>
      <c r="BE325" s="107">
        <v>50</v>
      </c>
    </row>
    <row r="326" spans="29:57" x14ac:dyDescent="0.15">
      <c r="AC326" s="107">
        <v>323</v>
      </c>
      <c r="AD326" s="107">
        <f>[1]节奏总纲!AD326</f>
        <v>83.390213013956213</v>
      </c>
      <c r="AE326" s="107">
        <f>[1]节奏总纲!AE326</f>
        <v>85.506238229908845</v>
      </c>
      <c r="AF326" s="107">
        <f>[1]节奏总纲!AF326</f>
        <v>88.512466699385826</v>
      </c>
      <c r="AG326" s="107">
        <f>[1]节奏总纲!AG326</f>
        <v>93.541711155709422</v>
      </c>
      <c r="AH326" s="107">
        <f>[1]节奏总纲!AH326</f>
        <v>102.42378251369445</v>
      </c>
      <c r="AZ326" s="107">
        <v>323</v>
      </c>
      <c r="BA326" s="107">
        <v>45.936193251167253</v>
      </c>
      <c r="BB326" s="107">
        <v>47.432059701543984</v>
      </c>
      <c r="BC326" s="107">
        <v>49.381549515738669</v>
      </c>
      <c r="BD326" s="107">
        <v>50</v>
      </c>
      <c r="BE326" s="107">
        <v>50</v>
      </c>
    </row>
    <row r="327" spans="29:57" x14ac:dyDescent="0.15">
      <c r="AC327" s="107">
        <v>324</v>
      </c>
      <c r="AD327" s="107">
        <f>[1]节奏总纲!AD327</f>
        <v>83.434419616384815</v>
      </c>
      <c r="AE327" s="107">
        <f>[1]节奏总纲!AE327</f>
        <v>85.551120646490844</v>
      </c>
      <c r="AF327" s="107">
        <f>[1]节奏总纲!AF327</f>
        <v>88.563237749596723</v>
      </c>
      <c r="AG327" s="107">
        <f>[1]节奏总纲!AG327</f>
        <v>93.588924201937246</v>
      </c>
      <c r="AH327" s="107">
        <f>[1]节奏总纲!AH327</f>
        <v>102.46868075243583</v>
      </c>
      <c r="AZ327" s="107">
        <v>324</v>
      </c>
      <c r="BA327" s="107">
        <v>45.958510134389357</v>
      </c>
      <c r="BB327" s="107">
        <v>47.452847239866877</v>
      </c>
      <c r="BC327" s="107">
        <v>49.402209294735208</v>
      </c>
      <c r="BD327" s="107">
        <v>50</v>
      </c>
      <c r="BE327" s="107">
        <v>50</v>
      </c>
    </row>
    <row r="328" spans="29:57" x14ac:dyDescent="0.15">
      <c r="AC328" s="107">
        <v>325</v>
      </c>
      <c r="AD328" s="107">
        <f>[1]节奏总纲!AD328</f>
        <v>83.478626218813432</v>
      </c>
      <c r="AE328" s="107">
        <f>[1]节奏总纲!AE328</f>
        <v>85.596003063072843</v>
      </c>
      <c r="AF328" s="107">
        <f>[1]节奏总纲!AF328</f>
        <v>88.614008799807635</v>
      </c>
      <c r="AG328" s="107">
        <f>[1]节奏总纲!AG328</f>
        <v>93.63613724816507</v>
      </c>
      <c r="AH328" s="107">
        <f>[1]节奏总纲!AH328</f>
        <v>102.51357899117721</v>
      </c>
      <c r="AZ328" s="107">
        <v>325</v>
      </c>
      <c r="BA328" s="107">
        <v>45.98082701761146</v>
      </c>
      <c r="BB328" s="107">
        <v>47.473634778189769</v>
      </c>
      <c r="BC328" s="107">
        <v>49.422869073731739</v>
      </c>
      <c r="BD328" s="107">
        <v>50</v>
      </c>
      <c r="BE328" s="107">
        <v>50</v>
      </c>
    </row>
    <row r="329" spans="29:57" x14ac:dyDescent="0.15">
      <c r="AC329" s="107">
        <v>326</v>
      </c>
      <c r="AD329" s="107">
        <f>[1]节奏总纲!AD329</f>
        <v>83.522832821242034</v>
      </c>
      <c r="AE329" s="107">
        <f>[1]节奏总纲!AE329</f>
        <v>85.640885479654855</v>
      </c>
      <c r="AF329" s="107">
        <f>[1]节奏总纲!AF329</f>
        <v>88.664779850018547</v>
      </c>
      <c r="AG329" s="107">
        <f>[1]节奏总纲!AG329</f>
        <v>93.683350294392895</v>
      </c>
      <c r="AH329" s="107">
        <f>[1]节奏总纲!AH329</f>
        <v>102.55847722991859</v>
      </c>
      <c r="AZ329" s="107">
        <v>326</v>
      </c>
      <c r="BA329" s="107">
        <v>46.002713830586146</v>
      </c>
      <c r="BB329" s="107">
        <v>47.494422316512662</v>
      </c>
      <c r="BC329" s="107">
        <v>49.443528852728278</v>
      </c>
      <c r="BD329" s="107">
        <v>50</v>
      </c>
      <c r="BE329" s="107">
        <v>50</v>
      </c>
    </row>
    <row r="330" spans="29:57" x14ac:dyDescent="0.15">
      <c r="AC330" s="107">
        <v>327</v>
      </c>
      <c r="AD330" s="107">
        <f>[1]节奏总纲!AD330</f>
        <v>83.56703942367065</v>
      </c>
      <c r="AE330" s="107">
        <f>[1]节奏总纲!AE330</f>
        <v>85.685767896236854</v>
      </c>
      <c r="AF330" s="107">
        <f>[1]节奏总纲!AF330</f>
        <v>88.715550900229445</v>
      </c>
      <c r="AG330" s="107">
        <f>[1]节奏总纲!AG330</f>
        <v>93.730563340620719</v>
      </c>
      <c r="AH330" s="107">
        <f>[1]节奏总纲!AH330</f>
        <v>102.60337546865996</v>
      </c>
      <c r="AZ330" s="107">
        <v>327</v>
      </c>
      <c r="BA330" s="107">
        <v>46.021977873404879</v>
      </c>
      <c r="BB330" s="107">
        <v>47.515209854835554</v>
      </c>
      <c r="BC330" s="107">
        <v>49.464188631724817</v>
      </c>
      <c r="BD330" s="107">
        <v>50</v>
      </c>
      <c r="BE330" s="107">
        <v>50</v>
      </c>
    </row>
    <row r="331" spans="29:57" x14ac:dyDescent="0.15">
      <c r="AC331" s="107">
        <v>328</v>
      </c>
      <c r="AD331" s="107">
        <f>[1]节奏总纲!AD331</f>
        <v>83.611246026099252</v>
      </c>
      <c r="AE331" s="107">
        <f>[1]节奏总纲!AE331</f>
        <v>85.730650312818852</v>
      </c>
      <c r="AF331" s="107">
        <f>[1]节奏总纲!AF331</f>
        <v>88.766321950440357</v>
      </c>
      <c r="AG331" s="107">
        <f>[1]节奏总纲!AG331</f>
        <v>93.777776386848544</v>
      </c>
      <c r="AH331" s="107">
        <f>[1]节奏总纲!AH331</f>
        <v>102.64827370740134</v>
      </c>
      <c r="AZ331" s="107">
        <v>328</v>
      </c>
      <c r="BA331" s="107">
        <v>46.041241916223605</v>
      </c>
      <c r="BB331" s="107">
        <v>47.535997393158453</v>
      </c>
      <c r="BC331" s="107">
        <v>49.484848410721355</v>
      </c>
      <c r="BD331" s="107">
        <v>50</v>
      </c>
      <c r="BE331" s="107">
        <v>50</v>
      </c>
    </row>
    <row r="332" spans="29:57" x14ac:dyDescent="0.15">
      <c r="AC332" s="107">
        <v>329</v>
      </c>
      <c r="AD332" s="107">
        <f>[1]节奏总纲!AD332</f>
        <v>83.655452628527868</v>
      </c>
      <c r="AE332" s="107">
        <f>[1]节奏总纲!AE332</f>
        <v>85.775532729400851</v>
      </c>
      <c r="AF332" s="107">
        <f>[1]节奏总纲!AF332</f>
        <v>88.817093000651269</v>
      </c>
      <c r="AG332" s="107">
        <f>[1]节奏总纲!AG332</f>
        <v>93.824989433076368</v>
      </c>
      <c r="AH332" s="107">
        <f>[1]节奏总纲!AH332</f>
        <v>102.69317194614273</v>
      </c>
      <c r="AZ332" s="107">
        <v>329</v>
      </c>
      <c r="BA332" s="107">
        <v>46.060505959042331</v>
      </c>
      <c r="BB332" s="107">
        <v>47.556784931481346</v>
      </c>
      <c r="BC332" s="107">
        <v>49.505508189717887</v>
      </c>
      <c r="BD332" s="107">
        <v>50</v>
      </c>
      <c r="BE332" s="107">
        <v>50</v>
      </c>
    </row>
    <row r="333" spans="29:57" x14ac:dyDescent="0.15">
      <c r="AC333" s="107">
        <v>330</v>
      </c>
      <c r="AD333" s="107">
        <f>[1]节奏总纲!AD333</f>
        <v>83.69965923095647</v>
      </c>
      <c r="AE333" s="107">
        <f>[1]节奏总纲!AE333</f>
        <v>85.820415145982849</v>
      </c>
      <c r="AF333" s="107">
        <f>[1]节奏总纲!AF333</f>
        <v>88.867864050862167</v>
      </c>
      <c r="AG333" s="107">
        <f>[1]节奏总纲!AG333</f>
        <v>93.872202479304192</v>
      </c>
      <c r="AH333" s="107">
        <f>[1]节奏总纲!AH333</f>
        <v>102.73807018488411</v>
      </c>
      <c r="AZ333" s="107">
        <v>330</v>
      </c>
      <c r="BA333" s="107">
        <v>46.079770001861057</v>
      </c>
      <c r="BB333" s="107">
        <v>47.577572469804238</v>
      </c>
      <c r="BC333" s="107">
        <v>49.526167968714425</v>
      </c>
      <c r="BD333" s="107">
        <v>50</v>
      </c>
      <c r="BE333" s="107">
        <v>50</v>
      </c>
    </row>
    <row r="334" spans="29:57" x14ac:dyDescent="0.15">
      <c r="AC334" s="107">
        <v>331</v>
      </c>
      <c r="AD334" s="107">
        <f>[1]节奏总纲!AD334</f>
        <v>83.743865833385087</v>
      </c>
      <c r="AE334" s="107">
        <f>[1]节奏总纲!AE334</f>
        <v>85.865297562564862</v>
      </c>
      <c r="AF334" s="107">
        <f>[1]节奏总纲!AF334</f>
        <v>88.918635101073079</v>
      </c>
      <c r="AG334" s="107">
        <f>[1]节奏总纲!AG334</f>
        <v>93.919415525532017</v>
      </c>
      <c r="AH334" s="107">
        <f>[1]节奏总纲!AH334</f>
        <v>102.78296842362549</v>
      </c>
      <c r="AZ334" s="107">
        <v>331</v>
      </c>
      <c r="BA334" s="107">
        <v>46.099034044679783</v>
      </c>
      <c r="BB334" s="107">
        <v>47.598360008127131</v>
      </c>
      <c r="BC334" s="107">
        <v>49.546827747710964</v>
      </c>
      <c r="BD334" s="107">
        <v>50</v>
      </c>
      <c r="BE334" s="107">
        <v>50</v>
      </c>
    </row>
    <row r="335" spans="29:57" x14ac:dyDescent="0.15">
      <c r="AC335" s="107">
        <v>332</v>
      </c>
      <c r="AD335" s="107">
        <f>[1]节奏总纲!AD335</f>
        <v>83.788072435813689</v>
      </c>
      <c r="AE335" s="107">
        <f>[1]节奏总纲!AE335</f>
        <v>85.910179979146861</v>
      </c>
      <c r="AF335" s="107">
        <f>[1]节奏总纲!AF335</f>
        <v>88.969406151283977</v>
      </c>
      <c r="AG335" s="107">
        <f>[1]节奏总纲!AG335</f>
        <v>93.966628571759841</v>
      </c>
      <c r="AH335" s="107">
        <f>[1]节奏总纲!AH335</f>
        <v>102.82786666236686</v>
      </c>
      <c r="AZ335" s="107">
        <v>332</v>
      </c>
      <c r="BA335" s="107">
        <v>46.118298087498509</v>
      </c>
      <c r="BB335" s="107">
        <v>47.619147546450023</v>
      </c>
      <c r="BC335" s="107">
        <v>49.567487526707502</v>
      </c>
      <c r="BD335" s="107">
        <v>50</v>
      </c>
      <c r="BE335" s="107">
        <v>50</v>
      </c>
    </row>
    <row r="336" spans="29:57" x14ac:dyDescent="0.15">
      <c r="AC336" s="107">
        <v>333</v>
      </c>
      <c r="AD336" s="107">
        <f>[1]节奏总纲!AD336</f>
        <v>83.832279038242305</v>
      </c>
      <c r="AE336" s="107">
        <f>[1]节奏总纲!AE336</f>
        <v>85.955062395728859</v>
      </c>
      <c r="AF336" s="107">
        <f>[1]节奏总纲!AF336</f>
        <v>89.018466905731287</v>
      </c>
      <c r="AG336" s="107">
        <f>[1]节奏总纲!AG336</f>
        <v>94.012923283729691</v>
      </c>
      <c r="AH336" s="107">
        <f>[1]节奏总纲!AH336</f>
        <v>102.87276490110824</v>
      </c>
      <c r="AZ336" s="107">
        <v>333</v>
      </c>
      <c r="BA336" s="107">
        <v>46.137562130317242</v>
      </c>
      <c r="BB336" s="107">
        <v>47.639935084772922</v>
      </c>
      <c r="BC336" s="107">
        <v>49.588147305704041</v>
      </c>
      <c r="BD336" s="107">
        <v>50</v>
      </c>
      <c r="BE336" s="107">
        <v>50</v>
      </c>
    </row>
    <row r="337" spans="29:57" x14ac:dyDescent="0.15">
      <c r="AC337" s="107">
        <v>334</v>
      </c>
      <c r="AD337" s="107">
        <f>[1]节奏总纲!AD337</f>
        <v>83.876485640670907</v>
      </c>
      <c r="AE337" s="107">
        <f>[1]节奏总纲!AE337</f>
        <v>85.999944812310858</v>
      </c>
      <c r="AF337" s="107">
        <f>[1]节奏总纲!AF337</f>
        <v>89.064934410075779</v>
      </c>
      <c r="AG337" s="107">
        <f>[1]节奏总纲!AG337</f>
        <v>94.057003939090123</v>
      </c>
      <c r="AH337" s="107">
        <f>[1]节奏总纲!AH337</f>
        <v>102.91766313984962</v>
      </c>
      <c r="AZ337" s="107">
        <v>334</v>
      </c>
      <c r="BA337" s="107">
        <v>46.156826173135968</v>
      </c>
      <c r="BB337" s="107">
        <v>47.660722623095815</v>
      </c>
      <c r="BC337" s="107">
        <v>49.608807084700572</v>
      </c>
      <c r="BD337" s="107">
        <v>50</v>
      </c>
      <c r="BE337" s="107">
        <v>50</v>
      </c>
    </row>
    <row r="338" spans="29:57" x14ac:dyDescent="0.15">
      <c r="AC338" s="107">
        <v>335</v>
      </c>
      <c r="AD338" s="107">
        <f>[1]节奏总纲!AD338</f>
        <v>83.920692243099523</v>
      </c>
      <c r="AE338" s="107">
        <f>[1]节奏总纲!AE338</f>
        <v>86.041129946887025</v>
      </c>
      <c r="AF338" s="107">
        <f>[1]节奏总纲!AF338</f>
        <v>89.11140191442027</v>
      </c>
      <c r="AG338" s="107">
        <f>[1]节奏总纲!AG338</f>
        <v>94.101084594450555</v>
      </c>
      <c r="AH338" s="107">
        <f>[1]节奏总纲!AH338</f>
        <v>102.962561378591</v>
      </c>
      <c r="AZ338" s="107">
        <v>335</v>
      </c>
      <c r="BA338" s="107">
        <v>46.176090215954694</v>
      </c>
      <c r="BB338" s="107">
        <v>47.681510161418707</v>
      </c>
      <c r="BC338" s="107">
        <v>49.629466863697111</v>
      </c>
      <c r="BD338" s="107">
        <v>50</v>
      </c>
      <c r="BE338" s="107">
        <v>50</v>
      </c>
    </row>
    <row r="339" spans="29:57" x14ac:dyDescent="0.15">
      <c r="AC339" s="107">
        <v>336</v>
      </c>
      <c r="AD339" s="107">
        <f>[1]节奏总纲!AD339</f>
        <v>83.964898845528126</v>
      </c>
      <c r="AE339" s="107">
        <f>[1]节奏总纲!AE339</f>
        <v>86.082310529666103</v>
      </c>
      <c r="AF339" s="107">
        <f>[1]节奏总纲!AF339</f>
        <v>89.157869418764761</v>
      </c>
      <c r="AG339" s="107">
        <f>[1]节奏总纲!AG339</f>
        <v>94.145165249810972</v>
      </c>
      <c r="AH339" s="107">
        <f>[1]节奏总纲!AH339</f>
        <v>103.00673656424885</v>
      </c>
      <c r="AZ339" s="107">
        <v>336</v>
      </c>
      <c r="BA339" s="107">
        <v>46.19535425877342</v>
      </c>
      <c r="BB339" s="107">
        <v>47.7022976997416</v>
      </c>
      <c r="BC339" s="107">
        <v>49.65012664269365</v>
      </c>
      <c r="BD339" s="107">
        <v>50</v>
      </c>
      <c r="BE339" s="107">
        <v>50</v>
      </c>
    </row>
    <row r="340" spans="29:57" x14ac:dyDescent="0.15">
      <c r="AC340" s="107">
        <v>337</v>
      </c>
      <c r="AD340" s="107">
        <f>[1]节奏总纲!AD340</f>
        <v>84.008495683346354</v>
      </c>
      <c r="AE340" s="107">
        <f>[1]节奏总纲!AE340</f>
        <v>86.12349111244518</v>
      </c>
      <c r="AF340" s="107">
        <f>[1]节奏总纲!AF340</f>
        <v>89.204336923109267</v>
      </c>
      <c r="AG340" s="107">
        <f>[1]节奏总纲!AG340</f>
        <v>94.189245905171404</v>
      </c>
      <c r="AH340" s="107">
        <f>[1]节奏总纲!AH340</f>
        <v>103.04728286259964</v>
      </c>
      <c r="AZ340" s="107">
        <v>337</v>
      </c>
      <c r="BA340" s="107">
        <v>46.214618301592147</v>
      </c>
      <c r="BB340" s="107">
        <v>47.723085238064499</v>
      </c>
      <c r="BC340" s="107">
        <v>49.670786421690188</v>
      </c>
      <c r="BD340" s="107">
        <v>50</v>
      </c>
      <c r="BE340" s="107">
        <v>50</v>
      </c>
    </row>
    <row r="341" spans="29:57" x14ac:dyDescent="0.15">
      <c r="AC341" s="107">
        <v>338</v>
      </c>
      <c r="AD341" s="107">
        <f>[1]节奏总纲!AD341</f>
        <v>84.049741901856009</v>
      </c>
      <c r="AE341" s="107">
        <f>[1]节奏总纲!AE341</f>
        <v>86.164671695224243</v>
      </c>
      <c r="AF341" s="107">
        <f>[1]节奏总纲!AF341</f>
        <v>89.250804427453758</v>
      </c>
      <c r="AG341" s="107">
        <f>[1]节奏总纲!AG341</f>
        <v>94.233326560531836</v>
      </c>
      <c r="AH341" s="107">
        <f>[1]节奏总纲!AH341</f>
        <v>103.08782916095045</v>
      </c>
      <c r="AZ341" s="107">
        <v>338</v>
      </c>
      <c r="BA341" s="107">
        <v>46.23388234441088</v>
      </c>
      <c r="BB341" s="107">
        <v>47.743872776387391</v>
      </c>
      <c r="BC341" s="107">
        <v>49.69144620068672</v>
      </c>
      <c r="BD341" s="107">
        <v>50</v>
      </c>
      <c r="BE341" s="107">
        <v>50</v>
      </c>
    </row>
    <row r="342" spans="29:57" x14ac:dyDescent="0.15">
      <c r="AC342" s="107">
        <v>339</v>
      </c>
      <c r="AD342" s="107">
        <f>[1]节奏总纲!AD342</f>
        <v>84.090988120365651</v>
      </c>
      <c r="AE342" s="107">
        <f>[1]节奏总纲!AE342</f>
        <v>86.20585227800332</v>
      </c>
      <c r="AF342" s="107">
        <f>[1]节奏总纲!AF342</f>
        <v>89.29727193179825</v>
      </c>
      <c r="AG342" s="107">
        <f>[1]节奏总纲!AG342</f>
        <v>94.277407215892268</v>
      </c>
      <c r="AH342" s="107">
        <f>[1]节奏总纲!AH342</f>
        <v>103.12837545930124</v>
      </c>
      <c r="AZ342" s="107">
        <v>339</v>
      </c>
      <c r="BA342" s="107">
        <v>46.253146387229606</v>
      </c>
      <c r="BB342" s="107">
        <v>47.764660314710284</v>
      </c>
      <c r="BC342" s="107">
        <v>49.712105979683258</v>
      </c>
      <c r="BD342" s="107">
        <v>50</v>
      </c>
      <c r="BE342" s="107">
        <v>50</v>
      </c>
    </row>
    <row r="343" spans="29:57" x14ac:dyDescent="0.15">
      <c r="AC343" s="107">
        <v>340</v>
      </c>
      <c r="AD343" s="107">
        <f>[1]节奏总纲!AD343</f>
        <v>84.132234338875293</v>
      </c>
      <c r="AE343" s="107">
        <f>[1]节奏总纲!AE343</f>
        <v>86.247032860782397</v>
      </c>
      <c r="AF343" s="107">
        <f>[1]节奏总纲!AF343</f>
        <v>89.343739436142741</v>
      </c>
      <c r="AG343" s="107">
        <f>[1]节奏总纲!AG343</f>
        <v>94.3214878712527</v>
      </c>
      <c r="AH343" s="107">
        <f>[1]节奏总纲!AH343</f>
        <v>103.16892175765203</v>
      </c>
      <c r="AZ343" s="107">
        <v>340</v>
      </c>
      <c r="BA343" s="107">
        <v>46.272410430048332</v>
      </c>
      <c r="BB343" s="107">
        <v>47.785447853033176</v>
      </c>
      <c r="BC343" s="107">
        <v>49.732765758679797</v>
      </c>
      <c r="BD343" s="107">
        <v>50</v>
      </c>
      <c r="BE343" s="107">
        <v>50</v>
      </c>
    </row>
    <row r="344" spans="29:57" x14ac:dyDescent="0.15">
      <c r="AC344" s="107">
        <v>341</v>
      </c>
      <c r="AD344" s="107">
        <f>[1]节奏总纲!AD344</f>
        <v>84.173480557384934</v>
      </c>
      <c r="AE344" s="107">
        <f>[1]节奏总纲!AE344</f>
        <v>86.288213443561474</v>
      </c>
      <c r="AF344" s="107">
        <f>[1]节奏总纲!AF344</f>
        <v>89.390206940487232</v>
      </c>
      <c r="AG344" s="107">
        <f>[1]节奏总纲!AG344</f>
        <v>94.365568526613131</v>
      </c>
      <c r="AH344" s="107">
        <f>[1]节奏总纲!AH344</f>
        <v>103.20946805600283</v>
      </c>
      <c r="AZ344" s="107">
        <v>341</v>
      </c>
      <c r="BA344" s="107">
        <v>46.291674472867058</v>
      </c>
      <c r="BB344" s="107">
        <v>47.806235391356068</v>
      </c>
      <c r="BC344" s="107">
        <v>49.753425537676335</v>
      </c>
      <c r="BD344" s="107">
        <v>50</v>
      </c>
      <c r="BE344" s="107">
        <v>50</v>
      </c>
    </row>
    <row r="345" spans="29:57" x14ac:dyDescent="0.15">
      <c r="AC345" s="107">
        <v>342</v>
      </c>
      <c r="AD345" s="107">
        <f>[1]节奏总纲!AD345</f>
        <v>84.214726775894576</v>
      </c>
      <c r="AE345" s="107">
        <f>[1]节奏总纲!AE345</f>
        <v>86.329394026340537</v>
      </c>
      <c r="AF345" s="107">
        <f>[1]节奏总纲!AF345</f>
        <v>89.436674444831723</v>
      </c>
      <c r="AG345" s="107">
        <f>[1]节奏总纲!AG345</f>
        <v>94.409649181973549</v>
      </c>
      <c r="AH345" s="107">
        <f>[1]节奏总纲!AH345</f>
        <v>103.25001435435362</v>
      </c>
      <c r="AZ345" s="107">
        <v>342</v>
      </c>
      <c r="BA345" s="107">
        <v>46.310938515685784</v>
      </c>
      <c r="BB345" s="107">
        <v>47.827022929678968</v>
      </c>
      <c r="BC345" s="107">
        <v>49.774085316672867</v>
      </c>
      <c r="BD345" s="107">
        <v>50</v>
      </c>
      <c r="BE345" s="107">
        <v>50</v>
      </c>
    </row>
    <row r="346" spans="29:57" x14ac:dyDescent="0.15">
      <c r="AC346" s="107">
        <v>343</v>
      </c>
      <c r="AD346" s="107">
        <f>[1]节奏总纲!AD346</f>
        <v>84.255972994404218</v>
      </c>
      <c r="AE346" s="107">
        <f>[1]节奏总纲!AE346</f>
        <v>86.370574609119615</v>
      </c>
      <c r="AF346" s="107">
        <f>[1]节奏总纲!AF346</f>
        <v>89.483141949176215</v>
      </c>
      <c r="AG346" s="107">
        <f>[1]节奏总纲!AG346</f>
        <v>94.453729837333981</v>
      </c>
      <c r="AH346" s="107">
        <f>[1]节奏总纲!AH346</f>
        <v>103.29056065270443</v>
      </c>
      <c r="AZ346" s="107">
        <v>343</v>
      </c>
      <c r="BA346" s="107">
        <v>46.330202558504517</v>
      </c>
      <c r="BB346" s="107">
        <v>47.84781046800186</v>
      </c>
      <c r="BC346" s="107">
        <v>49.794745095669406</v>
      </c>
      <c r="BD346" s="107">
        <v>50</v>
      </c>
      <c r="BE346" s="107">
        <v>50</v>
      </c>
    </row>
    <row r="347" spans="29:57" x14ac:dyDescent="0.15">
      <c r="AC347" s="107">
        <v>344</v>
      </c>
      <c r="AD347" s="107">
        <f>[1]节奏总纲!AD347</f>
        <v>84.297219212913859</v>
      </c>
      <c r="AE347" s="107">
        <f>[1]节奏总纲!AE347</f>
        <v>86.411755191898692</v>
      </c>
      <c r="AF347" s="107">
        <f>[1]节奏总纲!AF347</f>
        <v>89.529609453520706</v>
      </c>
      <c r="AG347" s="107">
        <f>[1]节奏总纲!AG347</f>
        <v>94.497810492694413</v>
      </c>
      <c r="AH347" s="107">
        <f>[1]节奏总纲!AH347</f>
        <v>103.33110695105522</v>
      </c>
      <c r="AZ347" s="107">
        <v>344</v>
      </c>
      <c r="BA347" s="107">
        <v>46.349466601323243</v>
      </c>
      <c r="BB347" s="107">
        <v>47.868598006324753</v>
      </c>
      <c r="BC347" s="107">
        <v>49.815404874665944</v>
      </c>
      <c r="BD347" s="107">
        <v>50</v>
      </c>
      <c r="BE347" s="107">
        <v>50</v>
      </c>
    </row>
    <row r="348" spans="29:57" x14ac:dyDescent="0.15">
      <c r="AC348" s="107">
        <v>345</v>
      </c>
      <c r="AD348" s="107">
        <f>[1]节奏总纲!AD348</f>
        <v>84.338465431423501</v>
      </c>
      <c r="AE348" s="107">
        <f>[1]节奏总纲!AE348</f>
        <v>86.452935774677769</v>
      </c>
      <c r="AF348" s="107">
        <f>[1]节奏总纲!AF348</f>
        <v>89.576076957865197</v>
      </c>
      <c r="AG348" s="107">
        <f>[1]节奏总纲!AG348</f>
        <v>94.541891148054845</v>
      </c>
      <c r="AH348" s="107">
        <f>[1]节奏总纲!AH348</f>
        <v>103.37165324940601</v>
      </c>
      <c r="AZ348" s="107">
        <v>345</v>
      </c>
      <c r="BA348" s="107">
        <v>46.368730644141969</v>
      </c>
      <c r="BB348" s="107">
        <v>47.889385544647645</v>
      </c>
      <c r="BC348" s="107">
        <v>49.836064653662483</v>
      </c>
      <c r="BD348" s="107">
        <v>50</v>
      </c>
      <c r="BE348" s="107">
        <v>50</v>
      </c>
    </row>
    <row r="349" spans="29:57" x14ac:dyDescent="0.15">
      <c r="AC349" s="107">
        <v>346</v>
      </c>
      <c r="AD349" s="107">
        <f>[1]节奏总纲!AD349</f>
        <v>84.379711649933142</v>
      </c>
      <c r="AE349" s="107">
        <f>[1]节奏总纲!AE349</f>
        <v>86.494116357456846</v>
      </c>
      <c r="AF349" s="107">
        <f>[1]节奏总纲!AF349</f>
        <v>89.622544462209689</v>
      </c>
      <c r="AG349" s="107">
        <f>[1]节奏总纲!AG349</f>
        <v>94.585971803415276</v>
      </c>
      <c r="AH349" s="107">
        <f>[1]节奏总纲!AH349</f>
        <v>103.41219954775681</v>
      </c>
      <c r="AZ349" s="107">
        <v>346</v>
      </c>
      <c r="BA349" s="107">
        <v>46.387994686960695</v>
      </c>
      <c r="BB349" s="107">
        <v>47.910173082970537</v>
      </c>
      <c r="BC349" s="107">
        <v>49.856724432659014</v>
      </c>
      <c r="BD349" s="107">
        <v>50</v>
      </c>
      <c r="BE349" s="107">
        <v>50</v>
      </c>
    </row>
    <row r="350" spans="29:57" x14ac:dyDescent="0.15">
      <c r="AC350" s="107">
        <v>347</v>
      </c>
      <c r="AD350" s="107">
        <f>[1]节奏总纲!AD350</f>
        <v>84.420957868442784</v>
      </c>
      <c r="AE350" s="107">
        <f>[1]节奏总纲!AE350</f>
        <v>86.535296940235909</v>
      </c>
      <c r="AF350" s="107">
        <f>[1]节奏总纲!AF350</f>
        <v>89.66901196655418</v>
      </c>
      <c r="AG350" s="107">
        <f>[1]节奏总纲!AG350</f>
        <v>94.630052458775694</v>
      </c>
      <c r="AH350" s="107">
        <f>[1]节奏总纲!AH350</f>
        <v>103.4527458461076</v>
      </c>
      <c r="AZ350" s="107">
        <v>347</v>
      </c>
      <c r="BA350" s="107">
        <v>46.407258729779421</v>
      </c>
      <c r="BB350" s="107">
        <v>47.930960621293437</v>
      </c>
      <c r="BC350" s="107">
        <v>49.877384211655553</v>
      </c>
      <c r="BD350" s="107">
        <v>50</v>
      </c>
      <c r="BE350" s="107">
        <v>50</v>
      </c>
    </row>
    <row r="351" spans="29:57" x14ac:dyDescent="0.15">
      <c r="AC351" s="107">
        <v>348</v>
      </c>
      <c r="AD351" s="107">
        <f>[1]节奏总纲!AD351</f>
        <v>84.462204086952426</v>
      </c>
      <c r="AE351" s="107">
        <f>[1]节奏总纲!AE351</f>
        <v>86.576477523014987</v>
      </c>
      <c r="AF351" s="107">
        <f>[1]节奏总纲!AF351</f>
        <v>89.715479470898671</v>
      </c>
      <c r="AG351" s="107">
        <f>[1]节奏总纲!AG351</f>
        <v>94.674133114136126</v>
      </c>
      <c r="AH351" s="107">
        <f>[1]节奏总纲!AH351</f>
        <v>103.49329214445841</v>
      </c>
      <c r="AZ351" s="107">
        <v>348</v>
      </c>
      <c r="BA351" s="107">
        <v>46.426522772598148</v>
      </c>
      <c r="BB351" s="107">
        <v>47.951748159616329</v>
      </c>
      <c r="BC351" s="107">
        <v>49.898043990652091</v>
      </c>
      <c r="BD351" s="107">
        <v>50</v>
      </c>
      <c r="BE351" s="107">
        <v>50</v>
      </c>
    </row>
    <row r="352" spans="29:57" x14ac:dyDescent="0.15">
      <c r="AC352" s="107">
        <v>349</v>
      </c>
      <c r="AD352" s="107">
        <f>[1]节奏总纲!AD352</f>
        <v>84.503450305462081</v>
      </c>
      <c r="AE352" s="107">
        <f>[1]节奏总纲!AE352</f>
        <v>86.617658105794064</v>
      </c>
      <c r="AF352" s="107">
        <f>[1]节奏总纲!AF352</f>
        <v>89.761946975243163</v>
      </c>
      <c r="AG352" s="107">
        <f>[1]节奏总纲!AG352</f>
        <v>94.718213769496558</v>
      </c>
      <c r="AH352" s="107">
        <f>[1]节奏总纲!AH352</f>
        <v>103.5338384428092</v>
      </c>
      <c r="AZ352" s="107">
        <v>349</v>
      </c>
      <c r="BA352" s="107">
        <v>46.445786815416881</v>
      </c>
      <c r="BB352" s="107">
        <v>47.972535697939222</v>
      </c>
      <c r="BC352" s="107">
        <v>49.91870376964863</v>
      </c>
      <c r="BD352" s="107">
        <v>50</v>
      </c>
      <c r="BE352" s="107">
        <v>50</v>
      </c>
    </row>
    <row r="353" spans="29:57" x14ac:dyDescent="0.15">
      <c r="AC353" s="107">
        <v>350</v>
      </c>
      <c r="AD353" s="107">
        <f>[1]节奏总纲!AD353</f>
        <v>84.544696523971723</v>
      </c>
      <c r="AE353" s="107">
        <f>[1]节奏总纲!AE353</f>
        <v>86.658838688573141</v>
      </c>
      <c r="AF353" s="107">
        <f>[1]节奏总纲!AF353</f>
        <v>89.808414479587654</v>
      </c>
      <c r="AG353" s="107">
        <f>[1]节奏总纲!AG353</f>
        <v>94.762294424856989</v>
      </c>
      <c r="AH353" s="107">
        <f>[1]节奏总纲!AH353</f>
        <v>103.57438474115999</v>
      </c>
      <c r="AZ353" s="107">
        <v>350</v>
      </c>
      <c r="BA353" s="107">
        <v>46.465050858235607</v>
      </c>
      <c r="BB353" s="107">
        <v>47.993323236262114</v>
      </c>
      <c r="BC353" s="107">
        <v>49.939363548645169</v>
      </c>
      <c r="BD353" s="107">
        <v>50</v>
      </c>
      <c r="BE353" s="107">
        <v>50</v>
      </c>
    </row>
    <row r="354" spans="29:57" x14ac:dyDescent="0.15">
      <c r="AC354" s="107">
        <v>351</v>
      </c>
      <c r="AD354" s="107">
        <f>[1]节奏总纲!AD354</f>
        <v>84.585942742481365</v>
      </c>
      <c r="AE354" s="107">
        <f>[1]节奏总纲!AE354</f>
        <v>86.700019271352204</v>
      </c>
      <c r="AF354" s="107">
        <f>[1]节奏总纲!AF354</f>
        <v>89.854881983932145</v>
      </c>
      <c r="AG354" s="107">
        <f>[1]节奏总纲!AG354</f>
        <v>94.806375080217421</v>
      </c>
      <c r="AH354" s="107">
        <f>[1]节奏总纲!AH354</f>
        <v>103.61493103951079</v>
      </c>
      <c r="AZ354" s="107">
        <v>351</v>
      </c>
      <c r="BA354" s="107">
        <v>46.484314901054333</v>
      </c>
      <c r="BB354" s="107">
        <v>48.012182251254622</v>
      </c>
      <c r="BC354" s="107">
        <v>49.9600233276417</v>
      </c>
      <c r="BD354" s="107">
        <v>50</v>
      </c>
      <c r="BE354" s="107">
        <v>50</v>
      </c>
    </row>
    <row r="355" spans="29:57" x14ac:dyDescent="0.15">
      <c r="AC355" s="107">
        <v>352</v>
      </c>
      <c r="AD355" s="107">
        <f>[1]节奏总纲!AD355</f>
        <v>84.627188960991006</v>
      </c>
      <c r="AE355" s="107">
        <f>[1]节奏总纲!AE355</f>
        <v>86.741199854131281</v>
      </c>
      <c r="AF355" s="107">
        <f>[1]节奏总纲!AF355</f>
        <v>89.901349488276637</v>
      </c>
      <c r="AG355" s="107">
        <f>[1]节奏总纲!AG355</f>
        <v>94.850455735577853</v>
      </c>
      <c r="AH355" s="107">
        <f>[1]节奏总纲!AH355</f>
        <v>103.65547733786158</v>
      </c>
      <c r="AZ355" s="107">
        <v>352</v>
      </c>
      <c r="BA355" s="107">
        <v>46.503578943873059</v>
      </c>
      <c r="BB355" s="107">
        <v>48.030128751164234</v>
      </c>
      <c r="BC355" s="107">
        <v>49.980683106638239</v>
      </c>
      <c r="BD355" s="107">
        <v>50</v>
      </c>
      <c r="BE355" s="107">
        <v>50</v>
      </c>
    </row>
    <row r="356" spans="29:57" x14ac:dyDescent="0.15">
      <c r="AC356" s="107">
        <v>353</v>
      </c>
      <c r="AD356" s="107">
        <f>[1]节奏总纲!AD356</f>
        <v>84.668435179500648</v>
      </c>
      <c r="AE356" s="107">
        <f>[1]节奏总纲!AE356</f>
        <v>86.782380436910358</v>
      </c>
      <c r="AF356" s="107">
        <f>[1]节奏总纲!AF356</f>
        <v>89.947816992621142</v>
      </c>
      <c r="AG356" s="107">
        <f>[1]节奏总纲!AG356</f>
        <v>94.894536390938271</v>
      </c>
      <c r="AH356" s="107">
        <f>[1]节奏总纲!AH356</f>
        <v>103.69602363621237</v>
      </c>
      <c r="AZ356" s="107">
        <v>353</v>
      </c>
      <c r="BA356" s="107">
        <v>46.522842986691785</v>
      </c>
      <c r="BB356" s="107">
        <v>48.048075251073854</v>
      </c>
      <c r="BC356" s="107">
        <v>50</v>
      </c>
      <c r="BD356" s="107">
        <v>50</v>
      </c>
      <c r="BE356" s="107">
        <v>50</v>
      </c>
    </row>
    <row r="357" spans="29:57" x14ac:dyDescent="0.15">
      <c r="AC357" s="107">
        <v>354</v>
      </c>
      <c r="AD357" s="107">
        <f>[1]节奏总纲!AD357</f>
        <v>84.709681398010289</v>
      </c>
      <c r="AE357" s="107">
        <f>[1]节奏总纲!AE357</f>
        <v>86.823561019689436</v>
      </c>
      <c r="AF357" s="107">
        <f>[1]节奏总纲!AF357</f>
        <v>89.994284496965633</v>
      </c>
      <c r="AG357" s="107">
        <f>[1]节奏总纲!AG357</f>
        <v>94.938617046298702</v>
      </c>
      <c r="AH357" s="107">
        <f>[1]节奏总纲!AH357</f>
        <v>103.73656993456318</v>
      </c>
      <c r="AZ357" s="107">
        <v>354</v>
      </c>
      <c r="BA357" s="107">
        <v>46.542107029510518</v>
      </c>
      <c r="BB357" s="107">
        <v>48.066021750983474</v>
      </c>
      <c r="BC357" s="107">
        <v>50</v>
      </c>
      <c r="BD357" s="107">
        <v>50</v>
      </c>
      <c r="BE357" s="107">
        <v>50</v>
      </c>
    </row>
    <row r="358" spans="29:57" x14ac:dyDescent="0.15">
      <c r="AC358" s="107">
        <v>355</v>
      </c>
      <c r="AD358" s="107">
        <f>[1]节奏总纲!AD358</f>
        <v>84.750927616519931</v>
      </c>
      <c r="AE358" s="107">
        <f>[1]节奏总纲!AE358</f>
        <v>86.864741602468499</v>
      </c>
      <c r="AF358" s="107">
        <f>[1]节奏总纲!AF358</f>
        <v>90.036066635925749</v>
      </c>
      <c r="AG358" s="107">
        <f>[1]节奏总纲!AG358</f>
        <v>94.982697701659134</v>
      </c>
      <c r="AH358" s="107">
        <f>[1]节奏总纲!AH358</f>
        <v>103.77711623291397</v>
      </c>
      <c r="AZ358" s="107">
        <v>355</v>
      </c>
      <c r="BA358" s="107">
        <v>46.561371072329244</v>
      </c>
      <c r="BB358" s="107">
        <v>48.083968250893093</v>
      </c>
      <c r="BC358" s="107">
        <v>50</v>
      </c>
      <c r="BD358" s="107">
        <v>50</v>
      </c>
      <c r="BE358" s="107">
        <v>50</v>
      </c>
    </row>
    <row r="359" spans="29:57" x14ac:dyDescent="0.15">
      <c r="AC359" s="107">
        <v>356</v>
      </c>
      <c r="AD359" s="107">
        <f>[1]节奏总纲!AD359</f>
        <v>84.792173835029573</v>
      </c>
      <c r="AE359" s="107">
        <f>[1]节奏总纲!AE359</f>
        <v>86.905922185247576</v>
      </c>
      <c r="AF359" s="107">
        <f>[1]节奏总纲!AF359</f>
        <v>90.077191648383845</v>
      </c>
      <c r="AG359" s="107">
        <f>[1]节奏总纲!AG359</f>
        <v>95.024001308619916</v>
      </c>
      <c r="AH359" s="107">
        <f>[1]节奏总纲!AH359</f>
        <v>103.81766253126477</v>
      </c>
      <c r="AZ359" s="107">
        <v>356</v>
      </c>
      <c r="BA359" s="107">
        <v>46.58063511514797</v>
      </c>
      <c r="BB359" s="107">
        <v>48.101914750802706</v>
      </c>
      <c r="BC359" s="107">
        <v>50</v>
      </c>
      <c r="BD359" s="107">
        <v>50</v>
      </c>
      <c r="BE359" s="107">
        <v>50</v>
      </c>
    </row>
    <row r="360" spans="29:57" x14ac:dyDescent="0.15">
      <c r="AC360" s="107">
        <v>357</v>
      </c>
      <c r="AD360" s="107">
        <f>[1]节奏总纲!AD360</f>
        <v>84.833420053539214</v>
      </c>
      <c r="AE360" s="107">
        <f>[1]节奏总纲!AE360</f>
        <v>86.947102768026653</v>
      </c>
      <c r="AF360" s="107">
        <f>[1]节奏总纲!AF360</f>
        <v>90.118316660841927</v>
      </c>
      <c r="AG360" s="107">
        <f>[1]节奏总纲!AG360</f>
        <v>95.063510581451752</v>
      </c>
      <c r="AH360" s="107">
        <f>[1]节奏总纲!AH360</f>
        <v>103.85820882961556</v>
      </c>
      <c r="AZ360" s="107">
        <v>357</v>
      </c>
      <c r="BA360" s="107">
        <v>46.599899157966696</v>
      </c>
      <c r="BB360" s="107">
        <v>48.119861250712326</v>
      </c>
      <c r="BC360" s="107">
        <v>50</v>
      </c>
      <c r="BD360" s="107">
        <v>50</v>
      </c>
      <c r="BE360" s="107">
        <v>50</v>
      </c>
    </row>
    <row r="361" spans="29:57" x14ac:dyDescent="0.15">
      <c r="AC361" s="107">
        <v>358</v>
      </c>
      <c r="AD361" s="107">
        <f>[1]节奏总纲!AD361</f>
        <v>84.874666272048856</v>
      </c>
      <c r="AE361" s="107">
        <f>[1]节奏总纲!AE361</f>
        <v>86.98828335080573</v>
      </c>
      <c r="AF361" s="107">
        <f>[1]节奏总纲!AF361</f>
        <v>90.159441673300023</v>
      </c>
      <c r="AG361" s="107">
        <f>[1]节奏总纲!AG361</f>
        <v>95.103019854283588</v>
      </c>
      <c r="AH361" s="107">
        <f>[1]节奏总纲!AH361</f>
        <v>103.89875512796635</v>
      </c>
      <c r="AZ361" s="107">
        <v>358</v>
      </c>
      <c r="BA361" s="107">
        <v>46.619163200785422</v>
      </c>
      <c r="BB361" s="107">
        <v>48.137807750621946</v>
      </c>
      <c r="BC361" s="107">
        <v>50</v>
      </c>
      <c r="BD361" s="107">
        <v>50</v>
      </c>
      <c r="BE361" s="107">
        <v>50</v>
      </c>
    </row>
    <row r="362" spans="29:57" x14ac:dyDescent="0.15">
      <c r="AC362" s="107">
        <v>359</v>
      </c>
      <c r="AD362" s="107">
        <f>[1]节奏总纲!AD362</f>
        <v>84.915912490558497</v>
      </c>
      <c r="AE362" s="107">
        <f>[1]节奏总纲!AE362</f>
        <v>87.027010646912942</v>
      </c>
      <c r="AF362" s="107">
        <f>[1]节奏总纲!AF362</f>
        <v>90.200566685758119</v>
      </c>
      <c r="AG362" s="107">
        <f>[1]节奏总纲!AG362</f>
        <v>95.142529127115409</v>
      </c>
      <c r="AH362" s="107">
        <f>[1]节奏总纲!AH362</f>
        <v>103.93930142631716</v>
      </c>
      <c r="AZ362" s="107">
        <v>359</v>
      </c>
      <c r="BA362" s="107">
        <v>46.638427243604156</v>
      </c>
      <c r="BB362" s="107">
        <v>48.155754250531558</v>
      </c>
      <c r="BC362" s="107">
        <v>50</v>
      </c>
      <c r="BD362" s="107">
        <v>50</v>
      </c>
      <c r="BE362" s="107">
        <v>50</v>
      </c>
    </row>
    <row r="363" spans="29:57" x14ac:dyDescent="0.15">
      <c r="AC363" s="107">
        <v>360</v>
      </c>
      <c r="AD363" s="107">
        <f>[1]节奏总纲!AD363</f>
        <v>84.957158709068153</v>
      </c>
      <c r="AE363" s="107">
        <f>[1]节奏总纲!AE363</f>
        <v>87.064762367263285</v>
      </c>
      <c r="AF363" s="107">
        <f>[1]节奏总纲!AF363</f>
        <v>90.241691698216215</v>
      </c>
      <c r="AG363" s="107">
        <f>[1]节奏总纲!AG363</f>
        <v>95.182038399947245</v>
      </c>
      <c r="AH363" s="107">
        <f>[1]节奏总纲!AH363</f>
        <v>103.97984772466795</v>
      </c>
      <c r="AZ363" s="107">
        <v>360</v>
      </c>
      <c r="BA363" s="107">
        <v>46.657691286422882</v>
      </c>
      <c r="BB363" s="107">
        <v>48.173700750441178</v>
      </c>
      <c r="BC363" s="107">
        <v>50</v>
      </c>
      <c r="BD363" s="107">
        <v>50</v>
      </c>
      <c r="BE363" s="107">
        <v>50</v>
      </c>
    </row>
  </sheetData>
  <mergeCells count="13">
    <mergeCell ref="AD2:AH2"/>
    <mergeCell ref="AM2:AQ2"/>
    <mergeCell ref="AT2:AX2"/>
    <mergeCell ref="BA2:BE2"/>
    <mergeCell ref="B6:D6"/>
    <mergeCell ref="K1:K2"/>
    <mergeCell ref="P2:T2"/>
    <mergeCell ref="W2:AA2"/>
    <mergeCell ref="B22:D22"/>
    <mergeCell ref="F1:F2"/>
    <mergeCell ref="G1:G2"/>
    <mergeCell ref="I1:I2"/>
    <mergeCell ref="J1:J2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3:BM85"/>
  <sheetViews>
    <sheetView workbookViewId="0">
      <selection activeCell="D38" sqref="D38"/>
    </sheetView>
  </sheetViews>
  <sheetFormatPr defaultColWidth="9" defaultRowHeight="11.25" x14ac:dyDescent="0.15"/>
  <cols>
    <col min="1" max="1" width="9" style="56"/>
    <col min="2" max="3" width="6.625" style="57" customWidth="1"/>
    <col min="4" max="13" width="15.625" style="57" customWidth="1"/>
    <col min="14" max="14" width="6.625" style="55" customWidth="1"/>
    <col min="15" max="15" width="4.625" style="55" customWidth="1"/>
    <col min="16" max="68" width="4.625" style="56" customWidth="1"/>
    <col min="69" max="16384" width="9" style="56"/>
  </cols>
  <sheetData>
    <row r="3" spans="2:13" s="56" customFormat="1" x14ac:dyDescent="0.15">
      <c r="B3" s="55" t="s">
        <v>242</v>
      </c>
      <c r="C3" s="55"/>
      <c r="D3" s="55"/>
      <c r="E3" s="55"/>
      <c r="F3" s="55"/>
      <c r="H3" s="57"/>
      <c r="L3" s="57"/>
      <c r="M3" s="57"/>
    </row>
    <row r="4" spans="2:13" s="56" customFormat="1" x14ac:dyDescent="0.15">
      <c r="B4" s="58" t="s">
        <v>243</v>
      </c>
      <c r="C4" s="58" t="s">
        <v>244</v>
      </c>
      <c r="D4" s="58" t="s">
        <v>245</v>
      </c>
      <c r="E4" s="58" t="s">
        <v>246</v>
      </c>
      <c r="F4" s="58" t="s">
        <v>247</v>
      </c>
      <c r="G4" s="58" t="s">
        <v>248</v>
      </c>
      <c r="H4" s="58" t="s">
        <v>249</v>
      </c>
      <c r="I4" s="59" t="s">
        <v>296</v>
      </c>
      <c r="J4" s="59" t="s">
        <v>250</v>
      </c>
      <c r="K4" s="59" t="s">
        <v>251</v>
      </c>
      <c r="L4" s="57"/>
      <c r="M4" s="57"/>
    </row>
    <row r="5" spans="2:13" s="56" customFormat="1" x14ac:dyDescent="0.15">
      <c r="B5" s="55" t="s">
        <v>252</v>
      </c>
      <c r="C5" s="55"/>
      <c r="D5" s="55"/>
      <c r="E5" s="55"/>
      <c r="F5" s="55"/>
      <c r="G5" s="55"/>
      <c r="H5" s="55"/>
      <c r="L5" s="57"/>
      <c r="M5" s="57"/>
    </row>
    <row r="6" spans="2:13" s="56" customFormat="1" ht="22.5" x14ac:dyDescent="0.15">
      <c r="B6" s="58" t="s">
        <v>253</v>
      </c>
      <c r="C6" s="58" t="s">
        <v>254</v>
      </c>
      <c r="D6" s="58" t="s">
        <v>255</v>
      </c>
      <c r="E6" s="58" t="s">
        <v>256</v>
      </c>
      <c r="F6" s="58" t="s">
        <v>257</v>
      </c>
      <c r="G6" s="58" t="s">
        <v>258</v>
      </c>
      <c r="H6" s="58" t="s">
        <v>259</v>
      </c>
      <c r="I6" s="58" t="s">
        <v>260</v>
      </c>
      <c r="J6" s="58" t="s">
        <v>261</v>
      </c>
      <c r="L6" s="57"/>
      <c r="M6" s="57"/>
    </row>
    <row r="11" spans="2:13" s="56" customFormat="1" x14ac:dyDescent="0.15">
      <c r="B11" s="55"/>
      <c r="C11" s="55"/>
      <c r="D11" s="174" t="s">
        <v>262</v>
      </c>
      <c r="E11" s="175"/>
      <c r="F11" s="176" t="s">
        <v>141</v>
      </c>
      <c r="G11" s="177"/>
      <c r="H11" s="178" t="s">
        <v>142</v>
      </c>
      <c r="I11" s="179"/>
      <c r="J11" s="180" t="s">
        <v>143</v>
      </c>
      <c r="K11" s="181"/>
      <c r="L11" s="182" t="s">
        <v>144</v>
      </c>
      <c r="M11" s="182"/>
    </row>
    <row r="12" spans="2:13" s="56" customFormat="1" x14ac:dyDescent="0.15">
      <c r="B12" s="60" t="s">
        <v>263</v>
      </c>
      <c r="C12" s="61" t="s">
        <v>264</v>
      </c>
      <c r="D12" s="59" t="s">
        <v>265</v>
      </c>
      <c r="E12" s="59" t="s">
        <v>266</v>
      </c>
      <c r="F12" s="59" t="s">
        <v>265</v>
      </c>
      <c r="G12" s="59" t="s">
        <v>266</v>
      </c>
      <c r="H12" s="59" t="s">
        <v>265</v>
      </c>
      <c r="I12" s="59" t="s">
        <v>266</v>
      </c>
      <c r="J12" s="59" t="s">
        <v>265</v>
      </c>
      <c r="K12" s="59" t="s">
        <v>266</v>
      </c>
      <c r="L12" s="59" t="s">
        <v>265</v>
      </c>
      <c r="M12" s="59" t="s">
        <v>266</v>
      </c>
    </row>
    <row r="13" spans="2:13" s="56" customFormat="1" ht="22.5" x14ac:dyDescent="0.15">
      <c r="B13" s="62" t="s">
        <v>267</v>
      </c>
      <c r="C13" s="63" t="s">
        <v>268</v>
      </c>
      <c r="D13" s="58" t="s">
        <v>245</v>
      </c>
      <c r="E13" s="58">
        <v>10</v>
      </c>
      <c r="F13" s="58" t="s">
        <v>244</v>
      </c>
      <c r="G13" s="58" t="s">
        <v>269</v>
      </c>
      <c r="H13" s="58" t="s">
        <v>270</v>
      </c>
      <c r="I13" s="58" t="s">
        <v>271</v>
      </c>
      <c r="J13" s="58" t="s">
        <v>270</v>
      </c>
      <c r="K13" s="58" t="s">
        <v>272</v>
      </c>
      <c r="L13" s="58" t="s">
        <v>270</v>
      </c>
      <c r="M13" s="58" t="s">
        <v>273</v>
      </c>
    </row>
    <row r="14" spans="2:13" s="56" customFormat="1" x14ac:dyDescent="0.15">
      <c r="B14" s="62"/>
      <c r="C14" s="63"/>
      <c r="D14" s="58"/>
      <c r="E14" s="58"/>
      <c r="F14" s="58" t="s">
        <v>245</v>
      </c>
      <c r="G14" s="58" t="s">
        <v>269</v>
      </c>
      <c r="H14" s="58" t="s">
        <v>274</v>
      </c>
      <c r="I14" s="58" t="s">
        <v>271</v>
      </c>
      <c r="J14" s="58" t="s">
        <v>274</v>
      </c>
      <c r="K14" s="58" t="s">
        <v>272</v>
      </c>
      <c r="L14" s="58" t="s">
        <v>274</v>
      </c>
      <c r="M14" s="58" t="s">
        <v>273</v>
      </c>
    </row>
    <row r="15" spans="2:13" s="56" customFormat="1" x14ac:dyDescent="0.15">
      <c r="B15" s="62"/>
      <c r="C15" s="63"/>
      <c r="D15" s="58"/>
      <c r="E15" s="58"/>
      <c r="F15" s="58" t="s">
        <v>246</v>
      </c>
      <c r="G15" s="58" t="s">
        <v>269</v>
      </c>
      <c r="H15" s="58" t="s">
        <v>275</v>
      </c>
      <c r="I15" s="58" t="s">
        <v>271</v>
      </c>
      <c r="J15" s="58" t="s">
        <v>275</v>
      </c>
      <c r="K15" s="58" t="s">
        <v>272</v>
      </c>
      <c r="L15" s="58" t="s">
        <v>275</v>
      </c>
      <c r="M15" s="58" t="s">
        <v>273</v>
      </c>
    </row>
    <row r="16" spans="2:13" s="56" customFormat="1" x14ac:dyDescent="0.15">
      <c r="B16" s="62"/>
      <c r="C16" s="63"/>
      <c r="D16" s="58"/>
      <c r="E16" s="58"/>
      <c r="F16" s="58"/>
      <c r="G16" s="58"/>
      <c r="H16" s="58" t="s">
        <v>244</v>
      </c>
      <c r="I16" s="58" t="s">
        <v>276</v>
      </c>
      <c r="J16" s="58" t="s">
        <v>244</v>
      </c>
      <c r="K16" s="58" t="s">
        <v>277</v>
      </c>
      <c r="L16" s="58"/>
      <c r="M16" s="58"/>
    </row>
    <row r="17" spans="2:15" x14ac:dyDescent="0.15">
      <c r="B17" s="62"/>
      <c r="C17" s="63"/>
      <c r="D17" s="58"/>
      <c r="E17" s="58"/>
      <c r="F17" s="58"/>
      <c r="G17" s="58"/>
      <c r="H17" s="58" t="s">
        <v>245</v>
      </c>
      <c r="I17" s="58" t="s">
        <v>276</v>
      </c>
      <c r="J17" s="58" t="s">
        <v>245</v>
      </c>
      <c r="K17" s="58" t="s">
        <v>277</v>
      </c>
      <c r="L17" s="58"/>
      <c r="M17" s="58"/>
    </row>
    <row r="18" spans="2:15" x14ac:dyDescent="0.15">
      <c r="B18" s="62"/>
      <c r="C18" s="63"/>
      <c r="D18" s="58"/>
      <c r="E18" s="58"/>
      <c r="F18" s="58"/>
      <c r="G18" s="58"/>
      <c r="H18" s="58" t="s">
        <v>246</v>
      </c>
      <c r="I18" s="58" t="s">
        <v>276</v>
      </c>
      <c r="J18" s="58" t="s">
        <v>246</v>
      </c>
      <c r="K18" s="58" t="s">
        <v>277</v>
      </c>
      <c r="L18" s="58"/>
      <c r="M18" s="58"/>
    </row>
    <row r="19" spans="2:15" x14ac:dyDescent="0.15">
      <c r="B19" s="62"/>
      <c r="C19" s="63"/>
      <c r="D19" s="58"/>
      <c r="E19" s="58"/>
      <c r="F19" s="58"/>
      <c r="G19" s="58"/>
      <c r="H19" s="58"/>
      <c r="I19" s="58"/>
      <c r="J19" s="58"/>
      <c r="K19" s="58"/>
      <c r="L19" s="58" t="s">
        <v>243</v>
      </c>
      <c r="M19" s="58" t="s">
        <v>278</v>
      </c>
      <c r="N19" s="64"/>
      <c r="O19" s="64"/>
    </row>
    <row r="20" spans="2:15" ht="22.5" x14ac:dyDescent="0.15">
      <c r="B20" s="62" t="s">
        <v>267</v>
      </c>
      <c r="C20" s="63" t="s">
        <v>279</v>
      </c>
      <c r="D20" s="58"/>
      <c r="E20" s="58"/>
      <c r="F20" s="58"/>
      <c r="G20" s="58"/>
      <c r="H20" s="58"/>
      <c r="I20" s="58"/>
      <c r="J20" s="58"/>
      <c r="K20" s="58"/>
      <c r="L20" s="58" t="s">
        <v>280</v>
      </c>
      <c r="M20" s="58" t="s">
        <v>281</v>
      </c>
      <c r="N20" s="64"/>
      <c r="O20" s="64"/>
    </row>
    <row r="21" spans="2:15" ht="22.5" x14ac:dyDescent="0.15">
      <c r="B21" s="62"/>
      <c r="C21" s="63"/>
      <c r="D21" s="58"/>
      <c r="E21" s="58"/>
      <c r="F21" s="58"/>
      <c r="G21" s="58"/>
      <c r="H21" s="58"/>
      <c r="I21" s="58"/>
      <c r="J21" s="58"/>
      <c r="K21" s="58"/>
      <c r="L21" s="58" t="s">
        <v>282</v>
      </c>
      <c r="M21" s="58" t="s">
        <v>281</v>
      </c>
      <c r="N21" s="64"/>
      <c r="O21" s="64"/>
    </row>
    <row r="22" spans="2:15" ht="22.5" x14ac:dyDescent="0.15">
      <c r="B22" s="62"/>
      <c r="C22" s="63"/>
      <c r="D22" s="58"/>
      <c r="E22" s="58"/>
      <c r="F22" s="58"/>
      <c r="G22" s="58"/>
      <c r="H22" s="58"/>
      <c r="I22" s="58"/>
      <c r="J22" s="58"/>
      <c r="K22" s="58"/>
      <c r="L22" s="58" t="s">
        <v>283</v>
      </c>
      <c r="M22" s="58" t="s">
        <v>281</v>
      </c>
      <c r="N22" s="64"/>
      <c r="O22" s="64"/>
    </row>
    <row r="23" spans="2:15" ht="22.5" x14ac:dyDescent="0.15">
      <c r="B23" s="62"/>
      <c r="C23" s="63"/>
      <c r="D23" s="58"/>
      <c r="E23" s="58"/>
      <c r="F23" s="58"/>
      <c r="G23" s="58"/>
      <c r="H23" s="58"/>
      <c r="I23" s="58"/>
      <c r="J23" s="58"/>
      <c r="K23" s="58"/>
      <c r="L23" s="58" t="s">
        <v>284</v>
      </c>
      <c r="M23" s="58" t="s">
        <v>281</v>
      </c>
      <c r="N23" s="64"/>
      <c r="O23" s="64"/>
    </row>
    <row r="24" spans="2:15" ht="22.5" x14ac:dyDescent="0.15">
      <c r="B24" s="62"/>
      <c r="C24" s="63"/>
      <c r="D24" s="58"/>
      <c r="E24" s="58"/>
      <c r="F24" s="58"/>
      <c r="G24" s="58"/>
      <c r="H24" s="58"/>
      <c r="I24" s="58"/>
      <c r="J24" s="58"/>
      <c r="K24" s="58"/>
      <c r="L24" s="58" t="s">
        <v>285</v>
      </c>
      <c r="M24" s="58" t="s">
        <v>281</v>
      </c>
      <c r="N24" s="64"/>
      <c r="O24" s="64"/>
    </row>
    <row r="25" spans="2:15" ht="22.5" x14ac:dyDescent="0.15">
      <c r="B25" s="62"/>
      <c r="C25" s="63"/>
      <c r="D25" s="58"/>
      <c r="E25" s="58"/>
      <c r="F25" s="58"/>
      <c r="G25" s="58"/>
      <c r="H25" s="58"/>
      <c r="I25" s="58"/>
      <c r="J25" s="58"/>
      <c r="K25" s="58"/>
      <c r="L25" s="58" t="s">
        <v>286</v>
      </c>
      <c r="M25" s="58" t="s">
        <v>281</v>
      </c>
      <c r="N25" s="64"/>
      <c r="O25" s="64"/>
    </row>
    <row r="26" spans="2:15" ht="22.5" x14ac:dyDescent="0.15">
      <c r="B26" s="62"/>
      <c r="C26" s="63"/>
      <c r="D26" s="58"/>
      <c r="E26" s="58"/>
      <c r="F26" s="58"/>
      <c r="G26" s="58"/>
      <c r="H26" s="58"/>
      <c r="I26" s="58"/>
      <c r="J26" s="58"/>
      <c r="K26" s="58"/>
      <c r="L26" s="58" t="s">
        <v>287</v>
      </c>
      <c r="M26" s="58" t="s">
        <v>281</v>
      </c>
      <c r="N26" s="64"/>
      <c r="O26" s="64"/>
    </row>
    <row r="27" spans="2:15" ht="22.5" x14ac:dyDescent="0.15">
      <c r="B27" s="62"/>
      <c r="C27" s="63"/>
      <c r="D27" s="58"/>
      <c r="E27" s="58"/>
      <c r="F27" s="58"/>
      <c r="G27" s="58"/>
      <c r="H27" s="58"/>
      <c r="I27" s="58"/>
      <c r="J27" s="58"/>
      <c r="K27" s="58"/>
      <c r="L27" s="58" t="s">
        <v>288</v>
      </c>
      <c r="M27" s="58" t="s">
        <v>281</v>
      </c>
      <c r="N27" s="64"/>
      <c r="O27" s="64"/>
    </row>
    <row r="28" spans="2:15" x14ac:dyDescent="0.15">
      <c r="B28" s="62" t="s">
        <v>289</v>
      </c>
      <c r="C28" s="63" t="s">
        <v>290</v>
      </c>
      <c r="D28" s="58"/>
      <c r="E28" s="58"/>
      <c r="F28" s="58"/>
      <c r="G28" s="58"/>
      <c r="H28" s="58" t="s">
        <v>248</v>
      </c>
      <c r="I28" s="65" t="s">
        <v>291</v>
      </c>
      <c r="J28" s="58"/>
      <c r="K28" s="65"/>
      <c r="L28" s="58"/>
      <c r="M28" s="58"/>
      <c r="N28" s="64"/>
      <c r="O28" s="64"/>
    </row>
    <row r="29" spans="2:15" x14ac:dyDescent="0.15">
      <c r="B29" s="62"/>
      <c r="C29" s="63"/>
      <c r="D29" s="58"/>
      <c r="E29" s="58"/>
      <c r="F29" s="58"/>
      <c r="G29" s="58"/>
      <c r="H29" s="58"/>
      <c r="I29" s="58"/>
      <c r="J29" s="58" t="s">
        <v>247</v>
      </c>
      <c r="K29" s="65" t="s">
        <v>292</v>
      </c>
      <c r="L29" s="58"/>
      <c r="M29" s="58"/>
      <c r="N29" s="64"/>
      <c r="O29" s="64"/>
    </row>
    <row r="30" spans="2:15" x14ac:dyDescent="0.15">
      <c r="B30" s="62"/>
      <c r="C30" s="63"/>
      <c r="D30" s="58"/>
      <c r="E30" s="58"/>
      <c r="F30" s="58"/>
      <c r="G30" s="58"/>
      <c r="H30" s="58"/>
      <c r="I30" s="58"/>
      <c r="J30" s="58" t="s">
        <v>249</v>
      </c>
      <c r="K30" s="65" t="s">
        <v>293</v>
      </c>
      <c r="L30" s="58"/>
      <c r="M30" s="58"/>
      <c r="N30" s="64"/>
      <c r="O30" s="64"/>
    </row>
    <row r="31" spans="2:15" x14ac:dyDescent="0.15">
      <c r="B31" s="62"/>
      <c r="C31" s="63"/>
      <c r="D31" s="58"/>
      <c r="E31" s="58"/>
      <c r="F31" s="58"/>
      <c r="G31" s="58"/>
      <c r="H31" s="58"/>
      <c r="I31" s="58"/>
      <c r="J31" s="58"/>
      <c r="K31" s="58"/>
      <c r="L31" s="58"/>
      <c r="M31" s="58"/>
      <c r="N31" s="64"/>
      <c r="O31" s="64"/>
    </row>
    <row r="33" spans="14:65" s="56" customFormat="1" x14ac:dyDescent="0.15">
      <c r="N33" s="55"/>
      <c r="O33" s="55"/>
      <c r="P33" s="172" t="s">
        <v>294</v>
      </c>
      <c r="Q33" s="172"/>
      <c r="R33" s="172"/>
      <c r="S33" s="172"/>
      <c r="T33" s="172"/>
      <c r="U33" s="172"/>
      <c r="V33" s="172"/>
      <c r="W33" s="172"/>
      <c r="X33" s="172"/>
      <c r="Y33" s="172"/>
      <c r="Z33" s="172"/>
      <c r="AA33" s="172"/>
      <c r="AB33" s="172"/>
      <c r="AC33" s="172"/>
      <c r="AD33" s="172"/>
      <c r="AE33" s="172"/>
      <c r="AF33" s="172"/>
      <c r="AG33" s="172"/>
      <c r="AH33" s="172"/>
      <c r="AI33" s="172"/>
      <c r="AJ33" s="172"/>
      <c r="AK33" s="172"/>
      <c r="AL33" s="172"/>
      <c r="AM33" s="172"/>
      <c r="AN33" s="172"/>
      <c r="AO33" s="172"/>
      <c r="AP33" s="172"/>
      <c r="AQ33" s="172"/>
      <c r="AR33" s="172"/>
      <c r="AS33" s="172"/>
      <c r="AT33" s="172"/>
      <c r="AU33" s="172"/>
      <c r="AV33" s="172"/>
      <c r="AW33" s="172"/>
      <c r="AX33" s="172"/>
      <c r="AY33" s="172"/>
      <c r="AZ33" s="172"/>
      <c r="BA33" s="172"/>
      <c r="BB33" s="172"/>
      <c r="BC33" s="172"/>
      <c r="BD33" s="172"/>
      <c r="BE33" s="172"/>
      <c r="BF33" s="172"/>
      <c r="BG33" s="172"/>
      <c r="BH33" s="172"/>
      <c r="BI33" s="172"/>
      <c r="BJ33" s="172"/>
      <c r="BK33" s="172"/>
      <c r="BL33" s="172"/>
      <c r="BM33" s="172"/>
    </row>
    <row r="34" spans="14:65" s="56" customFormat="1" x14ac:dyDescent="0.15">
      <c r="N34" s="55"/>
      <c r="P34" s="56">
        <v>300</v>
      </c>
      <c r="Q34" s="56">
        <v>299</v>
      </c>
      <c r="R34" s="56">
        <v>298</v>
      </c>
      <c r="S34" s="56">
        <v>297</v>
      </c>
      <c r="T34" s="56">
        <v>296</v>
      </c>
      <c r="U34" s="56">
        <v>295</v>
      </c>
      <c r="V34" s="56">
        <v>294</v>
      </c>
      <c r="W34" s="56">
        <v>293</v>
      </c>
      <c r="X34" s="56">
        <v>292</v>
      </c>
      <c r="Y34" s="56">
        <v>291</v>
      </c>
      <c r="Z34" s="56">
        <v>290</v>
      </c>
      <c r="AA34" s="56">
        <v>289</v>
      </c>
      <c r="AB34" s="56">
        <v>288</v>
      </c>
      <c r="AC34" s="56">
        <v>287</v>
      </c>
      <c r="AD34" s="56">
        <v>286</v>
      </c>
      <c r="AE34" s="56">
        <v>285</v>
      </c>
      <c r="AF34" s="56">
        <v>284</v>
      </c>
      <c r="AG34" s="56">
        <v>283</v>
      </c>
      <c r="AH34" s="56">
        <v>282</v>
      </c>
      <c r="AI34" s="56">
        <v>281</v>
      </c>
      <c r="AJ34" s="56">
        <v>280</v>
      </c>
      <c r="AK34" s="56">
        <v>279</v>
      </c>
      <c r="AL34" s="56">
        <v>278</v>
      </c>
      <c r="AM34" s="56">
        <v>277</v>
      </c>
      <c r="AN34" s="56">
        <v>276</v>
      </c>
      <c r="AO34" s="56">
        <v>275</v>
      </c>
      <c r="AP34" s="56">
        <v>274</v>
      </c>
      <c r="AQ34" s="56">
        <v>273</v>
      </c>
      <c r="AR34" s="56">
        <v>272</v>
      </c>
      <c r="AS34" s="56">
        <v>271</v>
      </c>
      <c r="AT34" s="56">
        <v>270</v>
      </c>
      <c r="AU34" s="56">
        <v>269</v>
      </c>
      <c r="AV34" s="56">
        <v>268</v>
      </c>
      <c r="AW34" s="56">
        <v>267</v>
      </c>
      <c r="AX34" s="56">
        <v>266</v>
      </c>
      <c r="AY34" s="56">
        <v>265</v>
      </c>
      <c r="AZ34" s="56">
        <v>264</v>
      </c>
      <c r="BA34" s="56">
        <v>263</v>
      </c>
      <c r="BB34" s="56">
        <v>262</v>
      </c>
      <c r="BC34" s="56">
        <v>261</v>
      </c>
      <c r="BD34" s="56">
        <v>260</v>
      </c>
      <c r="BE34" s="56">
        <v>259</v>
      </c>
      <c r="BF34" s="56">
        <v>258</v>
      </c>
      <c r="BG34" s="56">
        <v>257</v>
      </c>
      <c r="BH34" s="56">
        <v>256</v>
      </c>
      <c r="BI34" s="56">
        <v>255</v>
      </c>
      <c r="BJ34" s="56">
        <v>254</v>
      </c>
      <c r="BK34" s="56">
        <v>253</v>
      </c>
      <c r="BL34" s="56">
        <v>252</v>
      </c>
      <c r="BM34" s="56">
        <v>251</v>
      </c>
    </row>
    <row r="35" spans="14:65" s="56" customFormat="1" x14ac:dyDescent="0.15">
      <c r="N35" s="173" t="s">
        <v>295</v>
      </c>
      <c r="O35" s="56">
        <v>300</v>
      </c>
      <c r="P35" s="66">
        <f t="shared" ref="P35:Y44" si="0">$O35*2/($O35+P$34)</f>
        <v>1</v>
      </c>
      <c r="Q35" s="66">
        <f t="shared" si="0"/>
        <v>1.001669449081803</v>
      </c>
      <c r="R35" s="66">
        <f t="shared" si="0"/>
        <v>1.0033444816053512</v>
      </c>
      <c r="S35" s="66">
        <f t="shared" si="0"/>
        <v>1.0050251256281406</v>
      </c>
      <c r="T35" s="66">
        <f t="shared" si="0"/>
        <v>1.0067114093959733</v>
      </c>
      <c r="U35" s="66">
        <f t="shared" si="0"/>
        <v>1.0084033613445378</v>
      </c>
      <c r="V35" s="66">
        <f t="shared" si="0"/>
        <v>1.0101010101010102</v>
      </c>
      <c r="W35" s="66">
        <f t="shared" si="0"/>
        <v>1.0118043844856661</v>
      </c>
      <c r="X35" s="66">
        <f t="shared" si="0"/>
        <v>1.0135135135135136</v>
      </c>
      <c r="Y35" s="66">
        <f t="shared" si="0"/>
        <v>1.015228426395939</v>
      </c>
      <c r="Z35" s="66">
        <f t="shared" ref="Z35:AI44" si="1">$O35*2/($O35+Z$34)</f>
        <v>1.0169491525423728</v>
      </c>
      <c r="AA35" s="66">
        <f t="shared" si="1"/>
        <v>1.0186757215619695</v>
      </c>
      <c r="AB35" s="66">
        <f t="shared" si="1"/>
        <v>1.0204081632653061</v>
      </c>
      <c r="AC35" s="66">
        <f t="shared" si="1"/>
        <v>1.0221465076660987</v>
      </c>
      <c r="AD35" s="66">
        <f t="shared" si="1"/>
        <v>1.0238907849829351</v>
      </c>
      <c r="AE35" s="66">
        <f t="shared" si="1"/>
        <v>1.0256410256410255</v>
      </c>
      <c r="AF35" s="66">
        <f t="shared" si="1"/>
        <v>1.0273972602739727</v>
      </c>
      <c r="AG35" s="66">
        <f t="shared" si="1"/>
        <v>1.0291595197255574</v>
      </c>
      <c r="AH35" s="66">
        <f t="shared" si="1"/>
        <v>1.0309278350515463</v>
      </c>
      <c r="AI35" s="66">
        <f t="shared" si="1"/>
        <v>1.0327022375215147</v>
      </c>
      <c r="AJ35" s="66">
        <f t="shared" ref="AJ35:AS44" si="2">$O35*2/($O35+AJ$34)</f>
        <v>1.0344827586206897</v>
      </c>
      <c r="AK35" s="66">
        <f t="shared" si="2"/>
        <v>1.0362694300518134</v>
      </c>
      <c r="AL35" s="66">
        <f t="shared" si="2"/>
        <v>1.0380622837370241</v>
      </c>
      <c r="AM35" s="66">
        <f t="shared" si="2"/>
        <v>1.0398613518197575</v>
      </c>
      <c r="AN35" s="66">
        <f t="shared" si="2"/>
        <v>1.0416666666666667</v>
      </c>
      <c r="AO35" s="66">
        <f t="shared" si="2"/>
        <v>1.0434782608695652</v>
      </c>
      <c r="AP35" s="66">
        <f t="shared" si="2"/>
        <v>1.0452961672473868</v>
      </c>
      <c r="AQ35" s="66">
        <f t="shared" si="2"/>
        <v>1.0471204188481675</v>
      </c>
      <c r="AR35" s="66">
        <f t="shared" si="2"/>
        <v>1.048951048951049</v>
      </c>
      <c r="AS35" s="66">
        <f t="shared" si="2"/>
        <v>1.0507880910683012</v>
      </c>
      <c r="AT35" s="66">
        <f t="shared" ref="AT35:BC44" si="3">$O35*2/($O35+AT$34)</f>
        <v>1.0526315789473684</v>
      </c>
      <c r="AU35" s="66">
        <f t="shared" si="3"/>
        <v>1.0544815465729349</v>
      </c>
      <c r="AV35" s="66">
        <f t="shared" si="3"/>
        <v>1.056338028169014</v>
      </c>
      <c r="AW35" s="66">
        <f t="shared" si="3"/>
        <v>1.0582010582010581</v>
      </c>
      <c r="AX35" s="66">
        <f t="shared" si="3"/>
        <v>1.0600706713780919</v>
      </c>
      <c r="AY35" s="66">
        <f t="shared" si="3"/>
        <v>1.0619469026548674</v>
      </c>
      <c r="AZ35" s="66">
        <f t="shared" si="3"/>
        <v>1.0638297872340425</v>
      </c>
      <c r="BA35" s="66">
        <f t="shared" si="3"/>
        <v>1.0657193605683837</v>
      </c>
      <c r="BB35" s="66">
        <f t="shared" si="3"/>
        <v>1.0676156583629892</v>
      </c>
      <c r="BC35" s="66">
        <f t="shared" si="3"/>
        <v>1.0695187165775402</v>
      </c>
      <c r="BD35" s="66">
        <f t="shared" ref="BD35:BM44" si="4">$O35*2/($O35+BD$34)</f>
        <v>1.0714285714285714</v>
      </c>
      <c r="BE35" s="66">
        <f t="shared" si="4"/>
        <v>1.0733452593917709</v>
      </c>
      <c r="BF35" s="66">
        <f t="shared" si="4"/>
        <v>1.075268817204301</v>
      </c>
      <c r="BG35" s="66">
        <f t="shared" si="4"/>
        <v>1.0771992818671454</v>
      </c>
      <c r="BH35" s="66">
        <f t="shared" si="4"/>
        <v>1.079136690647482</v>
      </c>
      <c r="BI35" s="66">
        <f t="shared" si="4"/>
        <v>1.0810810810810811</v>
      </c>
      <c r="BJ35" s="66">
        <f t="shared" si="4"/>
        <v>1.0830324909747293</v>
      </c>
      <c r="BK35" s="66">
        <f t="shared" si="4"/>
        <v>1.0849909584086799</v>
      </c>
      <c r="BL35" s="66">
        <f t="shared" si="4"/>
        <v>1.0869565217391304</v>
      </c>
      <c r="BM35" s="66">
        <f t="shared" si="4"/>
        <v>1.0889292196007259</v>
      </c>
    </row>
    <row r="36" spans="14:65" s="56" customFormat="1" x14ac:dyDescent="0.15">
      <c r="N36" s="173"/>
      <c r="O36" s="56">
        <v>299</v>
      </c>
      <c r="P36" s="66">
        <f t="shared" si="0"/>
        <v>0.998330550918197</v>
      </c>
      <c r="Q36" s="66">
        <f t="shared" si="0"/>
        <v>1</v>
      </c>
      <c r="R36" s="66">
        <f t="shared" si="0"/>
        <v>1.0016750418760469</v>
      </c>
      <c r="S36" s="66">
        <f t="shared" si="0"/>
        <v>1.0033557046979866</v>
      </c>
      <c r="T36" s="66">
        <f t="shared" si="0"/>
        <v>1.0050420168067227</v>
      </c>
      <c r="U36" s="66">
        <f t="shared" si="0"/>
        <v>1.0067340067340067</v>
      </c>
      <c r="V36" s="66">
        <f t="shared" si="0"/>
        <v>1.0084317032040473</v>
      </c>
      <c r="W36" s="66">
        <f t="shared" si="0"/>
        <v>1.0101351351351351</v>
      </c>
      <c r="X36" s="66">
        <f t="shared" si="0"/>
        <v>1.011844331641286</v>
      </c>
      <c r="Y36" s="66">
        <f t="shared" si="0"/>
        <v>1.0135593220338983</v>
      </c>
      <c r="Z36" s="66">
        <f t="shared" si="1"/>
        <v>1.0152801358234296</v>
      </c>
      <c r="AA36" s="66">
        <f t="shared" si="1"/>
        <v>1.0170068027210883</v>
      </c>
      <c r="AB36" s="66">
        <f t="shared" si="1"/>
        <v>1.018739352640545</v>
      </c>
      <c r="AC36" s="66">
        <f t="shared" si="1"/>
        <v>1.0204778156996588</v>
      </c>
      <c r="AD36" s="66">
        <f t="shared" si="1"/>
        <v>1.0222222222222221</v>
      </c>
      <c r="AE36" s="66">
        <f t="shared" si="1"/>
        <v>1.023972602739726</v>
      </c>
      <c r="AF36" s="66">
        <f t="shared" si="1"/>
        <v>1.0257289879931388</v>
      </c>
      <c r="AG36" s="66">
        <f t="shared" si="1"/>
        <v>1.0274914089347078</v>
      </c>
      <c r="AH36" s="66">
        <f t="shared" si="1"/>
        <v>1.0292598967297764</v>
      </c>
      <c r="AI36" s="66">
        <f t="shared" si="1"/>
        <v>1.0310344827586206</v>
      </c>
      <c r="AJ36" s="66">
        <f t="shared" si="2"/>
        <v>1.0328151986183074</v>
      </c>
      <c r="AK36" s="66">
        <f t="shared" si="2"/>
        <v>1.0346020761245676</v>
      </c>
      <c r="AL36" s="66">
        <f t="shared" si="2"/>
        <v>1.0363951473136914</v>
      </c>
      <c r="AM36" s="66">
        <f t="shared" si="2"/>
        <v>1.0381944444444444</v>
      </c>
      <c r="AN36" s="66">
        <f t="shared" si="2"/>
        <v>1.04</v>
      </c>
      <c r="AO36" s="66">
        <f t="shared" si="2"/>
        <v>1.0418118466898956</v>
      </c>
      <c r="AP36" s="66">
        <f t="shared" si="2"/>
        <v>1.043630017452007</v>
      </c>
      <c r="AQ36" s="66">
        <f t="shared" si="2"/>
        <v>1.0454545454545454</v>
      </c>
      <c r="AR36" s="66">
        <f t="shared" si="2"/>
        <v>1.0472854640980735</v>
      </c>
      <c r="AS36" s="66">
        <f t="shared" si="2"/>
        <v>1.0491228070175438</v>
      </c>
      <c r="AT36" s="66">
        <f t="shared" si="3"/>
        <v>1.0509666080843585</v>
      </c>
      <c r="AU36" s="66">
        <f t="shared" si="3"/>
        <v>1.0528169014084507</v>
      </c>
      <c r="AV36" s="66">
        <f t="shared" si="3"/>
        <v>1.0546737213403881</v>
      </c>
      <c r="AW36" s="66">
        <f t="shared" si="3"/>
        <v>1.0565371024734982</v>
      </c>
      <c r="AX36" s="66">
        <f t="shared" si="3"/>
        <v>1.0584070796460177</v>
      </c>
      <c r="AY36" s="66">
        <f t="shared" si="3"/>
        <v>1.0602836879432624</v>
      </c>
      <c r="AZ36" s="66">
        <f t="shared" si="3"/>
        <v>1.0621669626998225</v>
      </c>
      <c r="BA36" s="66">
        <f t="shared" si="3"/>
        <v>1.0640569395017794</v>
      </c>
      <c r="BB36" s="66">
        <f t="shared" si="3"/>
        <v>1.0659536541889483</v>
      </c>
      <c r="BC36" s="66">
        <f t="shared" si="3"/>
        <v>1.0678571428571428</v>
      </c>
      <c r="BD36" s="66">
        <f t="shared" si="4"/>
        <v>1.069767441860465</v>
      </c>
      <c r="BE36" s="66">
        <f t="shared" si="4"/>
        <v>1.0716845878136201</v>
      </c>
      <c r="BF36" s="66">
        <f t="shared" si="4"/>
        <v>1.073608617594255</v>
      </c>
      <c r="BG36" s="66">
        <f t="shared" si="4"/>
        <v>1.0755395683453237</v>
      </c>
      <c r="BH36" s="66">
        <f t="shared" si="4"/>
        <v>1.0774774774774776</v>
      </c>
      <c r="BI36" s="66">
        <f t="shared" si="4"/>
        <v>1.0794223826714802</v>
      </c>
      <c r="BJ36" s="66">
        <f t="shared" si="4"/>
        <v>1.0813743218806511</v>
      </c>
      <c r="BK36" s="66">
        <f t="shared" si="4"/>
        <v>1.0833333333333333</v>
      </c>
      <c r="BL36" s="66">
        <f t="shared" si="4"/>
        <v>1.0852994555353901</v>
      </c>
      <c r="BM36" s="66">
        <f t="shared" si="4"/>
        <v>1.0872727272727272</v>
      </c>
    </row>
    <row r="37" spans="14:65" s="56" customFormat="1" x14ac:dyDescent="0.15">
      <c r="N37" s="173"/>
      <c r="O37" s="56">
        <v>298</v>
      </c>
      <c r="P37" s="66">
        <f t="shared" si="0"/>
        <v>0.99665551839464883</v>
      </c>
      <c r="Q37" s="66">
        <f t="shared" si="0"/>
        <v>0.99832495812395305</v>
      </c>
      <c r="R37" s="66">
        <f t="shared" si="0"/>
        <v>1</v>
      </c>
      <c r="S37" s="66">
        <f t="shared" si="0"/>
        <v>1.0016806722689076</v>
      </c>
      <c r="T37" s="66">
        <f t="shared" si="0"/>
        <v>1.0033670033670035</v>
      </c>
      <c r="U37" s="66">
        <f t="shared" si="0"/>
        <v>1.0050590219224282</v>
      </c>
      <c r="V37" s="66">
        <f t="shared" si="0"/>
        <v>1.0067567567567568</v>
      </c>
      <c r="W37" s="66">
        <f t="shared" si="0"/>
        <v>1.0084602368866329</v>
      </c>
      <c r="X37" s="66">
        <f t="shared" si="0"/>
        <v>1.0101694915254238</v>
      </c>
      <c r="Y37" s="66">
        <f t="shared" si="0"/>
        <v>1.0118845500848896</v>
      </c>
      <c r="Z37" s="66">
        <f t="shared" si="1"/>
        <v>1.0136054421768708</v>
      </c>
      <c r="AA37" s="66">
        <f t="shared" si="1"/>
        <v>1.0153321976149914</v>
      </c>
      <c r="AB37" s="66">
        <f t="shared" si="1"/>
        <v>1.0170648464163823</v>
      </c>
      <c r="AC37" s="66">
        <f t="shared" si="1"/>
        <v>1.0188034188034187</v>
      </c>
      <c r="AD37" s="66">
        <f t="shared" si="1"/>
        <v>1.0205479452054795</v>
      </c>
      <c r="AE37" s="66">
        <f t="shared" si="1"/>
        <v>1.0222984562607205</v>
      </c>
      <c r="AF37" s="66">
        <f t="shared" si="1"/>
        <v>1.0240549828178693</v>
      </c>
      <c r="AG37" s="66">
        <f t="shared" si="1"/>
        <v>1.0258175559380378</v>
      </c>
      <c r="AH37" s="66">
        <f t="shared" si="1"/>
        <v>1.0275862068965518</v>
      </c>
      <c r="AI37" s="66">
        <f t="shared" si="1"/>
        <v>1.0293609671848014</v>
      </c>
      <c r="AJ37" s="66">
        <f t="shared" si="2"/>
        <v>1.0311418685121108</v>
      </c>
      <c r="AK37" s="66">
        <f t="shared" si="2"/>
        <v>1.0329289428076256</v>
      </c>
      <c r="AL37" s="66">
        <f t="shared" si="2"/>
        <v>1.0347222222222223</v>
      </c>
      <c r="AM37" s="66">
        <f t="shared" si="2"/>
        <v>1.0365217391304349</v>
      </c>
      <c r="AN37" s="66">
        <f t="shared" si="2"/>
        <v>1.0383275261324041</v>
      </c>
      <c r="AO37" s="66">
        <f t="shared" si="2"/>
        <v>1.0401396160558465</v>
      </c>
      <c r="AP37" s="66">
        <f t="shared" si="2"/>
        <v>1.0419580419580419</v>
      </c>
      <c r="AQ37" s="66">
        <f t="shared" si="2"/>
        <v>1.0437828371278459</v>
      </c>
      <c r="AR37" s="66">
        <f t="shared" si="2"/>
        <v>1.0456140350877192</v>
      </c>
      <c r="AS37" s="66">
        <f t="shared" si="2"/>
        <v>1.0474516695957821</v>
      </c>
      <c r="AT37" s="66">
        <f t="shared" si="3"/>
        <v>1.0492957746478873</v>
      </c>
      <c r="AU37" s="66">
        <f t="shared" si="3"/>
        <v>1.0511463844797178</v>
      </c>
      <c r="AV37" s="66">
        <f t="shared" si="3"/>
        <v>1.0530035335689045</v>
      </c>
      <c r="AW37" s="66">
        <f t="shared" si="3"/>
        <v>1.0548672566371682</v>
      </c>
      <c r="AX37" s="66">
        <f t="shared" si="3"/>
        <v>1.0567375886524824</v>
      </c>
      <c r="AY37" s="66">
        <f t="shared" si="3"/>
        <v>1.058614564831261</v>
      </c>
      <c r="AZ37" s="66">
        <f t="shared" si="3"/>
        <v>1.0604982206405693</v>
      </c>
      <c r="BA37" s="66">
        <f t="shared" si="3"/>
        <v>1.0623885918003566</v>
      </c>
      <c r="BB37" s="66">
        <f t="shared" si="3"/>
        <v>1.0642857142857143</v>
      </c>
      <c r="BC37" s="66">
        <f t="shared" si="3"/>
        <v>1.0661896243291593</v>
      </c>
      <c r="BD37" s="66">
        <f t="shared" si="4"/>
        <v>1.0681003584229392</v>
      </c>
      <c r="BE37" s="66">
        <f t="shared" si="4"/>
        <v>1.0700179533213645</v>
      </c>
      <c r="BF37" s="66">
        <f t="shared" si="4"/>
        <v>1.0719424460431655</v>
      </c>
      <c r="BG37" s="66">
        <f t="shared" si="4"/>
        <v>1.0738738738738738</v>
      </c>
      <c r="BH37" s="66">
        <f t="shared" si="4"/>
        <v>1.075812274368231</v>
      </c>
      <c r="BI37" s="66">
        <f t="shared" si="4"/>
        <v>1.0777576853526221</v>
      </c>
      <c r="BJ37" s="66">
        <f t="shared" si="4"/>
        <v>1.0797101449275361</v>
      </c>
      <c r="BK37" s="66">
        <f t="shared" si="4"/>
        <v>1.0816696914700545</v>
      </c>
      <c r="BL37" s="66">
        <f t="shared" si="4"/>
        <v>1.0836363636363637</v>
      </c>
      <c r="BM37" s="66">
        <f t="shared" si="4"/>
        <v>1.0856102003642987</v>
      </c>
    </row>
    <row r="38" spans="14:65" s="56" customFormat="1" x14ac:dyDescent="0.15">
      <c r="N38" s="173"/>
      <c r="O38" s="56">
        <v>297</v>
      </c>
      <c r="P38" s="66">
        <f t="shared" si="0"/>
        <v>0.99497487437185927</v>
      </c>
      <c r="Q38" s="66">
        <f t="shared" si="0"/>
        <v>0.99664429530201337</v>
      </c>
      <c r="R38" s="66">
        <f t="shared" si="0"/>
        <v>0.99831932773109244</v>
      </c>
      <c r="S38" s="66">
        <f t="shared" si="0"/>
        <v>1</v>
      </c>
      <c r="T38" s="66">
        <f t="shared" si="0"/>
        <v>1.0016863406408094</v>
      </c>
      <c r="U38" s="66">
        <f t="shared" si="0"/>
        <v>1.0033783783783783</v>
      </c>
      <c r="V38" s="66">
        <f t="shared" si="0"/>
        <v>1.0050761421319796</v>
      </c>
      <c r="W38" s="66">
        <f t="shared" si="0"/>
        <v>1.006779661016949</v>
      </c>
      <c r="X38" s="66">
        <f t="shared" si="0"/>
        <v>1.0084889643463497</v>
      </c>
      <c r="Y38" s="66">
        <f t="shared" si="0"/>
        <v>1.010204081632653</v>
      </c>
      <c r="Z38" s="66">
        <f t="shared" si="1"/>
        <v>1.0119250425894377</v>
      </c>
      <c r="AA38" s="66">
        <f t="shared" si="1"/>
        <v>1.0136518771331058</v>
      </c>
      <c r="AB38" s="66">
        <f t="shared" si="1"/>
        <v>1.0153846153846153</v>
      </c>
      <c r="AC38" s="66">
        <f t="shared" si="1"/>
        <v>1.0171232876712328</v>
      </c>
      <c r="AD38" s="66">
        <f t="shared" si="1"/>
        <v>1.0188679245283019</v>
      </c>
      <c r="AE38" s="66">
        <f t="shared" si="1"/>
        <v>1.0206185567010309</v>
      </c>
      <c r="AF38" s="66">
        <f t="shared" si="1"/>
        <v>1.0223752151462995</v>
      </c>
      <c r="AG38" s="66">
        <f t="shared" si="1"/>
        <v>1.0241379310344827</v>
      </c>
      <c r="AH38" s="66">
        <f t="shared" si="1"/>
        <v>1.0259067357512954</v>
      </c>
      <c r="AI38" s="66">
        <f t="shared" si="1"/>
        <v>1.027681660899654</v>
      </c>
      <c r="AJ38" s="66">
        <f t="shared" si="2"/>
        <v>1.0294627383015598</v>
      </c>
      <c r="AK38" s="66">
        <f t="shared" si="2"/>
        <v>1.03125</v>
      </c>
      <c r="AL38" s="66">
        <f t="shared" si="2"/>
        <v>1.0330434782608695</v>
      </c>
      <c r="AM38" s="66">
        <f t="shared" si="2"/>
        <v>1.0348432055749128</v>
      </c>
      <c r="AN38" s="66">
        <f t="shared" si="2"/>
        <v>1.036649214659686</v>
      </c>
      <c r="AO38" s="66">
        <f t="shared" si="2"/>
        <v>1.0384615384615385</v>
      </c>
      <c r="AP38" s="66">
        <f t="shared" si="2"/>
        <v>1.0402802101576183</v>
      </c>
      <c r="AQ38" s="66">
        <f t="shared" si="2"/>
        <v>1.0421052631578946</v>
      </c>
      <c r="AR38" s="66">
        <f t="shared" si="2"/>
        <v>1.0439367311072056</v>
      </c>
      <c r="AS38" s="66">
        <f t="shared" si="2"/>
        <v>1.045774647887324</v>
      </c>
      <c r="AT38" s="66">
        <f t="shared" si="3"/>
        <v>1.0476190476190477</v>
      </c>
      <c r="AU38" s="66">
        <f t="shared" si="3"/>
        <v>1.0494699646643109</v>
      </c>
      <c r="AV38" s="66">
        <f t="shared" si="3"/>
        <v>1.0513274336283185</v>
      </c>
      <c r="AW38" s="66">
        <f t="shared" si="3"/>
        <v>1.053191489361702</v>
      </c>
      <c r="AX38" s="66">
        <f t="shared" si="3"/>
        <v>1.0550621669626998</v>
      </c>
      <c r="AY38" s="66">
        <f t="shared" si="3"/>
        <v>1.0569395017793595</v>
      </c>
      <c r="AZ38" s="66">
        <f t="shared" si="3"/>
        <v>1.0588235294117647</v>
      </c>
      <c r="BA38" s="66">
        <f t="shared" si="3"/>
        <v>1.0607142857142857</v>
      </c>
      <c r="BB38" s="66">
        <f t="shared" si="3"/>
        <v>1.0626118067978534</v>
      </c>
      <c r="BC38" s="66">
        <f t="shared" si="3"/>
        <v>1.064516129032258</v>
      </c>
      <c r="BD38" s="66">
        <f t="shared" si="4"/>
        <v>1.0664272890484741</v>
      </c>
      <c r="BE38" s="66">
        <f t="shared" si="4"/>
        <v>1.0683453237410072</v>
      </c>
      <c r="BF38" s="66">
        <f t="shared" si="4"/>
        <v>1.0702702702702702</v>
      </c>
      <c r="BG38" s="66">
        <f t="shared" si="4"/>
        <v>1.0722021660649819</v>
      </c>
      <c r="BH38" s="66">
        <f t="shared" si="4"/>
        <v>1.074141048824593</v>
      </c>
      <c r="BI38" s="66">
        <f t="shared" si="4"/>
        <v>1.076086956521739</v>
      </c>
      <c r="BJ38" s="66">
        <f t="shared" si="4"/>
        <v>1.0780399274047188</v>
      </c>
      <c r="BK38" s="66">
        <f t="shared" si="4"/>
        <v>1.08</v>
      </c>
      <c r="BL38" s="66">
        <f t="shared" si="4"/>
        <v>1.0819672131147542</v>
      </c>
      <c r="BM38" s="66">
        <f t="shared" si="4"/>
        <v>1.083941605839416</v>
      </c>
    </row>
    <row r="39" spans="14:65" s="56" customFormat="1" x14ac:dyDescent="0.15">
      <c r="N39" s="173"/>
      <c r="O39" s="56">
        <v>296</v>
      </c>
      <c r="P39" s="66">
        <f t="shared" si="0"/>
        <v>0.99328859060402686</v>
      </c>
      <c r="Q39" s="66">
        <f t="shared" si="0"/>
        <v>0.99495798319327733</v>
      </c>
      <c r="R39" s="66">
        <f t="shared" si="0"/>
        <v>0.99663299663299665</v>
      </c>
      <c r="S39" s="66">
        <f t="shared" si="0"/>
        <v>0.99831365935919059</v>
      </c>
      <c r="T39" s="66">
        <f t="shared" si="0"/>
        <v>1</v>
      </c>
      <c r="U39" s="66">
        <f t="shared" si="0"/>
        <v>1.0016920473773265</v>
      </c>
      <c r="V39" s="66">
        <f t="shared" si="0"/>
        <v>1.0033898305084745</v>
      </c>
      <c r="W39" s="66">
        <f t="shared" si="0"/>
        <v>1.0050933786078098</v>
      </c>
      <c r="X39" s="66">
        <f t="shared" si="0"/>
        <v>1.0068027210884354</v>
      </c>
      <c r="Y39" s="66">
        <f t="shared" si="0"/>
        <v>1.0085178875638841</v>
      </c>
      <c r="Z39" s="66">
        <f t="shared" si="1"/>
        <v>1.0102389078498293</v>
      </c>
      <c r="AA39" s="66">
        <f t="shared" si="1"/>
        <v>1.0119658119658119</v>
      </c>
      <c r="AB39" s="66">
        <f t="shared" si="1"/>
        <v>1.0136986301369864</v>
      </c>
      <c r="AC39" s="66">
        <f t="shared" si="1"/>
        <v>1.0154373927958833</v>
      </c>
      <c r="AD39" s="66">
        <f t="shared" si="1"/>
        <v>1.0171821305841924</v>
      </c>
      <c r="AE39" s="66">
        <f t="shared" si="1"/>
        <v>1.0189328743545611</v>
      </c>
      <c r="AF39" s="66">
        <f t="shared" si="1"/>
        <v>1.0206896551724138</v>
      </c>
      <c r="AG39" s="66">
        <f t="shared" si="1"/>
        <v>1.0224525043177892</v>
      </c>
      <c r="AH39" s="66">
        <f t="shared" si="1"/>
        <v>1.0242214532871972</v>
      </c>
      <c r="AI39" s="66">
        <f t="shared" si="1"/>
        <v>1.0259965337954939</v>
      </c>
      <c r="AJ39" s="66">
        <f t="shared" si="2"/>
        <v>1.0277777777777777</v>
      </c>
      <c r="AK39" s="66">
        <f t="shared" si="2"/>
        <v>1.0295652173913044</v>
      </c>
      <c r="AL39" s="66">
        <f t="shared" si="2"/>
        <v>1.0313588850174216</v>
      </c>
      <c r="AM39" s="66">
        <f t="shared" si="2"/>
        <v>1.0331588132635252</v>
      </c>
      <c r="AN39" s="66">
        <f t="shared" si="2"/>
        <v>1.034965034965035</v>
      </c>
      <c r="AO39" s="66">
        <f t="shared" si="2"/>
        <v>1.0367775831873904</v>
      </c>
      <c r="AP39" s="66">
        <f t="shared" si="2"/>
        <v>1.0385964912280701</v>
      </c>
      <c r="AQ39" s="66">
        <f t="shared" si="2"/>
        <v>1.0404217926186292</v>
      </c>
      <c r="AR39" s="66">
        <f t="shared" si="2"/>
        <v>1.0422535211267605</v>
      </c>
      <c r="AS39" s="66">
        <f t="shared" si="2"/>
        <v>1.0440917107583774</v>
      </c>
      <c r="AT39" s="66">
        <f t="shared" si="3"/>
        <v>1.0459363957597174</v>
      </c>
      <c r="AU39" s="66">
        <f t="shared" si="3"/>
        <v>1.047787610619469</v>
      </c>
      <c r="AV39" s="66">
        <f t="shared" si="3"/>
        <v>1.0496453900709219</v>
      </c>
      <c r="AW39" s="66">
        <f t="shared" si="3"/>
        <v>1.0515097690941386</v>
      </c>
      <c r="AX39" s="66">
        <f t="shared" si="3"/>
        <v>1.0533807829181494</v>
      </c>
      <c r="AY39" s="66">
        <f t="shared" si="3"/>
        <v>1.0552584670231728</v>
      </c>
      <c r="AZ39" s="66">
        <f t="shared" si="3"/>
        <v>1.0571428571428572</v>
      </c>
      <c r="BA39" s="66">
        <f t="shared" si="3"/>
        <v>1.0590339892665475</v>
      </c>
      <c r="BB39" s="66">
        <f t="shared" si="3"/>
        <v>1.0609318996415771</v>
      </c>
      <c r="BC39" s="66">
        <f t="shared" si="3"/>
        <v>1.0628366247755834</v>
      </c>
      <c r="BD39" s="66">
        <f t="shared" si="4"/>
        <v>1.064748201438849</v>
      </c>
      <c r="BE39" s="66">
        <f t="shared" si="4"/>
        <v>1.0666666666666667</v>
      </c>
      <c r="BF39" s="66">
        <f t="shared" si="4"/>
        <v>1.0685920577617329</v>
      </c>
      <c r="BG39" s="66">
        <f t="shared" si="4"/>
        <v>1.0705244122965643</v>
      </c>
      <c r="BH39" s="66">
        <f t="shared" si="4"/>
        <v>1.0724637681159421</v>
      </c>
      <c r="BI39" s="66">
        <f t="shared" si="4"/>
        <v>1.074410163339383</v>
      </c>
      <c r="BJ39" s="66">
        <f t="shared" si="4"/>
        <v>1.0763636363636364</v>
      </c>
      <c r="BK39" s="66">
        <f t="shared" si="4"/>
        <v>1.0783242258652095</v>
      </c>
      <c r="BL39" s="66">
        <f t="shared" si="4"/>
        <v>1.0802919708029197</v>
      </c>
      <c r="BM39" s="66">
        <f t="shared" si="4"/>
        <v>1.0822669104204754</v>
      </c>
    </row>
    <row r="40" spans="14:65" s="56" customFormat="1" x14ac:dyDescent="0.15">
      <c r="N40" s="173"/>
      <c r="O40" s="56">
        <v>295</v>
      </c>
      <c r="P40" s="66">
        <f t="shared" si="0"/>
        <v>0.99159663865546221</v>
      </c>
      <c r="Q40" s="66">
        <f t="shared" si="0"/>
        <v>0.9932659932659933</v>
      </c>
      <c r="R40" s="66">
        <f t="shared" si="0"/>
        <v>0.99494097807757165</v>
      </c>
      <c r="S40" s="66">
        <f t="shared" si="0"/>
        <v>0.9966216216216216</v>
      </c>
      <c r="T40" s="66">
        <f t="shared" si="0"/>
        <v>0.99830795262267347</v>
      </c>
      <c r="U40" s="66">
        <f t="shared" si="0"/>
        <v>1</v>
      </c>
      <c r="V40" s="66">
        <f t="shared" si="0"/>
        <v>1.0016977928692699</v>
      </c>
      <c r="W40" s="66">
        <f t="shared" si="0"/>
        <v>1.0034013605442176</v>
      </c>
      <c r="X40" s="66">
        <f t="shared" si="0"/>
        <v>1.0051107325383304</v>
      </c>
      <c r="Y40" s="66">
        <f t="shared" si="0"/>
        <v>1.006825938566553</v>
      </c>
      <c r="Z40" s="66">
        <f t="shared" si="1"/>
        <v>1.0085470085470085</v>
      </c>
      <c r="AA40" s="66">
        <f t="shared" si="1"/>
        <v>1.0102739726027397</v>
      </c>
      <c r="AB40" s="66">
        <f t="shared" si="1"/>
        <v>1.0120068610634649</v>
      </c>
      <c r="AC40" s="66">
        <f t="shared" si="1"/>
        <v>1.0137457044673539</v>
      </c>
      <c r="AD40" s="66">
        <f t="shared" si="1"/>
        <v>1.0154905335628228</v>
      </c>
      <c r="AE40" s="66">
        <f t="shared" si="1"/>
        <v>1.0172413793103448</v>
      </c>
      <c r="AF40" s="66">
        <f t="shared" si="1"/>
        <v>1.0189982728842832</v>
      </c>
      <c r="AG40" s="66">
        <f t="shared" si="1"/>
        <v>1.0207612456747406</v>
      </c>
      <c r="AH40" s="66">
        <f t="shared" si="1"/>
        <v>1.0225303292894281</v>
      </c>
      <c r="AI40" s="66">
        <f t="shared" si="1"/>
        <v>1.0243055555555556</v>
      </c>
      <c r="AJ40" s="66">
        <f t="shared" si="2"/>
        <v>1.0260869565217392</v>
      </c>
      <c r="AK40" s="66">
        <f t="shared" si="2"/>
        <v>1.0278745644599303</v>
      </c>
      <c r="AL40" s="66">
        <f t="shared" si="2"/>
        <v>1.0296684118673647</v>
      </c>
      <c r="AM40" s="66">
        <f t="shared" si="2"/>
        <v>1.0314685314685315</v>
      </c>
      <c r="AN40" s="66">
        <f t="shared" si="2"/>
        <v>1.0332749562171628</v>
      </c>
      <c r="AO40" s="66">
        <f t="shared" si="2"/>
        <v>1.0350877192982457</v>
      </c>
      <c r="AP40" s="66">
        <f t="shared" si="2"/>
        <v>1.0369068541300528</v>
      </c>
      <c r="AQ40" s="66">
        <f t="shared" si="2"/>
        <v>1.0387323943661972</v>
      </c>
      <c r="AR40" s="66">
        <f t="shared" si="2"/>
        <v>1.0405643738977073</v>
      </c>
      <c r="AS40" s="66">
        <f t="shared" si="2"/>
        <v>1.0424028268551238</v>
      </c>
      <c r="AT40" s="66">
        <f t="shared" si="3"/>
        <v>1.0442477876106195</v>
      </c>
      <c r="AU40" s="66">
        <f t="shared" si="3"/>
        <v>1.0460992907801419</v>
      </c>
      <c r="AV40" s="66">
        <f t="shared" si="3"/>
        <v>1.0479573712255772</v>
      </c>
      <c r="AW40" s="66">
        <f t="shared" si="3"/>
        <v>1.0498220640569396</v>
      </c>
      <c r="AX40" s="66">
        <f t="shared" si="3"/>
        <v>1.0516934046345812</v>
      </c>
      <c r="AY40" s="66">
        <f t="shared" si="3"/>
        <v>1.0535714285714286</v>
      </c>
      <c r="AZ40" s="66">
        <f t="shared" si="3"/>
        <v>1.0554561717352415</v>
      </c>
      <c r="BA40" s="66">
        <f t="shared" si="3"/>
        <v>1.0573476702508962</v>
      </c>
      <c r="BB40" s="66">
        <f t="shared" si="3"/>
        <v>1.0592459605026929</v>
      </c>
      <c r="BC40" s="66">
        <f t="shared" si="3"/>
        <v>1.0611510791366907</v>
      </c>
      <c r="BD40" s="66">
        <f t="shared" si="4"/>
        <v>1.0630630630630631</v>
      </c>
      <c r="BE40" s="66">
        <f t="shared" si="4"/>
        <v>1.0649819494584838</v>
      </c>
      <c r="BF40" s="66">
        <f t="shared" si="4"/>
        <v>1.0669077757685352</v>
      </c>
      <c r="BG40" s="66">
        <f t="shared" si="4"/>
        <v>1.068840579710145</v>
      </c>
      <c r="BH40" s="66">
        <f t="shared" si="4"/>
        <v>1.0707803992740472</v>
      </c>
      <c r="BI40" s="66">
        <f t="shared" si="4"/>
        <v>1.0727272727272728</v>
      </c>
      <c r="BJ40" s="66">
        <f t="shared" si="4"/>
        <v>1.0746812386156648</v>
      </c>
      <c r="BK40" s="66">
        <f t="shared" si="4"/>
        <v>1.0766423357664234</v>
      </c>
      <c r="BL40" s="66">
        <f t="shared" si="4"/>
        <v>1.0786106032906764</v>
      </c>
      <c r="BM40" s="66">
        <f t="shared" si="4"/>
        <v>1.0805860805860805</v>
      </c>
    </row>
    <row r="41" spans="14:65" s="56" customFormat="1" x14ac:dyDescent="0.15">
      <c r="N41" s="173"/>
      <c r="O41" s="56">
        <v>294</v>
      </c>
      <c r="P41" s="66">
        <f t="shared" si="0"/>
        <v>0.98989898989898994</v>
      </c>
      <c r="Q41" s="66">
        <f t="shared" si="0"/>
        <v>0.99156829679595282</v>
      </c>
      <c r="R41" s="66">
        <f t="shared" si="0"/>
        <v>0.9932432432432432</v>
      </c>
      <c r="S41" s="66">
        <f t="shared" si="0"/>
        <v>0.99492385786802029</v>
      </c>
      <c r="T41" s="66">
        <f t="shared" si="0"/>
        <v>0.99661016949152548</v>
      </c>
      <c r="U41" s="66">
        <f t="shared" si="0"/>
        <v>0.99830220713073003</v>
      </c>
      <c r="V41" s="66">
        <f t="shared" si="0"/>
        <v>1</v>
      </c>
      <c r="W41" s="66">
        <f t="shared" si="0"/>
        <v>1.0017035775127767</v>
      </c>
      <c r="X41" s="66">
        <f t="shared" si="0"/>
        <v>1.0034129692832765</v>
      </c>
      <c r="Y41" s="66">
        <f t="shared" si="0"/>
        <v>1.0051282051282051</v>
      </c>
      <c r="Z41" s="66">
        <f t="shared" si="1"/>
        <v>1.0068493150684932</v>
      </c>
      <c r="AA41" s="66">
        <f t="shared" si="1"/>
        <v>1.0085763293310464</v>
      </c>
      <c r="AB41" s="66">
        <f t="shared" si="1"/>
        <v>1.0103092783505154</v>
      </c>
      <c r="AC41" s="66">
        <f t="shared" si="1"/>
        <v>1.0120481927710843</v>
      </c>
      <c r="AD41" s="66">
        <f t="shared" si="1"/>
        <v>1.0137931034482759</v>
      </c>
      <c r="AE41" s="66">
        <f t="shared" si="1"/>
        <v>1.0155440414507773</v>
      </c>
      <c r="AF41" s="66">
        <f t="shared" si="1"/>
        <v>1.0173010380622838</v>
      </c>
      <c r="AG41" s="66">
        <f t="shared" si="1"/>
        <v>1.0190641247833623</v>
      </c>
      <c r="AH41" s="66">
        <f t="shared" si="1"/>
        <v>1.0208333333333333</v>
      </c>
      <c r="AI41" s="66">
        <f t="shared" si="1"/>
        <v>1.0226086956521738</v>
      </c>
      <c r="AJ41" s="66">
        <f t="shared" si="2"/>
        <v>1.024390243902439</v>
      </c>
      <c r="AK41" s="66">
        <f t="shared" si="2"/>
        <v>1.0261780104712042</v>
      </c>
      <c r="AL41" s="66">
        <f t="shared" si="2"/>
        <v>1.0279720279720279</v>
      </c>
      <c r="AM41" s="66">
        <f t="shared" si="2"/>
        <v>1.0297723292469352</v>
      </c>
      <c r="AN41" s="66">
        <f t="shared" si="2"/>
        <v>1.0315789473684212</v>
      </c>
      <c r="AO41" s="66">
        <f t="shared" si="2"/>
        <v>1.0333919156414764</v>
      </c>
      <c r="AP41" s="66">
        <f t="shared" si="2"/>
        <v>1.0352112676056338</v>
      </c>
      <c r="AQ41" s="66">
        <f t="shared" si="2"/>
        <v>1.037037037037037</v>
      </c>
      <c r="AR41" s="66">
        <f t="shared" si="2"/>
        <v>1.0388692579505301</v>
      </c>
      <c r="AS41" s="66">
        <f t="shared" si="2"/>
        <v>1.0407079646017698</v>
      </c>
      <c r="AT41" s="66">
        <f t="shared" si="3"/>
        <v>1.0425531914893618</v>
      </c>
      <c r="AU41" s="66">
        <f t="shared" si="3"/>
        <v>1.044404973357016</v>
      </c>
      <c r="AV41" s="66">
        <f t="shared" si="3"/>
        <v>1.0462633451957295</v>
      </c>
      <c r="AW41" s="66">
        <f t="shared" si="3"/>
        <v>1.0481283422459893</v>
      </c>
      <c r="AX41" s="66">
        <f t="shared" si="3"/>
        <v>1.05</v>
      </c>
      <c r="AY41" s="66">
        <f t="shared" si="3"/>
        <v>1.0518783542039356</v>
      </c>
      <c r="AZ41" s="66">
        <f t="shared" si="3"/>
        <v>1.053763440860215</v>
      </c>
      <c r="BA41" s="66">
        <f t="shared" si="3"/>
        <v>1.0556552962298025</v>
      </c>
      <c r="BB41" s="66">
        <f t="shared" si="3"/>
        <v>1.0575539568345325</v>
      </c>
      <c r="BC41" s="66">
        <f t="shared" si="3"/>
        <v>1.0594594594594595</v>
      </c>
      <c r="BD41" s="66">
        <f t="shared" si="4"/>
        <v>1.0613718411552346</v>
      </c>
      <c r="BE41" s="66">
        <f t="shared" si="4"/>
        <v>1.0632911392405062</v>
      </c>
      <c r="BF41" s="66">
        <f t="shared" si="4"/>
        <v>1.0652173913043479</v>
      </c>
      <c r="BG41" s="66">
        <f t="shared" si="4"/>
        <v>1.0671506352087115</v>
      </c>
      <c r="BH41" s="66">
        <f t="shared" si="4"/>
        <v>1.0690909090909091</v>
      </c>
      <c r="BI41" s="66">
        <f t="shared" si="4"/>
        <v>1.0710382513661203</v>
      </c>
      <c r="BJ41" s="66">
        <f t="shared" si="4"/>
        <v>1.0729927007299269</v>
      </c>
      <c r="BK41" s="66">
        <f t="shared" si="4"/>
        <v>1.0749542961608776</v>
      </c>
      <c r="BL41" s="66">
        <f t="shared" si="4"/>
        <v>1.0769230769230769</v>
      </c>
      <c r="BM41" s="66">
        <f t="shared" si="4"/>
        <v>1.0788990825688074</v>
      </c>
    </row>
    <row r="42" spans="14:65" s="56" customFormat="1" x14ac:dyDescent="0.15">
      <c r="N42" s="173"/>
      <c r="O42" s="56">
        <v>293</v>
      </c>
      <c r="P42" s="66">
        <f t="shared" si="0"/>
        <v>0.98819561551433388</v>
      </c>
      <c r="Q42" s="66">
        <f t="shared" si="0"/>
        <v>0.98986486486486491</v>
      </c>
      <c r="R42" s="66">
        <f t="shared" si="0"/>
        <v>0.99153976311336722</v>
      </c>
      <c r="S42" s="66">
        <f t="shared" si="0"/>
        <v>0.99322033898305084</v>
      </c>
      <c r="T42" s="66">
        <f t="shared" si="0"/>
        <v>0.9949066213921901</v>
      </c>
      <c r="U42" s="66">
        <f t="shared" si="0"/>
        <v>0.99659863945578231</v>
      </c>
      <c r="V42" s="66">
        <f t="shared" si="0"/>
        <v>0.99829642248722317</v>
      </c>
      <c r="W42" s="66">
        <f t="shared" si="0"/>
        <v>1</v>
      </c>
      <c r="X42" s="66">
        <f t="shared" si="0"/>
        <v>1.0017094017094017</v>
      </c>
      <c r="Y42" s="66">
        <f t="shared" si="0"/>
        <v>1.0034246575342465</v>
      </c>
      <c r="Z42" s="66">
        <f t="shared" si="1"/>
        <v>1.0051457975986278</v>
      </c>
      <c r="AA42" s="66">
        <f t="shared" si="1"/>
        <v>1.006872852233677</v>
      </c>
      <c r="AB42" s="66">
        <f t="shared" si="1"/>
        <v>1.0086058519793459</v>
      </c>
      <c r="AC42" s="66">
        <f t="shared" si="1"/>
        <v>1.0103448275862068</v>
      </c>
      <c r="AD42" s="66">
        <f t="shared" si="1"/>
        <v>1.0120898100172711</v>
      </c>
      <c r="AE42" s="66">
        <f t="shared" si="1"/>
        <v>1.013840830449827</v>
      </c>
      <c r="AF42" s="66">
        <f t="shared" si="1"/>
        <v>1.0155979202772965</v>
      </c>
      <c r="AG42" s="66">
        <f t="shared" si="1"/>
        <v>1.0173611111111112</v>
      </c>
      <c r="AH42" s="66">
        <f t="shared" si="1"/>
        <v>1.0191304347826087</v>
      </c>
      <c r="AI42" s="66">
        <f t="shared" si="1"/>
        <v>1.0209059233449478</v>
      </c>
      <c r="AJ42" s="66">
        <f t="shared" si="2"/>
        <v>1.0226876090750436</v>
      </c>
      <c r="AK42" s="66">
        <f t="shared" si="2"/>
        <v>1.0244755244755244</v>
      </c>
      <c r="AL42" s="66">
        <f t="shared" si="2"/>
        <v>1.0262697022767076</v>
      </c>
      <c r="AM42" s="66">
        <f t="shared" si="2"/>
        <v>1.0280701754385966</v>
      </c>
      <c r="AN42" s="66">
        <f t="shared" si="2"/>
        <v>1.0298769771528997</v>
      </c>
      <c r="AO42" s="66">
        <f t="shared" si="2"/>
        <v>1.0316901408450705</v>
      </c>
      <c r="AP42" s="66">
        <f t="shared" si="2"/>
        <v>1.0335097001763669</v>
      </c>
      <c r="AQ42" s="66">
        <f t="shared" si="2"/>
        <v>1.0353356890459364</v>
      </c>
      <c r="AR42" s="66">
        <f t="shared" si="2"/>
        <v>1.0371681415929204</v>
      </c>
      <c r="AS42" s="66">
        <f t="shared" si="2"/>
        <v>1.0390070921985815</v>
      </c>
      <c r="AT42" s="66">
        <f t="shared" si="3"/>
        <v>1.0408525754884548</v>
      </c>
      <c r="AU42" s="66">
        <f t="shared" si="3"/>
        <v>1.0427046263345197</v>
      </c>
      <c r="AV42" s="66">
        <f t="shared" si="3"/>
        <v>1.0445632798573976</v>
      </c>
      <c r="AW42" s="66">
        <f t="shared" si="3"/>
        <v>1.0464285714285715</v>
      </c>
      <c r="AX42" s="66">
        <f t="shared" si="3"/>
        <v>1.0483005366726297</v>
      </c>
      <c r="AY42" s="66">
        <f t="shared" si="3"/>
        <v>1.0501792114695341</v>
      </c>
      <c r="AZ42" s="66">
        <f t="shared" si="3"/>
        <v>1.052064631956912</v>
      </c>
      <c r="BA42" s="66">
        <f t="shared" si="3"/>
        <v>1.0539568345323742</v>
      </c>
      <c r="BB42" s="66">
        <f t="shared" si="3"/>
        <v>1.055855855855856</v>
      </c>
      <c r="BC42" s="66">
        <f t="shared" si="3"/>
        <v>1.0577617328519855</v>
      </c>
      <c r="BD42" s="66">
        <f t="shared" si="4"/>
        <v>1.0596745027124774</v>
      </c>
      <c r="BE42" s="66">
        <f t="shared" si="4"/>
        <v>1.0615942028985508</v>
      </c>
      <c r="BF42" s="66">
        <f t="shared" si="4"/>
        <v>1.0635208711433757</v>
      </c>
      <c r="BG42" s="66">
        <f t="shared" si="4"/>
        <v>1.0654545454545454</v>
      </c>
      <c r="BH42" s="66">
        <f t="shared" si="4"/>
        <v>1.0673952641165756</v>
      </c>
      <c r="BI42" s="66">
        <f t="shared" si="4"/>
        <v>1.0693430656934306</v>
      </c>
      <c r="BJ42" s="66">
        <f t="shared" si="4"/>
        <v>1.0712979890310785</v>
      </c>
      <c r="BK42" s="66">
        <f t="shared" si="4"/>
        <v>1.0732600732600732</v>
      </c>
      <c r="BL42" s="66">
        <f t="shared" si="4"/>
        <v>1.0752293577981651</v>
      </c>
      <c r="BM42" s="66">
        <f t="shared" si="4"/>
        <v>1.0772058823529411</v>
      </c>
    </row>
    <row r="43" spans="14:65" s="56" customFormat="1" x14ac:dyDescent="0.15">
      <c r="N43" s="173"/>
      <c r="O43" s="56">
        <v>292</v>
      </c>
      <c r="P43" s="66">
        <f t="shared" si="0"/>
        <v>0.98648648648648651</v>
      </c>
      <c r="Q43" s="66">
        <f t="shared" si="0"/>
        <v>0.98815566835871405</v>
      </c>
      <c r="R43" s="66">
        <f t="shared" si="0"/>
        <v>0.98983050847457632</v>
      </c>
      <c r="S43" s="66">
        <f t="shared" si="0"/>
        <v>0.99151103565365029</v>
      </c>
      <c r="T43" s="66">
        <f t="shared" si="0"/>
        <v>0.99319727891156462</v>
      </c>
      <c r="U43" s="66">
        <f t="shared" si="0"/>
        <v>0.9948892674616695</v>
      </c>
      <c r="V43" s="66">
        <f t="shared" si="0"/>
        <v>0.9965870307167235</v>
      </c>
      <c r="W43" s="66">
        <f t="shared" si="0"/>
        <v>0.9982905982905983</v>
      </c>
      <c r="X43" s="66">
        <f t="shared" si="0"/>
        <v>1</v>
      </c>
      <c r="Y43" s="66">
        <f t="shared" si="0"/>
        <v>1.0017152658662092</v>
      </c>
      <c r="Z43" s="66">
        <f t="shared" si="1"/>
        <v>1.0034364261168385</v>
      </c>
      <c r="AA43" s="66">
        <f t="shared" si="1"/>
        <v>1.0051635111876076</v>
      </c>
      <c r="AB43" s="66">
        <f t="shared" si="1"/>
        <v>1.0068965517241379</v>
      </c>
      <c r="AC43" s="66">
        <f t="shared" si="1"/>
        <v>1.0086355785837651</v>
      </c>
      <c r="AD43" s="66">
        <f t="shared" si="1"/>
        <v>1.0103806228373702</v>
      </c>
      <c r="AE43" s="66">
        <f t="shared" si="1"/>
        <v>1.0121317157712304</v>
      </c>
      <c r="AF43" s="66">
        <f t="shared" si="1"/>
        <v>1.0138888888888888</v>
      </c>
      <c r="AG43" s="66">
        <f t="shared" si="1"/>
        <v>1.0156521739130435</v>
      </c>
      <c r="AH43" s="66">
        <f t="shared" si="1"/>
        <v>1.0174216027874565</v>
      </c>
      <c r="AI43" s="66">
        <f t="shared" si="1"/>
        <v>1.0191972076788831</v>
      </c>
      <c r="AJ43" s="66">
        <f t="shared" si="2"/>
        <v>1.020979020979021</v>
      </c>
      <c r="AK43" s="66">
        <f t="shared" si="2"/>
        <v>1.0227670753064799</v>
      </c>
      <c r="AL43" s="66">
        <f t="shared" si="2"/>
        <v>1.024561403508772</v>
      </c>
      <c r="AM43" s="66">
        <f t="shared" si="2"/>
        <v>1.0263620386643233</v>
      </c>
      <c r="AN43" s="66">
        <f t="shared" si="2"/>
        <v>1.028169014084507</v>
      </c>
      <c r="AO43" s="66">
        <f t="shared" si="2"/>
        <v>1.0299823633156966</v>
      </c>
      <c r="AP43" s="66">
        <f t="shared" si="2"/>
        <v>1.0318021201413428</v>
      </c>
      <c r="AQ43" s="66">
        <f t="shared" si="2"/>
        <v>1.0336283185840709</v>
      </c>
      <c r="AR43" s="66">
        <f t="shared" si="2"/>
        <v>1.0354609929078014</v>
      </c>
      <c r="AS43" s="66">
        <f t="shared" si="2"/>
        <v>1.0373001776198933</v>
      </c>
      <c r="AT43" s="66">
        <f t="shared" si="3"/>
        <v>1.0391459074733096</v>
      </c>
      <c r="AU43" s="66">
        <f t="shared" si="3"/>
        <v>1.0409982174688057</v>
      </c>
      <c r="AV43" s="66">
        <f t="shared" si="3"/>
        <v>1.0428571428571429</v>
      </c>
      <c r="AW43" s="66">
        <f t="shared" si="3"/>
        <v>1.0447227191413238</v>
      </c>
      <c r="AX43" s="66">
        <f t="shared" si="3"/>
        <v>1.0465949820788532</v>
      </c>
      <c r="AY43" s="66">
        <f t="shared" si="3"/>
        <v>1.0484739676840216</v>
      </c>
      <c r="AZ43" s="66">
        <f t="shared" si="3"/>
        <v>1.0503597122302157</v>
      </c>
      <c r="BA43" s="66">
        <f t="shared" si="3"/>
        <v>1.0522522522522522</v>
      </c>
      <c r="BB43" s="66">
        <f t="shared" si="3"/>
        <v>1.0541516245487366</v>
      </c>
      <c r="BC43" s="66">
        <f t="shared" si="3"/>
        <v>1.0560578661844484</v>
      </c>
      <c r="BD43" s="66">
        <f t="shared" si="4"/>
        <v>1.0579710144927537</v>
      </c>
      <c r="BE43" s="66">
        <f t="shared" si="4"/>
        <v>1.0598911070780399</v>
      </c>
      <c r="BF43" s="66">
        <f t="shared" si="4"/>
        <v>1.0618181818181818</v>
      </c>
      <c r="BG43" s="66">
        <f t="shared" si="4"/>
        <v>1.0637522768670309</v>
      </c>
      <c r="BH43" s="66">
        <f t="shared" si="4"/>
        <v>1.0656934306569343</v>
      </c>
      <c r="BI43" s="66">
        <f t="shared" si="4"/>
        <v>1.0676416819012797</v>
      </c>
      <c r="BJ43" s="66">
        <f t="shared" si="4"/>
        <v>1.0695970695970696</v>
      </c>
      <c r="BK43" s="66">
        <f t="shared" si="4"/>
        <v>1.071559633027523</v>
      </c>
      <c r="BL43" s="66">
        <f t="shared" si="4"/>
        <v>1.0735294117647058</v>
      </c>
      <c r="BM43" s="66">
        <f t="shared" si="4"/>
        <v>1.0755064456721914</v>
      </c>
    </row>
    <row r="44" spans="14:65" s="56" customFormat="1" x14ac:dyDescent="0.15">
      <c r="N44" s="173"/>
      <c r="O44" s="56">
        <v>291</v>
      </c>
      <c r="P44" s="66">
        <f t="shared" si="0"/>
        <v>0.98477157360406087</v>
      </c>
      <c r="Q44" s="66">
        <f t="shared" si="0"/>
        <v>0.98644067796610169</v>
      </c>
      <c r="R44" s="66">
        <f t="shared" si="0"/>
        <v>0.98811544991511036</v>
      </c>
      <c r="S44" s="66">
        <f t="shared" si="0"/>
        <v>0.98979591836734693</v>
      </c>
      <c r="T44" s="66">
        <f t="shared" si="0"/>
        <v>0.99148211243611584</v>
      </c>
      <c r="U44" s="66">
        <f t="shared" si="0"/>
        <v>0.99317406143344711</v>
      </c>
      <c r="V44" s="66">
        <f t="shared" si="0"/>
        <v>0.99487179487179489</v>
      </c>
      <c r="W44" s="66">
        <f t="shared" si="0"/>
        <v>0.99657534246575341</v>
      </c>
      <c r="X44" s="66">
        <f t="shared" si="0"/>
        <v>0.99828473413379071</v>
      </c>
      <c r="Y44" s="66">
        <f t="shared" si="0"/>
        <v>1</v>
      </c>
      <c r="Z44" s="66">
        <f t="shared" si="1"/>
        <v>1.0017211703958693</v>
      </c>
      <c r="AA44" s="66">
        <f t="shared" si="1"/>
        <v>1.0034482758620689</v>
      </c>
      <c r="AB44" s="66">
        <f t="shared" si="1"/>
        <v>1.0051813471502591</v>
      </c>
      <c r="AC44" s="66">
        <f t="shared" si="1"/>
        <v>1.0069204152249136</v>
      </c>
      <c r="AD44" s="66">
        <f t="shared" si="1"/>
        <v>1.0086655112651646</v>
      </c>
      <c r="AE44" s="66">
        <f t="shared" si="1"/>
        <v>1.0104166666666667</v>
      </c>
      <c r="AF44" s="66">
        <f t="shared" si="1"/>
        <v>1.0121739130434784</v>
      </c>
      <c r="AG44" s="66">
        <f t="shared" si="1"/>
        <v>1.0139372822299653</v>
      </c>
      <c r="AH44" s="66">
        <f t="shared" si="1"/>
        <v>1.0157068062827226</v>
      </c>
      <c r="AI44" s="66">
        <f t="shared" si="1"/>
        <v>1.0174825174825175</v>
      </c>
      <c r="AJ44" s="66">
        <f t="shared" si="2"/>
        <v>1.0192644483362523</v>
      </c>
      <c r="AK44" s="66">
        <f t="shared" si="2"/>
        <v>1.0210526315789474</v>
      </c>
      <c r="AL44" s="66">
        <f t="shared" si="2"/>
        <v>1.0228471001757469</v>
      </c>
      <c r="AM44" s="66">
        <f t="shared" si="2"/>
        <v>1.0246478873239437</v>
      </c>
      <c r="AN44" s="66">
        <f t="shared" si="2"/>
        <v>1.0264550264550265</v>
      </c>
      <c r="AO44" s="66">
        <f t="shared" si="2"/>
        <v>1.0282685512367491</v>
      </c>
      <c r="AP44" s="66">
        <f t="shared" si="2"/>
        <v>1.0300884955752212</v>
      </c>
      <c r="AQ44" s="66">
        <f t="shared" si="2"/>
        <v>1.0319148936170213</v>
      </c>
      <c r="AR44" s="66">
        <f t="shared" si="2"/>
        <v>1.0337477797513321</v>
      </c>
      <c r="AS44" s="66">
        <f t="shared" si="2"/>
        <v>1.0355871886120998</v>
      </c>
      <c r="AT44" s="66">
        <f t="shared" si="3"/>
        <v>1.0374331550802138</v>
      </c>
      <c r="AU44" s="66">
        <f t="shared" si="3"/>
        <v>1.0392857142857144</v>
      </c>
      <c r="AV44" s="66">
        <f t="shared" si="3"/>
        <v>1.0411449016100178</v>
      </c>
      <c r="AW44" s="66">
        <f t="shared" si="3"/>
        <v>1.043010752688172</v>
      </c>
      <c r="AX44" s="66">
        <f t="shared" si="3"/>
        <v>1.0448833034111311</v>
      </c>
      <c r="AY44" s="66">
        <f t="shared" si="3"/>
        <v>1.0467625899280575</v>
      </c>
      <c r="AZ44" s="66">
        <f t="shared" si="3"/>
        <v>1.0486486486486486</v>
      </c>
      <c r="BA44" s="66">
        <f t="shared" si="3"/>
        <v>1.0505415162454874</v>
      </c>
      <c r="BB44" s="66">
        <f t="shared" si="3"/>
        <v>1.0524412296564196</v>
      </c>
      <c r="BC44" s="66">
        <f t="shared" si="3"/>
        <v>1.0543478260869565</v>
      </c>
      <c r="BD44" s="66">
        <f t="shared" si="4"/>
        <v>1.0562613430127041</v>
      </c>
      <c r="BE44" s="66">
        <f t="shared" si="4"/>
        <v>1.0581818181818181</v>
      </c>
      <c r="BF44" s="66">
        <f t="shared" si="4"/>
        <v>1.0601092896174864</v>
      </c>
      <c r="BG44" s="66">
        <f t="shared" si="4"/>
        <v>1.062043795620438</v>
      </c>
      <c r="BH44" s="66">
        <f t="shared" si="4"/>
        <v>1.0639853747714807</v>
      </c>
      <c r="BI44" s="66">
        <f t="shared" si="4"/>
        <v>1.0659340659340659</v>
      </c>
      <c r="BJ44" s="66">
        <f t="shared" si="4"/>
        <v>1.0678899082568807</v>
      </c>
      <c r="BK44" s="66">
        <f t="shared" si="4"/>
        <v>1.0698529411764706</v>
      </c>
      <c r="BL44" s="66">
        <f t="shared" si="4"/>
        <v>1.0718232044198894</v>
      </c>
      <c r="BM44" s="66">
        <f t="shared" si="4"/>
        <v>1.0738007380073802</v>
      </c>
    </row>
    <row r="45" spans="14:65" s="56" customFormat="1" x14ac:dyDescent="0.15">
      <c r="N45" s="173"/>
      <c r="O45" s="56">
        <v>290</v>
      </c>
      <c r="P45" s="66">
        <f t="shared" ref="P45:Y54" si="5">$O45*2/($O45+P$34)</f>
        <v>0.98305084745762716</v>
      </c>
      <c r="Q45" s="66">
        <f t="shared" si="5"/>
        <v>0.98471986417657043</v>
      </c>
      <c r="R45" s="66">
        <f t="shared" si="5"/>
        <v>0.98639455782312924</v>
      </c>
      <c r="S45" s="66">
        <f t="shared" si="5"/>
        <v>0.98807495741056217</v>
      </c>
      <c r="T45" s="66">
        <f t="shared" si="5"/>
        <v>0.98976109215017061</v>
      </c>
      <c r="U45" s="66">
        <f t="shared" si="5"/>
        <v>0.99145299145299148</v>
      </c>
      <c r="V45" s="66">
        <f t="shared" si="5"/>
        <v>0.99315068493150682</v>
      </c>
      <c r="W45" s="66">
        <f t="shared" si="5"/>
        <v>0.99485420240137223</v>
      </c>
      <c r="X45" s="66">
        <f t="shared" si="5"/>
        <v>0.99656357388316152</v>
      </c>
      <c r="Y45" s="66">
        <f t="shared" si="5"/>
        <v>0.99827882960413084</v>
      </c>
      <c r="Z45" s="66">
        <f t="shared" ref="Z45:AI54" si="6">$O45*2/($O45+Z$34)</f>
        <v>1</v>
      </c>
      <c r="AA45" s="66">
        <f t="shared" si="6"/>
        <v>1.0017271157167531</v>
      </c>
      <c r="AB45" s="66">
        <f t="shared" si="6"/>
        <v>1.0034602076124568</v>
      </c>
      <c r="AC45" s="66">
        <f t="shared" si="6"/>
        <v>1.0051993067590987</v>
      </c>
      <c r="AD45" s="66">
        <f t="shared" si="6"/>
        <v>1.0069444444444444</v>
      </c>
      <c r="AE45" s="66">
        <f t="shared" si="6"/>
        <v>1.008695652173913</v>
      </c>
      <c r="AF45" s="66">
        <f t="shared" si="6"/>
        <v>1.0104529616724738</v>
      </c>
      <c r="AG45" s="66">
        <f t="shared" si="6"/>
        <v>1.0122164048865621</v>
      </c>
      <c r="AH45" s="66">
        <f t="shared" si="6"/>
        <v>1.013986013986014</v>
      </c>
      <c r="AI45" s="66">
        <f t="shared" si="6"/>
        <v>1.0157618213660244</v>
      </c>
      <c r="AJ45" s="66">
        <f t="shared" ref="AJ45:AS54" si="7">$O45*2/($O45+AJ$34)</f>
        <v>1.0175438596491229</v>
      </c>
      <c r="AK45" s="66">
        <f t="shared" si="7"/>
        <v>1.0193321616871704</v>
      </c>
      <c r="AL45" s="66">
        <f t="shared" si="7"/>
        <v>1.0211267605633803</v>
      </c>
      <c r="AM45" s="66">
        <f t="shared" si="7"/>
        <v>1.0229276895943562</v>
      </c>
      <c r="AN45" s="66">
        <f t="shared" si="7"/>
        <v>1.0247349823321554</v>
      </c>
      <c r="AO45" s="66">
        <f t="shared" si="7"/>
        <v>1.0265486725663717</v>
      </c>
      <c r="AP45" s="66">
        <f t="shared" si="7"/>
        <v>1.0283687943262412</v>
      </c>
      <c r="AQ45" s="66">
        <f t="shared" si="7"/>
        <v>1.0301953818827709</v>
      </c>
      <c r="AR45" s="66">
        <f t="shared" si="7"/>
        <v>1.0320284697508897</v>
      </c>
      <c r="AS45" s="66">
        <f t="shared" si="7"/>
        <v>1.0338680926916222</v>
      </c>
      <c r="AT45" s="66">
        <f t="shared" ref="AT45:BC54" si="8">$O45*2/($O45+AT$34)</f>
        <v>1.0357142857142858</v>
      </c>
      <c r="AU45" s="66">
        <f t="shared" si="8"/>
        <v>1.0375670840787119</v>
      </c>
      <c r="AV45" s="66">
        <f t="shared" si="8"/>
        <v>1.0394265232974911</v>
      </c>
      <c r="AW45" s="66">
        <f t="shared" si="8"/>
        <v>1.0412926391382407</v>
      </c>
      <c r="AX45" s="66">
        <f t="shared" si="8"/>
        <v>1.0431654676258992</v>
      </c>
      <c r="AY45" s="66">
        <f t="shared" si="8"/>
        <v>1.045045045045045</v>
      </c>
      <c r="AZ45" s="66">
        <f t="shared" si="8"/>
        <v>1.0469314079422383</v>
      </c>
      <c r="BA45" s="66">
        <f t="shared" si="8"/>
        <v>1.0488245931283906</v>
      </c>
      <c r="BB45" s="66">
        <f t="shared" si="8"/>
        <v>1.0507246376811594</v>
      </c>
      <c r="BC45" s="66">
        <f t="shared" si="8"/>
        <v>1.0526315789473684</v>
      </c>
      <c r="BD45" s="66">
        <f t="shared" ref="BD45:BM54" si="9">$O45*2/($O45+BD$34)</f>
        <v>1.0545454545454545</v>
      </c>
      <c r="BE45" s="66">
        <f t="shared" si="9"/>
        <v>1.0564663023679417</v>
      </c>
      <c r="BF45" s="66">
        <f t="shared" si="9"/>
        <v>1.0583941605839415</v>
      </c>
      <c r="BG45" s="66">
        <f t="shared" si="9"/>
        <v>1.0603290676416819</v>
      </c>
      <c r="BH45" s="66">
        <f t="shared" si="9"/>
        <v>1.0622710622710623</v>
      </c>
      <c r="BI45" s="66">
        <f t="shared" si="9"/>
        <v>1.0642201834862386</v>
      </c>
      <c r="BJ45" s="66">
        <f t="shared" si="9"/>
        <v>1.0661764705882353</v>
      </c>
      <c r="BK45" s="66">
        <f t="shared" si="9"/>
        <v>1.0681399631675874</v>
      </c>
      <c r="BL45" s="66">
        <f t="shared" si="9"/>
        <v>1.070110701107011</v>
      </c>
      <c r="BM45" s="66">
        <f t="shared" si="9"/>
        <v>1.0720887245841035</v>
      </c>
    </row>
    <row r="46" spans="14:65" s="56" customFormat="1" x14ac:dyDescent="0.15">
      <c r="N46" s="173"/>
      <c r="O46" s="56">
        <v>289</v>
      </c>
      <c r="P46" s="66">
        <f t="shared" si="5"/>
        <v>0.98132427843803061</v>
      </c>
      <c r="Q46" s="66">
        <f t="shared" si="5"/>
        <v>0.98299319727891155</v>
      </c>
      <c r="R46" s="66">
        <f t="shared" si="5"/>
        <v>0.98466780238500851</v>
      </c>
      <c r="S46" s="66">
        <f t="shared" si="5"/>
        <v>0.98634812286689422</v>
      </c>
      <c r="T46" s="66">
        <f t="shared" si="5"/>
        <v>0.98803418803418808</v>
      </c>
      <c r="U46" s="66">
        <f t="shared" si="5"/>
        <v>0.98972602739726023</v>
      </c>
      <c r="V46" s="66">
        <f t="shared" si="5"/>
        <v>0.99142367066895365</v>
      </c>
      <c r="W46" s="66">
        <f t="shared" si="5"/>
        <v>0.99312714776632305</v>
      </c>
      <c r="X46" s="66">
        <f t="shared" si="5"/>
        <v>0.99483648881239239</v>
      </c>
      <c r="Y46" s="66">
        <f t="shared" si="5"/>
        <v>0.99655172413793103</v>
      </c>
      <c r="Z46" s="66">
        <f t="shared" si="6"/>
        <v>0.99827288428324701</v>
      </c>
      <c r="AA46" s="66">
        <f t="shared" si="6"/>
        <v>1</v>
      </c>
      <c r="AB46" s="66">
        <f t="shared" si="6"/>
        <v>1.0017331022530329</v>
      </c>
      <c r="AC46" s="66">
        <f t="shared" si="6"/>
        <v>1.0034722222222223</v>
      </c>
      <c r="AD46" s="66">
        <f t="shared" si="6"/>
        <v>1.0052173913043478</v>
      </c>
      <c r="AE46" s="66">
        <f t="shared" si="6"/>
        <v>1.0069686411149825</v>
      </c>
      <c r="AF46" s="66">
        <f t="shared" si="6"/>
        <v>1.0087260034904013</v>
      </c>
      <c r="AG46" s="66">
        <f t="shared" si="6"/>
        <v>1.0104895104895104</v>
      </c>
      <c r="AH46" s="66">
        <f t="shared" si="6"/>
        <v>1.0122591943957968</v>
      </c>
      <c r="AI46" s="66">
        <f t="shared" si="6"/>
        <v>1.0140350877192983</v>
      </c>
      <c r="AJ46" s="66">
        <f t="shared" si="7"/>
        <v>1.015817223198594</v>
      </c>
      <c r="AK46" s="66">
        <f t="shared" si="7"/>
        <v>1.017605633802817</v>
      </c>
      <c r="AL46" s="66">
        <f t="shared" si="7"/>
        <v>1.0194003527336861</v>
      </c>
      <c r="AM46" s="66">
        <f t="shared" si="7"/>
        <v>1.0212014134275618</v>
      </c>
      <c r="AN46" s="66">
        <f t="shared" si="7"/>
        <v>1.023008849557522</v>
      </c>
      <c r="AO46" s="66">
        <f t="shared" si="7"/>
        <v>1.0248226950354611</v>
      </c>
      <c r="AP46" s="66">
        <f t="shared" si="7"/>
        <v>1.0266429840142095</v>
      </c>
      <c r="AQ46" s="66">
        <f t="shared" si="7"/>
        <v>1.0284697508896796</v>
      </c>
      <c r="AR46" s="66">
        <f t="shared" si="7"/>
        <v>1.0303030303030303</v>
      </c>
      <c r="AS46" s="66">
        <f t="shared" si="7"/>
        <v>1.0321428571428573</v>
      </c>
      <c r="AT46" s="66">
        <f t="shared" si="8"/>
        <v>1.033989266547406</v>
      </c>
      <c r="AU46" s="66">
        <f t="shared" si="8"/>
        <v>1.0358422939068099</v>
      </c>
      <c r="AV46" s="66">
        <f t="shared" si="8"/>
        <v>1.03770197486535</v>
      </c>
      <c r="AW46" s="66">
        <f t="shared" si="8"/>
        <v>1.039568345323741</v>
      </c>
      <c r="AX46" s="66">
        <f t="shared" si="8"/>
        <v>1.0414414414414415</v>
      </c>
      <c r="AY46" s="66">
        <f t="shared" si="8"/>
        <v>1.0433212996389891</v>
      </c>
      <c r="AZ46" s="66">
        <f t="shared" si="8"/>
        <v>1.0452079566003616</v>
      </c>
      <c r="BA46" s="66">
        <f t="shared" si="8"/>
        <v>1.0471014492753623</v>
      </c>
      <c r="BB46" s="66">
        <f t="shared" si="8"/>
        <v>1.0490018148820326</v>
      </c>
      <c r="BC46" s="66">
        <f t="shared" si="8"/>
        <v>1.050909090909091</v>
      </c>
      <c r="BD46" s="66">
        <f t="shared" si="9"/>
        <v>1.052823315118397</v>
      </c>
      <c r="BE46" s="66">
        <f t="shared" si="9"/>
        <v>1.0547445255474452</v>
      </c>
      <c r="BF46" s="66">
        <f t="shared" si="9"/>
        <v>1.0566727605118831</v>
      </c>
      <c r="BG46" s="66">
        <f t="shared" si="9"/>
        <v>1.0586080586080586</v>
      </c>
      <c r="BH46" s="66">
        <f t="shared" si="9"/>
        <v>1.0605504587155963</v>
      </c>
      <c r="BI46" s="66">
        <f t="shared" si="9"/>
        <v>1.0625</v>
      </c>
      <c r="BJ46" s="66">
        <f t="shared" si="9"/>
        <v>1.0644567219152854</v>
      </c>
      <c r="BK46" s="66">
        <f t="shared" si="9"/>
        <v>1.0664206642066421</v>
      </c>
      <c r="BL46" s="66">
        <f t="shared" si="9"/>
        <v>1.0683918669131238</v>
      </c>
      <c r="BM46" s="66">
        <f t="shared" si="9"/>
        <v>1.0703703703703704</v>
      </c>
    </row>
    <row r="47" spans="14:65" s="56" customFormat="1" x14ac:dyDescent="0.15">
      <c r="N47" s="173"/>
      <c r="O47" s="56">
        <v>288</v>
      </c>
      <c r="P47" s="66">
        <f t="shared" si="5"/>
        <v>0.97959183673469385</v>
      </c>
      <c r="Q47" s="66">
        <f t="shared" si="5"/>
        <v>0.98126064735945484</v>
      </c>
      <c r="R47" s="66">
        <f t="shared" si="5"/>
        <v>0.98293515358361772</v>
      </c>
      <c r="S47" s="66">
        <f t="shared" si="5"/>
        <v>0.98461538461538467</v>
      </c>
      <c r="T47" s="66">
        <f t="shared" si="5"/>
        <v>0.98630136986301364</v>
      </c>
      <c r="U47" s="66">
        <f t="shared" si="5"/>
        <v>0.98799313893653518</v>
      </c>
      <c r="V47" s="66">
        <f t="shared" si="5"/>
        <v>0.98969072164948457</v>
      </c>
      <c r="W47" s="66">
        <f t="shared" si="5"/>
        <v>0.99139414802065406</v>
      </c>
      <c r="X47" s="66">
        <f t="shared" si="5"/>
        <v>0.99310344827586206</v>
      </c>
      <c r="Y47" s="66">
        <f t="shared" si="5"/>
        <v>0.99481865284974091</v>
      </c>
      <c r="Z47" s="66">
        <f t="shared" si="6"/>
        <v>0.9965397923875432</v>
      </c>
      <c r="AA47" s="66">
        <f t="shared" si="6"/>
        <v>0.99826689774696709</v>
      </c>
      <c r="AB47" s="66">
        <f t="shared" si="6"/>
        <v>1</v>
      </c>
      <c r="AC47" s="66">
        <f t="shared" si="6"/>
        <v>1.0017391304347827</v>
      </c>
      <c r="AD47" s="66">
        <f t="shared" si="6"/>
        <v>1.0034843205574913</v>
      </c>
      <c r="AE47" s="66">
        <f t="shared" si="6"/>
        <v>1.0052356020942408</v>
      </c>
      <c r="AF47" s="66">
        <f t="shared" si="6"/>
        <v>1.0069930069930071</v>
      </c>
      <c r="AG47" s="66">
        <f t="shared" si="6"/>
        <v>1.0087565674255692</v>
      </c>
      <c r="AH47" s="66">
        <f t="shared" si="6"/>
        <v>1.0105263157894737</v>
      </c>
      <c r="AI47" s="66">
        <f t="shared" si="6"/>
        <v>1.0123022847100176</v>
      </c>
      <c r="AJ47" s="66">
        <f t="shared" si="7"/>
        <v>1.0140845070422535</v>
      </c>
      <c r="AK47" s="66">
        <f t="shared" si="7"/>
        <v>1.0158730158730158</v>
      </c>
      <c r="AL47" s="66">
        <f t="shared" si="7"/>
        <v>1.0176678445229681</v>
      </c>
      <c r="AM47" s="66">
        <f t="shared" si="7"/>
        <v>1.0194690265486726</v>
      </c>
      <c r="AN47" s="66">
        <f t="shared" si="7"/>
        <v>1.0212765957446808</v>
      </c>
      <c r="AO47" s="66">
        <f t="shared" si="7"/>
        <v>1.0230905861456483</v>
      </c>
      <c r="AP47" s="66">
        <f t="shared" si="7"/>
        <v>1.0249110320284698</v>
      </c>
      <c r="AQ47" s="66">
        <f t="shared" si="7"/>
        <v>1.0267379679144386</v>
      </c>
      <c r="AR47" s="66">
        <f t="shared" si="7"/>
        <v>1.0285714285714285</v>
      </c>
      <c r="AS47" s="66">
        <f t="shared" si="7"/>
        <v>1.0304114490161003</v>
      </c>
      <c r="AT47" s="66">
        <f t="shared" si="8"/>
        <v>1.032258064516129</v>
      </c>
      <c r="AU47" s="66">
        <f t="shared" si="8"/>
        <v>1.0341113105924595</v>
      </c>
      <c r="AV47" s="66">
        <f t="shared" si="8"/>
        <v>1.0359712230215827</v>
      </c>
      <c r="AW47" s="66">
        <f t="shared" si="8"/>
        <v>1.0378378378378379</v>
      </c>
      <c r="AX47" s="66">
        <f t="shared" si="8"/>
        <v>1.03971119133574</v>
      </c>
      <c r="AY47" s="66">
        <f t="shared" si="8"/>
        <v>1.0415913200723328</v>
      </c>
      <c r="AZ47" s="66">
        <f t="shared" si="8"/>
        <v>1.0434782608695652</v>
      </c>
      <c r="BA47" s="66">
        <f t="shared" si="8"/>
        <v>1.0453720508166968</v>
      </c>
      <c r="BB47" s="66">
        <f t="shared" si="8"/>
        <v>1.0472727272727274</v>
      </c>
      <c r="BC47" s="66">
        <f t="shared" si="8"/>
        <v>1.0491803278688525</v>
      </c>
      <c r="BD47" s="66">
        <f t="shared" si="9"/>
        <v>1.051094890510949</v>
      </c>
      <c r="BE47" s="66">
        <f t="shared" si="9"/>
        <v>1.0530164533820841</v>
      </c>
      <c r="BF47" s="66">
        <f t="shared" si="9"/>
        <v>1.054945054945055</v>
      </c>
      <c r="BG47" s="66">
        <f t="shared" si="9"/>
        <v>1.0568807339449542</v>
      </c>
      <c r="BH47" s="66">
        <f t="shared" si="9"/>
        <v>1.0588235294117647</v>
      </c>
      <c r="BI47" s="66">
        <f t="shared" si="9"/>
        <v>1.0607734806629834</v>
      </c>
      <c r="BJ47" s="66">
        <f t="shared" si="9"/>
        <v>1.0627306273062731</v>
      </c>
      <c r="BK47" s="66">
        <f t="shared" si="9"/>
        <v>1.0646950092421441</v>
      </c>
      <c r="BL47" s="66">
        <f t="shared" si="9"/>
        <v>1.0666666666666667</v>
      </c>
      <c r="BM47" s="66">
        <f t="shared" si="9"/>
        <v>1.0686456400742115</v>
      </c>
    </row>
    <row r="48" spans="14:65" s="56" customFormat="1" x14ac:dyDescent="0.15">
      <c r="N48" s="173"/>
      <c r="O48" s="56">
        <v>287</v>
      </c>
      <c r="P48" s="66">
        <f t="shared" si="5"/>
        <v>0.97785349233390118</v>
      </c>
      <c r="Q48" s="66">
        <f t="shared" si="5"/>
        <v>0.97952218430034133</v>
      </c>
      <c r="R48" s="66">
        <f t="shared" si="5"/>
        <v>0.98119658119658115</v>
      </c>
      <c r="S48" s="66">
        <f t="shared" si="5"/>
        <v>0.98287671232876717</v>
      </c>
      <c r="T48" s="66">
        <f t="shared" si="5"/>
        <v>0.98456260720411659</v>
      </c>
      <c r="U48" s="66">
        <f t="shared" si="5"/>
        <v>0.9862542955326461</v>
      </c>
      <c r="V48" s="66">
        <f t="shared" si="5"/>
        <v>0.98795180722891562</v>
      </c>
      <c r="W48" s="66">
        <f t="shared" si="5"/>
        <v>0.98965517241379308</v>
      </c>
      <c r="X48" s="66">
        <f t="shared" si="5"/>
        <v>0.99136442141623493</v>
      </c>
      <c r="Y48" s="66">
        <f t="shared" si="5"/>
        <v>0.99307958477508651</v>
      </c>
      <c r="Z48" s="66">
        <f t="shared" si="6"/>
        <v>0.99480069324090126</v>
      </c>
      <c r="AA48" s="66">
        <f t="shared" si="6"/>
        <v>0.99652777777777779</v>
      </c>
      <c r="AB48" s="66">
        <f t="shared" si="6"/>
        <v>0.99826086956521742</v>
      </c>
      <c r="AC48" s="66">
        <f t="shared" si="6"/>
        <v>1</v>
      </c>
      <c r="AD48" s="66">
        <f t="shared" si="6"/>
        <v>1.0017452006980803</v>
      </c>
      <c r="AE48" s="66">
        <f t="shared" si="6"/>
        <v>1.0034965034965035</v>
      </c>
      <c r="AF48" s="66">
        <f t="shared" si="6"/>
        <v>1.0052539404553416</v>
      </c>
      <c r="AG48" s="66">
        <f t="shared" si="6"/>
        <v>1.0070175438596491</v>
      </c>
      <c r="AH48" s="66">
        <f t="shared" si="6"/>
        <v>1.0087873462214412</v>
      </c>
      <c r="AI48" s="66">
        <f t="shared" si="6"/>
        <v>1.0105633802816902</v>
      </c>
      <c r="AJ48" s="66">
        <f t="shared" si="7"/>
        <v>1.0123456790123457</v>
      </c>
      <c r="AK48" s="66">
        <f t="shared" si="7"/>
        <v>1.0141342756183747</v>
      </c>
      <c r="AL48" s="66">
        <f t="shared" si="7"/>
        <v>1.0159292035398231</v>
      </c>
      <c r="AM48" s="66">
        <f t="shared" si="7"/>
        <v>1.0177304964539007</v>
      </c>
      <c r="AN48" s="66">
        <f t="shared" si="7"/>
        <v>1.0195381882770871</v>
      </c>
      <c r="AO48" s="66">
        <f t="shared" si="7"/>
        <v>1.0213523131672597</v>
      </c>
      <c r="AP48" s="66">
        <f t="shared" si="7"/>
        <v>1.0231729055258467</v>
      </c>
      <c r="AQ48" s="66">
        <f t="shared" si="7"/>
        <v>1.0249999999999999</v>
      </c>
      <c r="AR48" s="66">
        <f t="shared" si="7"/>
        <v>1.0268336314847943</v>
      </c>
      <c r="AS48" s="66">
        <f t="shared" si="7"/>
        <v>1.0286738351254481</v>
      </c>
      <c r="AT48" s="66">
        <f t="shared" si="8"/>
        <v>1.0305206463195691</v>
      </c>
      <c r="AU48" s="66">
        <f t="shared" si="8"/>
        <v>1.0323741007194245</v>
      </c>
      <c r="AV48" s="66">
        <f t="shared" si="8"/>
        <v>1.0342342342342343</v>
      </c>
      <c r="AW48" s="66">
        <f t="shared" si="8"/>
        <v>1.036101083032491</v>
      </c>
      <c r="AX48" s="66">
        <f t="shared" si="8"/>
        <v>1.0379746835443038</v>
      </c>
      <c r="AY48" s="66">
        <f t="shared" si="8"/>
        <v>1.0398550724637681</v>
      </c>
      <c r="AZ48" s="66">
        <f t="shared" si="8"/>
        <v>1.0417422867513613</v>
      </c>
      <c r="BA48" s="66">
        <f t="shared" si="8"/>
        <v>1.0436363636363637</v>
      </c>
      <c r="BB48" s="66">
        <f t="shared" si="8"/>
        <v>1.0455373406193078</v>
      </c>
      <c r="BC48" s="66">
        <f t="shared" si="8"/>
        <v>1.0474452554744527</v>
      </c>
      <c r="BD48" s="66">
        <f t="shared" si="9"/>
        <v>1.0493601462522852</v>
      </c>
      <c r="BE48" s="66">
        <f t="shared" si="9"/>
        <v>1.0512820512820513</v>
      </c>
      <c r="BF48" s="66">
        <f t="shared" si="9"/>
        <v>1.0532110091743119</v>
      </c>
      <c r="BG48" s="66">
        <f t="shared" si="9"/>
        <v>1.0551470588235294</v>
      </c>
      <c r="BH48" s="66">
        <f t="shared" si="9"/>
        <v>1.0570902394106814</v>
      </c>
      <c r="BI48" s="66">
        <f t="shared" si="9"/>
        <v>1.0590405904059041</v>
      </c>
      <c r="BJ48" s="66">
        <f t="shared" si="9"/>
        <v>1.0609981515711646</v>
      </c>
      <c r="BK48" s="66">
        <f t="shared" si="9"/>
        <v>1.0629629629629629</v>
      </c>
      <c r="BL48" s="66">
        <f t="shared" si="9"/>
        <v>1.0649350649350648</v>
      </c>
      <c r="BM48" s="66">
        <f t="shared" si="9"/>
        <v>1.0669144981412639</v>
      </c>
    </row>
    <row r="49" spans="14:65" s="56" customFormat="1" x14ac:dyDescent="0.15">
      <c r="N49" s="173"/>
      <c r="O49" s="56">
        <v>286</v>
      </c>
      <c r="P49" s="66">
        <f t="shared" si="5"/>
        <v>0.97610921501706482</v>
      </c>
      <c r="Q49" s="66">
        <f t="shared" si="5"/>
        <v>0.97777777777777775</v>
      </c>
      <c r="R49" s="66">
        <f t="shared" si="5"/>
        <v>0.97945205479452058</v>
      </c>
      <c r="S49" s="66">
        <f t="shared" si="5"/>
        <v>0.98113207547169812</v>
      </c>
      <c r="T49" s="66">
        <f t="shared" si="5"/>
        <v>0.98281786941580751</v>
      </c>
      <c r="U49" s="66">
        <f t="shared" si="5"/>
        <v>0.98450946643717729</v>
      </c>
      <c r="V49" s="66">
        <f t="shared" si="5"/>
        <v>0.98620689655172411</v>
      </c>
      <c r="W49" s="66">
        <f t="shared" si="5"/>
        <v>0.98791018998272884</v>
      </c>
      <c r="X49" s="66">
        <f t="shared" si="5"/>
        <v>0.98961937716262971</v>
      </c>
      <c r="Y49" s="66">
        <f t="shared" si="5"/>
        <v>0.99133448873483532</v>
      </c>
      <c r="Z49" s="66">
        <f t="shared" si="6"/>
        <v>0.99305555555555558</v>
      </c>
      <c r="AA49" s="66">
        <f t="shared" si="6"/>
        <v>0.99478260869565216</v>
      </c>
      <c r="AB49" s="66">
        <f t="shared" si="6"/>
        <v>0.99651567944250874</v>
      </c>
      <c r="AC49" s="66">
        <f t="shared" si="6"/>
        <v>0.99825479930191974</v>
      </c>
      <c r="AD49" s="66">
        <f t="shared" si="6"/>
        <v>1</v>
      </c>
      <c r="AE49" s="66">
        <f t="shared" si="6"/>
        <v>1.0017513134851139</v>
      </c>
      <c r="AF49" s="66">
        <f t="shared" si="6"/>
        <v>1.0035087719298246</v>
      </c>
      <c r="AG49" s="66">
        <f t="shared" si="6"/>
        <v>1.0052724077328647</v>
      </c>
      <c r="AH49" s="66">
        <f t="shared" si="6"/>
        <v>1.0070422535211268</v>
      </c>
      <c r="AI49" s="66">
        <f t="shared" si="6"/>
        <v>1.0088183421516754</v>
      </c>
      <c r="AJ49" s="66">
        <f t="shared" si="7"/>
        <v>1.010600706713781</v>
      </c>
      <c r="AK49" s="66">
        <f t="shared" si="7"/>
        <v>1.0123893805309734</v>
      </c>
      <c r="AL49" s="66">
        <f t="shared" si="7"/>
        <v>1.0141843971631206</v>
      </c>
      <c r="AM49" s="66">
        <f t="shared" si="7"/>
        <v>1.0159857904085257</v>
      </c>
      <c r="AN49" s="66">
        <f t="shared" si="7"/>
        <v>1.0177935943060499</v>
      </c>
      <c r="AO49" s="66">
        <f t="shared" si="7"/>
        <v>1.0196078431372548</v>
      </c>
      <c r="AP49" s="66">
        <f t="shared" si="7"/>
        <v>1.0214285714285714</v>
      </c>
      <c r="AQ49" s="66">
        <f t="shared" si="7"/>
        <v>1.0232558139534884</v>
      </c>
      <c r="AR49" s="66">
        <f t="shared" si="7"/>
        <v>1.0250896057347669</v>
      </c>
      <c r="AS49" s="66">
        <f t="shared" si="7"/>
        <v>1.0269299820466786</v>
      </c>
      <c r="AT49" s="66">
        <f t="shared" si="8"/>
        <v>1.0287769784172662</v>
      </c>
      <c r="AU49" s="66">
        <f t="shared" si="8"/>
        <v>1.0306306306306305</v>
      </c>
      <c r="AV49" s="66">
        <f t="shared" si="8"/>
        <v>1.0324909747292419</v>
      </c>
      <c r="AW49" s="66">
        <f t="shared" si="8"/>
        <v>1.0343580470162748</v>
      </c>
      <c r="AX49" s="66">
        <f t="shared" si="8"/>
        <v>1.036231884057971</v>
      </c>
      <c r="AY49" s="66">
        <f t="shared" si="8"/>
        <v>1.0381125226860255</v>
      </c>
      <c r="AZ49" s="66">
        <f t="shared" si="8"/>
        <v>1.04</v>
      </c>
      <c r="BA49" s="66">
        <f t="shared" si="8"/>
        <v>1.0418943533697631</v>
      </c>
      <c r="BB49" s="66">
        <f t="shared" si="8"/>
        <v>1.0437956204379562</v>
      </c>
      <c r="BC49" s="66">
        <f t="shared" si="8"/>
        <v>1.0457038391224862</v>
      </c>
      <c r="BD49" s="66">
        <f t="shared" si="9"/>
        <v>1.0476190476190477</v>
      </c>
      <c r="BE49" s="66">
        <f t="shared" si="9"/>
        <v>1.0495412844036698</v>
      </c>
      <c r="BF49" s="66">
        <f t="shared" si="9"/>
        <v>1.0514705882352942</v>
      </c>
      <c r="BG49" s="66">
        <f t="shared" si="9"/>
        <v>1.0534069981583793</v>
      </c>
      <c r="BH49" s="66">
        <f t="shared" si="9"/>
        <v>1.055350553505535</v>
      </c>
      <c r="BI49" s="66">
        <f t="shared" si="9"/>
        <v>1.0573012939001849</v>
      </c>
      <c r="BJ49" s="66">
        <f t="shared" si="9"/>
        <v>1.0592592592592593</v>
      </c>
      <c r="BK49" s="66">
        <f t="shared" si="9"/>
        <v>1.0612244897959184</v>
      </c>
      <c r="BL49" s="66">
        <f t="shared" si="9"/>
        <v>1.0631970260223049</v>
      </c>
      <c r="BM49" s="66">
        <f t="shared" si="9"/>
        <v>1.0651769087523277</v>
      </c>
    </row>
    <row r="50" spans="14:65" s="56" customFormat="1" x14ac:dyDescent="0.15">
      <c r="N50" s="173"/>
      <c r="O50" s="56">
        <v>285</v>
      </c>
      <c r="P50" s="66">
        <f t="shared" si="5"/>
        <v>0.97435897435897434</v>
      </c>
      <c r="Q50" s="66">
        <f t="shared" si="5"/>
        <v>0.97602739726027399</v>
      </c>
      <c r="R50" s="66">
        <f t="shared" si="5"/>
        <v>0.97770154373927964</v>
      </c>
      <c r="S50" s="66">
        <f t="shared" si="5"/>
        <v>0.97938144329896903</v>
      </c>
      <c r="T50" s="66">
        <f t="shared" si="5"/>
        <v>0.98106712564543885</v>
      </c>
      <c r="U50" s="66">
        <f t="shared" si="5"/>
        <v>0.98275862068965514</v>
      </c>
      <c r="V50" s="66">
        <f t="shared" si="5"/>
        <v>0.98445595854922274</v>
      </c>
      <c r="W50" s="66">
        <f t="shared" si="5"/>
        <v>0.98615916955017302</v>
      </c>
      <c r="X50" s="66">
        <f t="shared" si="5"/>
        <v>0.98786828422876949</v>
      </c>
      <c r="Y50" s="66">
        <f t="shared" si="5"/>
        <v>0.98958333333333337</v>
      </c>
      <c r="Z50" s="66">
        <f t="shared" si="6"/>
        <v>0.99130434782608701</v>
      </c>
      <c r="AA50" s="66">
        <f t="shared" si="6"/>
        <v>0.99303135888501737</v>
      </c>
      <c r="AB50" s="66">
        <f t="shared" si="6"/>
        <v>0.99476439790575921</v>
      </c>
      <c r="AC50" s="66">
        <f t="shared" si="6"/>
        <v>0.99650349650349646</v>
      </c>
      <c r="AD50" s="66">
        <f t="shared" si="6"/>
        <v>0.99824868651488619</v>
      </c>
      <c r="AE50" s="66">
        <f t="shared" si="6"/>
        <v>1</v>
      </c>
      <c r="AF50" s="66">
        <f t="shared" si="6"/>
        <v>1.0017574692442883</v>
      </c>
      <c r="AG50" s="66">
        <f t="shared" si="6"/>
        <v>1.0035211267605635</v>
      </c>
      <c r="AH50" s="66">
        <f t="shared" si="6"/>
        <v>1.0052910052910053</v>
      </c>
      <c r="AI50" s="66">
        <f t="shared" si="6"/>
        <v>1.0070671378091873</v>
      </c>
      <c r="AJ50" s="66">
        <f t="shared" si="7"/>
        <v>1.0088495575221239</v>
      </c>
      <c r="AK50" s="66">
        <f t="shared" si="7"/>
        <v>1.0106382978723405</v>
      </c>
      <c r="AL50" s="66">
        <f t="shared" si="7"/>
        <v>1.0124333925399644</v>
      </c>
      <c r="AM50" s="66">
        <f t="shared" si="7"/>
        <v>1.0142348754448398</v>
      </c>
      <c r="AN50" s="66">
        <f t="shared" si="7"/>
        <v>1.0160427807486632</v>
      </c>
      <c r="AO50" s="66">
        <f t="shared" si="7"/>
        <v>1.0178571428571428</v>
      </c>
      <c r="AP50" s="66">
        <f t="shared" si="7"/>
        <v>1.0196779964221825</v>
      </c>
      <c r="AQ50" s="66">
        <f t="shared" si="7"/>
        <v>1.021505376344086</v>
      </c>
      <c r="AR50" s="66">
        <f t="shared" si="7"/>
        <v>1.0233393177737882</v>
      </c>
      <c r="AS50" s="66">
        <f t="shared" si="7"/>
        <v>1.025179856115108</v>
      </c>
      <c r="AT50" s="66">
        <f t="shared" si="8"/>
        <v>1.027027027027027</v>
      </c>
      <c r="AU50" s="66">
        <f t="shared" si="8"/>
        <v>1.0288808664259927</v>
      </c>
      <c r="AV50" s="66">
        <f t="shared" si="8"/>
        <v>1.030741410488246</v>
      </c>
      <c r="AW50" s="66">
        <f t="shared" si="8"/>
        <v>1.0326086956521738</v>
      </c>
      <c r="AX50" s="66">
        <f t="shared" si="8"/>
        <v>1.0344827586206897</v>
      </c>
      <c r="AY50" s="66">
        <f t="shared" si="8"/>
        <v>1.0363636363636364</v>
      </c>
      <c r="AZ50" s="66">
        <f t="shared" si="8"/>
        <v>1.0382513661202186</v>
      </c>
      <c r="BA50" s="66">
        <f t="shared" si="8"/>
        <v>1.0401459854014599</v>
      </c>
      <c r="BB50" s="66">
        <f t="shared" si="8"/>
        <v>1.0420475319926874</v>
      </c>
      <c r="BC50" s="66">
        <f t="shared" si="8"/>
        <v>1.043956043956044</v>
      </c>
      <c r="BD50" s="66">
        <f t="shared" si="9"/>
        <v>1.0458715596330275</v>
      </c>
      <c r="BE50" s="66">
        <f t="shared" si="9"/>
        <v>1.0477941176470589</v>
      </c>
      <c r="BF50" s="66">
        <f t="shared" si="9"/>
        <v>1.0497237569060773</v>
      </c>
      <c r="BG50" s="66">
        <f t="shared" si="9"/>
        <v>1.051660516605166</v>
      </c>
      <c r="BH50" s="66">
        <f t="shared" si="9"/>
        <v>1.0536044362292052</v>
      </c>
      <c r="BI50" s="66">
        <f t="shared" si="9"/>
        <v>1.0555555555555556</v>
      </c>
      <c r="BJ50" s="66">
        <f t="shared" si="9"/>
        <v>1.0575139146567718</v>
      </c>
      <c r="BK50" s="66">
        <f t="shared" si="9"/>
        <v>1.0594795539033457</v>
      </c>
      <c r="BL50" s="66">
        <f t="shared" si="9"/>
        <v>1.0614525139664805</v>
      </c>
      <c r="BM50" s="66">
        <f t="shared" si="9"/>
        <v>1.0634328358208955</v>
      </c>
    </row>
    <row r="51" spans="14:65" s="56" customFormat="1" x14ac:dyDescent="0.15">
      <c r="N51" s="173"/>
      <c r="O51" s="56">
        <v>284</v>
      </c>
      <c r="P51" s="66">
        <f t="shared" si="5"/>
        <v>0.9726027397260274</v>
      </c>
      <c r="Q51" s="66">
        <f t="shared" si="5"/>
        <v>0.97427101200686106</v>
      </c>
      <c r="R51" s="66">
        <f t="shared" si="5"/>
        <v>0.97594501718213056</v>
      </c>
      <c r="S51" s="66">
        <f t="shared" si="5"/>
        <v>0.97762478485370052</v>
      </c>
      <c r="T51" s="66">
        <f t="shared" si="5"/>
        <v>0.97931034482758617</v>
      </c>
      <c r="U51" s="66">
        <f t="shared" si="5"/>
        <v>0.98100172711571676</v>
      </c>
      <c r="V51" s="66">
        <f t="shared" si="5"/>
        <v>0.98269896193771622</v>
      </c>
      <c r="W51" s="66">
        <f t="shared" si="5"/>
        <v>0.98440207972270366</v>
      </c>
      <c r="X51" s="66">
        <f t="shared" si="5"/>
        <v>0.98611111111111116</v>
      </c>
      <c r="Y51" s="66">
        <f t="shared" si="5"/>
        <v>0.98782608695652174</v>
      </c>
      <c r="Z51" s="66">
        <f t="shared" si="6"/>
        <v>0.98954703832752611</v>
      </c>
      <c r="AA51" s="66">
        <f t="shared" si="6"/>
        <v>0.99127399650959858</v>
      </c>
      <c r="AB51" s="66">
        <f t="shared" si="6"/>
        <v>0.99300699300699302</v>
      </c>
      <c r="AC51" s="66">
        <f t="shared" si="6"/>
        <v>0.99474605954465845</v>
      </c>
      <c r="AD51" s="66">
        <f t="shared" si="6"/>
        <v>0.99649122807017543</v>
      </c>
      <c r="AE51" s="66">
        <f t="shared" si="6"/>
        <v>0.99824253075571179</v>
      </c>
      <c r="AF51" s="66">
        <f t="shared" si="6"/>
        <v>1</v>
      </c>
      <c r="AG51" s="66">
        <f t="shared" si="6"/>
        <v>1.001763668430335</v>
      </c>
      <c r="AH51" s="66">
        <f t="shared" si="6"/>
        <v>1.0035335689045937</v>
      </c>
      <c r="AI51" s="66">
        <f t="shared" si="6"/>
        <v>1.0053097345132744</v>
      </c>
      <c r="AJ51" s="66">
        <f t="shared" si="7"/>
        <v>1.0070921985815602</v>
      </c>
      <c r="AK51" s="66">
        <f t="shared" si="7"/>
        <v>1.0088809946714032</v>
      </c>
      <c r="AL51" s="66">
        <f t="shared" si="7"/>
        <v>1.01067615658363</v>
      </c>
      <c r="AM51" s="66">
        <f t="shared" si="7"/>
        <v>1.0124777183600713</v>
      </c>
      <c r="AN51" s="66">
        <f t="shared" si="7"/>
        <v>1.0142857142857142</v>
      </c>
      <c r="AO51" s="66">
        <f t="shared" si="7"/>
        <v>1.0161001788908766</v>
      </c>
      <c r="AP51" s="66">
        <f t="shared" si="7"/>
        <v>1.0179211469534051</v>
      </c>
      <c r="AQ51" s="66">
        <f t="shared" si="7"/>
        <v>1.0197486535008977</v>
      </c>
      <c r="AR51" s="66">
        <f t="shared" si="7"/>
        <v>1.0215827338129497</v>
      </c>
      <c r="AS51" s="66">
        <f t="shared" si="7"/>
        <v>1.0234234234234234</v>
      </c>
      <c r="AT51" s="66">
        <f t="shared" si="8"/>
        <v>1.0252707581227436</v>
      </c>
      <c r="AU51" s="66">
        <f t="shared" si="8"/>
        <v>1.027124773960217</v>
      </c>
      <c r="AV51" s="66">
        <f t="shared" si="8"/>
        <v>1.0289855072463767</v>
      </c>
      <c r="AW51" s="66">
        <f t="shared" si="8"/>
        <v>1.030852994555354</v>
      </c>
      <c r="AX51" s="66">
        <f t="shared" si="8"/>
        <v>1.0327272727272727</v>
      </c>
      <c r="AY51" s="66">
        <f t="shared" si="8"/>
        <v>1.0346083788706739</v>
      </c>
      <c r="AZ51" s="66">
        <f t="shared" si="8"/>
        <v>1.0364963503649636</v>
      </c>
      <c r="BA51" s="66">
        <f t="shared" si="8"/>
        <v>1.0383912248628884</v>
      </c>
      <c r="BB51" s="66">
        <f t="shared" si="8"/>
        <v>1.0402930402930404</v>
      </c>
      <c r="BC51" s="66">
        <f t="shared" si="8"/>
        <v>1.0422018348623854</v>
      </c>
      <c r="BD51" s="66">
        <f t="shared" si="9"/>
        <v>1.0441176470588236</v>
      </c>
      <c r="BE51" s="66">
        <f t="shared" si="9"/>
        <v>1.0460405156537753</v>
      </c>
      <c r="BF51" s="66">
        <f t="shared" si="9"/>
        <v>1.0479704797047971</v>
      </c>
      <c r="BG51" s="66">
        <f t="shared" si="9"/>
        <v>1.0499075785582255</v>
      </c>
      <c r="BH51" s="66">
        <f t="shared" si="9"/>
        <v>1.0518518518518518</v>
      </c>
      <c r="BI51" s="66">
        <f t="shared" si="9"/>
        <v>1.0538033395176252</v>
      </c>
      <c r="BJ51" s="66">
        <f t="shared" si="9"/>
        <v>1.0557620817843867</v>
      </c>
      <c r="BK51" s="66">
        <f t="shared" si="9"/>
        <v>1.0577281191806331</v>
      </c>
      <c r="BL51" s="66">
        <f t="shared" si="9"/>
        <v>1.0597014925373134</v>
      </c>
      <c r="BM51" s="66">
        <f t="shared" si="9"/>
        <v>1.0616822429906543</v>
      </c>
    </row>
    <row r="52" spans="14:65" s="56" customFormat="1" x14ac:dyDescent="0.15">
      <c r="N52" s="173"/>
      <c r="O52" s="56">
        <v>283</v>
      </c>
      <c r="P52" s="66">
        <f t="shared" si="5"/>
        <v>0.97084048027444259</v>
      </c>
      <c r="Q52" s="66">
        <f t="shared" si="5"/>
        <v>0.97250859106529208</v>
      </c>
      <c r="R52" s="66">
        <f t="shared" si="5"/>
        <v>0.97418244406196208</v>
      </c>
      <c r="S52" s="66">
        <f t="shared" si="5"/>
        <v>0.97586206896551719</v>
      </c>
      <c r="T52" s="66">
        <f t="shared" si="5"/>
        <v>0.97754749568221067</v>
      </c>
      <c r="U52" s="66">
        <f t="shared" si="5"/>
        <v>0.97923875432525953</v>
      </c>
      <c r="V52" s="66">
        <f t="shared" si="5"/>
        <v>0.98093587521663783</v>
      </c>
      <c r="W52" s="66">
        <f t="shared" si="5"/>
        <v>0.98263888888888884</v>
      </c>
      <c r="X52" s="66">
        <f t="shared" si="5"/>
        <v>0.98434782608695648</v>
      </c>
      <c r="Y52" s="66">
        <f t="shared" si="5"/>
        <v>0.98606271777003485</v>
      </c>
      <c r="Z52" s="66">
        <f t="shared" si="6"/>
        <v>0.98778359511343805</v>
      </c>
      <c r="AA52" s="66">
        <f t="shared" si="6"/>
        <v>0.98951048951048948</v>
      </c>
      <c r="AB52" s="66">
        <f t="shared" si="6"/>
        <v>0.99124343257443082</v>
      </c>
      <c r="AC52" s="66">
        <f t="shared" si="6"/>
        <v>0.99298245614035086</v>
      </c>
      <c r="AD52" s="66">
        <f t="shared" si="6"/>
        <v>0.99472759226713536</v>
      </c>
      <c r="AE52" s="66">
        <f t="shared" si="6"/>
        <v>0.99647887323943662</v>
      </c>
      <c r="AF52" s="66">
        <f t="shared" si="6"/>
        <v>0.99823633156966485</v>
      </c>
      <c r="AG52" s="66">
        <f t="shared" si="6"/>
        <v>1</v>
      </c>
      <c r="AH52" s="66">
        <f t="shared" si="6"/>
        <v>1.0017699115044247</v>
      </c>
      <c r="AI52" s="66">
        <f t="shared" si="6"/>
        <v>1.0035460992907801</v>
      </c>
      <c r="AJ52" s="66">
        <f t="shared" si="7"/>
        <v>1.0053285968028418</v>
      </c>
      <c r="AK52" s="66">
        <f t="shared" si="7"/>
        <v>1.0071174377224199</v>
      </c>
      <c r="AL52" s="66">
        <f t="shared" si="7"/>
        <v>1.0089126559714796</v>
      </c>
      <c r="AM52" s="66">
        <f t="shared" si="7"/>
        <v>1.0107142857142857</v>
      </c>
      <c r="AN52" s="66">
        <f t="shared" si="7"/>
        <v>1.0125223613595706</v>
      </c>
      <c r="AO52" s="66">
        <f t="shared" si="7"/>
        <v>1.0143369175627239</v>
      </c>
      <c r="AP52" s="66">
        <f t="shared" si="7"/>
        <v>1.0161579892280073</v>
      </c>
      <c r="AQ52" s="66">
        <f t="shared" si="7"/>
        <v>1.0179856115107915</v>
      </c>
      <c r="AR52" s="66">
        <f t="shared" si="7"/>
        <v>1.0198198198198198</v>
      </c>
      <c r="AS52" s="66">
        <f t="shared" si="7"/>
        <v>1.0216606498194947</v>
      </c>
      <c r="AT52" s="66">
        <f t="shared" si="8"/>
        <v>1.0235081374321882</v>
      </c>
      <c r="AU52" s="66">
        <f t="shared" si="8"/>
        <v>1.0253623188405796</v>
      </c>
      <c r="AV52" s="66">
        <f t="shared" si="8"/>
        <v>1.0272232304900182</v>
      </c>
      <c r="AW52" s="66">
        <f t="shared" si="8"/>
        <v>1.0290909090909091</v>
      </c>
      <c r="AX52" s="66">
        <f t="shared" si="8"/>
        <v>1.0309653916211294</v>
      </c>
      <c r="AY52" s="66">
        <f t="shared" si="8"/>
        <v>1.0328467153284671</v>
      </c>
      <c r="AZ52" s="66">
        <f t="shared" si="8"/>
        <v>1.0347349177330896</v>
      </c>
      <c r="BA52" s="66">
        <f t="shared" si="8"/>
        <v>1.0366300366300367</v>
      </c>
      <c r="BB52" s="66">
        <f t="shared" si="8"/>
        <v>1.0385321100917431</v>
      </c>
      <c r="BC52" s="66">
        <f t="shared" si="8"/>
        <v>1.0404411764705883</v>
      </c>
      <c r="BD52" s="66">
        <f t="shared" si="9"/>
        <v>1.0423572744014733</v>
      </c>
      <c r="BE52" s="66">
        <f t="shared" si="9"/>
        <v>1.0442804428044281</v>
      </c>
      <c r="BF52" s="66">
        <f t="shared" si="9"/>
        <v>1.0462107208872458</v>
      </c>
      <c r="BG52" s="66">
        <f t="shared" si="9"/>
        <v>1.0481481481481481</v>
      </c>
      <c r="BH52" s="66">
        <f t="shared" si="9"/>
        <v>1.0500927643784788</v>
      </c>
      <c r="BI52" s="66">
        <f t="shared" si="9"/>
        <v>1.0520446096654275</v>
      </c>
      <c r="BJ52" s="66">
        <f t="shared" si="9"/>
        <v>1.054003724394786</v>
      </c>
      <c r="BK52" s="66">
        <f t="shared" si="9"/>
        <v>1.0559701492537314</v>
      </c>
      <c r="BL52" s="66">
        <f t="shared" si="9"/>
        <v>1.0579439252336449</v>
      </c>
      <c r="BM52" s="66">
        <f t="shared" si="9"/>
        <v>1.0599250936329587</v>
      </c>
    </row>
    <row r="53" spans="14:65" s="56" customFormat="1" x14ac:dyDescent="0.15">
      <c r="N53" s="173"/>
      <c r="O53" s="56">
        <v>282</v>
      </c>
      <c r="P53" s="66">
        <f t="shared" si="5"/>
        <v>0.96907216494845361</v>
      </c>
      <c r="Q53" s="66">
        <f t="shared" si="5"/>
        <v>0.97074010327022375</v>
      </c>
      <c r="R53" s="66">
        <f t="shared" si="5"/>
        <v>0.97241379310344822</v>
      </c>
      <c r="S53" s="66">
        <f t="shared" si="5"/>
        <v>0.97409326424870468</v>
      </c>
      <c r="T53" s="66">
        <f t="shared" si="5"/>
        <v>0.97577854671280273</v>
      </c>
      <c r="U53" s="66">
        <f t="shared" si="5"/>
        <v>0.97746967071057189</v>
      </c>
      <c r="V53" s="66">
        <f t="shared" si="5"/>
        <v>0.97916666666666663</v>
      </c>
      <c r="W53" s="66">
        <f t="shared" si="5"/>
        <v>0.98086956521739133</v>
      </c>
      <c r="X53" s="66">
        <f t="shared" si="5"/>
        <v>0.98257839721254359</v>
      </c>
      <c r="Y53" s="66">
        <f t="shared" si="5"/>
        <v>0.98429319371727753</v>
      </c>
      <c r="Z53" s="66">
        <f t="shared" si="6"/>
        <v>0.98601398601398604</v>
      </c>
      <c r="AA53" s="66">
        <f t="shared" si="6"/>
        <v>0.98774080560420319</v>
      </c>
      <c r="AB53" s="66">
        <f t="shared" si="6"/>
        <v>0.98947368421052628</v>
      </c>
      <c r="AC53" s="66">
        <f t="shared" si="6"/>
        <v>0.99121265377855883</v>
      </c>
      <c r="AD53" s="66">
        <f t="shared" si="6"/>
        <v>0.99295774647887325</v>
      </c>
      <c r="AE53" s="66">
        <f t="shared" si="6"/>
        <v>0.99470899470899465</v>
      </c>
      <c r="AF53" s="66">
        <f t="shared" si="6"/>
        <v>0.99646643109540634</v>
      </c>
      <c r="AG53" s="66">
        <f t="shared" si="6"/>
        <v>0.99823008849557526</v>
      </c>
      <c r="AH53" s="66">
        <f t="shared" si="6"/>
        <v>1</v>
      </c>
      <c r="AI53" s="66">
        <f t="shared" si="6"/>
        <v>1.0017761989342806</v>
      </c>
      <c r="AJ53" s="66">
        <f t="shared" si="7"/>
        <v>1.0035587188612101</v>
      </c>
      <c r="AK53" s="66">
        <f t="shared" si="7"/>
        <v>1.0053475935828877</v>
      </c>
      <c r="AL53" s="66">
        <f t="shared" si="7"/>
        <v>1.0071428571428571</v>
      </c>
      <c r="AM53" s="66">
        <f t="shared" si="7"/>
        <v>1.0089445438282647</v>
      </c>
      <c r="AN53" s="66">
        <f t="shared" si="7"/>
        <v>1.010752688172043</v>
      </c>
      <c r="AO53" s="66">
        <f t="shared" si="7"/>
        <v>1.0125673249551166</v>
      </c>
      <c r="AP53" s="66">
        <f t="shared" si="7"/>
        <v>1.014388489208633</v>
      </c>
      <c r="AQ53" s="66">
        <f t="shared" si="7"/>
        <v>1.0162162162162163</v>
      </c>
      <c r="AR53" s="66">
        <f t="shared" si="7"/>
        <v>1.0180505415162455</v>
      </c>
      <c r="AS53" s="66">
        <f t="shared" si="7"/>
        <v>1.0198915009041591</v>
      </c>
      <c r="AT53" s="66">
        <f t="shared" si="8"/>
        <v>1.0217391304347827</v>
      </c>
      <c r="AU53" s="66">
        <f t="shared" si="8"/>
        <v>1.0235934664246824</v>
      </c>
      <c r="AV53" s="66">
        <f t="shared" si="8"/>
        <v>1.0254545454545454</v>
      </c>
      <c r="AW53" s="66">
        <f t="shared" si="8"/>
        <v>1.0273224043715847</v>
      </c>
      <c r="AX53" s="66">
        <f t="shared" si="8"/>
        <v>1.0291970802919708</v>
      </c>
      <c r="AY53" s="66">
        <f t="shared" si="8"/>
        <v>1.0310786106032908</v>
      </c>
      <c r="AZ53" s="66">
        <f t="shared" si="8"/>
        <v>1.0329670329670331</v>
      </c>
      <c r="BA53" s="66">
        <f t="shared" si="8"/>
        <v>1.034862385321101</v>
      </c>
      <c r="BB53" s="66">
        <f t="shared" si="8"/>
        <v>1.036764705882353</v>
      </c>
      <c r="BC53" s="66">
        <f t="shared" si="8"/>
        <v>1.0386740331491713</v>
      </c>
      <c r="BD53" s="66">
        <f t="shared" si="9"/>
        <v>1.0405904059040589</v>
      </c>
      <c r="BE53" s="66">
        <f t="shared" si="9"/>
        <v>1.0425138632162663</v>
      </c>
      <c r="BF53" s="66">
        <f t="shared" si="9"/>
        <v>1.0444444444444445</v>
      </c>
      <c r="BG53" s="66">
        <f t="shared" si="9"/>
        <v>1.0463821892393321</v>
      </c>
      <c r="BH53" s="66">
        <f t="shared" si="9"/>
        <v>1.0483271375464684</v>
      </c>
      <c r="BI53" s="66">
        <f t="shared" si="9"/>
        <v>1.0502793296089385</v>
      </c>
      <c r="BJ53" s="66">
        <f t="shared" si="9"/>
        <v>1.0522388059701493</v>
      </c>
      <c r="BK53" s="66">
        <f t="shared" si="9"/>
        <v>1.0542056074766355</v>
      </c>
      <c r="BL53" s="66">
        <f t="shared" si="9"/>
        <v>1.0561797752808988</v>
      </c>
      <c r="BM53" s="66">
        <f t="shared" si="9"/>
        <v>1.0581613508442778</v>
      </c>
    </row>
    <row r="54" spans="14:65" s="56" customFormat="1" x14ac:dyDescent="0.15">
      <c r="N54" s="173"/>
      <c r="O54" s="56">
        <v>281</v>
      </c>
      <c r="P54" s="66">
        <f t="shared" si="5"/>
        <v>0.96729776247848542</v>
      </c>
      <c r="Q54" s="66">
        <f t="shared" si="5"/>
        <v>0.96896551724137936</v>
      </c>
      <c r="R54" s="66">
        <f t="shared" si="5"/>
        <v>0.97063903281519859</v>
      </c>
      <c r="S54" s="66">
        <f t="shared" si="5"/>
        <v>0.97231833910034604</v>
      </c>
      <c r="T54" s="66">
        <f t="shared" si="5"/>
        <v>0.97400346620450606</v>
      </c>
      <c r="U54" s="66">
        <f t="shared" si="5"/>
        <v>0.97569444444444442</v>
      </c>
      <c r="V54" s="66">
        <f t="shared" si="5"/>
        <v>0.97739130434782606</v>
      </c>
      <c r="W54" s="66">
        <f t="shared" si="5"/>
        <v>0.97909407665505221</v>
      </c>
      <c r="X54" s="66">
        <f t="shared" si="5"/>
        <v>0.98080279232111689</v>
      </c>
      <c r="Y54" s="66">
        <f t="shared" si="5"/>
        <v>0.9825174825174825</v>
      </c>
      <c r="Z54" s="66">
        <f t="shared" si="6"/>
        <v>0.98423817863397545</v>
      </c>
      <c r="AA54" s="66">
        <f t="shared" si="6"/>
        <v>0.98596491228070171</v>
      </c>
      <c r="AB54" s="66">
        <f t="shared" si="6"/>
        <v>0.9876977152899824</v>
      </c>
      <c r="AC54" s="66">
        <f t="shared" si="6"/>
        <v>0.98943661971830987</v>
      </c>
      <c r="AD54" s="66">
        <f t="shared" si="6"/>
        <v>0.99118165784832446</v>
      </c>
      <c r="AE54" s="66">
        <f t="shared" si="6"/>
        <v>0.99293286219081267</v>
      </c>
      <c r="AF54" s="66">
        <f t="shared" si="6"/>
        <v>0.99469026548672568</v>
      </c>
      <c r="AG54" s="66">
        <f t="shared" si="6"/>
        <v>0.99645390070921991</v>
      </c>
      <c r="AH54" s="66">
        <f t="shared" si="6"/>
        <v>0.9982238010657194</v>
      </c>
      <c r="AI54" s="66">
        <f t="shared" si="6"/>
        <v>1</v>
      </c>
      <c r="AJ54" s="66">
        <f t="shared" si="7"/>
        <v>1.0017825311942958</v>
      </c>
      <c r="AK54" s="66">
        <f t="shared" si="7"/>
        <v>1.0035714285714286</v>
      </c>
      <c r="AL54" s="66">
        <f t="shared" si="7"/>
        <v>1.0053667262969588</v>
      </c>
      <c r="AM54" s="66">
        <f t="shared" si="7"/>
        <v>1.0071684587813621</v>
      </c>
      <c r="AN54" s="66">
        <f t="shared" si="7"/>
        <v>1.0089766606822261</v>
      </c>
      <c r="AO54" s="66">
        <f t="shared" si="7"/>
        <v>1.0107913669064748</v>
      </c>
      <c r="AP54" s="66">
        <f t="shared" si="7"/>
        <v>1.0126126126126127</v>
      </c>
      <c r="AQ54" s="66">
        <f t="shared" si="7"/>
        <v>1.0144404332129964</v>
      </c>
      <c r="AR54" s="66">
        <f t="shared" si="7"/>
        <v>1.0162748643761301</v>
      </c>
      <c r="AS54" s="66">
        <f t="shared" si="7"/>
        <v>1.0181159420289856</v>
      </c>
      <c r="AT54" s="66">
        <f t="shared" si="8"/>
        <v>1.0199637023593466</v>
      </c>
      <c r="AU54" s="66">
        <f t="shared" si="8"/>
        <v>1.0218181818181817</v>
      </c>
      <c r="AV54" s="66">
        <f t="shared" si="8"/>
        <v>1.02367941712204</v>
      </c>
      <c r="AW54" s="66">
        <f t="shared" si="8"/>
        <v>1.0255474452554745</v>
      </c>
      <c r="AX54" s="66">
        <f t="shared" si="8"/>
        <v>1.0274223034734917</v>
      </c>
      <c r="AY54" s="66">
        <f t="shared" si="8"/>
        <v>1.0293040293040292</v>
      </c>
      <c r="AZ54" s="66">
        <f t="shared" si="8"/>
        <v>1.0311926605504587</v>
      </c>
      <c r="BA54" s="66">
        <f t="shared" si="8"/>
        <v>1.0330882352941178</v>
      </c>
      <c r="BB54" s="66">
        <f t="shared" si="8"/>
        <v>1.0349907918968693</v>
      </c>
      <c r="BC54" s="66">
        <f t="shared" si="8"/>
        <v>1.03690036900369</v>
      </c>
      <c r="BD54" s="66">
        <f t="shared" si="9"/>
        <v>1.0388170055452866</v>
      </c>
      <c r="BE54" s="66">
        <f t="shared" si="9"/>
        <v>1.0407407407407407</v>
      </c>
      <c r="BF54" s="66">
        <f t="shared" si="9"/>
        <v>1.0426716141001855</v>
      </c>
      <c r="BG54" s="66">
        <f t="shared" si="9"/>
        <v>1.0446096654275092</v>
      </c>
      <c r="BH54" s="66">
        <f t="shared" si="9"/>
        <v>1.0465549348230911</v>
      </c>
      <c r="BI54" s="66">
        <f t="shared" si="9"/>
        <v>1.0485074626865671</v>
      </c>
      <c r="BJ54" s="66">
        <f t="shared" si="9"/>
        <v>1.0504672897196261</v>
      </c>
      <c r="BK54" s="66">
        <f t="shared" si="9"/>
        <v>1.0524344569288389</v>
      </c>
      <c r="BL54" s="66">
        <f t="shared" si="9"/>
        <v>1.0544090056285178</v>
      </c>
      <c r="BM54" s="66">
        <f t="shared" si="9"/>
        <v>1.0563909774436091</v>
      </c>
    </row>
    <row r="55" spans="14:65" s="56" customFormat="1" x14ac:dyDescent="0.15">
      <c r="N55" s="173"/>
      <c r="O55" s="56">
        <v>280</v>
      </c>
      <c r="P55" s="66">
        <f t="shared" ref="P55:Y64" si="10">$O55*2/($O55+P$34)</f>
        <v>0.96551724137931039</v>
      </c>
      <c r="Q55" s="66">
        <f t="shared" si="10"/>
        <v>0.9671848013816926</v>
      </c>
      <c r="R55" s="66">
        <f t="shared" si="10"/>
        <v>0.96885813148788924</v>
      </c>
      <c r="S55" s="66">
        <f t="shared" si="10"/>
        <v>0.97053726169844023</v>
      </c>
      <c r="T55" s="66">
        <f t="shared" si="10"/>
        <v>0.97222222222222221</v>
      </c>
      <c r="U55" s="66">
        <f t="shared" si="10"/>
        <v>0.97391304347826091</v>
      </c>
      <c r="V55" s="66">
        <f t="shared" si="10"/>
        <v>0.97560975609756095</v>
      </c>
      <c r="W55" s="66">
        <f t="shared" si="10"/>
        <v>0.97731239092495636</v>
      </c>
      <c r="X55" s="66">
        <f t="shared" si="10"/>
        <v>0.97902097902097907</v>
      </c>
      <c r="Y55" s="66">
        <f t="shared" si="10"/>
        <v>0.98073555166374782</v>
      </c>
      <c r="Z55" s="66">
        <f t="shared" ref="Z55:AI64" si="11">$O55*2/($O55+Z$34)</f>
        <v>0.98245614035087714</v>
      </c>
      <c r="AA55" s="66">
        <f t="shared" si="11"/>
        <v>0.98418277680140598</v>
      </c>
      <c r="AB55" s="66">
        <f t="shared" si="11"/>
        <v>0.9859154929577465</v>
      </c>
      <c r="AC55" s="66">
        <f t="shared" si="11"/>
        <v>0.98765432098765427</v>
      </c>
      <c r="AD55" s="66">
        <f t="shared" si="11"/>
        <v>0.98939929328621912</v>
      </c>
      <c r="AE55" s="66">
        <f t="shared" si="11"/>
        <v>0.99115044247787609</v>
      </c>
      <c r="AF55" s="66">
        <f t="shared" si="11"/>
        <v>0.99290780141843971</v>
      </c>
      <c r="AG55" s="66">
        <f t="shared" si="11"/>
        <v>0.99467140319715808</v>
      </c>
      <c r="AH55" s="66">
        <f t="shared" si="11"/>
        <v>0.99644128113879005</v>
      </c>
      <c r="AI55" s="66">
        <f t="shared" si="11"/>
        <v>0.99821746880570406</v>
      </c>
      <c r="AJ55" s="66">
        <f t="shared" ref="AJ55:AS64" si="12">$O55*2/($O55+AJ$34)</f>
        <v>1</v>
      </c>
      <c r="AK55" s="66">
        <f t="shared" si="12"/>
        <v>1.0017889087656529</v>
      </c>
      <c r="AL55" s="66">
        <f t="shared" si="12"/>
        <v>1.0035842293906809</v>
      </c>
      <c r="AM55" s="66">
        <f t="shared" si="12"/>
        <v>1.0053859964093357</v>
      </c>
      <c r="AN55" s="66">
        <f t="shared" si="12"/>
        <v>1.0071942446043165</v>
      </c>
      <c r="AO55" s="66">
        <f t="shared" si="12"/>
        <v>1.0090090090090089</v>
      </c>
      <c r="AP55" s="66">
        <f t="shared" si="12"/>
        <v>1.0108303249097472</v>
      </c>
      <c r="AQ55" s="66">
        <f t="shared" si="12"/>
        <v>1.0126582278481013</v>
      </c>
      <c r="AR55" s="66">
        <f t="shared" si="12"/>
        <v>1.0144927536231885</v>
      </c>
      <c r="AS55" s="66">
        <f t="shared" si="12"/>
        <v>1.0163339382940109</v>
      </c>
      <c r="AT55" s="66">
        <f t="shared" ref="AT55:BC64" si="13">$O55*2/($O55+AT$34)</f>
        <v>1.0181818181818181</v>
      </c>
      <c r="AU55" s="66">
        <f t="shared" si="13"/>
        <v>1.0200364298724955</v>
      </c>
      <c r="AV55" s="66">
        <f t="shared" si="13"/>
        <v>1.0218978102189782</v>
      </c>
      <c r="AW55" s="66">
        <f t="shared" si="13"/>
        <v>1.0237659963436929</v>
      </c>
      <c r="AX55" s="66">
        <f t="shared" si="13"/>
        <v>1.0256410256410255</v>
      </c>
      <c r="AY55" s="66">
        <f t="shared" si="13"/>
        <v>1.0275229357798166</v>
      </c>
      <c r="AZ55" s="66">
        <f t="shared" si="13"/>
        <v>1.0294117647058822</v>
      </c>
      <c r="BA55" s="66">
        <f t="shared" si="13"/>
        <v>1.0313075506445673</v>
      </c>
      <c r="BB55" s="66">
        <f t="shared" si="13"/>
        <v>1.033210332103321</v>
      </c>
      <c r="BC55" s="66">
        <f t="shared" si="13"/>
        <v>1.0351201478743068</v>
      </c>
      <c r="BD55" s="66">
        <f t="shared" ref="BD55:BM64" si="14">$O55*2/($O55+BD$34)</f>
        <v>1.037037037037037</v>
      </c>
      <c r="BE55" s="66">
        <f t="shared" si="14"/>
        <v>1.0389610389610389</v>
      </c>
      <c r="BF55" s="66">
        <f t="shared" si="14"/>
        <v>1.0408921933085502</v>
      </c>
      <c r="BG55" s="66">
        <f t="shared" si="14"/>
        <v>1.042830540037244</v>
      </c>
      <c r="BH55" s="66">
        <f t="shared" si="14"/>
        <v>1.044776119402985</v>
      </c>
      <c r="BI55" s="66">
        <f t="shared" si="14"/>
        <v>1.0467289719626167</v>
      </c>
      <c r="BJ55" s="66">
        <f t="shared" si="14"/>
        <v>1.0486891385767789</v>
      </c>
      <c r="BK55" s="66">
        <f t="shared" si="14"/>
        <v>1.0506566604127581</v>
      </c>
      <c r="BL55" s="66">
        <f t="shared" si="14"/>
        <v>1.0526315789473684</v>
      </c>
      <c r="BM55" s="66">
        <f t="shared" si="14"/>
        <v>1.0546139359698681</v>
      </c>
    </row>
    <row r="56" spans="14:65" s="56" customFormat="1" x14ac:dyDescent="0.15">
      <c r="N56" s="173"/>
      <c r="O56" s="56">
        <v>279</v>
      </c>
      <c r="P56" s="66">
        <f t="shared" si="10"/>
        <v>0.96373056994818651</v>
      </c>
      <c r="Q56" s="66">
        <f t="shared" si="10"/>
        <v>0.96539792387543255</v>
      </c>
      <c r="R56" s="66">
        <f t="shared" si="10"/>
        <v>0.96707105719237429</v>
      </c>
      <c r="S56" s="66">
        <f t="shared" si="10"/>
        <v>0.96875</v>
      </c>
      <c r="T56" s="66">
        <f t="shared" si="10"/>
        <v>0.97043478260869565</v>
      </c>
      <c r="U56" s="66">
        <f t="shared" si="10"/>
        <v>0.97212543554006969</v>
      </c>
      <c r="V56" s="66">
        <f t="shared" si="10"/>
        <v>0.97382198952879584</v>
      </c>
      <c r="W56" s="66">
        <f t="shared" si="10"/>
        <v>0.97552447552447552</v>
      </c>
      <c r="X56" s="66">
        <f t="shared" si="10"/>
        <v>0.97723292469352019</v>
      </c>
      <c r="Y56" s="66">
        <f t="shared" si="10"/>
        <v>0.97894736842105268</v>
      </c>
      <c r="Z56" s="66">
        <f t="shared" si="11"/>
        <v>0.98066783831282955</v>
      </c>
      <c r="AA56" s="66">
        <f t="shared" si="11"/>
        <v>0.98239436619718312</v>
      </c>
      <c r="AB56" s="66">
        <f t="shared" si="11"/>
        <v>0.98412698412698407</v>
      </c>
      <c r="AC56" s="66">
        <f t="shared" si="11"/>
        <v>0.98586572438162545</v>
      </c>
      <c r="AD56" s="66">
        <f t="shared" si="11"/>
        <v>0.98761061946902651</v>
      </c>
      <c r="AE56" s="66">
        <f t="shared" si="11"/>
        <v>0.98936170212765961</v>
      </c>
      <c r="AF56" s="66">
        <f t="shared" si="11"/>
        <v>0.99111900532859676</v>
      </c>
      <c r="AG56" s="66">
        <f t="shared" si="11"/>
        <v>0.99288256227758009</v>
      </c>
      <c r="AH56" s="66">
        <f t="shared" si="11"/>
        <v>0.99465240641711228</v>
      </c>
      <c r="AI56" s="66">
        <f t="shared" si="11"/>
        <v>0.99642857142857144</v>
      </c>
      <c r="AJ56" s="66">
        <f t="shared" si="12"/>
        <v>0.99821109123434704</v>
      </c>
      <c r="AK56" s="66">
        <f t="shared" si="12"/>
        <v>1</v>
      </c>
      <c r="AL56" s="66">
        <f t="shared" si="12"/>
        <v>1.0017953321364452</v>
      </c>
      <c r="AM56" s="66">
        <f t="shared" si="12"/>
        <v>1.0035971223021583</v>
      </c>
      <c r="AN56" s="66">
        <f t="shared" si="12"/>
        <v>1.0054054054054054</v>
      </c>
      <c r="AO56" s="66">
        <f t="shared" si="12"/>
        <v>1.0072202166064983</v>
      </c>
      <c r="AP56" s="66">
        <f t="shared" si="12"/>
        <v>1.0090415913200723</v>
      </c>
      <c r="AQ56" s="66">
        <f t="shared" si="12"/>
        <v>1.0108695652173914</v>
      </c>
      <c r="AR56" s="66">
        <f t="shared" si="12"/>
        <v>1.0127041742286751</v>
      </c>
      <c r="AS56" s="66">
        <f t="shared" si="12"/>
        <v>1.0145454545454546</v>
      </c>
      <c r="AT56" s="66">
        <f t="shared" si="13"/>
        <v>1.0163934426229508</v>
      </c>
      <c r="AU56" s="66">
        <f t="shared" si="13"/>
        <v>1.0182481751824817</v>
      </c>
      <c r="AV56" s="66">
        <f t="shared" si="13"/>
        <v>1.0201096892138939</v>
      </c>
      <c r="AW56" s="66">
        <f t="shared" si="13"/>
        <v>1.0219780219780219</v>
      </c>
      <c r="AX56" s="66">
        <f t="shared" si="13"/>
        <v>1.0238532110091743</v>
      </c>
      <c r="AY56" s="66">
        <f t="shared" si="13"/>
        <v>1.025735294117647</v>
      </c>
      <c r="AZ56" s="66">
        <f t="shared" si="13"/>
        <v>1.0276243093922652</v>
      </c>
      <c r="BA56" s="66">
        <f t="shared" si="13"/>
        <v>1.0295202952029521</v>
      </c>
      <c r="BB56" s="66">
        <f t="shared" si="13"/>
        <v>1.0314232902033271</v>
      </c>
      <c r="BC56" s="66">
        <f t="shared" si="13"/>
        <v>1.0333333333333334</v>
      </c>
      <c r="BD56" s="66">
        <f t="shared" si="14"/>
        <v>1.0352504638218925</v>
      </c>
      <c r="BE56" s="66">
        <f t="shared" si="14"/>
        <v>1.037174721189591</v>
      </c>
      <c r="BF56" s="66">
        <f t="shared" si="14"/>
        <v>1.0391061452513966</v>
      </c>
      <c r="BG56" s="66">
        <f t="shared" si="14"/>
        <v>1.041044776119403</v>
      </c>
      <c r="BH56" s="66">
        <f t="shared" si="14"/>
        <v>1.0429906542056075</v>
      </c>
      <c r="BI56" s="66">
        <f t="shared" si="14"/>
        <v>1.0449438202247192</v>
      </c>
      <c r="BJ56" s="66">
        <f t="shared" si="14"/>
        <v>1.0469043151969981</v>
      </c>
      <c r="BK56" s="66">
        <f t="shared" si="14"/>
        <v>1.0488721804511278</v>
      </c>
      <c r="BL56" s="66">
        <f t="shared" si="14"/>
        <v>1.0508474576271187</v>
      </c>
      <c r="BM56" s="66">
        <f t="shared" si="14"/>
        <v>1.0528301886792453</v>
      </c>
    </row>
    <row r="57" spans="14:65" s="56" customFormat="1" x14ac:dyDescent="0.15">
      <c r="N57" s="173"/>
      <c r="O57" s="56">
        <v>278</v>
      </c>
      <c r="P57" s="66">
        <f t="shared" si="10"/>
        <v>0.96193771626297575</v>
      </c>
      <c r="Q57" s="66">
        <f t="shared" si="10"/>
        <v>0.96360485268630847</v>
      </c>
      <c r="R57" s="66">
        <f t="shared" si="10"/>
        <v>0.96527777777777779</v>
      </c>
      <c r="S57" s="66">
        <f t="shared" si="10"/>
        <v>0.96695652173913038</v>
      </c>
      <c r="T57" s="66">
        <f t="shared" si="10"/>
        <v>0.96864111498257843</v>
      </c>
      <c r="U57" s="66">
        <f t="shared" si="10"/>
        <v>0.9703315881326352</v>
      </c>
      <c r="V57" s="66">
        <f t="shared" si="10"/>
        <v>0.97202797202797198</v>
      </c>
      <c r="W57" s="66">
        <f t="shared" si="10"/>
        <v>0.97373029772329245</v>
      </c>
      <c r="X57" s="66">
        <f t="shared" si="10"/>
        <v>0.9754385964912281</v>
      </c>
      <c r="Y57" s="66">
        <f t="shared" si="10"/>
        <v>0.97715289982425313</v>
      </c>
      <c r="Z57" s="66">
        <f t="shared" si="11"/>
        <v>0.97887323943661975</v>
      </c>
      <c r="AA57" s="66">
        <f t="shared" si="11"/>
        <v>0.98059964726631388</v>
      </c>
      <c r="AB57" s="66">
        <f t="shared" si="11"/>
        <v>0.98233215547703179</v>
      </c>
      <c r="AC57" s="66">
        <f t="shared" si="11"/>
        <v>0.98407079646017703</v>
      </c>
      <c r="AD57" s="66">
        <f t="shared" si="11"/>
        <v>0.98581560283687941</v>
      </c>
      <c r="AE57" s="66">
        <f t="shared" si="11"/>
        <v>0.98756660746003555</v>
      </c>
      <c r="AF57" s="66">
        <f t="shared" si="11"/>
        <v>0.98932384341637014</v>
      </c>
      <c r="AG57" s="66">
        <f t="shared" si="11"/>
        <v>0.9910873440285205</v>
      </c>
      <c r="AH57" s="66">
        <f t="shared" si="11"/>
        <v>0.99285714285714288</v>
      </c>
      <c r="AI57" s="66">
        <f t="shared" si="11"/>
        <v>0.99463327370304111</v>
      </c>
      <c r="AJ57" s="66">
        <f t="shared" si="12"/>
        <v>0.99641577060931896</v>
      </c>
      <c r="AK57" s="66">
        <f t="shared" si="12"/>
        <v>0.99820466786355477</v>
      </c>
      <c r="AL57" s="66">
        <f t="shared" si="12"/>
        <v>1</v>
      </c>
      <c r="AM57" s="66">
        <f t="shared" si="12"/>
        <v>1.0018018018018018</v>
      </c>
      <c r="AN57" s="66">
        <f t="shared" si="12"/>
        <v>1.0036101083032491</v>
      </c>
      <c r="AO57" s="66">
        <f t="shared" si="12"/>
        <v>1.0054249547920433</v>
      </c>
      <c r="AP57" s="66">
        <f t="shared" si="12"/>
        <v>1.0072463768115942</v>
      </c>
      <c r="AQ57" s="66">
        <f t="shared" si="12"/>
        <v>1.0090744101633393</v>
      </c>
      <c r="AR57" s="66">
        <f t="shared" si="12"/>
        <v>1.010909090909091</v>
      </c>
      <c r="AS57" s="66">
        <f t="shared" si="12"/>
        <v>1.0127504553734061</v>
      </c>
      <c r="AT57" s="66">
        <f t="shared" si="13"/>
        <v>1.0145985401459854</v>
      </c>
      <c r="AU57" s="66">
        <f t="shared" si="13"/>
        <v>1.0164533820840951</v>
      </c>
      <c r="AV57" s="66">
        <f t="shared" si="13"/>
        <v>1.0183150183150182</v>
      </c>
      <c r="AW57" s="66">
        <f t="shared" si="13"/>
        <v>1.0201834862385322</v>
      </c>
      <c r="AX57" s="66">
        <f t="shared" si="13"/>
        <v>1.0220588235294117</v>
      </c>
      <c r="AY57" s="66">
        <f t="shared" si="13"/>
        <v>1.0239410681399632</v>
      </c>
      <c r="AZ57" s="66">
        <f t="shared" si="13"/>
        <v>1.0258302583025831</v>
      </c>
      <c r="BA57" s="66">
        <f t="shared" si="13"/>
        <v>1.0277264325323474</v>
      </c>
      <c r="BB57" s="66">
        <f t="shared" si="13"/>
        <v>1.0296296296296297</v>
      </c>
      <c r="BC57" s="66">
        <f t="shared" si="13"/>
        <v>1.0315398886827458</v>
      </c>
      <c r="BD57" s="66">
        <f t="shared" si="14"/>
        <v>1.033457249070632</v>
      </c>
      <c r="BE57" s="66">
        <f t="shared" si="14"/>
        <v>1.0353817504655494</v>
      </c>
      <c r="BF57" s="66">
        <f t="shared" si="14"/>
        <v>1.0373134328358209</v>
      </c>
      <c r="BG57" s="66">
        <f t="shared" si="14"/>
        <v>1.0392523364485982</v>
      </c>
      <c r="BH57" s="66">
        <f t="shared" si="14"/>
        <v>1.0411985018726593</v>
      </c>
      <c r="BI57" s="66">
        <f t="shared" si="14"/>
        <v>1.0431519699812384</v>
      </c>
      <c r="BJ57" s="66">
        <f t="shared" si="14"/>
        <v>1.0451127819548873</v>
      </c>
      <c r="BK57" s="66">
        <f t="shared" si="14"/>
        <v>1.0470809792843692</v>
      </c>
      <c r="BL57" s="66">
        <f t="shared" si="14"/>
        <v>1.0490566037735849</v>
      </c>
      <c r="BM57" s="66">
        <f t="shared" si="14"/>
        <v>1.0510396975425331</v>
      </c>
    </row>
    <row r="58" spans="14:65" s="56" customFormat="1" x14ac:dyDescent="0.15">
      <c r="N58" s="173"/>
      <c r="O58" s="56">
        <v>277</v>
      </c>
      <c r="P58" s="66">
        <f t="shared" si="10"/>
        <v>0.96013864818024264</v>
      </c>
      <c r="Q58" s="66">
        <f t="shared" si="10"/>
        <v>0.96180555555555558</v>
      </c>
      <c r="R58" s="66">
        <f t="shared" si="10"/>
        <v>0.96347826086956523</v>
      </c>
      <c r="S58" s="66">
        <f t="shared" si="10"/>
        <v>0.96515679442508706</v>
      </c>
      <c r="T58" s="66">
        <f t="shared" si="10"/>
        <v>0.96684118673647468</v>
      </c>
      <c r="U58" s="66">
        <f t="shared" si="10"/>
        <v>0.96853146853146854</v>
      </c>
      <c r="V58" s="66">
        <f t="shared" si="10"/>
        <v>0.97022767075306482</v>
      </c>
      <c r="W58" s="66">
        <f t="shared" si="10"/>
        <v>0.97192982456140353</v>
      </c>
      <c r="X58" s="66">
        <f t="shared" si="10"/>
        <v>0.97363796133567659</v>
      </c>
      <c r="Y58" s="66">
        <f t="shared" si="10"/>
        <v>0.97535211267605637</v>
      </c>
      <c r="Z58" s="66">
        <f t="shared" si="11"/>
        <v>0.97707231040564368</v>
      </c>
      <c r="AA58" s="66">
        <f t="shared" si="11"/>
        <v>0.97879858657243812</v>
      </c>
      <c r="AB58" s="66">
        <f t="shared" si="11"/>
        <v>0.98053097345132745</v>
      </c>
      <c r="AC58" s="66">
        <f t="shared" si="11"/>
        <v>0.98226950354609932</v>
      </c>
      <c r="AD58" s="66">
        <f t="shared" si="11"/>
        <v>0.98401420959147423</v>
      </c>
      <c r="AE58" s="66">
        <f t="shared" si="11"/>
        <v>0.98576512455516019</v>
      </c>
      <c r="AF58" s="66">
        <f t="shared" si="11"/>
        <v>0.98752228163992872</v>
      </c>
      <c r="AG58" s="66">
        <f t="shared" si="11"/>
        <v>0.98928571428571432</v>
      </c>
      <c r="AH58" s="66">
        <f t="shared" si="11"/>
        <v>0.99105545617173529</v>
      </c>
      <c r="AI58" s="66">
        <f t="shared" si="11"/>
        <v>0.99283154121863804</v>
      </c>
      <c r="AJ58" s="66">
        <f t="shared" si="12"/>
        <v>0.99461400359066432</v>
      </c>
      <c r="AK58" s="66">
        <f t="shared" si="12"/>
        <v>0.99640287769784175</v>
      </c>
      <c r="AL58" s="66">
        <f t="shared" si="12"/>
        <v>0.99819819819819822</v>
      </c>
      <c r="AM58" s="66">
        <f t="shared" si="12"/>
        <v>1</v>
      </c>
      <c r="AN58" s="66">
        <f t="shared" si="12"/>
        <v>1.0018083182640145</v>
      </c>
      <c r="AO58" s="66">
        <f t="shared" si="12"/>
        <v>1.0036231884057971</v>
      </c>
      <c r="AP58" s="66">
        <f t="shared" si="12"/>
        <v>1.0054446460980035</v>
      </c>
      <c r="AQ58" s="66">
        <f t="shared" si="12"/>
        <v>1.0072727272727273</v>
      </c>
      <c r="AR58" s="66">
        <f t="shared" si="12"/>
        <v>1.0091074681238617</v>
      </c>
      <c r="AS58" s="66">
        <f t="shared" si="12"/>
        <v>1.0109489051094891</v>
      </c>
      <c r="AT58" s="66">
        <f t="shared" si="13"/>
        <v>1.0127970749542961</v>
      </c>
      <c r="AU58" s="66">
        <f t="shared" si="13"/>
        <v>1.0146520146520146</v>
      </c>
      <c r="AV58" s="66">
        <f t="shared" si="13"/>
        <v>1.0165137614678899</v>
      </c>
      <c r="AW58" s="66">
        <f t="shared" si="13"/>
        <v>1.0183823529411764</v>
      </c>
      <c r="AX58" s="66">
        <f t="shared" si="13"/>
        <v>1.0202578268876612</v>
      </c>
      <c r="AY58" s="66">
        <f t="shared" si="13"/>
        <v>1.0221402214022139</v>
      </c>
      <c r="AZ58" s="66">
        <f t="shared" si="13"/>
        <v>1.0240295748613679</v>
      </c>
      <c r="BA58" s="66">
        <f t="shared" si="13"/>
        <v>1.0259259259259259</v>
      </c>
      <c r="BB58" s="66">
        <f t="shared" si="13"/>
        <v>1.0278293135435992</v>
      </c>
      <c r="BC58" s="66">
        <f t="shared" si="13"/>
        <v>1.029739776951673</v>
      </c>
      <c r="BD58" s="66">
        <f t="shared" si="14"/>
        <v>1.031657355679702</v>
      </c>
      <c r="BE58" s="66">
        <f t="shared" si="14"/>
        <v>1.0335820895522387</v>
      </c>
      <c r="BF58" s="66">
        <f t="shared" si="14"/>
        <v>1.0355140186915888</v>
      </c>
      <c r="BG58" s="66">
        <f t="shared" si="14"/>
        <v>1.0374531835205993</v>
      </c>
      <c r="BH58" s="66">
        <f t="shared" si="14"/>
        <v>1.0393996247654784</v>
      </c>
      <c r="BI58" s="66">
        <f t="shared" si="14"/>
        <v>1.0413533834586466</v>
      </c>
      <c r="BJ58" s="66">
        <f t="shared" si="14"/>
        <v>1.0433145009416196</v>
      </c>
      <c r="BK58" s="66">
        <f t="shared" si="14"/>
        <v>1.0452830188679245</v>
      </c>
      <c r="BL58" s="66">
        <f t="shared" si="14"/>
        <v>1.0472589792060492</v>
      </c>
      <c r="BM58" s="66">
        <f t="shared" si="14"/>
        <v>1.0492424242424243</v>
      </c>
    </row>
    <row r="59" spans="14:65" s="56" customFormat="1" x14ac:dyDescent="0.15">
      <c r="N59" s="173"/>
      <c r="O59" s="56">
        <v>276</v>
      </c>
      <c r="P59" s="66">
        <f t="shared" si="10"/>
        <v>0.95833333333333337</v>
      </c>
      <c r="Q59" s="66">
        <f t="shared" si="10"/>
        <v>0.96</v>
      </c>
      <c r="R59" s="66">
        <f t="shared" si="10"/>
        <v>0.9616724738675958</v>
      </c>
      <c r="S59" s="66">
        <f t="shared" si="10"/>
        <v>0.96335078534031415</v>
      </c>
      <c r="T59" s="66">
        <f t="shared" si="10"/>
        <v>0.965034965034965</v>
      </c>
      <c r="U59" s="66">
        <f t="shared" si="10"/>
        <v>0.96672504378283708</v>
      </c>
      <c r="V59" s="66">
        <f t="shared" si="10"/>
        <v>0.96842105263157896</v>
      </c>
      <c r="W59" s="66">
        <f t="shared" si="10"/>
        <v>0.97012302284710017</v>
      </c>
      <c r="X59" s="66">
        <f t="shared" si="10"/>
        <v>0.971830985915493</v>
      </c>
      <c r="Y59" s="66">
        <f t="shared" si="10"/>
        <v>0.97354497354497349</v>
      </c>
      <c r="Z59" s="66">
        <f t="shared" si="11"/>
        <v>0.97526501766784457</v>
      </c>
      <c r="AA59" s="66">
        <f t="shared" si="11"/>
        <v>0.97699115044247786</v>
      </c>
      <c r="AB59" s="66">
        <f t="shared" si="11"/>
        <v>0.97872340425531912</v>
      </c>
      <c r="AC59" s="66">
        <f t="shared" si="11"/>
        <v>0.98046181172291291</v>
      </c>
      <c r="AD59" s="66">
        <f t="shared" si="11"/>
        <v>0.98220640569395012</v>
      </c>
      <c r="AE59" s="66">
        <f t="shared" si="11"/>
        <v>0.98395721925133695</v>
      </c>
      <c r="AF59" s="66">
        <f t="shared" si="11"/>
        <v>0.98571428571428577</v>
      </c>
      <c r="AG59" s="66">
        <f t="shared" si="11"/>
        <v>0.98747763864042937</v>
      </c>
      <c r="AH59" s="66">
        <f t="shared" si="11"/>
        <v>0.989247311827957</v>
      </c>
      <c r="AI59" s="66">
        <f t="shared" si="11"/>
        <v>0.99102333931777375</v>
      </c>
      <c r="AJ59" s="66">
        <f t="shared" si="12"/>
        <v>0.9928057553956835</v>
      </c>
      <c r="AK59" s="66">
        <f t="shared" si="12"/>
        <v>0.99459459459459465</v>
      </c>
      <c r="AL59" s="66">
        <f t="shared" si="12"/>
        <v>0.99638989169675085</v>
      </c>
      <c r="AM59" s="66">
        <f t="shared" si="12"/>
        <v>0.99819168173598549</v>
      </c>
      <c r="AN59" s="66">
        <f t="shared" si="12"/>
        <v>1</v>
      </c>
      <c r="AO59" s="66">
        <f t="shared" si="12"/>
        <v>1.0018148820326678</v>
      </c>
      <c r="AP59" s="66">
        <f t="shared" si="12"/>
        <v>1.0036363636363637</v>
      </c>
      <c r="AQ59" s="66">
        <f t="shared" si="12"/>
        <v>1.0054644808743169</v>
      </c>
      <c r="AR59" s="66">
        <f t="shared" si="12"/>
        <v>1.0072992700729928</v>
      </c>
      <c r="AS59" s="66">
        <f t="shared" si="12"/>
        <v>1.0091407678244972</v>
      </c>
      <c r="AT59" s="66">
        <f t="shared" si="13"/>
        <v>1.0109890109890109</v>
      </c>
      <c r="AU59" s="66">
        <f t="shared" si="13"/>
        <v>1.0128440366972478</v>
      </c>
      <c r="AV59" s="66">
        <f t="shared" si="13"/>
        <v>1.0147058823529411</v>
      </c>
      <c r="AW59" s="66">
        <f t="shared" si="13"/>
        <v>1.0165745856353592</v>
      </c>
      <c r="AX59" s="66">
        <f t="shared" si="13"/>
        <v>1.018450184501845</v>
      </c>
      <c r="AY59" s="66">
        <f t="shared" si="13"/>
        <v>1.0203327171903882</v>
      </c>
      <c r="AZ59" s="66">
        <f t="shared" si="13"/>
        <v>1.0222222222222221</v>
      </c>
      <c r="BA59" s="66">
        <f t="shared" si="13"/>
        <v>1.0241187384044528</v>
      </c>
      <c r="BB59" s="66">
        <f t="shared" si="13"/>
        <v>1.0260223048327137</v>
      </c>
      <c r="BC59" s="66">
        <f t="shared" si="13"/>
        <v>1.0279329608938548</v>
      </c>
      <c r="BD59" s="66">
        <f t="shared" si="14"/>
        <v>1.0298507462686568</v>
      </c>
      <c r="BE59" s="66">
        <f t="shared" si="14"/>
        <v>1.0317757009345794</v>
      </c>
      <c r="BF59" s="66">
        <f t="shared" si="14"/>
        <v>1.0337078651685394</v>
      </c>
      <c r="BG59" s="66">
        <f t="shared" si="14"/>
        <v>1.0356472795497185</v>
      </c>
      <c r="BH59" s="66">
        <f t="shared" si="14"/>
        <v>1.0375939849624061</v>
      </c>
      <c r="BI59" s="66">
        <f t="shared" si="14"/>
        <v>1.03954802259887</v>
      </c>
      <c r="BJ59" s="66">
        <f t="shared" si="14"/>
        <v>1.0415094339622641</v>
      </c>
      <c r="BK59" s="66">
        <f t="shared" si="14"/>
        <v>1.0434782608695652</v>
      </c>
      <c r="BL59" s="66">
        <f t="shared" si="14"/>
        <v>1.0454545454545454</v>
      </c>
      <c r="BM59" s="66">
        <f t="shared" si="14"/>
        <v>1.0474383301707779</v>
      </c>
    </row>
    <row r="60" spans="14:65" s="56" customFormat="1" x14ac:dyDescent="0.15">
      <c r="N60" s="173"/>
      <c r="O60" s="56">
        <v>275</v>
      </c>
      <c r="P60" s="66">
        <f t="shared" si="10"/>
        <v>0.95652173913043481</v>
      </c>
      <c r="Q60" s="66">
        <f t="shared" si="10"/>
        <v>0.95818815331010454</v>
      </c>
      <c r="R60" s="66">
        <f t="shared" si="10"/>
        <v>0.95986038394415363</v>
      </c>
      <c r="S60" s="66">
        <f t="shared" si="10"/>
        <v>0.96153846153846156</v>
      </c>
      <c r="T60" s="66">
        <f t="shared" si="10"/>
        <v>0.96322241681260945</v>
      </c>
      <c r="U60" s="66">
        <f t="shared" si="10"/>
        <v>0.96491228070175439</v>
      </c>
      <c r="V60" s="66">
        <f t="shared" si="10"/>
        <v>0.96660808435852374</v>
      </c>
      <c r="W60" s="66">
        <f t="shared" si="10"/>
        <v>0.96830985915492962</v>
      </c>
      <c r="X60" s="66">
        <f t="shared" si="10"/>
        <v>0.9700176366843033</v>
      </c>
      <c r="Y60" s="66">
        <f t="shared" si="10"/>
        <v>0.9717314487632509</v>
      </c>
      <c r="Z60" s="66">
        <f t="shared" si="11"/>
        <v>0.97345132743362828</v>
      </c>
      <c r="AA60" s="66">
        <f t="shared" si="11"/>
        <v>0.97517730496453903</v>
      </c>
      <c r="AB60" s="66">
        <f t="shared" si="11"/>
        <v>0.9769094138543517</v>
      </c>
      <c r="AC60" s="66">
        <f t="shared" si="11"/>
        <v>0.97864768683274017</v>
      </c>
      <c r="AD60" s="66">
        <f t="shared" si="11"/>
        <v>0.98039215686274506</v>
      </c>
      <c r="AE60" s="66">
        <f t="shared" si="11"/>
        <v>0.9821428571428571</v>
      </c>
      <c r="AF60" s="66">
        <f t="shared" si="11"/>
        <v>0.98389982110912344</v>
      </c>
      <c r="AG60" s="66">
        <f t="shared" si="11"/>
        <v>0.98566308243727596</v>
      </c>
      <c r="AH60" s="66">
        <f t="shared" si="11"/>
        <v>0.9874326750448833</v>
      </c>
      <c r="AI60" s="66">
        <f t="shared" si="11"/>
        <v>0.98920863309352514</v>
      </c>
      <c r="AJ60" s="66">
        <f t="shared" si="12"/>
        <v>0.99099099099099097</v>
      </c>
      <c r="AK60" s="66">
        <f t="shared" si="12"/>
        <v>0.99277978339350181</v>
      </c>
      <c r="AL60" s="66">
        <f t="shared" si="12"/>
        <v>0.99457504520795659</v>
      </c>
      <c r="AM60" s="66">
        <f t="shared" si="12"/>
        <v>0.99637681159420288</v>
      </c>
      <c r="AN60" s="66">
        <f t="shared" si="12"/>
        <v>0.99818511796733211</v>
      </c>
      <c r="AO60" s="66">
        <f t="shared" si="12"/>
        <v>1</v>
      </c>
      <c r="AP60" s="66">
        <f t="shared" si="12"/>
        <v>1.0018214936247722</v>
      </c>
      <c r="AQ60" s="66">
        <f t="shared" si="12"/>
        <v>1.0036496350364963</v>
      </c>
      <c r="AR60" s="66">
        <f t="shared" si="12"/>
        <v>1.0054844606946984</v>
      </c>
      <c r="AS60" s="66">
        <f t="shared" si="12"/>
        <v>1.0073260073260073</v>
      </c>
      <c r="AT60" s="66">
        <f t="shared" si="13"/>
        <v>1.0091743119266054</v>
      </c>
      <c r="AU60" s="66">
        <f t="shared" si="13"/>
        <v>1.0110294117647058</v>
      </c>
      <c r="AV60" s="66">
        <f t="shared" si="13"/>
        <v>1.0128913443830572</v>
      </c>
      <c r="AW60" s="66">
        <f t="shared" si="13"/>
        <v>1.014760147601476</v>
      </c>
      <c r="AX60" s="66">
        <f t="shared" si="13"/>
        <v>1.0166358595194085</v>
      </c>
      <c r="AY60" s="66">
        <f t="shared" si="13"/>
        <v>1.0185185185185186</v>
      </c>
      <c r="AZ60" s="66">
        <f t="shared" si="13"/>
        <v>1.0204081632653061</v>
      </c>
      <c r="BA60" s="66">
        <f t="shared" si="13"/>
        <v>1.0223048327137547</v>
      </c>
      <c r="BB60" s="66">
        <f t="shared" si="13"/>
        <v>1.0242085661080074</v>
      </c>
      <c r="BC60" s="66">
        <f t="shared" si="13"/>
        <v>1.0261194029850746</v>
      </c>
      <c r="BD60" s="66">
        <f t="shared" si="14"/>
        <v>1.02803738317757</v>
      </c>
      <c r="BE60" s="66">
        <f t="shared" si="14"/>
        <v>1.0299625468164795</v>
      </c>
      <c r="BF60" s="66">
        <f t="shared" si="14"/>
        <v>1.0318949343339587</v>
      </c>
      <c r="BG60" s="66">
        <f t="shared" si="14"/>
        <v>1.0338345864661653</v>
      </c>
      <c r="BH60" s="66">
        <f t="shared" si="14"/>
        <v>1.0357815442561205</v>
      </c>
      <c r="BI60" s="66">
        <f t="shared" si="14"/>
        <v>1.0377358490566038</v>
      </c>
      <c r="BJ60" s="66">
        <f t="shared" si="14"/>
        <v>1.0396975425330812</v>
      </c>
      <c r="BK60" s="66">
        <f t="shared" si="14"/>
        <v>1.0416666666666667</v>
      </c>
      <c r="BL60" s="66">
        <f t="shared" si="14"/>
        <v>1.0436432637571158</v>
      </c>
      <c r="BM60" s="66">
        <f t="shared" si="14"/>
        <v>1.0456273764258555</v>
      </c>
    </row>
    <row r="61" spans="14:65" s="56" customFormat="1" x14ac:dyDescent="0.15">
      <c r="N61" s="173"/>
      <c r="O61" s="56">
        <v>274</v>
      </c>
      <c r="P61" s="66">
        <f t="shared" si="10"/>
        <v>0.95470383275261328</v>
      </c>
      <c r="Q61" s="66">
        <f t="shared" si="10"/>
        <v>0.95636998254799299</v>
      </c>
      <c r="R61" s="66">
        <f t="shared" si="10"/>
        <v>0.95804195804195802</v>
      </c>
      <c r="S61" s="66">
        <f t="shared" si="10"/>
        <v>0.95971978984238182</v>
      </c>
      <c r="T61" s="66">
        <f t="shared" si="10"/>
        <v>0.96140350877192982</v>
      </c>
      <c r="U61" s="66">
        <f t="shared" si="10"/>
        <v>0.96309314586994732</v>
      </c>
      <c r="V61" s="66">
        <f t="shared" si="10"/>
        <v>0.96478873239436624</v>
      </c>
      <c r="W61" s="66">
        <f t="shared" si="10"/>
        <v>0.9664902998236331</v>
      </c>
      <c r="X61" s="66">
        <f t="shared" si="10"/>
        <v>0.96819787985865724</v>
      </c>
      <c r="Y61" s="66">
        <f t="shared" si="10"/>
        <v>0.9699115044247788</v>
      </c>
      <c r="Z61" s="66">
        <f t="shared" si="11"/>
        <v>0.97163120567375882</v>
      </c>
      <c r="AA61" s="66">
        <f t="shared" si="11"/>
        <v>0.97335701598579039</v>
      </c>
      <c r="AB61" s="66">
        <f t="shared" si="11"/>
        <v>0.97508896797153022</v>
      </c>
      <c r="AC61" s="66">
        <f t="shared" si="11"/>
        <v>0.97682709447415328</v>
      </c>
      <c r="AD61" s="66">
        <f t="shared" si="11"/>
        <v>0.97857142857142854</v>
      </c>
      <c r="AE61" s="66">
        <f t="shared" si="11"/>
        <v>0.98032200357781751</v>
      </c>
      <c r="AF61" s="66">
        <f t="shared" si="11"/>
        <v>0.98207885304659504</v>
      </c>
      <c r="AG61" s="66">
        <f t="shared" si="11"/>
        <v>0.98384201077199285</v>
      </c>
      <c r="AH61" s="66">
        <f t="shared" si="11"/>
        <v>0.98561151079136688</v>
      </c>
      <c r="AI61" s="66">
        <f t="shared" si="11"/>
        <v>0.98738738738738741</v>
      </c>
      <c r="AJ61" s="66">
        <f t="shared" si="12"/>
        <v>0.98916967509025266</v>
      </c>
      <c r="AK61" s="66">
        <f t="shared" si="12"/>
        <v>0.99095840867992768</v>
      </c>
      <c r="AL61" s="66">
        <f t="shared" si="12"/>
        <v>0.99275362318840576</v>
      </c>
      <c r="AM61" s="66">
        <f t="shared" si="12"/>
        <v>0.99455535390199634</v>
      </c>
      <c r="AN61" s="66">
        <f t="shared" si="12"/>
        <v>0.99636363636363634</v>
      </c>
      <c r="AO61" s="66">
        <f t="shared" si="12"/>
        <v>0.99817850637522765</v>
      </c>
      <c r="AP61" s="66">
        <f t="shared" si="12"/>
        <v>1</v>
      </c>
      <c r="AQ61" s="66">
        <f t="shared" si="12"/>
        <v>1.0018281535648994</v>
      </c>
      <c r="AR61" s="66">
        <f t="shared" si="12"/>
        <v>1.0036630036630036</v>
      </c>
      <c r="AS61" s="66">
        <f t="shared" si="12"/>
        <v>1.0055045871559634</v>
      </c>
      <c r="AT61" s="66">
        <f t="shared" si="13"/>
        <v>1.0073529411764706</v>
      </c>
      <c r="AU61" s="66">
        <f t="shared" si="13"/>
        <v>1.0092081031307552</v>
      </c>
      <c r="AV61" s="66">
        <f t="shared" si="13"/>
        <v>1.0110701107011071</v>
      </c>
      <c r="AW61" s="66">
        <f t="shared" si="13"/>
        <v>1.0129390018484288</v>
      </c>
      <c r="AX61" s="66">
        <f t="shared" si="13"/>
        <v>1.0148148148148148</v>
      </c>
      <c r="AY61" s="66">
        <f t="shared" si="13"/>
        <v>1.0166975881261595</v>
      </c>
      <c r="AZ61" s="66">
        <f t="shared" si="13"/>
        <v>1.0185873605947955</v>
      </c>
      <c r="BA61" s="66">
        <f t="shared" si="13"/>
        <v>1.0204841713221602</v>
      </c>
      <c r="BB61" s="66">
        <f t="shared" si="13"/>
        <v>1.0223880597014925</v>
      </c>
      <c r="BC61" s="66">
        <f t="shared" si="13"/>
        <v>1.0242990654205608</v>
      </c>
      <c r="BD61" s="66">
        <f t="shared" si="14"/>
        <v>1.0262172284644195</v>
      </c>
      <c r="BE61" s="66">
        <f t="shared" si="14"/>
        <v>1.0281425891181988</v>
      </c>
      <c r="BF61" s="66">
        <f t="shared" si="14"/>
        <v>1.0300751879699248</v>
      </c>
      <c r="BG61" s="66">
        <f t="shared" si="14"/>
        <v>1.0320150659133709</v>
      </c>
      <c r="BH61" s="66">
        <f t="shared" si="14"/>
        <v>1.0339622641509434</v>
      </c>
      <c r="BI61" s="66">
        <f t="shared" si="14"/>
        <v>1.0359168241965973</v>
      </c>
      <c r="BJ61" s="66">
        <f t="shared" si="14"/>
        <v>1.0378787878787878</v>
      </c>
      <c r="BK61" s="66">
        <f t="shared" si="14"/>
        <v>1.0398481973434535</v>
      </c>
      <c r="BL61" s="66">
        <f t="shared" si="14"/>
        <v>1.0418250950570342</v>
      </c>
      <c r="BM61" s="66">
        <f t="shared" si="14"/>
        <v>1.0438095238095237</v>
      </c>
    </row>
    <row r="62" spans="14:65" s="56" customFormat="1" x14ac:dyDescent="0.15">
      <c r="N62" s="173"/>
      <c r="O62" s="56">
        <v>273</v>
      </c>
      <c r="P62" s="66">
        <f t="shared" si="10"/>
        <v>0.95287958115183247</v>
      </c>
      <c r="Q62" s="66">
        <f t="shared" si="10"/>
        <v>0.95454545454545459</v>
      </c>
      <c r="R62" s="66">
        <f t="shared" si="10"/>
        <v>0.95621716287215408</v>
      </c>
      <c r="S62" s="66">
        <f t="shared" si="10"/>
        <v>0.95789473684210524</v>
      </c>
      <c r="T62" s="66">
        <f t="shared" si="10"/>
        <v>0.95957820738137078</v>
      </c>
      <c r="U62" s="66">
        <f t="shared" si="10"/>
        <v>0.96126760563380287</v>
      </c>
      <c r="V62" s="66">
        <f t="shared" si="10"/>
        <v>0.96296296296296291</v>
      </c>
      <c r="W62" s="66">
        <f t="shared" si="10"/>
        <v>0.96466431095406358</v>
      </c>
      <c r="X62" s="66">
        <f t="shared" si="10"/>
        <v>0.96637168141592922</v>
      </c>
      <c r="Y62" s="66">
        <f t="shared" si="10"/>
        <v>0.96808510638297873</v>
      </c>
      <c r="Z62" s="66">
        <f t="shared" si="11"/>
        <v>0.96980461811722918</v>
      </c>
      <c r="AA62" s="66">
        <f t="shared" si="11"/>
        <v>0.97153024911032027</v>
      </c>
      <c r="AB62" s="66">
        <f t="shared" si="11"/>
        <v>0.9732620320855615</v>
      </c>
      <c r="AC62" s="66">
        <f t="shared" si="11"/>
        <v>0.97499999999999998</v>
      </c>
      <c r="AD62" s="66">
        <f t="shared" si="11"/>
        <v>0.97674418604651159</v>
      </c>
      <c r="AE62" s="66">
        <f t="shared" si="11"/>
        <v>0.978494623655914</v>
      </c>
      <c r="AF62" s="66">
        <f t="shared" si="11"/>
        <v>0.98025134649910228</v>
      </c>
      <c r="AG62" s="66">
        <f t="shared" si="11"/>
        <v>0.98201438848920863</v>
      </c>
      <c r="AH62" s="66">
        <f t="shared" si="11"/>
        <v>0.98378378378378384</v>
      </c>
      <c r="AI62" s="66">
        <f t="shared" si="11"/>
        <v>0.98555956678700363</v>
      </c>
      <c r="AJ62" s="66">
        <f t="shared" si="12"/>
        <v>0.98734177215189878</v>
      </c>
      <c r="AK62" s="66">
        <f t="shared" si="12"/>
        <v>0.98913043478260865</v>
      </c>
      <c r="AL62" s="66">
        <f t="shared" si="12"/>
        <v>0.99092558983666057</v>
      </c>
      <c r="AM62" s="66">
        <f t="shared" si="12"/>
        <v>0.99272727272727268</v>
      </c>
      <c r="AN62" s="66">
        <f t="shared" si="12"/>
        <v>0.99453551912568305</v>
      </c>
      <c r="AO62" s="66">
        <f t="shared" si="12"/>
        <v>0.9963503649635036</v>
      </c>
      <c r="AP62" s="66">
        <f t="shared" si="12"/>
        <v>0.9981718464351006</v>
      </c>
      <c r="AQ62" s="66">
        <f t="shared" si="12"/>
        <v>1</v>
      </c>
      <c r="AR62" s="66">
        <f t="shared" si="12"/>
        <v>1.001834862385321</v>
      </c>
      <c r="AS62" s="66">
        <f t="shared" si="12"/>
        <v>1.0036764705882353</v>
      </c>
      <c r="AT62" s="66">
        <f t="shared" si="13"/>
        <v>1.0055248618784531</v>
      </c>
      <c r="AU62" s="66">
        <f t="shared" si="13"/>
        <v>1.0073800738007379</v>
      </c>
      <c r="AV62" s="66">
        <f t="shared" si="13"/>
        <v>1.0092421441774491</v>
      </c>
      <c r="AW62" s="66">
        <f t="shared" si="13"/>
        <v>1.0111111111111111</v>
      </c>
      <c r="AX62" s="66">
        <f t="shared" si="13"/>
        <v>1.0129870129870129</v>
      </c>
      <c r="AY62" s="66">
        <f t="shared" si="13"/>
        <v>1.0148698884758365</v>
      </c>
      <c r="AZ62" s="66">
        <f t="shared" si="13"/>
        <v>1.0167597765363128</v>
      </c>
      <c r="BA62" s="66">
        <f t="shared" si="13"/>
        <v>1.0186567164179106</v>
      </c>
      <c r="BB62" s="66">
        <f t="shared" si="13"/>
        <v>1.0205607476635514</v>
      </c>
      <c r="BC62" s="66">
        <f t="shared" si="13"/>
        <v>1.0224719101123596</v>
      </c>
      <c r="BD62" s="66">
        <f t="shared" si="14"/>
        <v>1.024390243902439</v>
      </c>
      <c r="BE62" s="66">
        <f t="shared" si="14"/>
        <v>1.0263157894736843</v>
      </c>
      <c r="BF62" s="66">
        <f t="shared" si="14"/>
        <v>1.0282485875706215</v>
      </c>
      <c r="BG62" s="66">
        <f t="shared" si="14"/>
        <v>1.030188679245283</v>
      </c>
      <c r="BH62" s="66">
        <f t="shared" si="14"/>
        <v>1.0321361058601135</v>
      </c>
      <c r="BI62" s="66">
        <f t="shared" si="14"/>
        <v>1.0340909090909092</v>
      </c>
      <c r="BJ62" s="66">
        <f t="shared" si="14"/>
        <v>1.0360531309297913</v>
      </c>
      <c r="BK62" s="66">
        <f t="shared" si="14"/>
        <v>1.038022813688213</v>
      </c>
      <c r="BL62" s="66">
        <f t="shared" si="14"/>
        <v>1.04</v>
      </c>
      <c r="BM62" s="66">
        <f t="shared" si="14"/>
        <v>1.0419847328244274</v>
      </c>
    </row>
    <row r="63" spans="14:65" s="56" customFormat="1" x14ac:dyDescent="0.15">
      <c r="N63" s="173"/>
      <c r="O63" s="56">
        <v>272</v>
      </c>
      <c r="P63" s="66">
        <f t="shared" si="10"/>
        <v>0.95104895104895104</v>
      </c>
      <c r="Q63" s="66">
        <f t="shared" si="10"/>
        <v>0.95271453590192645</v>
      </c>
      <c r="R63" s="66">
        <f t="shared" si="10"/>
        <v>0.95438596491228067</v>
      </c>
      <c r="S63" s="66">
        <f t="shared" si="10"/>
        <v>0.95606326889279436</v>
      </c>
      <c r="T63" s="66">
        <f t="shared" si="10"/>
        <v>0.95774647887323938</v>
      </c>
      <c r="U63" s="66">
        <f t="shared" si="10"/>
        <v>0.95943562610229272</v>
      </c>
      <c r="V63" s="66">
        <f t="shared" si="10"/>
        <v>0.96113074204946991</v>
      </c>
      <c r="W63" s="66">
        <f t="shared" si="10"/>
        <v>0.96283185840707963</v>
      </c>
      <c r="X63" s="66">
        <f t="shared" si="10"/>
        <v>0.96453900709219853</v>
      </c>
      <c r="Y63" s="66">
        <f t="shared" si="10"/>
        <v>0.96625222024866786</v>
      </c>
      <c r="Z63" s="66">
        <f t="shared" si="11"/>
        <v>0.96797153024911031</v>
      </c>
      <c r="AA63" s="66">
        <f t="shared" si="11"/>
        <v>0.96969696969696972</v>
      </c>
      <c r="AB63" s="66">
        <f t="shared" si="11"/>
        <v>0.97142857142857142</v>
      </c>
      <c r="AC63" s="66">
        <f t="shared" si="11"/>
        <v>0.97316636851520577</v>
      </c>
      <c r="AD63" s="66">
        <f t="shared" si="11"/>
        <v>0.97491039426523296</v>
      </c>
      <c r="AE63" s="66">
        <f t="shared" si="11"/>
        <v>0.97666068222621183</v>
      </c>
      <c r="AF63" s="66">
        <f t="shared" si="11"/>
        <v>0.97841726618705038</v>
      </c>
      <c r="AG63" s="66">
        <f t="shared" si="11"/>
        <v>0.98018018018018016</v>
      </c>
      <c r="AH63" s="66">
        <f t="shared" si="11"/>
        <v>0.98194945848375448</v>
      </c>
      <c r="AI63" s="66">
        <f t="shared" si="11"/>
        <v>0.98372513562386976</v>
      </c>
      <c r="AJ63" s="66">
        <f t="shared" si="12"/>
        <v>0.98550724637681164</v>
      </c>
      <c r="AK63" s="66">
        <f t="shared" si="12"/>
        <v>0.98729582577132491</v>
      </c>
      <c r="AL63" s="66">
        <f t="shared" si="12"/>
        <v>0.98909090909090913</v>
      </c>
      <c r="AM63" s="66">
        <f t="shared" si="12"/>
        <v>0.99089253187613846</v>
      </c>
      <c r="AN63" s="66">
        <f t="shared" si="12"/>
        <v>0.99270072992700731</v>
      </c>
      <c r="AO63" s="66">
        <f t="shared" si="12"/>
        <v>0.99451553930530168</v>
      </c>
      <c r="AP63" s="66">
        <f t="shared" si="12"/>
        <v>0.99633699633699635</v>
      </c>
      <c r="AQ63" s="66">
        <f t="shared" si="12"/>
        <v>0.99816513761467895</v>
      </c>
      <c r="AR63" s="66">
        <f t="shared" si="12"/>
        <v>1</v>
      </c>
      <c r="AS63" s="66">
        <f t="shared" si="12"/>
        <v>1.0018416206261511</v>
      </c>
      <c r="AT63" s="66">
        <f t="shared" si="13"/>
        <v>1.003690036900369</v>
      </c>
      <c r="AU63" s="66">
        <f t="shared" si="13"/>
        <v>1.0055452865064696</v>
      </c>
      <c r="AV63" s="66">
        <f t="shared" si="13"/>
        <v>1.0074074074074073</v>
      </c>
      <c r="AW63" s="66">
        <f t="shared" si="13"/>
        <v>1.0092764378478665</v>
      </c>
      <c r="AX63" s="66">
        <f t="shared" si="13"/>
        <v>1.0111524163568772</v>
      </c>
      <c r="AY63" s="66">
        <f t="shared" si="13"/>
        <v>1.0130353817504656</v>
      </c>
      <c r="AZ63" s="66">
        <f t="shared" si="13"/>
        <v>1.0149253731343284</v>
      </c>
      <c r="BA63" s="66">
        <f t="shared" si="13"/>
        <v>1.016822429906542</v>
      </c>
      <c r="BB63" s="66">
        <f t="shared" si="13"/>
        <v>1.0187265917602997</v>
      </c>
      <c r="BC63" s="66">
        <f t="shared" si="13"/>
        <v>1.0206378986866791</v>
      </c>
      <c r="BD63" s="66">
        <f t="shared" si="14"/>
        <v>1.0225563909774436</v>
      </c>
      <c r="BE63" s="66">
        <f t="shared" si="14"/>
        <v>1.024482109227872</v>
      </c>
      <c r="BF63" s="66">
        <f t="shared" si="14"/>
        <v>1.0264150943396226</v>
      </c>
      <c r="BG63" s="66">
        <f t="shared" si="14"/>
        <v>1.0283553875236295</v>
      </c>
      <c r="BH63" s="66">
        <f t="shared" si="14"/>
        <v>1.0303030303030303</v>
      </c>
      <c r="BI63" s="66">
        <f t="shared" si="14"/>
        <v>1.032258064516129</v>
      </c>
      <c r="BJ63" s="66">
        <f t="shared" si="14"/>
        <v>1.0342205323193916</v>
      </c>
      <c r="BK63" s="66">
        <f t="shared" si="14"/>
        <v>1.0361904761904761</v>
      </c>
      <c r="BL63" s="66">
        <f t="shared" si="14"/>
        <v>1.0381679389312977</v>
      </c>
      <c r="BM63" s="66">
        <f t="shared" si="14"/>
        <v>1.0401529636711282</v>
      </c>
    </row>
    <row r="64" spans="14:65" s="56" customFormat="1" x14ac:dyDescent="0.15">
      <c r="N64" s="173"/>
      <c r="O64" s="56">
        <v>271</v>
      </c>
      <c r="P64" s="66">
        <f t="shared" si="10"/>
        <v>0.94921190893169882</v>
      </c>
      <c r="Q64" s="66">
        <f t="shared" si="10"/>
        <v>0.9508771929824561</v>
      </c>
      <c r="R64" s="66">
        <f t="shared" si="10"/>
        <v>0.95254833040421794</v>
      </c>
      <c r="S64" s="66">
        <f t="shared" si="10"/>
        <v>0.95422535211267601</v>
      </c>
      <c r="T64" s="66">
        <f t="shared" si="10"/>
        <v>0.95590828924162252</v>
      </c>
      <c r="U64" s="66">
        <f t="shared" si="10"/>
        <v>0.95759717314487636</v>
      </c>
      <c r="V64" s="66">
        <f t="shared" si="10"/>
        <v>0.95929203539823005</v>
      </c>
      <c r="W64" s="66">
        <f t="shared" si="10"/>
        <v>0.96099290780141844</v>
      </c>
      <c r="X64" s="66">
        <f t="shared" si="10"/>
        <v>0.96269982238010654</v>
      </c>
      <c r="Y64" s="66">
        <f t="shared" si="10"/>
        <v>0.96441281138790036</v>
      </c>
      <c r="Z64" s="66">
        <f t="shared" si="11"/>
        <v>0.96613190730837795</v>
      </c>
      <c r="AA64" s="66">
        <f t="shared" si="11"/>
        <v>0.96785714285714286</v>
      </c>
      <c r="AB64" s="66">
        <f t="shared" si="11"/>
        <v>0.96958855098389984</v>
      </c>
      <c r="AC64" s="66">
        <f t="shared" si="11"/>
        <v>0.97132616487455192</v>
      </c>
      <c r="AD64" s="66">
        <f t="shared" si="11"/>
        <v>0.97307001795332138</v>
      </c>
      <c r="AE64" s="66">
        <f t="shared" si="11"/>
        <v>0.97482014388489213</v>
      </c>
      <c r="AF64" s="66">
        <f t="shared" si="11"/>
        <v>0.97657657657657659</v>
      </c>
      <c r="AG64" s="66">
        <f t="shared" si="11"/>
        <v>0.97833935018050544</v>
      </c>
      <c r="AH64" s="66">
        <f t="shared" si="11"/>
        <v>0.98010849909584086</v>
      </c>
      <c r="AI64" s="66">
        <f t="shared" si="11"/>
        <v>0.98188405797101452</v>
      </c>
      <c r="AJ64" s="66">
        <f t="shared" si="12"/>
        <v>0.98366606170598914</v>
      </c>
      <c r="AK64" s="66">
        <f t="shared" si="12"/>
        <v>0.98545454545454547</v>
      </c>
      <c r="AL64" s="66">
        <f t="shared" si="12"/>
        <v>0.98724954462659376</v>
      </c>
      <c r="AM64" s="66">
        <f t="shared" si="12"/>
        <v>0.98905109489051091</v>
      </c>
      <c r="AN64" s="66">
        <f t="shared" si="12"/>
        <v>0.99085923217550276</v>
      </c>
      <c r="AO64" s="66">
        <f t="shared" si="12"/>
        <v>0.9926739926739927</v>
      </c>
      <c r="AP64" s="66">
        <f t="shared" si="12"/>
        <v>0.99449541284403675</v>
      </c>
      <c r="AQ64" s="66">
        <f t="shared" si="12"/>
        <v>0.99632352941176472</v>
      </c>
      <c r="AR64" s="66">
        <f t="shared" si="12"/>
        <v>0.99815837937384899</v>
      </c>
      <c r="AS64" s="66">
        <f t="shared" si="12"/>
        <v>1</v>
      </c>
      <c r="AT64" s="66">
        <f t="shared" si="13"/>
        <v>1.0018484288354899</v>
      </c>
      <c r="AU64" s="66">
        <f t="shared" si="13"/>
        <v>1.0037037037037038</v>
      </c>
      <c r="AV64" s="66">
        <f t="shared" si="13"/>
        <v>1.0055658627087198</v>
      </c>
      <c r="AW64" s="66">
        <f t="shared" si="13"/>
        <v>1.0074349442379182</v>
      </c>
      <c r="AX64" s="66">
        <f t="shared" si="13"/>
        <v>1.0093109869646182</v>
      </c>
      <c r="AY64" s="66">
        <f t="shared" si="13"/>
        <v>1.0111940298507462</v>
      </c>
      <c r="AZ64" s="66">
        <f t="shared" si="13"/>
        <v>1.0130841121495326</v>
      </c>
      <c r="BA64" s="66">
        <f t="shared" si="13"/>
        <v>1.0149812734082397</v>
      </c>
      <c r="BB64" s="66">
        <f t="shared" si="13"/>
        <v>1.0168855534709194</v>
      </c>
      <c r="BC64" s="66">
        <f t="shared" si="13"/>
        <v>1.018796992481203</v>
      </c>
      <c r="BD64" s="66">
        <f t="shared" si="14"/>
        <v>1.0207156308851224</v>
      </c>
      <c r="BE64" s="66">
        <f t="shared" si="14"/>
        <v>1.0226415094339623</v>
      </c>
      <c r="BF64" s="66">
        <f t="shared" si="14"/>
        <v>1.0245746691871456</v>
      </c>
      <c r="BG64" s="66">
        <f t="shared" si="14"/>
        <v>1.0265151515151516</v>
      </c>
      <c r="BH64" s="66">
        <f t="shared" si="14"/>
        <v>1.0284629981024669</v>
      </c>
      <c r="BI64" s="66">
        <f t="shared" si="14"/>
        <v>1.0304182509505704</v>
      </c>
      <c r="BJ64" s="66">
        <f t="shared" si="14"/>
        <v>1.0323809523809524</v>
      </c>
      <c r="BK64" s="66">
        <f t="shared" si="14"/>
        <v>1.0343511450381679</v>
      </c>
      <c r="BL64" s="66">
        <f t="shared" si="14"/>
        <v>1.0363288718929253</v>
      </c>
      <c r="BM64" s="66">
        <f t="shared" si="14"/>
        <v>1.0383141762452108</v>
      </c>
    </row>
    <row r="65" spans="14:65" s="56" customFormat="1" x14ac:dyDescent="0.15">
      <c r="N65" s="173"/>
      <c r="O65" s="56">
        <v>270</v>
      </c>
      <c r="P65" s="66">
        <f t="shared" ref="P65:Y74" si="15">$O65*2/($O65+P$34)</f>
        <v>0.94736842105263153</v>
      </c>
      <c r="Q65" s="66">
        <f t="shared" si="15"/>
        <v>0.94903339191564151</v>
      </c>
      <c r="R65" s="66">
        <f t="shared" si="15"/>
        <v>0.95070422535211263</v>
      </c>
      <c r="S65" s="66">
        <f t="shared" si="15"/>
        <v>0.95238095238095233</v>
      </c>
      <c r="T65" s="66">
        <f t="shared" si="15"/>
        <v>0.95406360424028269</v>
      </c>
      <c r="U65" s="66">
        <f t="shared" si="15"/>
        <v>0.95575221238938057</v>
      </c>
      <c r="V65" s="66">
        <f t="shared" si="15"/>
        <v>0.95744680851063835</v>
      </c>
      <c r="W65" s="66">
        <f t="shared" si="15"/>
        <v>0.95914742451154533</v>
      </c>
      <c r="X65" s="66">
        <f t="shared" si="15"/>
        <v>0.96085409252669041</v>
      </c>
      <c r="Y65" s="66">
        <f t="shared" si="15"/>
        <v>0.96256684491978606</v>
      </c>
      <c r="Z65" s="66">
        <f t="shared" ref="Z65:AI74" si="16">$O65*2/($O65+Z$34)</f>
        <v>0.9642857142857143</v>
      </c>
      <c r="AA65" s="66">
        <f t="shared" si="16"/>
        <v>0.96601073345259392</v>
      </c>
      <c r="AB65" s="66">
        <f t="shared" si="16"/>
        <v>0.967741935483871</v>
      </c>
      <c r="AC65" s="66">
        <f t="shared" si="16"/>
        <v>0.96947935368043092</v>
      </c>
      <c r="AD65" s="66">
        <f t="shared" si="16"/>
        <v>0.97122302158273377</v>
      </c>
      <c r="AE65" s="66">
        <f t="shared" si="16"/>
        <v>0.97297297297297303</v>
      </c>
      <c r="AF65" s="66">
        <f t="shared" si="16"/>
        <v>0.97472924187725629</v>
      </c>
      <c r="AG65" s="66">
        <f t="shared" si="16"/>
        <v>0.97649186256781195</v>
      </c>
      <c r="AH65" s="66">
        <f t="shared" si="16"/>
        <v>0.97826086956521741</v>
      </c>
      <c r="AI65" s="66">
        <f t="shared" si="16"/>
        <v>0.98003629764065336</v>
      </c>
      <c r="AJ65" s="66">
        <f t="shared" ref="AJ65:AS74" si="17">$O65*2/($O65+AJ$34)</f>
        <v>0.98181818181818181</v>
      </c>
      <c r="AK65" s="66">
        <f t="shared" si="17"/>
        <v>0.98360655737704916</v>
      </c>
      <c r="AL65" s="66">
        <f t="shared" si="17"/>
        <v>0.98540145985401462</v>
      </c>
      <c r="AM65" s="66">
        <f t="shared" si="17"/>
        <v>0.98720292504570384</v>
      </c>
      <c r="AN65" s="66">
        <f t="shared" si="17"/>
        <v>0.98901098901098905</v>
      </c>
      <c r="AO65" s="66">
        <f t="shared" si="17"/>
        <v>0.99082568807339455</v>
      </c>
      <c r="AP65" s="66">
        <f t="shared" si="17"/>
        <v>0.99264705882352944</v>
      </c>
      <c r="AQ65" s="66">
        <f t="shared" si="17"/>
        <v>0.99447513812154698</v>
      </c>
      <c r="AR65" s="66">
        <f t="shared" si="17"/>
        <v>0.99630996309963105</v>
      </c>
      <c r="AS65" s="66">
        <f t="shared" si="17"/>
        <v>0.99815157116451014</v>
      </c>
      <c r="AT65" s="66">
        <f t="shared" ref="AT65:BC74" si="18">$O65*2/($O65+AT$34)</f>
        <v>1</v>
      </c>
      <c r="AU65" s="66">
        <f t="shared" si="18"/>
        <v>1.0018552875695732</v>
      </c>
      <c r="AV65" s="66">
        <f t="shared" si="18"/>
        <v>1.003717472118959</v>
      </c>
      <c r="AW65" s="66">
        <f t="shared" si="18"/>
        <v>1.005586592178771</v>
      </c>
      <c r="AX65" s="66">
        <f t="shared" si="18"/>
        <v>1.0074626865671641</v>
      </c>
      <c r="AY65" s="66">
        <f t="shared" si="18"/>
        <v>1.0093457943925233</v>
      </c>
      <c r="AZ65" s="66">
        <f t="shared" si="18"/>
        <v>1.0112359550561798</v>
      </c>
      <c r="BA65" s="66">
        <f t="shared" si="18"/>
        <v>1.0131332082551594</v>
      </c>
      <c r="BB65" s="66">
        <f t="shared" si="18"/>
        <v>1.0150375939849625</v>
      </c>
      <c r="BC65" s="66">
        <f t="shared" si="18"/>
        <v>1.0169491525423728</v>
      </c>
      <c r="BD65" s="66">
        <f t="shared" ref="BD65:BM74" si="19">$O65*2/($O65+BD$34)</f>
        <v>1.0188679245283019</v>
      </c>
      <c r="BE65" s="66">
        <f t="shared" si="19"/>
        <v>1.0207939508506616</v>
      </c>
      <c r="BF65" s="66">
        <f t="shared" si="19"/>
        <v>1.0227272727272727</v>
      </c>
      <c r="BG65" s="66">
        <f t="shared" si="19"/>
        <v>1.0246679316888045</v>
      </c>
      <c r="BH65" s="66">
        <f t="shared" si="19"/>
        <v>1.0266159695817489</v>
      </c>
      <c r="BI65" s="66">
        <f t="shared" si="19"/>
        <v>1.0285714285714285</v>
      </c>
      <c r="BJ65" s="66">
        <f t="shared" si="19"/>
        <v>1.0305343511450382</v>
      </c>
      <c r="BK65" s="66">
        <f t="shared" si="19"/>
        <v>1.0325047801147227</v>
      </c>
      <c r="BL65" s="66">
        <f t="shared" si="19"/>
        <v>1.0344827586206897</v>
      </c>
      <c r="BM65" s="66">
        <f t="shared" si="19"/>
        <v>1.0364683301343569</v>
      </c>
    </row>
    <row r="66" spans="14:65" s="56" customFormat="1" x14ac:dyDescent="0.15">
      <c r="N66" s="173"/>
      <c r="O66" s="56">
        <v>269</v>
      </c>
      <c r="P66" s="66">
        <f t="shared" si="15"/>
        <v>0.94551845342706498</v>
      </c>
      <c r="Q66" s="66">
        <f t="shared" si="15"/>
        <v>0.94718309859154926</v>
      </c>
      <c r="R66" s="66">
        <f t="shared" si="15"/>
        <v>0.94885361552028213</v>
      </c>
      <c r="S66" s="66">
        <f t="shared" si="15"/>
        <v>0.95053003533568903</v>
      </c>
      <c r="T66" s="66">
        <f t="shared" si="15"/>
        <v>0.95221238938053099</v>
      </c>
      <c r="U66" s="66">
        <f t="shared" si="15"/>
        <v>0.95390070921985815</v>
      </c>
      <c r="V66" s="66">
        <f t="shared" si="15"/>
        <v>0.95559502664298401</v>
      </c>
      <c r="W66" s="66">
        <f t="shared" si="15"/>
        <v>0.95729537366548045</v>
      </c>
      <c r="X66" s="66">
        <f t="shared" si="15"/>
        <v>0.95900178253119428</v>
      </c>
      <c r="Y66" s="66">
        <f t="shared" si="15"/>
        <v>0.96071428571428574</v>
      </c>
      <c r="Z66" s="66">
        <f t="shared" si="16"/>
        <v>0.96243291592128799</v>
      </c>
      <c r="AA66" s="66">
        <f t="shared" si="16"/>
        <v>0.96415770609318996</v>
      </c>
      <c r="AB66" s="66">
        <f t="shared" si="16"/>
        <v>0.96588868940754036</v>
      </c>
      <c r="AC66" s="66">
        <f t="shared" si="16"/>
        <v>0.96762589928057552</v>
      </c>
      <c r="AD66" s="66">
        <f t="shared" si="16"/>
        <v>0.96936936936936935</v>
      </c>
      <c r="AE66" s="66">
        <f t="shared" si="16"/>
        <v>0.97111913357400725</v>
      </c>
      <c r="AF66" s="66">
        <f t="shared" si="16"/>
        <v>0.97287522603978305</v>
      </c>
      <c r="AG66" s="66">
        <f t="shared" si="16"/>
        <v>0.97463768115942029</v>
      </c>
      <c r="AH66" s="66">
        <f t="shared" si="16"/>
        <v>0.97640653357531759</v>
      </c>
      <c r="AI66" s="66">
        <f t="shared" si="16"/>
        <v>0.97818181818181815</v>
      </c>
      <c r="AJ66" s="66">
        <f t="shared" si="17"/>
        <v>0.97996357012750457</v>
      </c>
      <c r="AK66" s="66">
        <f t="shared" si="17"/>
        <v>0.98175182481751821</v>
      </c>
      <c r="AL66" s="66">
        <f t="shared" si="17"/>
        <v>0.98354661791590492</v>
      </c>
      <c r="AM66" s="66">
        <f t="shared" si="17"/>
        <v>0.9853479853479854</v>
      </c>
      <c r="AN66" s="66">
        <f t="shared" si="17"/>
        <v>0.98715596330275235</v>
      </c>
      <c r="AO66" s="66">
        <f t="shared" si="17"/>
        <v>0.98897058823529416</v>
      </c>
      <c r="AP66" s="66">
        <f t="shared" si="17"/>
        <v>0.99079189686924496</v>
      </c>
      <c r="AQ66" s="66">
        <f t="shared" si="17"/>
        <v>0.99261992619926198</v>
      </c>
      <c r="AR66" s="66">
        <f t="shared" si="17"/>
        <v>0.99445471349353054</v>
      </c>
      <c r="AS66" s="66">
        <f t="shared" si="17"/>
        <v>0.99629629629629635</v>
      </c>
      <c r="AT66" s="66">
        <f t="shared" si="18"/>
        <v>0.99814471243042668</v>
      </c>
      <c r="AU66" s="66">
        <f t="shared" si="18"/>
        <v>1</v>
      </c>
      <c r="AV66" s="66">
        <f t="shared" si="18"/>
        <v>1.0018621973929236</v>
      </c>
      <c r="AW66" s="66">
        <f t="shared" si="18"/>
        <v>1.0037313432835822</v>
      </c>
      <c r="AX66" s="66">
        <f t="shared" si="18"/>
        <v>1.0056074766355141</v>
      </c>
      <c r="AY66" s="66">
        <f t="shared" si="18"/>
        <v>1.0074906367041199</v>
      </c>
      <c r="AZ66" s="66">
        <f t="shared" si="18"/>
        <v>1.0093808630393997</v>
      </c>
      <c r="BA66" s="66">
        <f t="shared" si="18"/>
        <v>1.0112781954887218</v>
      </c>
      <c r="BB66" s="66">
        <f t="shared" si="18"/>
        <v>1.0131826741996233</v>
      </c>
      <c r="BC66" s="66">
        <f t="shared" si="18"/>
        <v>1.0150943396226415</v>
      </c>
      <c r="BD66" s="66">
        <f t="shared" si="19"/>
        <v>1.0170132325141776</v>
      </c>
      <c r="BE66" s="66">
        <f t="shared" si="19"/>
        <v>1.018939393939394</v>
      </c>
      <c r="BF66" s="66">
        <f t="shared" si="19"/>
        <v>1.0208728652751422</v>
      </c>
      <c r="BG66" s="66">
        <f t="shared" si="19"/>
        <v>1.0228136882129277</v>
      </c>
      <c r="BH66" s="66">
        <f t="shared" si="19"/>
        <v>1.0247619047619048</v>
      </c>
      <c r="BI66" s="66">
        <f t="shared" si="19"/>
        <v>1.0267175572519085</v>
      </c>
      <c r="BJ66" s="66">
        <f t="shared" si="19"/>
        <v>1.02868068833652</v>
      </c>
      <c r="BK66" s="66">
        <f t="shared" si="19"/>
        <v>1.0306513409961686</v>
      </c>
      <c r="BL66" s="66">
        <f t="shared" si="19"/>
        <v>1.0326295585412668</v>
      </c>
      <c r="BM66" s="66">
        <f t="shared" si="19"/>
        <v>1.0346153846153847</v>
      </c>
    </row>
    <row r="67" spans="14:65" s="56" customFormat="1" x14ac:dyDescent="0.15">
      <c r="N67" s="173"/>
      <c r="O67" s="56">
        <v>268</v>
      </c>
      <c r="P67" s="66">
        <f t="shared" si="15"/>
        <v>0.94366197183098588</v>
      </c>
      <c r="Q67" s="66">
        <f t="shared" si="15"/>
        <v>0.94532627865961194</v>
      </c>
      <c r="R67" s="66">
        <f t="shared" si="15"/>
        <v>0.94699646643109536</v>
      </c>
      <c r="S67" s="66">
        <f t="shared" si="15"/>
        <v>0.9486725663716814</v>
      </c>
      <c r="T67" s="66">
        <f t="shared" si="15"/>
        <v>0.95035460992907805</v>
      </c>
      <c r="U67" s="66">
        <f t="shared" si="15"/>
        <v>0.95204262877442269</v>
      </c>
      <c r="V67" s="66">
        <f t="shared" si="15"/>
        <v>0.9537366548042705</v>
      </c>
      <c r="W67" s="66">
        <f t="shared" si="15"/>
        <v>0.9554367201426025</v>
      </c>
      <c r="X67" s="66">
        <f t="shared" si="15"/>
        <v>0.95714285714285718</v>
      </c>
      <c r="Y67" s="66">
        <f t="shared" si="15"/>
        <v>0.95885509838998206</v>
      </c>
      <c r="Z67" s="66">
        <f t="shared" si="16"/>
        <v>0.96057347670250892</v>
      </c>
      <c r="AA67" s="66">
        <f t="shared" si="16"/>
        <v>0.9622980251346499</v>
      </c>
      <c r="AB67" s="66">
        <f t="shared" si="16"/>
        <v>0.96402877697841727</v>
      </c>
      <c r="AC67" s="66">
        <f t="shared" si="16"/>
        <v>0.96576576576576578</v>
      </c>
      <c r="AD67" s="66">
        <f t="shared" si="16"/>
        <v>0.96750902527075811</v>
      </c>
      <c r="AE67" s="66">
        <f t="shared" si="16"/>
        <v>0.96925858951175403</v>
      </c>
      <c r="AF67" s="66">
        <f t="shared" si="16"/>
        <v>0.97101449275362317</v>
      </c>
      <c r="AG67" s="66">
        <f t="shared" si="16"/>
        <v>0.97277676950998182</v>
      </c>
      <c r="AH67" s="66">
        <f t="shared" si="16"/>
        <v>0.97454545454545449</v>
      </c>
      <c r="AI67" s="66">
        <f t="shared" si="16"/>
        <v>0.97632058287795997</v>
      </c>
      <c r="AJ67" s="66">
        <f t="shared" si="17"/>
        <v>0.97810218978102192</v>
      </c>
      <c r="AK67" s="66">
        <f t="shared" si="17"/>
        <v>0.979890310786106</v>
      </c>
      <c r="AL67" s="66">
        <f t="shared" si="17"/>
        <v>0.98168498168498164</v>
      </c>
      <c r="AM67" s="66">
        <f t="shared" si="17"/>
        <v>0.98348623853211015</v>
      </c>
      <c r="AN67" s="66">
        <f t="shared" si="17"/>
        <v>0.98529411764705888</v>
      </c>
      <c r="AO67" s="66">
        <f t="shared" si="17"/>
        <v>0.98710865561694294</v>
      </c>
      <c r="AP67" s="66">
        <f t="shared" si="17"/>
        <v>0.98892988929889303</v>
      </c>
      <c r="AQ67" s="66">
        <f t="shared" si="17"/>
        <v>0.99075785582255083</v>
      </c>
      <c r="AR67" s="66">
        <f t="shared" si="17"/>
        <v>0.99259259259259258</v>
      </c>
      <c r="AS67" s="66">
        <f t="shared" si="17"/>
        <v>0.99443413729128016</v>
      </c>
      <c r="AT67" s="66">
        <f t="shared" si="18"/>
        <v>0.99628252788104088</v>
      </c>
      <c r="AU67" s="66">
        <f t="shared" si="18"/>
        <v>0.9981378026070763</v>
      </c>
      <c r="AV67" s="66">
        <f t="shared" si="18"/>
        <v>1</v>
      </c>
      <c r="AW67" s="66">
        <f t="shared" si="18"/>
        <v>1.0018691588785047</v>
      </c>
      <c r="AX67" s="66">
        <f t="shared" si="18"/>
        <v>1.0037453183520599</v>
      </c>
      <c r="AY67" s="66">
        <f t="shared" si="18"/>
        <v>1.0056285178236397</v>
      </c>
      <c r="AZ67" s="66">
        <f t="shared" si="18"/>
        <v>1.0075187969924813</v>
      </c>
      <c r="BA67" s="66">
        <f t="shared" si="18"/>
        <v>1.0094161958568739</v>
      </c>
      <c r="BB67" s="66">
        <f t="shared" si="18"/>
        <v>1.0113207547169811</v>
      </c>
      <c r="BC67" s="66">
        <f t="shared" si="18"/>
        <v>1.0132325141776937</v>
      </c>
      <c r="BD67" s="66">
        <f t="shared" si="19"/>
        <v>1.0151515151515151</v>
      </c>
      <c r="BE67" s="66">
        <f t="shared" si="19"/>
        <v>1.0170777988614801</v>
      </c>
      <c r="BF67" s="66">
        <f t="shared" si="19"/>
        <v>1.0190114068441065</v>
      </c>
      <c r="BG67" s="66">
        <f t="shared" si="19"/>
        <v>1.0209523809523811</v>
      </c>
      <c r="BH67" s="66">
        <f t="shared" si="19"/>
        <v>1.0229007633587786</v>
      </c>
      <c r="BI67" s="66">
        <f t="shared" si="19"/>
        <v>1.0248565965583174</v>
      </c>
      <c r="BJ67" s="66">
        <f t="shared" si="19"/>
        <v>1.0268199233716475</v>
      </c>
      <c r="BK67" s="66">
        <f t="shared" si="19"/>
        <v>1.0287907869481765</v>
      </c>
      <c r="BL67" s="66">
        <f t="shared" si="19"/>
        <v>1.0307692307692307</v>
      </c>
      <c r="BM67" s="66">
        <f t="shared" si="19"/>
        <v>1.0327552986512525</v>
      </c>
    </row>
    <row r="68" spans="14:65" s="56" customFormat="1" x14ac:dyDescent="0.15">
      <c r="N68" s="173"/>
      <c r="O68" s="56">
        <v>267</v>
      </c>
      <c r="P68" s="66">
        <f t="shared" si="15"/>
        <v>0.94179894179894175</v>
      </c>
      <c r="Q68" s="66">
        <f t="shared" si="15"/>
        <v>0.94346289752650181</v>
      </c>
      <c r="R68" s="66">
        <f t="shared" si="15"/>
        <v>0.94513274336283182</v>
      </c>
      <c r="S68" s="66">
        <f t="shared" si="15"/>
        <v>0.94680851063829785</v>
      </c>
      <c r="T68" s="66">
        <f t="shared" si="15"/>
        <v>0.94849023090586149</v>
      </c>
      <c r="U68" s="66">
        <f t="shared" si="15"/>
        <v>0.95017793594306055</v>
      </c>
      <c r="V68" s="66">
        <f t="shared" si="15"/>
        <v>0.95187165775401072</v>
      </c>
      <c r="W68" s="66">
        <f t="shared" si="15"/>
        <v>0.95357142857142863</v>
      </c>
      <c r="X68" s="66">
        <f t="shared" si="15"/>
        <v>0.95527728085867625</v>
      </c>
      <c r="Y68" s="66">
        <f t="shared" si="15"/>
        <v>0.956989247311828</v>
      </c>
      <c r="Z68" s="66">
        <f t="shared" si="16"/>
        <v>0.95870736086175945</v>
      </c>
      <c r="AA68" s="66">
        <f t="shared" si="16"/>
        <v>0.96043165467625902</v>
      </c>
      <c r="AB68" s="66">
        <f t="shared" si="16"/>
        <v>0.96216216216216222</v>
      </c>
      <c r="AC68" s="66">
        <f t="shared" si="16"/>
        <v>0.96389891696750907</v>
      </c>
      <c r="AD68" s="66">
        <f t="shared" si="16"/>
        <v>0.96564195298372513</v>
      </c>
      <c r="AE68" s="66">
        <f t="shared" si="16"/>
        <v>0.96739130434782605</v>
      </c>
      <c r="AF68" s="66">
        <f t="shared" si="16"/>
        <v>0.96914700544464605</v>
      </c>
      <c r="AG68" s="66">
        <f t="shared" si="16"/>
        <v>0.97090909090909094</v>
      </c>
      <c r="AH68" s="66">
        <f t="shared" si="16"/>
        <v>0.97267759562841527</v>
      </c>
      <c r="AI68" s="66">
        <f t="shared" si="16"/>
        <v>0.97445255474452552</v>
      </c>
      <c r="AJ68" s="66">
        <f t="shared" si="17"/>
        <v>0.97623400365630708</v>
      </c>
      <c r="AK68" s="66">
        <f t="shared" si="17"/>
        <v>0.97802197802197799</v>
      </c>
      <c r="AL68" s="66">
        <f t="shared" si="17"/>
        <v>0.97981651376146794</v>
      </c>
      <c r="AM68" s="66">
        <f t="shared" si="17"/>
        <v>0.98161764705882348</v>
      </c>
      <c r="AN68" s="66">
        <f t="shared" si="17"/>
        <v>0.98342541436464093</v>
      </c>
      <c r="AO68" s="66">
        <f t="shared" si="17"/>
        <v>0.98523985239852396</v>
      </c>
      <c r="AP68" s="66">
        <f t="shared" si="17"/>
        <v>0.98706099815157111</v>
      </c>
      <c r="AQ68" s="66">
        <f t="shared" si="17"/>
        <v>0.98888888888888893</v>
      </c>
      <c r="AR68" s="66">
        <f t="shared" si="17"/>
        <v>0.99072356215213353</v>
      </c>
      <c r="AS68" s="66">
        <f t="shared" si="17"/>
        <v>0.99256505576208176</v>
      </c>
      <c r="AT68" s="66">
        <f t="shared" si="18"/>
        <v>0.994413407821229</v>
      </c>
      <c r="AU68" s="66">
        <f t="shared" si="18"/>
        <v>0.99626865671641796</v>
      </c>
      <c r="AV68" s="66">
        <f t="shared" si="18"/>
        <v>0.9981308411214953</v>
      </c>
      <c r="AW68" s="66">
        <f t="shared" si="18"/>
        <v>1</v>
      </c>
      <c r="AX68" s="66">
        <f t="shared" si="18"/>
        <v>1.00187617260788</v>
      </c>
      <c r="AY68" s="66">
        <f t="shared" si="18"/>
        <v>1.0037593984962405</v>
      </c>
      <c r="AZ68" s="66">
        <f t="shared" si="18"/>
        <v>1.0056497175141244</v>
      </c>
      <c r="BA68" s="66">
        <f t="shared" si="18"/>
        <v>1.0075471698113208</v>
      </c>
      <c r="BB68" s="66">
        <f t="shared" si="18"/>
        <v>1.0094517958412099</v>
      </c>
      <c r="BC68" s="66">
        <f t="shared" si="18"/>
        <v>1.0113636363636365</v>
      </c>
      <c r="BD68" s="66">
        <f t="shared" si="19"/>
        <v>1.0132827324478177</v>
      </c>
      <c r="BE68" s="66">
        <f t="shared" si="19"/>
        <v>1.0152091254752851</v>
      </c>
      <c r="BF68" s="66">
        <f t="shared" si="19"/>
        <v>1.0171428571428571</v>
      </c>
      <c r="BG68" s="66">
        <f t="shared" si="19"/>
        <v>1.0190839694656488</v>
      </c>
      <c r="BH68" s="66">
        <f t="shared" si="19"/>
        <v>1.0210325047801148</v>
      </c>
      <c r="BI68" s="66">
        <f t="shared" si="19"/>
        <v>1.0229885057471264</v>
      </c>
      <c r="BJ68" s="66">
        <f t="shared" si="19"/>
        <v>1.0249520153550864</v>
      </c>
      <c r="BK68" s="66">
        <f t="shared" si="19"/>
        <v>1.0269230769230768</v>
      </c>
      <c r="BL68" s="66">
        <f t="shared" si="19"/>
        <v>1.0289017341040463</v>
      </c>
      <c r="BM68" s="66">
        <f t="shared" si="19"/>
        <v>1.0308880308880308</v>
      </c>
    </row>
    <row r="69" spans="14:65" s="56" customFormat="1" x14ac:dyDescent="0.15">
      <c r="N69" s="173"/>
      <c r="O69" s="56">
        <v>266</v>
      </c>
      <c r="P69" s="66">
        <f t="shared" si="15"/>
        <v>0.93992932862190814</v>
      </c>
      <c r="Q69" s="66">
        <f t="shared" si="15"/>
        <v>0.94159292035398234</v>
      </c>
      <c r="R69" s="66">
        <f t="shared" si="15"/>
        <v>0.94326241134751776</v>
      </c>
      <c r="S69" s="66">
        <f t="shared" si="15"/>
        <v>0.94493783303730017</v>
      </c>
      <c r="T69" s="66">
        <f t="shared" si="15"/>
        <v>0.94661921708185048</v>
      </c>
      <c r="U69" s="66">
        <f t="shared" si="15"/>
        <v>0.94830659536541895</v>
      </c>
      <c r="V69" s="66">
        <f t="shared" si="15"/>
        <v>0.95</v>
      </c>
      <c r="W69" s="66">
        <f t="shared" si="15"/>
        <v>0.95169946332737032</v>
      </c>
      <c r="X69" s="66">
        <f t="shared" si="15"/>
        <v>0.95340501792114696</v>
      </c>
      <c r="Y69" s="66">
        <f t="shared" si="15"/>
        <v>0.95511669658886889</v>
      </c>
      <c r="Z69" s="66">
        <f t="shared" si="16"/>
        <v>0.95683453237410077</v>
      </c>
      <c r="AA69" s="66">
        <f t="shared" si="16"/>
        <v>0.95855855855855854</v>
      </c>
      <c r="AB69" s="66">
        <f t="shared" si="16"/>
        <v>0.96028880866425992</v>
      </c>
      <c r="AC69" s="66">
        <f t="shared" si="16"/>
        <v>0.96202531645569622</v>
      </c>
      <c r="AD69" s="66">
        <f t="shared" si="16"/>
        <v>0.96376811594202894</v>
      </c>
      <c r="AE69" s="66">
        <f t="shared" si="16"/>
        <v>0.96551724137931039</v>
      </c>
      <c r="AF69" s="66">
        <f t="shared" si="16"/>
        <v>0.96727272727272728</v>
      </c>
      <c r="AG69" s="66">
        <f t="shared" si="16"/>
        <v>0.96903460837887068</v>
      </c>
      <c r="AH69" s="66">
        <f t="shared" si="16"/>
        <v>0.97080291970802923</v>
      </c>
      <c r="AI69" s="66">
        <f t="shared" si="16"/>
        <v>0.97257769652650827</v>
      </c>
      <c r="AJ69" s="66">
        <f t="shared" si="17"/>
        <v>0.97435897435897434</v>
      </c>
      <c r="AK69" s="66">
        <f t="shared" si="17"/>
        <v>0.97614678899082574</v>
      </c>
      <c r="AL69" s="66">
        <f t="shared" si="17"/>
        <v>0.9779411764705882</v>
      </c>
      <c r="AM69" s="66">
        <f t="shared" si="17"/>
        <v>0.97974217311233891</v>
      </c>
      <c r="AN69" s="66">
        <f t="shared" si="17"/>
        <v>0.98154981549815501</v>
      </c>
      <c r="AO69" s="66">
        <f t="shared" si="17"/>
        <v>0.98336414048059151</v>
      </c>
      <c r="AP69" s="66">
        <f t="shared" si="17"/>
        <v>0.98518518518518516</v>
      </c>
      <c r="AQ69" s="66">
        <f t="shared" si="17"/>
        <v>0.98701298701298701</v>
      </c>
      <c r="AR69" s="66">
        <f t="shared" si="17"/>
        <v>0.98884758364312264</v>
      </c>
      <c r="AS69" s="66">
        <f t="shared" si="17"/>
        <v>0.9906890130353817</v>
      </c>
      <c r="AT69" s="66">
        <f t="shared" si="18"/>
        <v>0.9925373134328358</v>
      </c>
      <c r="AU69" s="66">
        <f t="shared" si="18"/>
        <v>0.99439252336448603</v>
      </c>
      <c r="AV69" s="66">
        <f t="shared" si="18"/>
        <v>0.99625468164794007</v>
      </c>
      <c r="AW69" s="66">
        <f t="shared" si="18"/>
        <v>0.99812382739212002</v>
      </c>
      <c r="AX69" s="66">
        <f t="shared" si="18"/>
        <v>1</v>
      </c>
      <c r="AY69" s="66">
        <f t="shared" si="18"/>
        <v>1.0018832391713748</v>
      </c>
      <c r="AZ69" s="66">
        <f t="shared" si="18"/>
        <v>1.0037735849056604</v>
      </c>
      <c r="BA69" s="66">
        <f t="shared" si="18"/>
        <v>1.005671077504726</v>
      </c>
      <c r="BB69" s="66">
        <f t="shared" si="18"/>
        <v>1.0075757575757576</v>
      </c>
      <c r="BC69" s="66">
        <f t="shared" si="18"/>
        <v>1.0094876660341556</v>
      </c>
      <c r="BD69" s="66">
        <f t="shared" si="19"/>
        <v>1.0114068441064639</v>
      </c>
      <c r="BE69" s="66">
        <f t="shared" si="19"/>
        <v>1.0133333333333334</v>
      </c>
      <c r="BF69" s="66">
        <f t="shared" si="19"/>
        <v>1.0152671755725191</v>
      </c>
      <c r="BG69" s="66">
        <f t="shared" si="19"/>
        <v>1.0172084130019121</v>
      </c>
      <c r="BH69" s="66">
        <f t="shared" si="19"/>
        <v>1.0191570881226053</v>
      </c>
      <c r="BI69" s="66">
        <f t="shared" si="19"/>
        <v>1.0211132437619961</v>
      </c>
      <c r="BJ69" s="66">
        <f t="shared" si="19"/>
        <v>1.023076923076923</v>
      </c>
      <c r="BK69" s="66">
        <f t="shared" si="19"/>
        <v>1.0250481695568401</v>
      </c>
      <c r="BL69" s="66">
        <f t="shared" si="19"/>
        <v>1.027027027027027</v>
      </c>
      <c r="BM69" s="66">
        <f t="shared" si="19"/>
        <v>1.0290135396518376</v>
      </c>
    </row>
    <row r="70" spans="14:65" s="56" customFormat="1" x14ac:dyDescent="0.15">
      <c r="N70" s="173"/>
      <c r="O70" s="56">
        <v>265</v>
      </c>
      <c r="P70" s="66">
        <f t="shared" si="15"/>
        <v>0.93805309734513276</v>
      </c>
      <c r="Q70" s="66">
        <f t="shared" si="15"/>
        <v>0.93971631205673756</v>
      </c>
      <c r="R70" s="66">
        <f t="shared" si="15"/>
        <v>0.94138543516873885</v>
      </c>
      <c r="S70" s="66">
        <f t="shared" si="15"/>
        <v>0.94306049822064053</v>
      </c>
      <c r="T70" s="66">
        <f t="shared" si="15"/>
        <v>0.94474153297682706</v>
      </c>
      <c r="U70" s="66">
        <f t="shared" si="15"/>
        <v>0.9464285714285714</v>
      </c>
      <c r="V70" s="66">
        <f t="shared" si="15"/>
        <v>0.94812164579606439</v>
      </c>
      <c r="W70" s="66">
        <f t="shared" si="15"/>
        <v>0.94982078853046592</v>
      </c>
      <c r="X70" s="66">
        <f t="shared" si="15"/>
        <v>0.95152603231597843</v>
      </c>
      <c r="Y70" s="66">
        <f t="shared" si="15"/>
        <v>0.9532374100719424</v>
      </c>
      <c r="Z70" s="66">
        <f t="shared" si="16"/>
        <v>0.95495495495495497</v>
      </c>
      <c r="AA70" s="66">
        <f t="shared" si="16"/>
        <v>0.95667870036101088</v>
      </c>
      <c r="AB70" s="66">
        <f t="shared" si="16"/>
        <v>0.95840867992766732</v>
      </c>
      <c r="AC70" s="66">
        <f t="shared" si="16"/>
        <v>0.96014492753623193</v>
      </c>
      <c r="AD70" s="66">
        <f t="shared" si="16"/>
        <v>0.96188747731397461</v>
      </c>
      <c r="AE70" s="66">
        <f t="shared" si="16"/>
        <v>0.96363636363636362</v>
      </c>
      <c r="AF70" s="66">
        <f t="shared" si="16"/>
        <v>0.96539162112932608</v>
      </c>
      <c r="AG70" s="66">
        <f t="shared" si="16"/>
        <v>0.96715328467153283</v>
      </c>
      <c r="AH70" s="66">
        <f t="shared" si="16"/>
        <v>0.96892138939670935</v>
      </c>
      <c r="AI70" s="66">
        <f t="shared" si="16"/>
        <v>0.97069597069597069</v>
      </c>
      <c r="AJ70" s="66">
        <f t="shared" si="17"/>
        <v>0.97247706422018354</v>
      </c>
      <c r="AK70" s="66">
        <f t="shared" si="17"/>
        <v>0.97426470588235292</v>
      </c>
      <c r="AL70" s="66">
        <f t="shared" si="17"/>
        <v>0.97605893186003678</v>
      </c>
      <c r="AM70" s="66">
        <f t="shared" si="17"/>
        <v>0.97785977859778594</v>
      </c>
      <c r="AN70" s="66">
        <f t="shared" si="17"/>
        <v>0.97966728280961179</v>
      </c>
      <c r="AO70" s="66">
        <f t="shared" si="17"/>
        <v>0.98148148148148151</v>
      </c>
      <c r="AP70" s="66">
        <f t="shared" si="17"/>
        <v>0.98330241187384049</v>
      </c>
      <c r="AQ70" s="66">
        <f t="shared" si="17"/>
        <v>0.98513011152416352</v>
      </c>
      <c r="AR70" s="66">
        <f t="shared" si="17"/>
        <v>0.98696461824953441</v>
      </c>
      <c r="AS70" s="66">
        <f t="shared" si="17"/>
        <v>0.98880597014925375</v>
      </c>
      <c r="AT70" s="66">
        <f t="shared" si="18"/>
        <v>0.99065420560747663</v>
      </c>
      <c r="AU70" s="66">
        <f t="shared" si="18"/>
        <v>0.99250936329588013</v>
      </c>
      <c r="AV70" s="66">
        <f t="shared" si="18"/>
        <v>0.99437148217636018</v>
      </c>
      <c r="AW70" s="66">
        <f t="shared" si="18"/>
        <v>0.99624060150375937</v>
      </c>
      <c r="AX70" s="66">
        <f t="shared" si="18"/>
        <v>0.99811676082862522</v>
      </c>
      <c r="AY70" s="66">
        <f t="shared" si="18"/>
        <v>1</v>
      </c>
      <c r="AZ70" s="66">
        <f t="shared" si="18"/>
        <v>1.001890359168242</v>
      </c>
      <c r="BA70" s="66">
        <f t="shared" si="18"/>
        <v>1.0037878787878789</v>
      </c>
      <c r="BB70" s="66">
        <f t="shared" si="18"/>
        <v>1.0056925996204933</v>
      </c>
      <c r="BC70" s="66">
        <f t="shared" si="18"/>
        <v>1.0076045627376427</v>
      </c>
      <c r="BD70" s="66">
        <f t="shared" si="19"/>
        <v>1.0095238095238095</v>
      </c>
      <c r="BE70" s="66">
        <f t="shared" si="19"/>
        <v>1.0114503816793894</v>
      </c>
      <c r="BF70" s="66">
        <f t="shared" si="19"/>
        <v>1.0133843212237095</v>
      </c>
      <c r="BG70" s="66">
        <f t="shared" si="19"/>
        <v>1.0153256704980842</v>
      </c>
      <c r="BH70" s="66">
        <f t="shared" si="19"/>
        <v>1.017274472168906</v>
      </c>
      <c r="BI70" s="66">
        <f t="shared" si="19"/>
        <v>1.0192307692307692</v>
      </c>
      <c r="BJ70" s="66">
        <f t="shared" si="19"/>
        <v>1.0211946050096339</v>
      </c>
      <c r="BK70" s="66">
        <f t="shared" si="19"/>
        <v>1.0231660231660231</v>
      </c>
      <c r="BL70" s="66">
        <f t="shared" si="19"/>
        <v>1.0251450676982592</v>
      </c>
      <c r="BM70" s="66">
        <f t="shared" si="19"/>
        <v>1.0271317829457365</v>
      </c>
    </row>
    <row r="71" spans="14:65" s="56" customFormat="1" x14ac:dyDescent="0.15">
      <c r="N71" s="173"/>
      <c r="O71" s="56">
        <v>264</v>
      </c>
      <c r="P71" s="66">
        <f t="shared" si="15"/>
        <v>0.93617021276595747</v>
      </c>
      <c r="Q71" s="66">
        <f t="shared" si="15"/>
        <v>0.93783303730017764</v>
      </c>
      <c r="R71" s="66">
        <f t="shared" si="15"/>
        <v>0.93950177935943058</v>
      </c>
      <c r="S71" s="66">
        <f t="shared" si="15"/>
        <v>0.94117647058823528</v>
      </c>
      <c r="T71" s="66">
        <f t="shared" si="15"/>
        <v>0.94285714285714284</v>
      </c>
      <c r="U71" s="66">
        <f t="shared" si="15"/>
        <v>0.94454382826475847</v>
      </c>
      <c r="V71" s="66">
        <f t="shared" si="15"/>
        <v>0.94623655913978499</v>
      </c>
      <c r="W71" s="66">
        <f t="shared" si="15"/>
        <v>0.94793536804308798</v>
      </c>
      <c r="X71" s="66">
        <f t="shared" si="15"/>
        <v>0.94964028776978415</v>
      </c>
      <c r="Y71" s="66">
        <f t="shared" si="15"/>
        <v>0.9513513513513514</v>
      </c>
      <c r="Z71" s="66">
        <f t="shared" si="16"/>
        <v>0.95306859205776173</v>
      </c>
      <c r="AA71" s="66">
        <f t="shared" si="16"/>
        <v>0.9547920433996383</v>
      </c>
      <c r="AB71" s="66">
        <f t="shared" si="16"/>
        <v>0.95652173913043481</v>
      </c>
      <c r="AC71" s="66">
        <f t="shared" si="16"/>
        <v>0.95825771324863884</v>
      </c>
      <c r="AD71" s="66">
        <f t="shared" si="16"/>
        <v>0.96</v>
      </c>
      <c r="AE71" s="66">
        <f t="shared" si="16"/>
        <v>0.96174863387978138</v>
      </c>
      <c r="AF71" s="66">
        <f t="shared" si="16"/>
        <v>0.96350364963503654</v>
      </c>
      <c r="AG71" s="66">
        <f t="shared" si="16"/>
        <v>0.96526508226691043</v>
      </c>
      <c r="AH71" s="66">
        <f t="shared" si="16"/>
        <v>0.96703296703296704</v>
      </c>
      <c r="AI71" s="66">
        <f t="shared" si="16"/>
        <v>0.96880733944954134</v>
      </c>
      <c r="AJ71" s="66">
        <f t="shared" si="17"/>
        <v>0.97058823529411764</v>
      </c>
      <c r="AK71" s="66">
        <f t="shared" si="17"/>
        <v>0.97237569060773477</v>
      </c>
      <c r="AL71" s="66">
        <f t="shared" si="17"/>
        <v>0.97416974169741699</v>
      </c>
      <c r="AM71" s="66">
        <f t="shared" si="17"/>
        <v>0.97597042513863219</v>
      </c>
      <c r="AN71" s="66">
        <f t="shared" si="17"/>
        <v>0.97777777777777775</v>
      </c>
      <c r="AO71" s="66">
        <f t="shared" si="17"/>
        <v>0.97959183673469385</v>
      </c>
      <c r="AP71" s="66">
        <f t="shared" si="17"/>
        <v>0.98141263940520451</v>
      </c>
      <c r="AQ71" s="66">
        <f t="shared" si="17"/>
        <v>0.98324022346368711</v>
      </c>
      <c r="AR71" s="66">
        <f t="shared" si="17"/>
        <v>0.9850746268656716</v>
      </c>
      <c r="AS71" s="66">
        <f t="shared" si="17"/>
        <v>0.98691588785046724</v>
      </c>
      <c r="AT71" s="66">
        <f t="shared" si="18"/>
        <v>0.9887640449438202</v>
      </c>
      <c r="AU71" s="66">
        <f t="shared" si="18"/>
        <v>0.99061913696060033</v>
      </c>
      <c r="AV71" s="66">
        <f t="shared" si="18"/>
        <v>0.99248120300751874</v>
      </c>
      <c r="AW71" s="66">
        <f t="shared" si="18"/>
        <v>0.99435028248587576</v>
      </c>
      <c r="AX71" s="66">
        <f t="shared" si="18"/>
        <v>0.99622641509433962</v>
      </c>
      <c r="AY71" s="66">
        <f t="shared" si="18"/>
        <v>0.99810964083175802</v>
      </c>
      <c r="AZ71" s="66">
        <f t="shared" si="18"/>
        <v>1</v>
      </c>
      <c r="BA71" s="66">
        <f t="shared" si="18"/>
        <v>1.0018975332068312</v>
      </c>
      <c r="BB71" s="66">
        <f t="shared" si="18"/>
        <v>1.0038022813688212</v>
      </c>
      <c r="BC71" s="66">
        <f t="shared" si="18"/>
        <v>1.0057142857142858</v>
      </c>
      <c r="BD71" s="66">
        <f t="shared" si="19"/>
        <v>1.0076335877862594</v>
      </c>
      <c r="BE71" s="66">
        <f t="shared" si="19"/>
        <v>1.0095602294455066</v>
      </c>
      <c r="BF71" s="66">
        <f t="shared" si="19"/>
        <v>1.0114942528735633</v>
      </c>
      <c r="BG71" s="66">
        <f t="shared" si="19"/>
        <v>1.0134357005758157</v>
      </c>
      <c r="BH71" s="66">
        <f t="shared" si="19"/>
        <v>1.0153846153846153</v>
      </c>
      <c r="BI71" s="66">
        <f t="shared" si="19"/>
        <v>1.0173410404624277</v>
      </c>
      <c r="BJ71" s="66">
        <f t="shared" si="19"/>
        <v>1.0193050193050193</v>
      </c>
      <c r="BK71" s="66">
        <f t="shared" si="19"/>
        <v>1.0212765957446808</v>
      </c>
      <c r="BL71" s="66">
        <f t="shared" si="19"/>
        <v>1.0232558139534884</v>
      </c>
      <c r="BM71" s="66">
        <f t="shared" si="19"/>
        <v>1.025242718446602</v>
      </c>
    </row>
    <row r="72" spans="14:65" s="56" customFormat="1" x14ac:dyDescent="0.15">
      <c r="N72" s="173"/>
      <c r="O72" s="56">
        <v>263</v>
      </c>
      <c r="P72" s="66">
        <f t="shared" si="15"/>
        <v>0.93428063943161632</v>
      </c>
      <c r="Q72" s="66">
        <f t="shared" si="15"/>
        <v>0.93594306049822062</v>
      </c>
      <c r="R72" s="66">
        <f t="shared" si="15"/>
        <v>0.9376114081996435</v>
      </c>
      <c r="S72" s="66">
        <f t="shared" si="15"/>
        <v>0.93928571428571428</v>
      </c>
      <c r="T72" s="66">
        <f t="shared" si="15"/>
        <v>0.94096601073345254</v>
      </c>
      <c r="U72" s="66">
        <f t="shared" si="15"/>
        <v>0.94265232974910396</v>
      </c>
      <c r="V72" s="66">
        <f t="shared" si="15"/>
        <v>0.94434470377019752</v>
      </c>
      <c r="W72" s="66">
        <f t="shared" si="15"/>
        <v>0.9460431654676259</v>
      </c>
      <c r="X72" s="66">
        <f t="shared" si="15"/>
        <v>0.94774774774774773</v>
      </c>
      <c r="Y72" s="66">
        <f t="shared" si="15"/>
        <v>0.94945848375451258</v>
      </c>
      <c r="Z72" s="66">
        <f t="shared" si="16"/>
        <v>0.9511754068716094</v>
      </c>
      <c r="AA72" s="66">
        <f t="shared" si="16"/>
        <v>0.95289855072463769</v>
      </c>
      <c r="AB72" s="66">
        <f t="shared" si="16"/>
        <v>0.95462794918330307</v>
      </c>
      <c r="AC72" s="66">
        <f t="shared" si="16"/>
        <v>0.95636363636363642</v>
      </c>
      <c r="AD72" s="66">
        <f t="shared" si="16"/>
        <v>0.95810564663023678</v>
      </c>
      <c r="AE72" s="66">
        <f t="shared" si="16"/>
        <v>0.95985401459854014</v>
      </c>
      <c r="AF72" s="66">
        <f t="shared" si="16"/>
        <v>0.96160877513711152</v>
      </c>
      <c r="AG72" s="66">
        <f t="shared" si="16"/>
        <v>0.96336996336996339</v>
      </c>
      <c r="AH72" s="66">
        <f t="shared" si="16"/>
        <v>0.96513761467889914</v>
      </c>
      <c r="AI72" s="66">
        <f t="shared" si="16"/>
        <v>0.96691176470588236</v>
      </c>
      <c r="AJ72" s="66">
        <f t="shared" si="17"/>
        <v>0.96869244935543275</v>
      </c>
      <c r="AK72" s="66">
        <f t="shared" si="17"/>
        <v>0.97047970479704793</v>
      </c>
      <c r="AL72" s="66">
        <f t="shared" si="17"/>
        <v>0.97227356746765248</v>
      </c>
      <c r="AM72" s="66">
        <f t="shared" si="17"/>
        <v>0.97407407407407409</v>
      </c>
      <c r="AN72" s="66">
        <f t="shared" si="17"/>
        <v>0.97588126159554733</v>
      </c>
      <c r="AO72" s="66">
        <f t="shared" si="17"/>
        <v>0.97769516728624539</v>
      </c>
      <c r="AP72" s="66">
        <f t="shared" si="17"/>
        <v>0.97951582867783982</v>
      </c>
      <c r="AQ72" s="66">
        <f t="shared" si="17"/>
        <v>0.98134328358208955</v>
      </c>
      <c r="AR72" s="66">
        <f t="shared" si="17"/>
        <v>0.98317757009345796</v>
      </c>
      <c r="AS72" s="66">
        <f t="shared" si="17"/>
        <v>0.98501872659176026</v>
      </c>
      <c r="AT72" s="66">
        <f t="shared" si="18"/>
        <v>0.98686679174484049</v>
      </c>
      <c r="AU72" s="66">
        <f t="shared" si="18"/>
        <v>0.98872180451127822</v>
      </c>
      <c r="AV72" s="66">
        <f t="shared" si="18"/>
        <v>0.99058380414312619</v>
      </c>
      <c r="AW72" s="66">
        <f t="shared" si="18"/>
        <v>0.99245283018867925</v>
      </c>
      <c r="AX72" s="66">
        <f t="shared" si="18"/>
        <v>0.99432892249527405</v>
      </c>
      <c r="AY72" s="66">
        <f t="shared" si="18"/>
        <v>0.99621212121212122</v>
      </c>
      <c r="AZ72" s="66">
        <f t="shared" si="18"/>
        <v>0.99810246679316883</v>
      </c>
      <c r="BA72" s="66">
        <f t="shared" si="18"/>
        <v>1</v>
      </c>
      <c r="BB72" s="66">
        <f t="shared" si="18"/>
        <v>1.0019047619047619</v>
      </c>
      <c r="BC72" s="66">
        <f t="shared" si="18"/>
        <v>1.0038167938931297</v>
      </c>
      <c r="BD72" s="66">
        <f t="shared" si="19"/>
        <v>1.005736137667304</v>
      </c>
      <c r="BE72" s="66">
        <f t="shared" si="19"/>
        <v>1.0076628352490422</v>
      </c>
      <c r="BF72" s="66">
        <f t="shared" si="19"/>
        <v>1.0095969289827256</v>
      </c>
      <c r="BG72" s="66">
        <f t="shared" si="19"/>
        <v>1.0115384615384615</v>
      </c>
      <c r="BH72" s="66">
        <f t="shared" si="19"/>
        <v>1.0134874759152215</v>
      </c>
      <c r="BI72" s="66">
        <f t="shared" si="19"/>
        <v>1.0154440154440154</v>
      </c>
      <c r="BJ72" s="66">
        <f t="shared" si="19"/>
        <v>1.0174081237911026</v>
      </c>
      <c r="BK72" s="66">
        <f t="shared" si="19"/>
        <v>1.0193798449612403</v>
      </c>
      <c r="BL72" s="66">
        <f t="shared" si="19"/>
        <v>1.021359223300971</v>
      </c>
      <c r="BM72" s="66">
        <f t="shared" si="19"/>
        <v>1.0233463035019454</v>
      </c>
    </row>
    <row r="73" spans="14:65" s="56" customFormat="1" x14ac:dyDescent="0.15">
      <c r="N73" s="173"/>
      <c r="O73" s="56">
        <v>262</v>
      </c>
      <c r="P73" s="66">
        <f t="shared" si="15"/>
        <v>0.93238434163701067</v>
      </c>
      <c r="Q73" s="66">
        <f t="shared" si="15"/>
        <v>0.93404634581105173</v>
      </c>
      <c r="R73" s="66">
        <f t="shared" si="15"/>
        <v>0.93571428571428572</v>
      </c>
      <c r="S73" s="66">
        <f t="shared" si="15"/>
        <v>0.93738819320214672</v>
      </c>
      <c r="T73" s="66">
        <f t="shared" si="15"/>
        <v>0.93906810035842292</v>
      </c>
      <c r="U73" s="66">
        <f t="shared" si="15"/>
        <v>0.94075403949730696</v>
      </c>
      <c r="V73" s="66">
        <f t="shared" si="15"/>
        <v>0.94244604316546765</v>
      </c>
      <c r="W73" s="66">
        <f t="shared" si="15"/>
        <v>0.94414414414414416</v>
      </c>
      <c r="X73" s="66">
        <f t="shared" si="15"/>
        <v>0.94584837545126355</v>
      </c>
      <c r="Y73" s="66">
        <f t="shared" si="15"/>
        <v>0.94755877034358049</v>
      </c>
      <c r="Z73" s="66">
        <f t="shared" si="16"/>
        <v>0.94927536231884058</v>
      </c>
      <c r="AA73" s="66">
        <f t="shared" si="16"/>
        <v>0.9509981851179673</v>
      </c>
      <c r="AB73" s="66">
        <f t="shared" si="16"/>
        <v>0.95272727272727276</v>
      </c>
      <c r="AC73" s="66">
        <f t="shared" si="16"/>
        <v>0.95446265938069219</v>
      </c>
      <c r="AD73" s="66">
        <f t="shared" si="16"/>
        <v>0.95620437956204385</v>
      </c>
      <c r="AE73" s="66">
        <f t="shared" si="16"/>
        <v>0.9579524680073126</v>
      </c>
      <c r="AF73" s="66">
        <f t="shared" si="16"/>
        <v>0.95970695970695974</v>
      </c>
      <c r="AG73" s="66">
        <f t="shared" si="16"/>
        <v>0.96146788990825693</v>
      </c>
      <c r="AH73" s="66">
        <f t="shared" si="16"/>
        <v>0.96323529411764708</v>
      </c>
      <c r="AI73" s="66">
        <f t="shared" si="16"/>
        <v>0.96500920810313073</v>
      </c>
      <c r="AJ73" s="66">
        <f t="shared" si="17"/>
        <v>0.96678966789667897</v>
      </c>
      <c r="AK73" s="66">
        <f t="shared" si="17"/>
        <v>0.96857670979667287</v>
      </c>
      <c r="AL73" s="66">
        <f t="shared" si="17"/>
        <v>0.97037037037037033</v>
      </c>
      <c r="AM73" s="66">
        <f t="shared" si="17"/>
        <v>0.9721706864564007</v>
      </c>
      <c r="AN73" s="66">
        <f t="shared" si="17"/>
        <v>0.97397769516728627</v>
      </c>
      <c r="AO73" s="66">
        <f t="shared" si="17"/>
        <v>0.97579143389199252</v>
      </c>
      <c r="AP73" s="66">
        <f t="shared" si="17"/>
        <v>0.97761194029850751</v>
      </c>
      <c r="AQ73" s="66">
        <f t="shared" si="17"/>
        <v>0.97943925233644857</v>
      </c>
      <c r="AR73" s="66">
        <f t="shared" si="17"/>
        <v>0.98127340823970033</v>
      </c>
      <c r="AS73" s="66">
        <f t="shared" si="17"/>
        <v>0.98311444652908064</v>
      </c>
      <c r="AT73" s="66">
        <f t="shared" si="18"/>
        <v>0.98496240601503759</v>
      </c>
      <c r="AU73" s="66">
        <f t="shared" si="18"/>
        <v>0.98681732580037662</v>
      </c>
      <c r="AV73" s="66">
        <f t="shared" si="18"/>
        <v>0.98867924528301887</v>
      </c>
      <c r="AW73" s="66">
        <f t="shared" si="18"/>
        <v>0.99054820415879019</v>
      </c>
      <c r="AX73" s="66">
        <f t="shared" si="18"/>
        <v>0.99242424242424243</v>
      </c>
      <c r="AY73" s="66">
        <f t="shared" si="18"/>
        <v>0.9943074003795066</v>
      </c>
      <c r="AZ73" s="66">
        <f t="shared" si="18"/>
        <v>0.99619771863117867</v>
      </c>
      <c r="BA73" s="66">
        <f t="shared" si="18"/>
        <v>0.99809523809523815</v>
      </c>
      <c r="BB73" s="66">
        <f t="shared" si="18"/>
        <v>1</v>
      </c>
      <c r="BC73" s="66">
        <f t="shared" si="18"/>
        <v>1.0019120458891013</v>
      </c>
      <c r="BD73" s="66">
        <f t="shared" si="19"/>
        <v>1.0038314176245211</v>
      </c>
      <c r="BE73" s="66">
        <f t="shared" si="19"/>
        <v>1.0057581573896353</v>
      </c>
      <c r="BF73" s="66">
        <f t="shared" si="19"/>
        <v>1.0076923076923077</v>
      </c>
      <c r="BG73" s="66">
        <f t="shared" si="19"/>
        <v>1.0096339113680155</v>
      </c>
      <c r="BH73" s="66">
        <f t="shared" si="19"/>
        <v>1.0115830115830116</v>
      </c>
      <c r="BI73" s="66">
        <f t="shared" si="19"/>
        <v>1.0135396518375241</v>
      </c>
      <c r="BJ73" s="66">
        <f t="shared" si="19"/>
        <v>1.0155038759689923</v>
      </c>
      <c r="BK73" s="66">
        <f t="shared" si="19"/>
        <v>1.0174757281553397</v>
      </c>
      <c r="BL73" s="66">
        <f t="shared" si="19"/>
        <v>1.0194552529182879</v>
      </c>
      <c r="BM73" s="66">
        <f t="shared" si="19"/>
        <v>1.0214424951267056</v>
      </c>
    </row>
    <row r="74" spans="14:65" s="56" customFormat="1" x14ac:dyDescent="0.15">
      <c r="N74" s="173"/>
      <c r="O74" s="56">
        <v>261</v>
      </c>
      <c r="P74" s="66">
        <f t="shared" si="15"/>
        <v>0.93048128342245995</v>
      </c>
      <c r="Q74" s="66">
        <f t="shared" si="15"/>
        <v>0.93214285714285716</v>
      </c>
      <c r="R74" s="66">
        <f t="shared" si="15"/>
        <v>0.9338103756708408</v>
      </c>
      <c r="S74" s="66">
        <f t="shared" si="15"/>
        <v>0.93548387096774188</v>
      </c>
      <c r="T74" s="66">
        <f t="shared" si="15"/>
        <v>0.93716337522441651</v>
      </c>
      <c r="U74" s="66">
        <f t="shared" si="15"/>
        <v>0.9388489208633094</v>
      </c>
      <c r="V74" s="66">
        <f t="shared" si="15"/>
        <v>0.94054054054054059</v>
      </c>
      <c r="W74" s="66">
        <f t="shared" si="15"/>
        <v>0.9422382671480144</v>
      </c>
      <c r="X74" s="66">
        <f t="shared" si="15"/>
        <v>0.94394213381555159</v>
      </c>
      <c r="Y74" s="66">
        <f t="shared" si="15"/>
        <v>0.94565217391304346</v>
      </c>
      <c r="Z74" s="66">
        <f t="shared" si="16"/>
        <v>0.94736842105263153</v>
      </c>
      <c r="AA74" s="66">
        <f t="shared" si="16"/>
        <v>0.9490909090909091</v>
      </c>
      <c r="AB74" s="66">
        <f t="shared" si="16"/>
        <v>0.95081967213114749</v>
      </c>
      <c r="AC74" s="66">
        <f t="shared" si="16"/>
        <v>0.95255474452554745</v>
      </c>
      <c r="AD74" s="66">
        <f t="shared" si="16"/>
        <v>0.95429616087751368</v>
      </c>
      <c r="AE74" s="66">
        <f t="shared" si="16"/>
        <v>0.95604395604395609</v>
      </c>
      <c r="AF74" s="66">
        <f t="shared" si="16"/>
        <v>0.95779816513761473</v>
      </c>
      <c r="AG74" s="66">
        <f t="shared" si="16"/>
        <v>0.9595588235294118</v>
      </c>
      <c r="AH74" s="66">
        <f t="shared" si="16"/>
        <v>0.96132596685082872</v>
      </c>
      <c r="AI74" s="66">
        <f t="shared" si="16"/>
        <v>0.96309963099630991</v>
      </c>
      <c r="AJ74" s="66">
        <f t="shared" si="17"/>
        <v>0.96487985212569316</v>
      </c>
      <c r="AK74" s="66">
        <f t="shared" si="17"/>
        <v>0.96666666666666667</v>
      </c>
      <c r="AL74" s="66">
        <f t="shared" si="17"/>
        <v>0.96846011131725418</v>
      </c>
      <c r="AM74" s="66">
        <f t="shared" si="17"/>
        <v>0.97026022304832715</v>
      </c>
      <c r="AN74" s="66">
        <f t="shared" si="17"/>
        <v>0.97206703910614523</v>
      </c>
      <c r="AO74" s="66">
        <f t="shared" si="17"/>
        <v>0.97388059701492535</v>
      </c>
      <c r="AP74" s="66">
        <f t="shared" si="17"/>
        <v>0.97570093457943929</v>
      </c>
      <c r="AQ74" s="66">
        <f t="shared" si="17"/>
        <v>0.97752808988764039</v>
      </c>
      <c r="AR74" s="66">
        <f t="shared" si="17"/>
        <v>0.9793621013133208</v>
      </c>
      <c r="AS74" s="66">
        <f t="shared" si="17"/>
        <v>0.98120300751879697</v>
      </c>
      <c r="AT74" s="66">
        <f t="shared" si="18"/>
        <v>0.98305084745762716</v>
      </c>
      <c r="AU74" s="66">
        <f t="shared" si="18"/>
        <v>0.98490566037735849</v>
      </c>
      <c r="AV74" s="66">
        <f t="shared" si="18"/>
        <v>0.98676748582230622</v>
      </c>
      <c r="AW74" s="66">
        <f t="shared" si="18"/>
        <v>0.98863636363636365</v>
      </c>
      <c r="AX74" s="66">
        <f t="shared" si="18"/>
        <v>0.99051233396584437</v>
      </c>
      <c r="AY74" s="66">
        <f t="shared" si="18"/>
        <v>0.99239543726235746</v>
      </c>
      <c r="AZ74" s="66">
        <f t="shared" si="18"/>
        <v>0.99428571428571433</v>
      </c>
      <c r="BA74" s="66">
        <f t="shared" si="18"/>
        <v>0.99618320610687028</v>
      </c>
      <c r="BB74" s="66">
        <f t="shared" si="18"/>
        <v>0.99808795411089868</v>
      </c>
      <c r="BC74" s="66">
        <f t="shared" si="18"/>
        <v>1</v>
      </c>
      <c r="BD74" s="66">
        <f t="shared" si="19"/>
        <v>1.0019193857965452</v>
      </c>
      <c r="BE74" s="66">
        <f t="shared" si="19"/>
        <v>1.0038461538461538</v>
      </c>
      <c r="BF74" s="66">
        <f t="shared" si="19"/>
        <v>1.0057803468208093</v>
      </c>
      <c r="BG74" s="66">
        <f t="shared" si="19"/>
        <v>1.0077220077220077</v>
      </c>
      <c r="BH74" s="66">
        <f t="shared" si="19"/>
        <v>1.0096711798839459</v>
      </c>
      <c r="BI74" s="66">
        <f t="shared" si="19"/>
        <v>1.0116279069767442</v>
      </c>
      <c r="BJ74" s="66">
        <f t="shared" si="19"/>
        <v>1.0135922330097087</v>
      </c>
      <c r="BK74" s="66">
        <f t="shared" si="19"/>
        <v>1.0155642023346303</v>
      </c>
      <c r="BL74" s="66">
        <f t="shared" si="19"/>
        <v>1.0175438596491229</v>
      </c>
      <c r="BM74" s="66">
        <f t="shared" si="19"/>
        <v>1.01953125</v>
      </c>
    </row>
    <row r="75" spans="14:65" s="56" customFormat="1" x14ac:dyDescent="0.15">
      <c r="N75" s="173"/>
      <c r="O75" s="56">
        <v>260</v>
      </c>
      <c r="P75" s="66">
        <f t="shared" ref="P75:Y84" si="20">$O75*2/($O75+P$34)</f>
        <v>0.9285714285714286</v>
      </c>
      <c r="Q75" s="66">
        <f t="shared" si="20"/>
        <v>0.93023255813953487</v>
      </c>
      <c r="R75" s="66">
        <f t="shared" si="20"/>
        <v>0.93189964157706096</v>
      </c>
      <c r="S75" s="66">
        <f t="shared" si="20"/>
        <v>0.93357271095152605</v>
      </c>
      <c r="T75" s="66">
        <f t="shared" si="20"/>
        <v>0.93525179856115104</v>
      </c>
      <c r="U75" s="66">
        <f t="shared" si="20"/>
        <v>0.93693693693693691</v>
      </c>
      <c r="V75" s="66">
        <f t="shared" si="20"/>
        <v>0.93862815884476536</v>
      </c>
      <c r="W75" s="66">
        <f t="shared" si="20"/>
        <v>0.94032549728752257</v>
      </c>
      <c r="X75" s="66">
        <f t="shared" si="20"/>
        <v>0.94202898550724634</v>
      </c>
      <c r="Y75" s="66">
        <f t="shared" si="20"/>
        <v>0.94373865698729587</v>
      </c>
      <c r="Z75" s="66">
        <f t="shared" ref="Z75:AI84" si="21">$O75*2/($O75+Z$34)</f>
        <v>0.94545454545454544</v>
      </c>
      <c r="AA75" s="66">
        <f t="shared" si="21"/>
        <v>0.94717668488160289</v>
      </c>
      <c r="AB75" s="66">
        <f t="shared" si="21"/>
        <v>0.94890510948905105</v>
      </c>
      <c r="AC75" s="66">
        <f t="shared" si="21"/>
        <v>0.95063985374771476</v>
      </c>
      <c r="AD75" s="66">
        <f t="shared" si="21"/>
        <v>0.95238095238095233</v>
      </c>
      <c r="AE75" s="66">
        <f t="shared" si="21"/>
        <v>0.95412844036697253</v>
      </c>
      <c r="AF75" s="66">
        <f t="shared" si="21"/>
        <v>0.95588235294117652</v>
      </c>
      <c r="AG75" s="66">
        <f t="shared" si="21"/>
        <v>0.9576427255985267</v>
      </c>
      <c r="AH75" s="66">
        <f t="shared" si="21"/>
        <v>0.95940959409594095</v>
      </c>
      <c r="AI75" s="66">
        <f t="shared" si="21"/>
        <v>0.96118299445471345</v>
      </c>
      <c r="AJ75" s="66">
        <f t="shared" ref="AJ75:AS84" si="22">$O75*2/($O75+AJ$34)</f>
        <v>0.96296296296296291</v>
      </c>
      <c r="AK75" s="66">
        <f t="shared" si="22"/>
        <v>0.96474953617810766</v>
      </c>
      <c r="AL75" s="66">
        <f t="shared" si="22"/>
        <v>0.96654275092936803</v>
      </c>
      <c r="AM75" s="66">
        <f t="shared" si="22"/>
        <v>0.96834264432029793</v>
      </c>
      <c r="AN75" s="66">
        <f t="shared" si="22"/>
        <v>0.97014925373134331</v>
      </c>
      <c r="AO75" s="66">
        <f t="shared" si="22"/>
        <v>0.9719626168224299</v>
      </c>
      <c r="AP75" s="66">
        <f t="shared" si="22"/>
        <v>0.97378277153558057</v>
      </c>
      <c r="AQ75" s="66">
        <f t="shared" si="22"/>
        <v>0.97560975609756095</v>
      </c>
      <c r="AR75" s="66">
        <f t="shared" si="22"/>
        <v>0.97744360902255634</v>
      </c>
      <c r="AS75" s="66">
        <f t="shared" si="22"/>
        <v>0.9792843691148776</v>
      </c>
      <c r="AT75" s="66">
        <f t="shared" ref="AT75:BC84" si="23">$O75*2/($O75+AT$34)</f>
        <v>0.98113207547169812</v>
      </c>
      <c r="AU75" s="66">
        <f t="shared" si="23"/>
        <v>0.98298676748582225</v>
      </c>
      <c r="AV75" s="66">
        <f t="shared" si="23"/>
        <v>0.98484848484848486</v>
      </c>
      <c r="AW75" s="66">
        <f t="shared" si="23"/>
        <v>0.98671726755218214</v>
      </c>
      <c r="AX75" s="66">
        <f t="shared" si="23"/>
        <v>0.98859315589353614</v>
      </c>
      <c r="AY75" s="66">
        <f t="shared" si="23"/>
        <v>0.99047619047619051</v>
      </c>
      <c r="AZ75" s="66">
        <f t="shared" si="23"/>
        <v>0.99236641221374045</v>
      </c>
      <c r="BA75" s="66">
        <f t="shared" si="23"/>
        <v>0.99426386233269604</v>
      </c>
      <c r="BB75" s="66">
        <f t="shared" si="23"/>
        <v>0.99616858237547889</v>
      </c>
      <c r="BC75" s="66">
        <f t="shared" si="23"/>
        <v>0.99808061420345484</v>
      </c>
      <c r="BD75" s="66">
        <f t="shared" ref="BD75:BM84" si="24">$O75*2/($O75+BD$34)</f>
        <v>1</v>
      </c>
      <c r="BE75" s="66">
        <f t="shared" si="24"/>
        <v>1.0019267822736031</v>
      </c>
      <c r="BF75" s="66">
        <f t="shared" si="24"/>
        <v>1.0038610038610039</v>
      </c>
      <c r="BG75" s="66">
        <f t="shared" si="24"/>
        <v>1.0058027079303675</v>
      </c>
      <c r="BH75" s="66">
        <f t="shared" si="24"/>
        <v>1.0077519379844961</v>
      </c>
      <c r="BI75" s="66">
        <f t="shared" si="24"/>
        <v>1.0097087378640777</v>
      </c>
      <c r="BJ75" s="66">
        <f t="shared" si="24"/>
        <v>1.0116731517509727</v>
      </c>
      <c r="BK75" s="66">
        <f t="shared" si="24"/>
        <v>1.0136452241715399</v>
      </c>
      <c r="BL75" s="66">
        <f t="shared" si="24"/>
        <v>1.015625</v>
      </c>
      <c r="BM75" s="66">
        <f t="shared" si="24"/>
        <v>1.0176125244618395</v>
      </c>
    </row>
    <row r="76" spans="14:65" s="56" customFormat="1" x14ac:dyDescent="0.15">
      <c r="N76" s="173"/>
      <c r="O76" s="56">
        <v>259</v>
      </c>
      <c r="P76" s="66">
        <f t="shared" si="20"/>
        <v>0.92665474060822894</v>
      </c>
      <c r="Q76" s="66">
        <f t="shared" si="20"/>
        <v>0.92831541218637992</v>
      </c>
      <c r="R76" s="66">
        <f t="shared" si="20"/>
        <v>0.9299820466786356</v>
      </c>
      <c r="S76" s="66">
        <f t="shared" si="20"/>
        <v>0.93165467625899279</v>
      </c>
      <c r="T76" s="66">
        <f t="shared" si="20"/>
        <v>0.93333333333333335</v>
      </c>
      <c r="U76" s="66">
        <f t="shared" si="20"/>
        <v>0.93501805054151621</v>
      </c>
      <c r="V76" s="66">
        <f t="shared" si="20"/>
        <v>0.93670886075949367</v>
      </c>
      <c r="W76" s="66">
        <f t="shared" si="20"/>
        <v>0.93840579710144922</v>
      </c>
      <c r="X76" s="66">
        <f t="shared" si="20"/>
        <v>0.94010889292196009</v>
      </c>
      <c r="Y76" s="66">
        <f t="shared" si="20"/>
        <v>0.94181818181818178</v>
      </c>
      <c r="Z76" s="66">
        <f t="shared" si="21"/>
        <v>0.9435336976320583</v>
      </c>
      <c r="AA76" s="66">
        <f t="shared" si="21"/>
        <v>0.94525547445255476</v>
      </c>
      <c r="AB76" s="66">
        <f t="shared" si="21"/>
        <v>0.94698354661791595</v>
      </c>
      <c r="AC76" s="66">
        <f t="shared" si="21"/>
        <v>0.94871794871794868</v>
      </c>
      <c r="AD76" s="66">
        <f t="shared" si="21"/>
        <v>0.95045871559633033</v>
      </c>
      <c r="AE76" s="66">
        <f t="shared" si="21"/>
        <v>0.95220588235294112</v>
      </c>
      <c r="AF76" s="66">
        <f t="shared" si="21"/>
        <v>0.95395948434622468</v>
      </c>
      <c r="AG76" s="66">
        <f t="shared" si="21"/>
        <v>0.955719557195572</v>
      </c>
      <c r="AH76" s="66">
        <f t="shared" si="21"/>
        <v>0.95748613678373384</v>
      </c>
      <c r="AI76" s="66">
        <f t="shared" si="21"/>
        <v>0.95925925925925926</v>
      </c>
      <c r="AJ76" s="66">
        <f t="shared" si="22"/>
        <v>0.96103896103896103</v>
      </c>
      <c r="AK76" s="66">
        <f t="shared" si="22"/>
        <v>0.96282527881040891</v>
      </c>
      <c r="AL76" s="66">
        <f t="shared" si="22"/>
        <v>0.96461824953445063</v>
      </c>
      <c r="AM76" s="66">
        <f t="shared" si="22"/>
        <v>0.96641791044776115</v>
      </c>
      <c r="AN76" s="66">
        <f t="shared" si="22"/>
        <v>0.96822429906542051</v>
      </c>
      <c r="AO76" s="66">
        <f t="shared" si="22"/>
        <v>0.97003745318352064</v>
      </c>
      <c r="AP76" s="66">
        <f t="shared" si="22"/>
        <v>0.97185741088180111</v>
      </c>
      <c r="AQ76" s="66">
        <f t="shared" si="22"/>
        <v>0.97368421052631582</v>
      </c>
      <c r="AR76" s="66">
        <f t="shared" si="22"/>
        <v>0.97551789077212803</v>
      </c>
      <c r="AS76" s="66">
        <f t="shared" si="22"/>
        <v>0.97735849056603774</v>
      </c>
      <c r="AT76" s="66">
        <f t="shared" si="23"/>
        <v>0.9792060491493384</v>
      </c>
      <c r="AU76" s="66">
        <f t="shared" si="23"/>
        <v>0.98106060606060608</v>
      </c>
      <c r="AV76" s="66">
        <f t="shared" si="23"/>
        <v>0.98292220113851991</v>
      </c>
      <c r="AW76" s="66">
        <f t="shared" si="23"/>
        <v>0.98479087452471481</v>
      </c>
      <c r="AX76" s="66">
        <f t="shared" si="23"/>
        <v>0.98666666666666669</v>
      </c>
      <c r="AY76" s="66">
        <f t="shared" si="23"/>
        <v>0.98854961832061072</v>
      </c>
      <c r="AZ76" s="66">
        <f t="shared" si="23"/>
        <v>0.99043977055449328</v>
      </c>
      <c r="BA76" s="66">
        <f t="shared" si="23"/>
        <v>0.9923371647509579</v>
      </c>
      <c r="BB76" s="66">
        <f t="shared" si="23"/>
        <v>0.99424184261036463</v>
      </c>
      <c r="BC76" s="66">
        <f t="shared" si="23"/>
        <v>0.99615384615384617</v>
      </c>
      <c r="BD76" s="66">
        <f t="shared" si="24"/>
        <v>0.9980732177263969</v>
      </c>
      <c r="BE76" s="66">
        <f t="shared" si="24"/>
        <v>1</v>
      </c>
      <c r="BF76" s="66">
        <f t="shared" si="24"/>
        <v>1.0019342359767891</v>
      </c>
      <c r="BG76" s="66">
        <f t="shared" si="24"/>
        <v>1.0038759689922481</v>
      </c>
      <c r="BH76" s="66">
        <f t="shared" si="24"/>
        <v>1.0058252427184466</v>
      </c>
      <c r="BI76" s="66">
        <f t="shared" si="24"/>
        <v>1.0077821011673151</v>
      </c>
      <c r="BJ76" s="66">
        <f t="shared" si="24"/>
        <v>1.0097465886939572</v>
      </c>
      <c r="BK76" s="66">
        <f t="shared" si="24"/>
        <v>1.01171875</v>
      </c>
      <c r="BL76" s="66">
        <f t="shared" si="24"/>
        <v>1.0136986301369864</v>
      </c>
      <c r="BM76" s="66">
        <f t="shared" si="24"/>
        <v>1.0156862745098039</v>
      </c>
    </row>
    <row r="77" spans="14:65" s="56" customFormat="1" x14ac:dyDescent="0.15">
      <c r="N77" s="173"/>
      <c r="O77" s="56">
        <v>258</v>
      </c>
      <c r="P77" s="66">
        <f t="shared" si="20"/>
        <v>0.92473118279569888</v>
      </c>
      <c r="Q77" s="66">
        <f t="shared" si="20"/>
        <v>0.92639138240574503</v>
      </c>
      <c r="R77" s="66">
        <f t="shared" si="20"/>
        <v>0.92805755395683454</v>
      </c>
      <c r="S77" s="66">
        <f t="shared" si="20"/>
        <v>0.92972972972972978</v>
      </c>
      <c r="T77" s="66">
        <f t="shared" si="20"/>
        <v>0.93140794223826717</v>
      </c>
      <c r="U77" s="66">
        <f t="shared" si="20"/>
        <v>0.93309222423146476</v>
      </c>
      <c r="V77" s="66">
        <f t="shared" si="20"/>
        <v>0.93478260869565222</v>
      </c>
      <c r="W77" s="66">
        <f t="shared" si="20"/>
        <v>0.93647912885662432</v>
      </c>
      <c r="X77" s="66">
        <f t="shared" si="20"/>
        <v>0.93818181818181823</v>
      </c>
      <c r="Y77" s="66">
        <f t="shared" si="20"/>
        <v>0.93989071038251371</v>
      </c>
      <c r="Z77" s="66">
        <f t="shared" si="21"/>
        <v>0.94160583941605835</v>
      </c>
      <c r="AA77" s="66">
        <f t="shared" si="21"/>
        <v>0.94332723948811703</v>
      </c>
      <c r="AB77" s="66">
        <f t="shared" si="21"/>
        <v>0.94505494505494503</v>
      </c>
      <c r="AC77" s="66">
        <f t="shared" si="21"/>
        <v>0.94678899082568813</v>
      </c>
      <c r="AD77" s="66">
        <f t="shared" si="21"/>
        <v>0.94852941176470584</v>
      </c>
      <c r="AE77" s="66">
        <f t="shared" si="21"/>
        <v>0.95027624309392267</v>
      </c>
      <c r="AF77" s="66">
        <f t="shared" si="21"/>
        <v>0.95202952029520294</v>
      </c>
      <c r="AG77" s="66">
        <f t="shared" si="21"/>
        <v>0.95378927911275413</v>
      </c>
      <c r="AH77" s="66">
        <f t="shared" si="21"/>
        <v>0.9555555555555556</v>
      </c>
      <c r="AI77" s="66">
        <f t="shared" si="21"/>
        <v>0.9573283858998145</v>
      </c>
      <c r="AJ77" s="66">
        <f t="shared" si="22"/>
        <v>0.95910780669144979</v>
      </c>
      <c r="AK77" s="66">
        <f t="shared" si="22"/>
        <v>0.96089385474860334</v>
      </c>
      <c r="AL77" s="66">
        <f t="shared" si="22"/>
        <v>0.96268656716417911</v>
      </c>
      <c r="AM77" s="66">
        <f t="shared" si="22"/>
        <v>0.96448598130841123</v>
      </c>
      <c r="AN77" s="66">
        <f t="shared" si="22"/>
        <v>0.9662921348314607</v>
      </c>
      <c r="AO77" s="66">
        <f t="shared" si="22"/>
        <v>0.96810506566604126</v>
      </c>
      <c r="AP77" s="66">
        <f t="shared" si="22"/>
        <v>0.96992481203007519</v>
      </c>
      <c r="AQ77" s="66">
        <f t="shared" si="22"/>
        <v>0.97175141242937857</v>
      </c>
      <c r="AR77" s="66">
        <f t="shared" si="22"/>
        <v>0.97358490566037736</v>
      </c>
      <c r="AS77" s="66">
        <f t="shared" si="22"/>
        <v>0.97542533081285443</v>
      </c>
      <c r="AT77" s="66">
        <f t="shared" si="23"/>
        <v>0.97727272727272729</v>
      </c>
      <c r="AU77" s="66">
        <f t="shared" si="23"/>
        <v>0.97912713472485768</v>
      </c>
      <c r="AV77" s="66">
        <f t="shared" si="23"/>
        <v>0.98098859315589348</v>
      </c>
      <c r="AW77" s="66">
        <f t="shared" si="23"/>
        <v>0.98285714285714287</v>
      </c>
      <c r="AX77" s="66">
        <f t="shared" si="23"/>
        <v>0.98473282442748089</v>
      </c>
      <c r="AY77" s="66">
        <f t="shared" si="23"/>
        <v>0.98661567877629064</v>
      </c>
      <c r="AZ77" s="66">
        <f t="shared" si="23"/>
        <v>0.9885057471264368</v>
      </c>
      <c r="BA77" s="66">
        <f t="shared" si="23"/>
        <v>0.99040307101727443</v>
      </c>
      <c r="BB77" s="66">
        <f t="shared" si="23"/>
        <v>0.99230769230769234</v>
      </c>
      <c r="BC77" s="66">
        <f t="shared" si="23"/>
        <v>0.9942196531791907</v>
      </c>
      <c r="BD77" s="66">
        <f t="shared" si="24"/>
        <v>0.99613899613899615</v>
      </c>
      <c r="BE77" s="66">
        <f t="shared" si="24"/>
        <v>0.99806576402321079</v>
      </c>
      <c r="BF77" s="66">
        <f t="shared" si="24"/>
        <v>1</v>
      </c>
      <c r="BG77" s="66">
        <f t="shared" si="24"/>
        <v>1.0019417475728156</v>
      </c>
      <c r="BH77" s="66">
        <f t="shared" si="24"/>
        <v>1.0038910505836576</v>
      </c>
      <c r="BI77" s="66">
        <f t="shared" si="24"/>
        <v>1.0058479532163742</v>
      </c>
      <c r="BJ77" s="66">
        <f t="shared" si="24"/>
        <v>1.0078125</v>
      </c>
      <c r="BK77" s="66">
        <f t="shared" si="24"/>
        <v>1.009784735812133</v>
      </c>
      <c r="BL77" s="66">
        <f t="shared" si="24"/>
        <v>1.0117647058823529</v>
      </c>
      <c r="BM77" s="66">
        <f t="shared" si="24"/>
        <v>1.0137524557956779</v>
      </c>
    </row>
    <row r="78" spans="14:65" s="56" customFormat="1" x14ac:dyDescent="0.15">
      <c r="N78" s="173"/>
      <c r="O78" s="56">
        <v>257</v>
      </c>
      <c r="P78" s="66">
        <f t="shared" si="20"/>
        <v>0.92280071813285458</v>
      </c>
      <c r="Q78" s="66">
        <f t="shared" si="20"/>
        <v>0.92446043165467628</v>
      </c>
      <c r="R78" s="66">
        <f t="shared" si="20"/>
        <v>0.9261261261261261</v>
      </c>
      <c r="S78" s="66">
        <f t="shared" si="20"/>
        <v>0.92779783393501802</v>
      </c>
      <c r="T78" s="66">
        <f t="shared" si="20"/>
        <v>0.92947558770343586</v>
      </c>
      <c r="U78" s="66">
        <f t="shared" si="20"/>
        <v>0.9311594202898551</v>
      </c>
      <c r="V78" s="66">
        <f t="shared" si="20"/>
        <v>0.93284936479128855</v>
      </c>
      <c r="W78" s="66">
        <f t="shared" si="20"/>
        <v>0.93454545454545457</v>
      </c>
      <c r="X78" s="66">
        <f t="shared" si="20"/>
        <v>0.936247723132969</v>
      </c>
      <c r="Y78" s="66">
        <f t="shared" si="20"/>
        <v>0.93795620437956206</v>
      </c>
      <c r="Z78" s="66">
        <f t="shared" si="21"/>
        <v>0.93967093235831811</v>
      </c>
      <c r="AA78" s="66">
        <f t="shared" si="21"/>
        <v>0.94139194139194138</v>
      </c>
      <c r="AB78" s="66">
        <f t="shared" si="21"/>
        <v>0.94311926605504592</v>
      </c>
      <c r="AC78" s="66">
        <f t="shared" si="21"/>
        <v>0.94485294117647056</v>
      </c>
      <c r="AD78" s="66">
        <f t="shared" si="21"/>
        <v>0.94659300184162065</v>
      </c>
      <c r="AE78" s="66">
        <f t="shared" si="21"/>
        <v>0.94833948339483398</v>
      </c>
      <c r="AF78" s="66">
        <f t="shared" si="21"/>
        <v>0.95009242144177453</v>
      </c>
      <c r="AG78" s="66">
        <f t="shared" si="21"/>
        <v>0.95185185185185184</v>
      </c>
      <c r="AH78" s="66">
        <f t="shared" si="21"/>
        <v>0.95361781076066787</v>
      </c>
      <c r="AI78" s="66">
        <f t="shared" si="21"/>
        <v>0.95539033457249067</v>
      </c>
      <c r="AJ78" s="66">
        <f t="shared" si="22"/>
        <v>0.95716945996275604</v>
      </c>
      <c r="AK78" s="66">
        <f t="shared" si="22"/>
        <v>0.95895522388059706</v>
      </c>
      <c r="AL78" s="66">
        <f t="shared" si="22"/>
        <v>0.96074766355140184</v>
      </c>
      <c r="AM78" s="66">
        <f t="shared" si="22"/>
        <v>0.96254681647940077</v>
      </c>
      <c r="AN78" s="66">
        <f t="shared" si="22"/>
        <v>0.96435272045028142</v>
      </c>
      <c r="AO78" s="66">
        <f t="shared" si="22"/>
        <v>0.96616541353383456</v>
      </c>
      <c r="AP78" s="66">
        <f t="shared" si="22"/>
        <v>0.967984934086629</v>
      </c>
      <c r="AQ78" s="66">
        <f t="shared" si="22"/>
        <v>0.96981132075471699</v>
      </c>
      <c r="AR78" s="66">
        <f t="shared" si="22"/>
        <v>0.97164461247637046</v>
      </c>
      <c r="AS78" s="66">
        <f t="shared" si="22"/>
        <v>0.97348484848484851</v>
      </c>
      <c r="AT78" s="66">
        <f t="shared" si="23"/>
        <v>0.97533206831119545</v>
      </c>
      <c r="AU78" s="66">
        <f t="shared" si="23"/>
        <v>0.97718631178707227</v>
      </c>
      <c r="AV78" s="66">
        <f t="shared" si="23"/>
        <v>0.97904761904761906</v>
      </c>
      <c r="AW78" s="66">
        <f t="shared" si="23"/>
        <v>0.98091603053435117</v>
      </c>
      <c r="AX78" s="66">
        <f t="shared" si="23"/>
        <v>0.982791586998088</v>
      </c>
      <c r="AY78" s="66">
        <f t="shared" si="23"/>
        <v>0.98467432950191569</v>
      </c>
      <c r="AZ78" s="66">
        <f t="shared" si="23"/>
        <v>0.98656429942418422</v>
      </c>
      <c r="BA78" s="66">
        <f t="shared" si="23"/>
        <v>0.9884615384615385</v>
      </c>
      <c r="BB78" s="66">
        <f t="shared" si="23"/>
        <v>0.99036608863198461</v>
      </c>
      <c r="BC78" s="66">
        <f t="shared" si="23"/>
        <v>0.99227799227799229</v>
      </c>
      <c r="BD78" s="66">
        <f t="shared" si="24"/>
        <v>0.99419729206963248</v>
      </c>
      <c r="BE78" s="66">
        <f t="shared" si="24"/>
        <v>0.99612403100775193</v>
      </c>
      <c r="BF78" s="66">
        <f t="shared" si="24"/>
        <v>0.99805825242718449</v>
      </c>
      <c r="BG78" s="66">
        <f t="shared" si="24"/>
        <v>1</v>
      </c>
      <c r="BH78" s="66">
        <f t="shared" si="24"/>
        <v>1.0019493177387915</v>
      </c>
      <c r="BI78" s="66">
        <f t="shared" si="24"/>
        <v>1.00390625</v>
      </c>
      <c r="BJ78" s="66">
        <f t="shared" si="24"/>
        <v>1.0058708414872799</v>
      </c>
      <c r="BK78" s="66">
        <f t="shared" si="24"/>
        <v>1.0078431372549019</v>
      </c>
      <c r="BL78" s="66">
        <f t="shared" si="24"/>
        <v>1.0098231827111985</v>
      </c>
      <c r="BM78" s="66">
        <f t="shared" si="24"/>
        <v>1.0118110236220472</v>
      </c>
    </row>
    <row r="79" spans="14:65" s="56" customFormat="1" x14ac:dyDescent="0.15">
      <c r="N79" s="173"/>
      <c r="O79" s="56">
        <v>256</v>
      </c>
      <c r="P79" s="66">
        <f t="shared" si="20"/>
        <v>0.92086330935251803</v>
      </c>
      <c r="Q79" s="66">
        <f t="shared" si="20"/>
        <v>0.92252252252252254</v>
      </c>
      <c r="R79" s="66">
        <f t="shared" si="20"/>
        <v>0.92418772563176899</v>
      </c>
      <c r="S79" s="66">
        <f t="shared" si="20"/>
        <v>0.92585895117540684</v>
      </c>
      <c r="T79" s="66">
        <f t="shared" si="20"/>
        <v>0.92753623188405798</v>
      </c>
      <c r="U79" s="66">
        <f t="shared" si="20"/>
        <v>0.92921960072595278</v>
      </c>
      <c r="V79" s="66">
        <f t="shared" si="20"/>
        <v>0.93090909090909091</v>
      </c>
      <c r="W79" s="66">
        <f t="shared" si="20"/>
        <v>0.93260473588342441</v>
      </c>
      <c r="X79" s="66">
        <f t="shared" si="20"/>
        <v>0.93430656934306566</v>
      </c>
      <c r="Y79" s="66">
        <f t="shared" si="20"/>
        <v>0.93601462522851919</v>
      </c>
      <c r="Z79" s="66">
        <f t="shared" si="21"/>
        <v>0.93772893772893773</v>
      </c>
      <c r="AA79" s="66">
        <f t="shared" si="21"/>
        <v>0.93944954128440372</v>
      </c>
      <c r="AB79" s="66">
        <f t="shared" si="21"/>
        <v>0.94117647058823528</v>
      </c>
      <c r="AC79" s="66">
        <f t="shared" si="21"/>
        <v>0.94290976058931864</v>
      </c>
      <c r="AD79" s="66">
        <f t="shared" si="21"/>
        <v>0.94464944649446492</v>
      </c>
      <c r="AE79" s="66">
        <f t="shared" si="21"/>
        <v>0.94639556377079481</v>
      </c>
      <c r="AF79" s="66">
        <f t="shared" si="21"/>
        <v>0.94814814814814818</v>
      </c>
      <c r="AG79" s="66">
        <f t="shared" si="21"/>
        <v>0.94990723562152135</v>
      </c>
      <c r="AH79" s="66">
        <f t="shared" si="21"/>
        <v>0.95167286245353155</v>
      </c>
      <c r="AI79" s="66">
        <f t="shared" si="21"/>
        <v>0.95344506517690875</v>
      </c>
      <c r="AJ79" s="66">
        <f t="shared" si="22"/>
        <v>0.95522388059701491</v>
      </c>
      <c r="AK79" s="66">
        <f t="shared" si="22"/>
        <v>0.95700934579439256</v>
      </c>
      <c r="AL79" s="66">
        <f t="shared" si="22"/>
        <v>0.95880149812734083</v>
      </c>
      <c r="AM79" s="66">
        <f t="shared" si="22"/>
        <v>0.96060037523452158</v>
      </c>
      <c r="AN79" s="66">
        <f t="shared" si="22"/>
        <v>0.96240601503759393</v>
      </c>
      <c r="AO79" s="66">
        <f t="shared" si="22"/>
        <v>0.96421845574387943</v>
      </c>
      <c r="AP79" s="66">
        <f t="shared" si="22"/>
        <v>0.96603773584905661</v>
      </c>
      <c r="AQ79" s="66">
        <f t="shared" si="22"/>
        <v>0.9678638941398866</v>
      </c>
      <c r="AR79" s="66">
        <f t="shared" si="22"/>
        <v>0.96969696969696972</v>
      </c>
      <c r="AS79" s="66">
        <f t="shared" si="22"/>
        <v>0.97153700189753323</v>
      </c>
      <c r="AT79" s="66">
        <f t="shared" si="23"/>
        <v>0.97338403041825095</v>
      </c>
      <c r="AU79" s="66">
        <f t="shared" si="23"/>
        <v>0.97523809523809524</v>
      </c>
      <c r="AV79" s="66">
        <f t="shared" si="23"/>
        <v>0.97709923664122134</v>
      </c>
      <c r="AW79" s="66">
        <f t="shared" si="23"/>
        <v>0.97896749521988524</v>
      </c>
      <c r="AX79" s="66">
        <f t="shared" si="23"/>
        <v>0.98084291187739459</v>
      </c>
      <c r="AY79" s="66">
        <f t="shared" si="23"/>
        <v>0.98272552783109401</v>
      </c>
      <c r="AZ79" s="66">
        <f t="shared" si="23"/>
        <v>0.98461538461538467</v>
      </c>
      <c r="BA79" s="66">
        <f t="shared" si="23"/>
        <v>0.98651252408477841</v>
      </c>
      <c r="BB79" s="66">
        <f t="shared" si="23"/>
        <v>0.98841698841698844</v>
      </c>
      <c r="BC79" s="66">
        <f t="shared" si="23"/>
        <v>0.99032882011605416</v>
      </c>
      <c r="BD79" s="66">
        <f t="shared" si="24"/>
        <v>0.99224806201550386</v>
      </c>
      <c r="BE79" s="66">
        <f t="shared" si="24"/>
        <v>0.99417475728155336</v>
      </c>
      <c r="BF79" s="66">
        <f t="shared" si="24"/>
        <v>0.99610894941634243</v>
      </c>
      <c r="BG79" s="66">
        <f t="shared" si="24"/>
        <v>0.99805068226120852</v>
      </c>
      <c r="BH79" s="66">
        <f t="shared" si="24"/>
        <v>1</v>
      </c>
      <c r="BI79" s="66">
        <f t="shared" si="24"/>
        <v>1.0019569471624266</v>
      </c>
      <c r="BJ79" s="66">
        <f t="shared" si="24"/>
        <v>1.003921568627451</v>
      </c>
      <c r="BK79" s="66">
        <f t="shared" si="24"/>
        <v>1.005893909626719</v>
      </c>
      <c r="BL79" s="66">
        <f t="shared" si="24"/>
        <v>1.0078740157480315</v>
      </c>
      <c r="BM79" s="66">
        <f t="shared" si="24"/>
        <v>1.0098619329388561</v>
      </c>
    </row>
    <row r="80" spans="14:65" s="56" customFormat="1" x14ac:dyDescent="0.15">
      <c r="N80" s="173"/>
      <c r="O80" s="56">
        <v>255</v>
      </c>
      <c r="P80" s="66">
        <f t="shared" si="20"/>
        <v>0.91891891891891897</v>
      </c>
      <c r="Q80" s="66">
        <f t="shared" si="20"/>
        <v>0.92057761732851984</v>
      </c>
      <c r="R80" s="66">
        <f t="shared" si="20"/>
        <v>0.92224231464737794</v>
      </c>
      <c r="S80" s="66">
        <f t="shared" si="20"/>
        <v>0.92391304347826086</v>
      </c>
      <c r="T80" s="66">
        <f t="shared" si="20"/>
        <v>0.925589836660617</v>
      </c>
      <c r="U80" s="66">
        <f t="shared" si="20"/>
        <v>0.92727272727272725</v>
      </c>
      <c r="V80" s="66">
        <f t="shared" si="20"/>
        <v>0.92896174863387981</v>
      </c>
      <c r="W80" s="66">
        <f t="shared" si="20"/>
        <v>0.93065693430656937</v>
      </c>
      <c r="X80" s="66">
        <f t="shared" si="20"/>
        <v>0.93235831809872027</v>
      </c>
      <c r="Y80" s="66">
        <f t="shared" si="20"/>
        <v>0.93406593406593408</v>
      </c>
      <c r="Z80" s="66">
        <f t="shared" si="21"/>
        <v>0.93577981651376152</v>
      </c>
      <c r="AA80" s="66">
        <f t="shared" si="21"/>
        <v>0.9375</v>
      </c>
      <c r="AB80" s="66">
        <f t="shared" si="21"/>
        <v>0.93922651933701662</v>
      </c>
      <c r="AC80" s="66">
        <f t="shared" si="21"/>
        <v>0.94095940959409596</v>
      </c>
      <c r="AD80" s="66">
        <f t="shared" si="21"/>
        <v>0.94269870609981521</v>
      </c>
      <c r="AE80" s="66">
        <f t="shared" si="21"/>
        <v>0.94444444444444442</v>
      </c>
      <c r="AF80" s="66">
        <f t="shared" si="21"/>
        <v>0.94619666048237472</v>
      </c>
      <c r="AG80" s="66">
        <f t="shared" si="21"/>
        <v>0.94795539033457255</v>
      </c>
      <c r="AH80" s="66">
        <f t="shared" si="21"/>
        <v>0.94972067039106145</v>
      </c>
      <c r="AI80" s="66">
        <f t="shared" si="21"/>
        <v>0.95149253731343286</v>
      </c>
      <c r="AJ80" s="66">
        <f t="shared" si="22"/>
        <v>0.95327102803738317</v>
      </c>
      <c r="AK80" s="66">
        <f t="shared" si="22"/>
        <v>0.9550561797752809</v>
      </c>
      <c r="AL80" s="66">
        <f t="shared" si="22"/>
        <v>0.95684803001876173</v>
      </c>
      <c r="AM80" s="66">
        <f t="shared" si="22"/>
        <v>0.95864661654135341</v>
      </c>
      <c r="AN80" s="66">
        <f t="shared" si="22"/>
        <v>0.96045197740112997</v>
      </c>
      <c r="AO80" s="66">
        <f t="shared" si="22"/>
        <v>0.96226415094339623</v>
      </c>
      <c r="AP80" s="66">
        <f t="shared" si="22"/>
        <v>0.96408317580340264</v>
      </c>
      <c r="AQ80" s="66">
        <f t="shared" si="22"/>
        <v>0.96590909090909094</v>
      </c>
      <c r="AR80" s="66">
        <f t="shared" si="22"/>
        <v>0.967741935483871</v>
      </c>
      <c r="AS80" s="66">
        <f t="shared" si="22"/>
        <v>0.96958174904942962</v>
      </c>
      <c r="AT80" s="66">
        <f t="shared" si="23"/>
        <v>0.97142857142857142</v>
      </c>
      <c r="AU80" s="66">
        <f t="shared" si="23"/>
        <v>0.97328244274809161</v>
      </c>
      <c r="AV80" s="66">
        <f t="shared" si="23"/>
        <v>0.9751434034416826</v>
      </c>
      <c r="AW80" s="66">
        <f t="shared" si="23"/>
        <v>0.97701149425287359</v>
      </c>
      <c r="AX80" s="66">
        <f t="shared" si="23"/>
        <v>0.97888675623800381</v>
      </c>
      <c r="AY80" s="66">
        <f t="shared" si="23"/>
        <v>0.98076923076923073</v>
      </c>
      <c r="AZ80" s="66">
        <f t="shared" si="23"/>
        <v>0.98265895953757221</v>
      </c>
      <c r="BA80" s="66">
        <f t="shared" si="23"/>
        <v>0.98455598455598459</v>
      </c>
      <c r="BB80" s="66">
        <f t="shared" si="23"/>
        <v>0.98646034816247585</v>
      </c>
      <c r="BC80" s="66">
        <f t="shared" si="23"/>
        <v>0.98837209302325579</v>
      </c>
      <c r="BD80" s="66">
        <f t="shared" si="24"/>
        <v>0.99029126213592233</v>
      </c>
      <c r="BE80" s="66">
        <f t="shared" si="24"/>
        <v>0.99221789883268485</v>
      </c>
      <c r="BF80" s="66">
        <f t="shared" si="24"/>
        <v>0.99415204678362568</v>
      </c>
      <c r="BG80" s="66">
        <f t="shared" si="24"/>
        <v>0.99609375</v>
      </c>
      <c r="BH80" s="66">
        <f t="shared" si="24"/>
        <v>0.99804305283757333</v>
      </c>
      <c r="BI80" s="66">
        <f t="shared" si="24"/>
        <v>1</v>
      </c>
      <c r="BJ80" s="66">
        <f t="shared" si="24"/>
        <v>1.0019646365422397</v>
      </c>
      <c r="BK80" s="66">
        <f t="shared" si="24"/>
        <v>1.0039370078740157</v>
      </c>
      <c r="BL80" s="66">
        <f t="shared" si="24"/>
        <v>1.0059171597633136</v>
      </c>
      <c r="BM80" s="66">
        <f t="shared" si="24"/>
        <v>1.0079051383399209</v>
      </c>
    </row>
    <row r="81" spans="14:65" s="56" customFormat="1" x14ac:dyDescent="0.15">
      <c r="N81" s="173"/>
      <c r="O81" s="56">
        <v>254</v>
      </c>
      <c r="P81" s="66">
        <f t="shared" si="20"/>
        <v>0.9169675090252708</v>
      </c>
      <c r="Q81" s="66">
        <f t="shared" si="20"/>
        <v>0.91862567811934903</v>
      </c>
      <c r="R81" s="66">
        <f t="shared" si="20"/>
        <v>0.92028985507246375</v>
      </c>
      <c r="S81" s="66">
        <f t="shared" si="20"/>
        <v>0.92196007259528134</v>
      </c>
      <c r="T81" s="66">
        <f t="shared" si="20"/>
        <v>0.92363636363636359</v>
      </c>
      <c r="U81" s="66">
        <f t="shared" si="20"/>
        <v>0.92531876138433511</v>
      </c>
      <c r="V81" s="66">
        <f t="shared" si="20"/>
        <v>0.92700729927007297</v>
      </c>
      <c r="W81" s="66">
        <f t="shared" si="20"/>
        <v>0.92870201096892135</v>
      </c>
      <c r="X81" s="66">
        <f t="shared" si="20"/>
        <v>0.93040293040293043</v>
      </c>
      <c r="Y81" s="66">
        <f t="shared" si="20"/>
        <v>0.93211009174311932</v>
      </c>
      <c r="Z81" s="66">
        <f t="shared" si="21"/>
        <v>0.93382352941176472</v>
      </c>
      <c r="AA81" s="66">
        <f t="shared" si="21"/>
        <v>0.9355432780847146</v>
      </c>
      <c r="AB81" s="66">
        <f t="shared" si="21"/>
        <v>0.9372693726937269</v>
      </c>
      <c r="AC81" s="66">
        <f t="shared" si="21"/>
        <v>0.93900184842883549</v>
      </c>
      <c r="AD81" s="66">
        <f t="shared" si="21"/>
        <v>0.94074074074074077</v>
      </c>
      <c r="AE81" s="66">
        <f t="shared" si="21"/>
        <v>0.9424860853432282</v>
      </c>
      <c r="AF81" s="66">
        <f t="shared" si="21"/>
        <v>0.94423791821561343</v>
      </c>
      <c r="AG81" s="66">
        <f t="shared" si="21"/>
        <v>0.94599627560521415</v>
      </c>
      <c r="AH81" s="66">
        <f t="shared" si="21"/>
        <v>0.94776119402985071</v>
      </c>
      <c r="AI81" s="66">
        <f t="shared" si="21"/>
        <v>0.94953271028037378</v>
      </c>
      <c r="AJ81" s="66">
        <f t="shared" si="22"/>
        <v>0.95131086142322097</v>
      </c>
      <c r="AK81" s="66">
        <f t="shared" si="22"/>
        <v>0.95309568480300189</v>
      </c>
      <c r="AL81" s="66">
        <f t="shared" si="22"/>
        <v>0.95488721804511278</v>
      </c>
      <c r="AM81" s="66">
        <f t="shared" si="22"/>
        <v>0.95668549905838041</v>
      </c>
      <c r="AN81" s="66">
        <f t="shared" si="22"/>
        <v>0.95849056603773586</v>
      </c>
      <c r="AO81" s="66">
        <f t="shared" si="22"/>
        <v>0.96030245746691867</v>
      </c>
      <c r="AP81" s="66">
        <f t="shared" si="22"/>
        <v>0.96212121212121215</v>
      </c>
      <c r="AQ81" s="66">
        <f t="shared" si="22"/>
        <v>0.96394686907020877</v>
      </c>
      <c r="AR81" s="66">
        <f t="shared" si="22"/>
        <v>0.96577946768060841</v>
      </c>
      <c r="AS81" s="66">
        <f t="shared" si="22"/>
        <v>0.9676190476190476</v>
      </c>
      <c r="AT81" s="66">
        <f t="shared" si="23"/>
        <v>0.96946564885496178</v>
      </c>
      <c r="AU81" s="66">
        <f t="shared" si="23"/>
        <v>0.97131931166347996</v>
      </c>
      <c r="AV81" s="66">
        <f t="shared" si="23"/>
        <v>0.97318007662835249</v>
      </c>
      <c r="AW81" s="66">
        <f t="shared" si="23"/>
        <v>0.9750479846449136</v>
      </c>
      <c r="AX81" s="66">
        <f t="shared" si="23"/>
        <v>0.97692307692307689</v>
      </c>
      <c r="AY81" s="66">
        <f t="shared" si="23"/>
        <v>0.97880539499036612</v>
      </c>
      <c r="AZ81" s="66">
        <f t="shared" si="23"/>
        <v>0.98069498069498073</v>
      </c>
      <c r="BA81" s="66">
        <f t="shared" si="23"/>
        <v>0.98259187620889743</v>
      </c>
      <c r="BB81" s="66">
        <f t="shared" si="23"/>
        <v>0.98449612403100772</v>
      </c>
      <c r="BC81" s="66">
        <f t="shared" si="23"/>
        <v>0.98640776699029131</v>
      </c>
      <c r="BD81" s="66">
        <f t="shared" si="24"/>
        <v>0.98832684824902728</v>
      </c>
      <c r="BE81" s="66">
        <f t="shared" si="24"/>
        <v>0.99025341130604283</v>
      </c>
      <c r="BF81" s="66">
        <f t="shared" si="24"/>
        <v>0.9921875</v>
      </c>
      <c r="BG81" s="66">
        <f t="shared" si="24"/>
        <v>0.9941291585127201</v>
      </c>
      <c r="BH81" s="66">
        <f t="shared" si="24"/>
        <v>0.99607843137254903</v>
      </c>
      <c r="BI81" s="66">
        <f t="shared" si="24"/>
        <v>0.99803536345776034</v>
      </c>
      <c r="BJ81" s="66">
        <f t="shared" si="24"/>
        <v>1</v>
      </c>
      <c r="BK81" s="66">
        <f t="shared" si="24"/>
        <v>1.0019723865877712</v>
      </c>
      <c r="BL81" s="66">
        <f t="shared" si="24"/>
        <v>1.0039525691699605</v>
      </c>
      <c r="BM81" s="66">
        <f t="shared" si="24"/>
        <v>1.0059405940594059</v>
      </c>
    </row>
    <row r="82" spans="14:65" s="56" customFormat="1" x14ac:dyDescent="0.15">
      <c r="N82" s="173"/>
      <c r="O82" s="56">
        <v>253</v>
      </c>
      <c r="P82" s="66">
        <f t="shared" si="20"/>
        <v>0.91500904159132013</v>
      </c>
      <c r="Q82" s="66">
        <f t="shared" si="20"/>
        <v>0.91666666666666663</v>
      </c>
      <c r="R82" s="66">
        <f t="shared" si="20"/>
        <v>0.91833030852994557</v>
      </c>
      <c r="S82" s="66">
        <f t="shared" si="20"/>
        <v>0.92</v>
      </c>
      <c r="T82" s="66">
        <f t="shared" si="20"/>
        <v>0.92167577413479052</v>
      </c>
      <c r="U82" s="66">
        <f t="shared" si="20"/>
        <v>0.92335766423357668</v>
      </c>
      <c r="V82" s="66">
        <f t="shared" si="20"/>
        <v>0.92504570383912244</v>
      </c>
      <c r="W82" s="66">
        <f t="shared" si="20"/>
        <v>0.92673992673992678</v>
      </c>
      <c r="X82" s="66">
        <f t="shared" si="20"/>
        <v>0.92844036697247712</v>
      </c>
      <c r="Y82" s="66">
        <f t="shared" si="20"/>
        <v>0.93014705882352944</v>
      </c>
      <c r="Z82" s="66">
        <f t="shared" si="21"/>
        <v>0.93186003683241247</v>
      </c>
      <c r="AA82" s="66">
        <f t="shared" si="21"/>
        <v>0.93357933579335795</v>
      </c>
      <c r="AB82" s="66">
        <f t="shared" si="21"/>
        <v>0.93530499075785578</v>
      </c>
      <c r="AC82" s="66">
        <f t="shared" si="21"/>
        <v>0.937037037037037</v>
      </c>
      <c r="AD82" s="66">
        <f t="shared" si="21"/>
        <v>0.93877551020408168</v>
      </c>
      <c r="AE82" s="66">
        <f t="shared" si="21"/>
        <v>0.94052044609665431</v>
      </c>
      <c r="AF82" s="66">
        <f t="shared" si="21"/>
        <v>0.94227188081936686</v>
      </c>
      <c r="AG82" s="66">
        <f t="shared" si="21"/>
        <v>0.94402985074626866</v>
      </c>
      <c r="AH82" s="66">
        <f t="shared" si="21"/>
        <v>0.9457943925233645</v>
      </c>
      <c r="AI82" s="66">
        <f t="shared" si="21"/>
        <v>0.94756554307116103</v>
      </c>
      <c r="AJ82" s="66">
        <f t="shared" si="22"/>
        <v>0.94934333958724204</v>
      </c>
      <c r="AK82" s="66">
        <f t="shared" si="22"/>
        <v>0.95112781954887216</v>
      </c>
      <c r="AL82" s="66">
        <f t="shared" si="22"/>
        <v>0.95291902071563084</v>
      </c>
      <c r="AM82" s="66">
        <f t="shared" si="22"/>
        <v>0.95471698113207548</v>
      </c>
      <c r="AN82" s="66">
        <f t="shared" si="22"/>
        <v>0.95652173913043481</v>
      </c>
      <c r="AO82" s="66">
        <f t="shared" si="22"/>
        <v>0.95833333333333337</v>
      </c>
      <c r="AP82" s="66">
        <f t="shared" si="22"/>
        <v>0.96015180265654654</v>
      </c>
      <c r="AQ82" s="66">
        <f t="shared" si="22"/>
        <v>0.96197718631178708</v>
      </c>
      <c r="AR82" s="66">
        <f t="shared" si="22"/>
        <v>0.96380952380952378</v>
      </c>
      <c r="AS82" s="66">
        <f t="shared" si="22"/>
        <v>0.96564885496183206</v>
      </c>
      <c r="AT82" s="66">
        <f t="shared" si="23"/>
        <v>0.9674952198852772</v>
      </c>
      <c r="AU82" s="66">
        <f t="shared" si="23"/>
        <v>0.96934865900383138</v>
      </c>
      <c r="AV82" s="66">
        <f t="shared" si="23"/>
        <v>0.97120921305182339</v>
      </c>
      <c r="AW82" s="66">
        <f t="shared" si="23"/>
        <v>0.97307692307692306</v>
      </c>
      <c r="AX82" s="66">
        <f t="shared" si="23"/>
        <v>0.97495183044315992</v>
      </c>
      <c r="AY82" s="66">
        <f t="shared" si="23"/>
        <v>0.97683397683397688</v>
      </c>
      <c r="AZ82" s="66">
        <f t="shared" si="23"/>
        <v>0.97872340425531912</v>
      </c>
      <c r="BA82" s="66">
        <f t="shared" si="23"/>
        <v>0.98062015503875966</v>
      </c>
      <c r="BB82" s="66">
        <f t="shared" si="23"/>
        <v>0.98252427184466018</v>
      </c>
      <c r="BC82" s="66">
        <f t="shared" si="23"/>
        <v>0.98443579766536971</v>
      </c>
      <c r="BD82" s="66">
        <f t="shared" si="24"/>
        <v>0.98635477582845998</v>
      </c>
      <c r="BE82" s="66">
        <f t="shared" si="24"/>
        <v>0.98828125</v>
      </c>
      <c r="BF82" s="66">
        <f t="shared" si="24"/>
        <v>0.99021526418786687</v>
      </c>
      <c r="BG82" s="66">
        <f t="shared" si="24"/>
        <v>0.99215686274509807</v>
      </c>
      <c r="BH82" s="66">
        <f t="shared" si="24"/>
        <v>0.9941060903732809</v>
      </c>
      <c r="BI82" s="66">
        <f t="shared" si="24"/>
        <v>0.99606299212598426</v>
      </c>
      <c r="BJ82" s="66">
        <f t="shared" si="24"/>
        <v>0.99802761341222879</v>
      </c>
      <c r="BK82" s="66">
        <f t="shared" si="24"/>
        <v>1</v>
      </c>
      <c r="BL82" s="66">
        <f t="shared" si="24"/>
        <v>1.001980198019802</v>
      </c>
      <c r="BM82" s="66">
        <f t="shared" si="24"/>
        <v>1.003968253968254</v>
      </c>
    </row>
    <row r="83" spans="14:65" s="56" customFormat="1" x14ac:dyDescent="0.15">
      <c r="N83" s="173"/>
      <c r="O83" s="56">
        <v>252</v>
      </c>
      <c r="P83" s="66">
        <f t="shared" si="20"/>
        <v>0.91304347826086951</v>
      </c>
      <c r="Q83" s="66">
        <f t="shared" si="20"/>
        <v>0.9147005444646098</v>
      </c>
      <c r="R83" s="66">
        <f t="shared" si="20"/>
        <v>0.91636363636363638</v>
      </c>
      <c r="S83" s="66">
        <f t="shared" si="20"/>
        <v>0.91803278688524592</v>
      </c>
      <c r="T83" s="66">
        <f t="shared" si="20"/>
        <v>0.91970802919708028</v>
      </c>
      <c r="U83" s="66">
        <f t="shared" si="20"/>
        <v>0.92138939670932363</v>
      </c>
      <c r="V83" s="66">
        <f t="shared" si="20"/>
        <v>0.92307692307692313</v>
      </c>
      <c r="W83" s="66">
        <f t="shared" si="20"/>
        <v>0.92477064220183491</v>
      </c>
      <c r="X83" s="66">
        <f t="shared" si="20"/>
        <v>0.92647058823529416</v>
      </c>
      <c r="Y83" s="66">
        <f t="shared" si="20"/>
        <v>0.92817679558011046</v>
      </c>
      <c r="Z83" s="66">
        <f t="shared" si="21"/>
        <v>0.92988929889298888</v>
      </c>
      <c r="AA83" s="66">
        <f t="shared" si="21"/>
        <v>0.93160813308687618</v>
      </c>
      <c r="AB83" s="66">
        <f t="shared" si="21"/>
        <v>0.93333333333333335</v>
      </c>
      <c r="AC83" s="66">
        <f t="shared" si="21"/>
        <v>0.93506493506493504</v>
      </c>
      <c r="AD83" s="66">
        <f t="shared" si="21"/>
        <v>0.93680297397769519</v>
      </c>
      <c r="AE83" s="66">
        <f t="shared" si="21"/>
        <v>0.93854748603351956</v>
      </c>
      <c r="AF83" s="66">
        <f t="shared" si="21"/>
        <v>0.94029850746268662</v>
      </c>
      <c r="AG83" s="66">
        <f t="shared" si="21"/>
        <v>0.94205607476635511</v>
      </c>
      <c r="AH83" s="66">
        <f t="shared" si="21"/>
        <v>0.9438202247191011</v>
      </c>
      <c r="AI83" s="66">
        <f t="shared" si="21"/>
        <v>0.9455909943714822</v>
      </c>
      <c r="AJ83" s="66">
        <f t="shared" si="22"/>
        <v>0.94736842105263153</v>
      </c>
      <c r="AK83" s="66">
        <f t="shared" si="22"/>
        <v>0.94915254237288138</v>
      </c>
      <c r="AL83" s="66">
        <f t="shared" si="22"/>
        <v>0.95094339622641511</v>
      </c>
      <c r="AM83" s="66">
        <f t="shared" si="22"/>
        <v>0.95274102079395084</v>
      </c>
      <c r="AN83" s="66">
        <f t="shared" si="22"/>
        <v>0.95454545454545459</v>
      </c>
      <c r="AO83" s="66">
        <f t="shared" si="22"/>
        <v>0.9563567362428842</v>
      </c>
      <c r="AP83" s="66">
        <f t="shared" si="22"/>
        <v>0.95817490494296575</v>
      </c>
      <c r="AQ83" s="66">
        <f t="shared" si="22"/>
        <v>0.96</v>
      </c>
      <c r="AR83" s="66">
        <f t="shared" si="22"/>
        <v>0.96183206106870234</v>
      </c>
      <c r="AS83" s="66">
        <f t="shared" si="22"/>
        <v>0.96367112810707456</v>
      </c>
      <c r="AT83" s="66">
        <f t="shared" si="23"/>
        <v>0.96551724137931039</v>
      </c>
      <c r="AU83" s="66">
        <f t="shared" si="23"/>
        <v>0.96737044145873319</v>
      </c>
      <c r="AV83" s="66">
        <f t="shared" si="23"/>
        <v>0.96923076923076923</v>
      </c>
      <c r="AW83" s="66">
        <f t="shared" si="23"/>
        <v>0.97109826589595372</v>
      </c>
      <c r="AX83" s="66">
        <f t="shared" si="23"/>
        <v>0.97297297297297303</v>
      </c>
      <c r="AY83" s="66">
        <f t="shared" si="23"/>
        <v>0.97485493230174081</v>
      </c>
      <c r="AZ83" s="66">
        <f t="shared" si="23"/>
        <v>0.97674418604651159</v>
      </c>
      <c r="BA83" s="66">
        <f t="shared" si="23"/>
        <v>0.97864077669902916</v>
      </c>
      <c r="BB83" s="66">
        <f t="shared" si="23"/>
        <v>0.98054474708171202</v>
      </c>
      <c r="BC83" s="66">
        <f t="shared" si="23"/>
        <v>0.98245614035087714</v>
      </c>
      <c r="BD83" s="66">
        <f t="shared" si="24"/>
        <v>0.984375</v>
      </c>
      <c r="BE83" s="66">
        <f t="shared" si="24"/>
        <v>0.98630136986301364</v>
      </c>
      <c r="BF83" s="66">
        <f t="shared" si="24"/>
        <v>0.9882352941176471</v>
      </c>
      <c r="BG83" s="66">
        <f t="shared" si="24"/>
        <v>0.99017681728880158</v>
      </c>
      <c r="BH83" s="66">
        <f t="shared" si="24"/>
        <v>0.99212598425196852</v>
      </c>
      <c r="BI83" s="66">
        <f t="shared" si="24"/>
        <v>0.99408284023668636</v>
      </c>
      <c r="BJ83" s="66">
        <f t="shared" si="24"/>
        <v>0.99604743083003955</v>
      </c>
      <c r="BK83" s="66">
        <f t="shared" si="24"/>
        <v>0.99801980198019802</v>
      </c>
      <c r="BL83" s="66">
        <f t="shared" si="24"/>
        <v>1</v>
      </c>
      <c r="BM83" s="66">
        <f t="shared" si="24"/>
        <v>1.0019880715705765</v>
      </c>
    </row>
    <row r="84" spans="14:65" s="56" customFormat="1" x14ac:dyDescent="0.15">
      <c r="N84" s="173"/>
      <c r="O84" s="56">
        <v>251</v>
      </c>
      <c r="P84" s="66">
        <f t="shared" si="20"/>
        <v>0.91107078039927403</v>
      </c>
      <c r="Q84" s="66">
        <f t="shared" si="20"/>
        <v>0.91272727272727272</v>
      </c>
      <c r="R84" s="66">
        <f t="shared" si="20"/>
        <v>0.91438979963570133</v>
      </c>
      <c r="S84" s="66">
        <f t="shared" si="20"/>
        <v>0.91605839416058399</v>
      </c>
      <c r="T84" s="66">
        <f t="shared" si="20"/>
        <v>0.91773308957952471</v>
      </c>
      <c r="U84" s="66">
        <f t="shared" si="20"/>
        <v>0.91941391941391937</v>
      </c>
      <c r="V84" s="66">
        <f t="shared" si="20"/>
        <v>0.92110091743119271</v>
      </c>
      <c r="W84" s="66">
        <f t="shared" si="20"/>
        <v>0.92279411764705888</v>
      </c>
      <c r="X84" s="66">
        <f t="shared" si="20"/>
        <v>0.92449355432780844</v>
      </c>
      <c r="Y84" s="66">
        <f t="shared" si="20"/>
        <v>0.92619926199261993</v>
      </c>
      <c r="Z84" s="66">
        <f t="shared" si="21"/>
        <v>0.92791127541589646</v>
      </c>
      <c r="AA84" s="66">
        <f t="shared" si="21"/>
        <v>0.92962962962962958</v>
      </c>
      <c r="AB84" s="66">
        <f t="shared" si="21"/>
        <v>0.93135435992578852</v>
      </c>
      <c r="AC84" s="66">
        <f t="shared" si="21"/>
        <v>0.93308550185873607</v>
      </c>
      <c r="AD84" s="66">
        <f t="shared" si="21"/>
        <v>0.93482309124767227</v>
      </c>
      <c r="AE84" s="66">
        <f t="shared" si="21"/>
        <v>0.93656716417910446</v>
      </c>
      <c r="AF84" s="66">
        <f t="shared" si="21"/>
        <v>0.93831775700934583</v>
      </c>
      <c r="AG84" s="66">
        <f t="shared" si="21"/>
        <v>0.94007490636704116</v>
      </c>
      <c r="AH84" s="66">
        <f t="shared" si="21"/>
        <v>0.94183864915572235</v>
      </c>
      <c r="AI84" s="66">
        <f t="shared" si="21"/>
        <v>0.94360902255639101</v>
      </c>
      <c r="AJ84" s="66">
        <f t="shared" si="22"/>
        <v>0.94538606403013181</v>
      </c>
      <c r="AK84" s="66">
        <f t="shared" si="22"/>
        <v>0.94716981132075473</v>
      </c>
      <c r="AL84" s="66">
        <f t="shared" si="22"/>
        <v>0.94896030245746688</v>
      </c>
      <c r="AM84" s="66">
        <f t="shared" si="22"/>
        <v>0.9507575757575758</v>
      </c>
      <c r="AN84" s="66">
        <f t="shared" si="22"/>
        <v>0.95256166982922197</v>
      </c>
      <c r="AO84" s="66">
        <f t="shared" si="22"/>
        <v>0.95437262357414454</v>
      </c>
      <c r="AP84" s="66">
        <f t="shared" si="22"/>
        <v>0.95619047619047615</v>
      </c>
      <c r="AQ84" s="66">
        <f t="shared" si="22"/>
        <v>0.9580152671755725</v>
      </c>
      <c r="AR84" s="66">
        <f t="shared" si="22"/>
        <v>0.95984703632887192</v>
      </c>
      <c r="AS84" s="66">
        <f t="shared" si="22"/>
        <v>0.96168582375478928</v>
      </c>
      <c r="AT84" s="66">
        <f t="shared" si="23"/>
        <v>0.96353166986564298</v>
      </c>
      <c r="AU84" s="66">
        <f t="shared" si="23"/>
        <v>0.9653846153846154</v>
      </c>
      <c r="AV84" s="66">
        <f t="shared" si="23"/>
        <v>0.96724470134874763</v>
      </c>
      <c r="AW84" s="66">
        <f t="shared" si="23"/>
        <v>0.96911196911196906</v>
      </c>
      <c r="AX84" s="66">
        <f t="shared" si="23"/>
        <v>0.97098646034816249</v>
      </c>
      <c r="AY84" s="66">
        <f t="shared" si="23"/>
        <v>0.97286821705426352</v>
      </c>
      <c r="AZ84" s="66">
        <f t="shared" si="23"/>
        <v>0.97475728155339803</v>
      </c>
      <c r="BA84" s="66">
        <f t="shared" si="23"/>
        <v>0.97665369649805445</v>
      </c>
      <c r="BB84" s="66">
        <f t="shared" si="23"/>
        <v>0.97855750487329429</v>
      </c>
      <c r="BC84" s="66">
        <f t="shared" si="23"/>
        <v>0.98046875</v>
      </c>
      <c r="BD84" s="66">
        <f t="shared" si="24"/>
        <v>0.98238747553816042</v>
      </c>
      <c r="BE84" s="66">
        <f t="shared" si="24"/>
        <v>0.98431372549019602</v>
      </c>
      <c r="BF84" s="66">
        <f t="shared" si="24"/>
        <v>0.98624754420432215</v>
      </c>
      <c r="BG84" s="66">
        <f t="shared" si="24"/>
        <v>0.98818897637795278</v>
      </c>
      <c r="BH84" s="66">
        <f t="shared" si="24"/>
        <v>0.99013806706114393</v>
      </c>
      <c r="BI84" s="66">
        <f t="shared" si="24"/>
        <v>0.9920948616600791</v>
      </c>
      <c r="BJ84" s="66">
        <f t="shared" si="24"/>
        <v>0.99405940594059405</v>
      </c>
      <c r="BK84" s="66">
        <f t="shared" si="24"/>
        <v>0.99603174603174605</v>
      </c>
      <c r="BL84" s="66">
        <f t="shared" si="24"/>
        <v>0.99801192842942343</v>
      </c>
      <c r="BM84" s="66">
        <f t="shared" si="24"/>
        <v>1</v>
      </c>
    </row>
    <row r="85" spans="14:65" s="56" customFormat="1" x14ac:dyDescent="0.15">
      <c r="N85" s="55"/>
    </row>
  </sheetData>
  <mergeCells count="7">
    <mergeCell ref="P33:BM33"/>
    <mergeCell ref="N35:N84"/>
    <mergeCell ref="D11:E11"/>
    <mergeCell ref="F11:G11"/>
    <mergeCell ref="H11:I11"/>
    <mergeCell ref="J11:K11"/>
    <mergeCell ref="L11:M1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51963-CDAC-4A78-92B4-AA62D33872EC}">
  <sheetPr codeName="Sheet3"/>
  <dimension ref="A1:B5"/>
  <sheetViews>
    <sheetView workbookViewId="0">
      <selection activeCell="K28" sqref="K28"/>
    </sheetView>
  </sheetViews>
  <sheetFormatPr defaultRowHeight="13.5" x14ac:dyDescent="0.15"/>
  <sheetData>
    <row r="1" spans="1:2" x14ac:dyDescent="0.15">
      <c r="A1" t="s">
        <v>412</v>
      </c>
    </row>
    <row r="3" spans="1:2" x14ac:dyDescent="0.15">
      <c r="B3" t="s">
        <v>413</v>
      </c>
    </row>
    <row r="5" spans="1:2" x14ac:dyDescent="0.15">
      <c r="B5" t="s">
        <v>414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7"/>
  <dimension ref="A3:AP147"/>
  <sheetViews>
    <sheetView workbookViewId="0">
      <selection activeCell="AF30" sqref="AF30"/>
    </sheetView>
  </sheetViews>
  <sheetFormatPr defaultColWidth="6.625" defaultRowHeight="11.25" x14ac:dyDescent="0.15"/>
  <cols>
    <col min="1" max="2" width="6.625" style="7"/>
    <col min="3" max="3" width="6.625" style="46"/>
    <col min="4" max="8" width="6.625" style="7" customWidth="1"/>
    <col min="9" max="13" width="6.625" style="24" customWidth="1"/>
    <col min="14" max="23" width="6.625" style="7" customWidth="1"/>
    <col min="24" max="27" width="6.625" style="46" customWidth="1"/>
    <col min="28" max="28" width="6.625" style="157"/>
    <col min="29" max="16384" width="6.625" style="7"/>
  </cols>
  <sheetData>
    <row r="3" spans="1:42" x14ac:dyDescent="0.15">
      <c r="A3" s="41">
        <v>1</v>
      </c>
      <c r="B3" s="183" t="s">
        <v>133</v>
      </c>
      <c r="C3" s="183"/>
      <c r="D3" s="183"/>
      <c r="E3" s="183"/>
      <c r="F3" s="183"/>
      <c r="G3" s="183"/>
      <c r="H3" s="183"/>
      <c r="I3" s="183"/>
      <c r="J3" s="183"/>
      <c r="K3" s="183"/>
      <c r="L3" s="183"/>
      <c r="M3" s="183"/>
      <c r="N3" s="183"/>
      <c r="O3" s="183"/>
      <c r="P3" s="183"/>
      <c r="Q3" s="183"/>
      <c r="R3" s="183"/>
      <c r="S3" s="183"/>
      <c r="T3" s="183"/>
      <c r="U3" s="183"/>
      <c r="V3" s="183"/>
      <c r="W3" s="183"/>
      <c r="X3" s="7"/>
      <c r="AC3" s="46"/>
    </row>
    <row r="4" spans="1:42" x14ac:dyDescent="0.15">
      <c r="A4" s="41">
        <v>2</v>
      </c>
      <c r="B4" s="44"/>
      <c r="C4" s="44"/>
      <c r="D4" s="183" t="s">
        <v>134</v>
      </c>
      <c r="E4" s="183"/>
      <c r="F4" s="183"/>
      <c r="G4" s="183"/>
      <c r="H4" s="183"/>
      <c r="I4" s="183" t="s">
        <v>192</v>
      </c>
      <c r="J4" s="183"/>
      <c r="K4" s="183"/>
      <c r="L4" s="183"/>
      <c r="M4" s="183"/>
      <c r="N4" s="183" t="s">
        <v>132</v>
      </c>
      <c r="O4" s="183"/>
      <c r="P4" s="183"/>
      <c r="Q4" s="183"/>
      <c r="R4" s="183"/>
      <c r="S4" s="183" t="s">
        <v>151</v>
      </c>
      <c r="T4" s="183"/>
      <c r="U4" s="183"/>
      <c r="V4" s="183"/>
      <c r="W4" s="183"/>
      <c r="X4" s="183" t="s">
        <v>427</v>
      </c>
      <c r="Y4" s="183"/>
      <c r="Z4" s="183"/>
      <c r="AA4" s="183"/>
      <c r="AB4" s="183"/>
      <c r="AC4" s="46"/>
    </row>
    <row r="5" spans="1:42" x14ac:dyDescent="0.15">
      <c r="A5" s="41">
        <v>3</v>
      </c>
      <c r="B5" s="45" t="s">
        <v>398</v>
      </c>
      <c r="C5" s="45" t="s">
        <v>212</v>
      </c>
      <c r="D5" s="45" t="s">
        <v>122</v>
      </c>
      <c r="E5" s="45" t="s">
        <v>123</v>
      </c>
      <c r="F5" s="45" t="s">
        <v>124</v>
      </c>
      <c r="G5" s="45" t="s">
        <v>125</v>
      </c>
      <c r="H5" s="45" t="s">
        <v>126</v>
      </c>
      <c r="I5" s="45" t="s">
        <v>140</v>
      </c>
      <c r="J5" s="45" t="s">
        <v>141</v>
      </c>
      <c r="K5" s="45" t="s">
        <v>142</v>
      </c>
      <c r="L5" s="45" t="s">
        <v>143</v>
      </c>
      <c r="M5" s="45" t="s">
        <v>144</v>
      </c>
      <c r="N5" s="45" t="s">
        <v>0</v>
      </c>
      <c r="O5" s="45" t="s">
        <v>123</v>
      </c>
      <c r="P5" s="45" t="s">
        <v>124</v>
      </c>
      <c r="Q5" s="45" t="s">
        <v>125</v>
      </c>
      <c r="R5" s="45" t="s">
        <v>126</v>
      </c>
      <c r="S5" s="45" t="s">
        <v>122</v>
      </c>
      <c r="T5" s="45" t="s">
        <v>123</v>
      </c>
      <c r="U5" s="45" t="s">
        <v>124</v>
      </c>
      <c r="V5" s="45" t="s">
        <v>125</v>
      </c>
      <c r="W5" s="45" t="s">
        <v>126</v>
      </c>
      <c r="X5" s="142" t="s">
        <v>0</v>
      </c>
      <c r="Y5" s="142" t="s">
        <v>1</v>
      </c>
      <c r="Z5" s="142" t="s">
        <v>2</v>
      </c>
      <c r="AA5" s="142" t="s">
        <v>3</v>
      </c>
      <c r="AB5" s="84" t="s">
        <v>4</v>
      </c>
      <c r="AD5" s="24"/>
      <c r="AE5" s="24"/>
      <c r="AG5" s="46"/>
      <c r="AH5" s="46"/>
      <c r="AI5" s="46"/>
      <c r="AJ5" s="46"/>
      <c r="AK5" s="46"/>
    </row>
    <row r="6" spans="1:42" x14ac:dyDescent="0.15">
      <c r="A6" s="41">
        <v>4</v>
      </c>
      <c r="B6" s="45">
        <v>10</v>
      </c>
      <c r="C6" s="45">
        <f>INDEX(节奏总纲!$P$4:$P$163,$B6)</f>
        <v>1</v>
      </c>
      <c r="D6" s="93">
        <f>'[1]资源-装备'!H12</f>
        <v>12</v>
      </c>
      <c r="E6" s="94">
        <f>'[1]资源-装备'!I12</f>
        <v>6</v>
      </c>
      <c r="F6" s="94">
        <f>'[1]资源-装备'!J12</f>
        <v>0</v>
      </c>
      <c r="G6" s="94">
        <f>'[1]资源-装备'!K12</f>
        <v>0</v>
      </c>
      <c r="H6" s="94">
        <f>'[1]资源-装备'!L12</f>
        <v>0</v>
      </c>
      <c r="I6" s="29">
        <f>IF(INDEX(装备突破!D$94:D$113,MATCH($B6*2-20,装备突破!$C$94:$C$113,0))="",I5,INDEX(装备突破!D$94:D$113,MATCH($B6*2-20,装备突破!$C$94:$C$113,0)))</f>
        <v>0.9</v>
      </c>
      <c r="J6" s="29">
        <f>IF(INDEX(装备突破!E$94:E$113,MATCH($B6*2-20,装备突破!$C$94:$C$113,0))="",J5,INDEX(装备突破!E$94:E$113,MATCH($B6*2-20,装备突破!$C$94:$C$113,0)))</f>
        <v>0.7</v>
      </c>
      <c r="K6" s="29">
        <f>IF(INDEX(装备突破!F$94:F$113,MATCH($B6*2-20,装备突破!$C$94:$C$113,0))="",K5,INDEX(装备突破!F$94:F$113,MATCH($B6*2-20,装备突破!$C$94:$C$113,0)))</f>
        <v>0.6</v>
      </c>
      <c r="L6" s="29">
        <f>IF(INDEX(装备突破!G$94:G$113,MATCH($B6*2-20,装备突破!$C$94:$C$113,0))="",L5,INDEX(装备突破!G$94:G$113,MATCH($B6*2-20,装备突破!$C$94:$C$113,0)))</f>
        <v>0.55000000000000004</v>
      </c>
      <c r="M6" s="29">
        <f>IF(INDEX(装备突破!H$94:H$113,MATCH($B6*2-20,装备突破!$C$94:$C$113,0))="",M5,INDEX(装备突破!H$94:H$113,MATCH($B6*2-20,装备突破!$C$94:$C$113,0)))</f>
        <v>0.48</v>
      </c>
      <c r="N6" s="44">
        <v>10</v>
      </c>
      <c r="O6" s="44">
        <v>10</v>
      </c>
      <c r="P6" s="44" t="s">
        <v>397</v>
      </c>
      <c r="Q6" s="44" t="s">
        <v>397</v>
      </c>
      <c r="R6" s="44" t="s">
        <v>397</v>
      </c>
      <c r="S6" s="43">
        <f>IF(N6="",0,IF(N6&gt;MAX(装备突破!D$6:D$20),"溢出",IF(N6="","",IF(N6&lt;装备突破!D$6,0,IFERROR(MATCH(N6,装备突破!D$6:D$20,0)-1,MATCH(N6,装备突破!D$6:D$20,1))))))</f>
        <v>0</v>
      </c>
      <c r="T6" s="43">
        <f>IF(O6="",0,IF(O6&gt;MAX(装备突破!E$6:E$20),"溢出",IF(O6="","",IF(O6&lt;装备突破!E$6,0,IFERROR(MATCH(O6,装备突破!E$6:E$20,0)-1,MATCH(O6,装备突破!E$6:E$20,1))))))</f>
        <v>0</v>
      </c>
      <c r="U6" s="43">
        <f>IF(P6="",0,IF(P6&gt;MAX(装备突破!F$6:F$20),"溢出",IF(P6="","",IF(P6&lt;装备突破!F$6,0,IFERROR(MATCH(P6,装备突破!F$6:F$20,0)-1,MATCH(P6,装备突破!F$6:F$20,1))))))</f>
        <v>0</v>
      </c>
      <c r="V6" s="43">
        <f>IF(Q6="",0,IF(Q6&gt;MAX(装备突破!G$6:G$20),"溢出",IF(Q6="","",IF(Q6&lt;装备突破!G$6,0,IFERROR(MATCH(Q6,装备突破!G$6:G$20,0)-1,MATCH(Q6,装备突破!G$6:G$20,1))))))</f>
        <v>0</v>
      </c>
      <c r="W6" s="43">
        <f>IF(R6="",0,IF(R6&gt;MAX(装备突破!H$6:H$20),"溢出",IF(R6="","",IF(R6&lt;装备突破!H$6,0,IFERROR(MATCH(R6,装备突破!H$6:H$20,0)-1,MATCH(R6,装备突破!H$6:H$20,1))))))</f>
        <v>0</v>
      </c>
      <c r="X6" s="141"/>
      <c r="Y6" s="141"/>
      <c r="Z6" s="141"/>
      <c r="AA6" s="141"/>
      <c r="AB6" s="158">
        <v>0</v>
      </c>
      <c r="AC6" s="46"/>
      <c r="AH6" s="46"/>
      <c r="AI6" s="46"/>
      <c r="AJ6" s="46"/>
      <c r="AK6" s="46"/>
    </row>
    <row r="7" spans="1:42" ht="9.75" customHeight="1" x14ac:dyDescent="0.15">
      <c r="A7" s="41">
        <v>5</v>
      </c>
      <c r="B7" s="45">
        <v>20</v>
      </c>
      <c r="C7" s="142">
        <f>INDEX(节奏总纲!$P$4:$P$163,$B7)</f>
        <v>3</v>
      </c>
      <c r="D7" s="134">
        <f>'[1]资源-装备'!H13</f>
        <v>0</v>
      </c>
      <c r="E7" s="134">
        <f>'[1]资源-装备'!I13</f>
        <v>13</v>
      </c>
      <c r="F7" s="134">
        <f>'[1]资源-装备'!J13</f>
        <v>5</v>
      </c>
      <c r="G7" s="134">
        <f>'[1]资源-装备'!K13</f>
        <v>0</v>
      </c>
      <c r="H7" s="134">
        <f>'[1]资源-装备'!L13</f>
        <v>0</v>
      </c>
      <c r="I7" s="29">
        <f>IF(INDEX(装备突破!D$94:D$113,MATCH($B7*2-20,装备突破!$C$94:$C$113,0))="",I6,INDEX(装备突破!D$94:D$113,MATCH($B7*2-20,装备突破!$C$94:$C$113,0)))</f>
        <v>0.9</v>
      </c>
      <c r="J7" s="29">
        <f>IF(INDEX(装备突破!E$94:E$113,MATCH($B7*2-20,装备突破!$C$94:$C$113,0))="",J6,INDEX(装备突破!E$94:E$113,MATCH($B7*2-20,装备突破!$C$94:$C$113,0)))</f>
        <v>0.85</v>
      </c>
      <c r="K7" s="29">
        <f>IF(INDEX(装备突破!F$94:F$113,MATCH($B7*2-20,装备突破!$C$94:$C$113,0))="",K6,INDEX(装备突破!F$94:F$113,MATCH($B7*2-20,装备突破!$C$94:$C$113,0)))</f>
        <v>0.7</v>
      </c>
      <c r="L7" s="29">
        <f>IF(INDEX(装备突破!G$94:G$113,MATCH($B7*2-20,装备突破!$C$94:$C$113,0))="",L6,INDEX(装备突破!G$94:G$113,MATCH($B7*2-20,装备突破!$C$94:$C$113,0)))</f>
        <v>0.625</v>
      </c>
      <c r="M7" s="29">
        <f>IF(INDEX(装备突破!H$94:H$113,MATCH($B7*2-20,装备突破!$C$94:$C$113,0))="",M6,INDEX(装备突破!H$94:H$113,MATCH($B7*2-20,装备突破!$C$94:$C$113,0)))</f>
        <v>0.54500000000000004</v>
      </c>
      <c r="N7" s="44">
        <v>20</v>
      </c>
      <c r="O7" s="44">
        <v>30</v>
      </c>
      <c r="P7" s="44">
        <v>30</v>
      </c>
      <c r="Q7" s="44" t="s">
        <v>397</v>
      </c>
      <c r="R7" s="44" t="s">
        <v>397</v>
      </c>
      <c r="S7" s="43">
        <f>IF(N7="",0,IF(N7&gt;MAX(装备突破!D$6:D$20),"溢出",IF(N7="","",IF(N7&lt;装备突破!D$6,0,IFERROR(MATCH(N7,装备突破!D$6:D$20,0)-1,MATCH(N7,装备突破!D$6:D$20,1))))))</f>
        <v>0</v>
      </c>
      <c r="T7" s="43">
        <f>IF(O7="",0,IF(O7&gt;MAX(装备突破!E$6:E$20),"溢出",IF(O7="","",IF(O7&lt;装备突破!E$6,0,IFERROR(MATCH(O7,装备突破!E$6:E$20,0)-1,MATCH(O7,装备突破!E$6:E$20,1))))))</f>
        <v>1</v>
      </c>
      <c r="U7" s="43">
        <f>IF(P7="",0,IF(P7&gt;MAX(装备突破!F$6:F$20),"溢出",IF(P7="","",IF(P7&lt;装备突破!F$6,0,IFERROR(MATCH(P7,装备突破!F$6:F$20,0)-1,MATCH(P7,装备突破!F$6:F$20,1))))))</f>
        <v>0</v>
      </c>
      <c r="V7" s="43">
        <f>IF(Q7="",0,IF(Q7&gt;MAX(装备突破!G$6:G$20),"溢出",IF(Q7="","",IF(Q7&lt;装备突破!G$6,0,IFERROR(MATCH(Q7,装备突破!G$6:G$20,0)-1,MATCH(Q7,装备突破!G$6:G$20,1))))))</f>
        <v>0</v>
      </c>
      <c r="W7" s="43">
        <f>IF(R7="",0,IF(R7&gt;MAX(装备突破!H$6:H$20),"溢出",IF(R7="","",IF(R7&lt;装备突破!H$6,0,IFERROR(MATCH(R7,装备突破!H$6:H$20,0)-1,MATCH(R7,装备突破!H$6:H$20,1))))))</f>
        <v>0</v>
      </c>
      <c r="X7" s="141"/>
      <c r="Y7" s="141"/>
      <c r="Z7" s="141"/>
      <c r="AA7" s="141"/>
      <c r="AB7" s="158">
        <v>0</v>
      </c>
      <c r="AC7" s="46"/>
      <c r="AD7" s="46"/>
      <c r="AG7" s="46"/>
      <c r="AH7" s="46"/>
      <c r="AI7" s="46"/>
      <c r="AJ7" s="46"/>
      <c r="AK7" s="46"/>
      <c r="AL7" s="46"/>
      <c r="AM7" s="46"/>
      <c r="AN7" s="46"/>
      <c r="AP7" s="46"/>
    </row>
    <row r="8" spans="1:42" x14ac:dyDescent="0.15">
      <c r="A8" s="41">
        <v>6</v>
      </c>
      <c r="B8" s="45">
        <v>30</v>
      </c>
      <c r="C8" s="142">
        <f>INDEX(节奏总纲!$P$4:$P$163,$B8)</f>
        <v>7</v>
      </c>
      <c r="D8" s="134">
        <f>'[1]资源-装备'!H14</f>
        <v>0</v>
      </c>
      <c r="E8" s="134">
        <f>'[1]资源-装备'!I14</f>
        <v>0</v>
      </c>
      <c r="F8" s="134">
        <f>'[1]资源-装备'!J14</f>
        <v>16</v>
      </c>
      <c r="G8" s="134">
        <f>'[1]资源-装备'!K14</f>
        <v>2</v>
      </c>
      <c r="H8" s="134">
        <f>'[1]资源-装备'!L14</f>
        <v>0</v>
      </c>
      <c r="I8" s="29">
        <f>IF(INDEX(装备突破!D$94:D$113,MATCH($B8*2-20,装备突破!$C$94:$C$113,0))="",I7,INDEX(装备突破!D$94:D$113,MATCH($B8*2-20,装备突破!$C$94:$C$113,0)))</f>
        <v>0.9</v>
      </c>
      <c r="J8" s="29">
        <f>IF(INDEX(装备突破!E$94:E$113,MATCH($B8*2-20,装备突破!$C$94:$C$113,0))="",J7,INDEX(装备突破!E$94:E$113,MATCH($B8*2-20,装备突破!$C$94:$C$113,0)))</f>
        <v>1</v>
      </c>
      <c r="K8" s="29">
        <f>IF(INDEX(装备突破!F$94:F$113,MATCH($B8*2-20,装备突破!$C$94:$C$113,0))="",K7,INDEX(装备突破!F$94:F$113,MATCH($B8*2-20,装备突破!$C$94:$C$113,0)))</f>
        <v>0.8</v>
      </c>
      <c r="L8" s="29">
        <f>IF(INDEX(装备突破!G$94:G$113,MATCH($B8*2-20,装备突破!$C$94:$C$113,0))="",L7,INDEX(装备突破!G$94:G$113,MATCH($B8*2-20,装备突破!$C$94:$C$113,0)))</f>
        <v>0.7</v>
      </c>
      <c r="M8" s="29">
        <f>IF(INDEX(装备突破!H$94:H$113,MATCH($B8*2-20,装备突破!$C$94:$C$113,0))="",M7,INDEX(装备突破!H$94:H$113,MATCH($B8*2-20,装备突破!$C$94:$C$113,0)))</f>
        <v>0.61</v>
      </c>
      <c r="N8" s="44"/>
      <c r="O8" s="44">
        <v>40</v>
      </c>
      <c r="P8" s="44">
        <v>60</v>
      </c>
      <c r="Q8" s="44">
        <v>60</v>
      </c>
      <c r="R8" s="44" t="s">
        <v>397</v>
      </c>
      <c r="S8" s="43">
        <f>IF(N8="",0,IF(N8&gt;MAX(装备突破!D$6:D$20),"溢出",IF(N8="","",IF(N8&lt;装备突破!D$6,0,IFERROR(MATCH(N8,装备突破!D$6:D$20,0)-1,MATCH(N8,装备突破!D$6:D$20,1))))))</f>
        <v>0</v>
      </c>
      <c r="T8" s="43">
        <f>IF(O8="",0,IF(O8&gt;MAX(装备突破!E$6:E$20),"溢出",IF(O8="","",IF(O8&lt;装备突破!E$6,0,IFERROR(MATCH(O8,装备突破!E$6:E$20,0)-1,MATCH(O8,装备突破!E$6:E$20,1))))))</f>
        <v>1</v>
      </c>
      <c r="U8" s="43">
        <f>IF(P8="",0,IF(P8&gt;MAX(装备突破!F$6:F$20),"溢出",IF(P8="","",IF(P8&lt;装备突破!F$6,0,IFERROR(MATCH(P8,装备突破!F$6:F$20,0)-1,MATCH(P8,装备突破!F$6:F$20,1))))))</f>
        <v>1</v>
      </c>
      <c r="V8" s="43">
        <f>IF(Q8="",0,IF(Q8&gt;MAX(装备突破!G$6:G$20),"溢出",IF(Q8="","",IF(Q8&lt;装备突破!G$6,0,IFERROR(MATCH(Q8,装备突破!G$6:G$20,0)-1,MATCH(Q8,装备突破!G$6:G$20,1))))))</f>
        <v>0</v>
      </c>
      <c r="W8" s="43">
        <f>IF(R8="",0,IF(R8&gt;MAX(装备突破!H$6:H$20),"溢出",IF(R8="","",IF(R8&lt;装备突破!H$6,0,IFERROR(MATCH(R8,装备突破!H$6:H$20,0)-1,MATCH(R8,装备突破!H$6:H$20,1))))))</f>
        <v>0</v>
      </c>
      <c r="X8" s="141"/>
      <c r="Y8" s="141"/>
      <c r="Z8" s="141"/>
      <c r="AA8" s="141"/>
      <c r="AB8" s="158">
        <v>0</v>
      </c>
      <c r="AC8" s="46"/>
      <c r="AD8" s="46"/>
      <c r="AG8" s="46"/>
      <c r="AH8" s="46"/>
      <c r="AI8" s="46"/>
      <c r="AJ8" s="46"/>
      <c r="AK8" s="46"/>
      <c r="AL8" s="46"/>
      <c r="AM8" s="46"/>
      <c r="AN8" s="46"/>
      <c r="AP8" s="46"/>
    </row>
    <row r="9" spans="1:42" x14ac:dyDescent="0.15">
      <c r="A9" s="41">
        <v>7</v>
      </c>
      <c r="B9" s="45">
        <v>40</v>
      </c>
      <c r="C9" s="142">
        <f>INDEX(节奏总纲!$P$4:$P$163,$B9)</f>
        <v>15</v>
      </c>
      <c r="D9" s="134">
        <f>'[1]资源-装备'!H15</f>
        <v>0</v>
      </c>
      <c r="E9" s="134">
        <f>'[1]资源-装备'!I15</f>
        <v>0</v>
      </c>
      <c r="F9" s="134">
        <f>'[1]资源-装备'!J15</f>
        <v>0</v>
      </c>
      <c r="G9" s="134">
        <f>'[1]资源-装备'!K15</f>
        <v>16</v>
      </c>
      <c r="H9" s="134">
        <f>'[1]资源-装备'!L15</f>
        <v>0</v>
      </c>
      <c r="I9" s="29">
        <f>IF(INDEX(装备突破!D$94:D$113,MATCH($B9*2-20,装备突破!$C$94:$C$113,0))="",I8,INDEX(装备突破!D$94:D$113,MATCH($B9*2-20,装备突破!$C$94:$C$113,0)))</f>
        <v>0.9</v>
      </c>
      <c r="J9" s="29">
        <f>IF(INDEX(装备突破!E$94:E$113,MATCH($B9*2-20,装备突破!$C$94:$C$113,0))="",J8,INDEX(装备突破!E$94:E$113,MATCH($B9*2-20,装备突破!$C$94:$C$113,0)))</f>
        <v>1</v>
      </c>
      <c r="K9" s="29">
        <f>IF(INDEX(装备突破!F$94:F$113,MATCH($B9*2-20,装备突破!$C$94:$C$113,0))="",K8,INDEX(装备突破!F$94:F$113,MATCH($B9*2-20,装备突破!$C$94:$C$113,0)))</f>
        <v>0.9</v>
      </c>
      <c r="L9" s="29">
        <f>IF(INDEX(装备突破!G$94:G$113,MATCH($B9*2-20,装备突破!$C$94:$C$113,0))="",L8,INDEX(装备突破!G$94:G$113,MATCH($B9*2-20,装备突破!$C$94:$C$113,0)))</f>
        <v>0.77500000000000002</v>
      </c>
      <c r="M9" s="29">
        <f>IF(INDEX(装备突破!H$94:H$113,MATCH($B9*2-20,装备突破!$C$94:$C$113,0))="",M8,INDEX(装备突破!H$94:H$113,MATCH($B9*2-20,装备突破!$C$94:$C$113,0)))</f>
        <v>0.67500000000000004</v>
      </c>
      <c r="N9" s="44" t="s">
        <v>397</v>
      </c>
      <c r="O9" s="44">
        <v>40</v>
      </c>
      <c r="P9" s="44">
        <v>80</v>
      </c>
      <c r="Q9" s="44">
        <v>80</v>
      </c>
      <c r="R9" s="44" t="s">
        <v>397</v>
      </c>
      <c r="S9" s="43">
        <f>IF(N9="",0,IF(N9&gt;MAX(装备突破!D$6:D$20),"溢出",IF(N9="","",IF(N9&lt;装备突破!D$6,0,IFERROR(MATCH(N9,装备突破!D$6:D$20,0)-1,MATCH(N9,装备突破!D$6:D$20,1))))))</f>
        <v>0</v>
      </c>
      <c r="T9" s="43">
        <f>IF(O9="",0,IF(O9&gt;MAX(装备突破!E$6:E$20),"溢出",IF(O9="","",IF(O9&lt;装备突破!E$6,0,IFERROR(MATCH(O9,装备突破!E$6:E$20,0)-1,MATCH(O9,装备突破!E$6:E$20,1))))))</f>
        <v>1</v>
      </c>
      <c r="U9" s="43">
        <f>IF(P9="",0,IF(P9&gt;MAX(装备突破!F$6:F$20),"溢出",IF(P9="","",IF(P9&lt;装备突破!F$6,0,IFERROR(MATCH(P9,装备突破!F$6:F$20,0)-1,MATCH(P9,装备突破!F$6:F$20,1))))))</f>
        <v>2</v>
      </c>
      <c r="V9" s="43">
        <f>IF(Q9="",0,IF(Q9&gt;MAX(装备突破!G$6:G$20),"溢出",IF(Q9="","",IF(Q9&lt;装备突破!G$6,0,IFERROR(MATCH(Q9,装备突破!G$6:G$20,0)-1,MATCH(Q9,装备突破!G$6:G$20,1))))))</f>
        <v>1</v>
      </c>
      <c r="W9" s="43">
        <f>IF(R9="",0,IF(R9&gt;MAX(装备突破!H$6:H$20),"溢出",IF(R9="","",IF(R9&lt;装备突破!H$6,0,IFERROR(MATCH(R9,装备突破!H$6:H$20,0)-1,MATCH(R9,装备突破!H$6:H$20,1))))))</f>
        <v>0</v>
      </c>
      <c r="X9" s="141"/>
      <c r="Y9" s="141"/>
      <c r="Z9" s="141"/>
      <c r="AA9" s="141"/>
      <c r="AB9" s="158">
        <v>0</v>
      </c>
      <c r="AC9" s="46"/>
      <c r="AD9" s="46"/>
      <c r="AG9" s="46"/>
      <c r="AH9" s="46"/>
      <c r="AI9" s="46"/>
      <c r="AJ9" s="46"/>
      <c r="AK9" s="46"/>
      <c r="AL9" s="46"/>
      <c r="AM9" s="46"/>
      <c r="AN9" s="46"/>
      <c r="AP9" s="46"/>
    </row>
    <row r="10" spans="1:42" x14ac:dyDescent="0.15">
      <c r="A10" s="41">
        <v>8</v>
      </c>
      <c r="B10" s="45">
        <v>50</v>
      </c>
      <c r="C10" s="142">
        <f>INDEX(节奏总纲!$P$4:$P$163,$B10)</f>
        <v>31</v>
      </c>
      <c r="D10" s="134">
        <f>'[1]资源-装备'!H16</f>
        <v>0</v>
      </c>
      <c r="E10" s="134">
        <f>'[1]资源-装备'!I16</f>
        <v>0</v>
      </c>
      <c r="F10" s="134">
        <f>'[1]资源-装备'!J16</f>
        <v>0</v>
      </c>
      <c r="G10" s="134">
        <f>'[1]资源-装备'!K16</f>
        <v>14</v>
      </c>
      <c r="H10" s="134">
        <f>'[1]资源-装备'!L16</f>
        <v>2</v>
      </c>
      <c r="I10" s="29">
        <f>IF(INDEX(装备突破!D$94:D$113,MATCH($B10*2-20,装备突破!$C$94:$C$113,0))="",I9,INDEX(装备突破!D$94:D$113,MATCH($B10*2-20,装备突破!$C$94:$C$113,0)))</f>
        <v>0.9</v>
      </c>
      <c r="J10" s="29">
        <f>IF(INDEX(装备突破!E$94:E$113,MATCH($B10*2-20,装备突破!$C$94:$C$113,0))="",J9,INDEX(装备突破!E$94:E$113,MATCH($B10*2-20,装备突破!$C$94:$C$113,0)))</f>
        <v>1</v>
      </c>
      <c r="K10" s="29">
        <f>IF(INDEX(装备突破!F$94:F$113,MATCH($B10*2-20,装备突破!$C$94:$C$113,0))="",K9,INDEX(装备突破!F$94:F$113,MATCH($B10*2-20,装备突破!$C$94:$C$113,0)))</f>
        <v>1</v>
      </c>
      <c r="L10" s="29">
        <f>IF(INDEX(装备突破!G$94:G$113,MATCH($B10*2-20,装备突破!$C$94:$C$113,0))="",L9,INDEX(装备突破!G$94:G$113,MATCH($B10*2-20,装备突破!$C$94:$C$113,0)))</f>
        <v>0.85</v>
      </c>
      <c r="M10" s="29">
        <f>IF(INDEX(装备突破!H$94:H$113,MATCH($B10*2-20,装备突破!$C$94:$C$113,0))="",M9,INDEX(装备突破!H$94:H$113,MATCH($B10*2-20,装备突破!$C$94:$C$113,0)))</f>
        <v>0.74</v>
      </c>
      <c r="N10" s="44" t="s">
        <v>397</v>
      </c>
      <c r="O10" s="44" t="s">
        <v>397</v>
      </c>
      <c r="P10" s="44">
        <v>80</v>
      </c>
      <c r="Q10" s="44">
        <v>100</v>
      </c>
      <c r="R10" s="44">
        <v>100</v>
      </c>
      <c r="S10" s="43">
        <f>IF(N10="",0,IF(N10&gt;MAX(装备突破!D$6:D$20),"溢出",IF(N10="","",IF(N10&lt;装备突破!D$6,0,IFERROR(MATCH(N10,装备突破!D$6:D$20,0)-1,MATCH(N10,装备突破!D$6:D$20,1))))))</f>
        <v>0</v>
      </c>
      <c r="T10" s="43">
        <f>IF(O10="",0,IF(O10&gt;MAX(装备突破!E$6:E$20),"溢出",IF(O10="","",IF(O10&lt;装备突破!E$6,0,IFERROR(MATCH(O10,装备突破!E$6:E$20,0)-1,MATCH(O10,装备突破!E$6:E$20,1))))))</f>
        <v>0</v>
      </c>
      <c r="U10" s="43">
        <f>IF(P10="",0,IF(P10&gt;MAX(装备突破!F$6:F$20),"溢出",IF(P10="","",IF(P10&lt;装备突破!F$6,0,IFERROR(MATCH(P10,装备突破!F$6:F$20,0)-1,MATCH(P10,装备突破!F$6:F$20,1))))))</f>
        <v>2</v>
      </c>
      <c r="V10" s="43">
        <f>IF(Q10="",0,IF(Q10&gt;MAX(装备突破!G$6:G$20),"溢出",IF(Q10="","",IF(Q10&lt;装备突破!G$6,0,IFERROR(MATCH(Q10,装备突破!G$6:G$20,0)-1,MATCH(Q10,装备突破!G$6:G$20,1))))))</f>
        <v>2</v>
      </c>
      <c r="W10" s="43">
        <f>IF(R10="",0,IF(R10&gt;MAX(装备突破!H$6:H$20),"溢出",IF(R10="","",IF(R10&lt;装备突破!H$6,0,IFERROR(MATCH(R10,装备突破!H$6:H$20,0)-1,MATCH(R10,装备突破!H$6:H$20,1))))))</f>
        <v>0</v>
      </c>
      <c r="X10" s="141"/>
      <c r="Y10" s="141"/>
      <c r="Z10" s="141"/>
      <c r="AA10" s="141"/>
      <c r="AB10" s="158">
        <v>0</v>
      </c>
      <c r="AC10" s="46"/>
      <c r="AG10" s="46"/>
      <c r="AH10" s="46"/>
      <c r="AI10" s="46"/>
      <c r="AJ10" s="46"/>
      <c r="AK10" s="46"/>
      <c r="AL10" s="46"/>
      <c r="AM10" s="46"/>
      <c r="AN10" s="46"/>
      <c r="AP10" s="46"/>
    </row>
    <row r="11" spans="1:42" x14ac:dyDescent="0.15">
      <c r="A11" s="41">
        <v>9</v>
      </c>
      <c r="B11" s="45">
        <v>60</v>
      </c>
      <c r="C11" s="142">
        <f>INDEX(节奏总纲!$P$4:$P$163,$B11)</f>
        <v>63</v>
      </c>
      <c r="D11" s="134">
        <f>'[1]资源-装备'!H17</f>
        <v>0</v>
      </c>
      <c r="E11" s="134">
        <f>'[1]资源-装备'!I17</f>
        <v>0</v>
      </c>
      <c r="F11" s="134">
        <f>'[1]资源-装备'!J17</f>
        <v>0</v>
      </c>
      <c r="G11" s="134">
        <f>'[1]资源-装备'!K17</f>
        <v>12</v>
      </c>
      <c r="H11" s="134">
        <f>'[1]资源-装备'!L17</f>
        <v>6</v>
      </c>
      <c r="I11" s="29">
        <f>IF(INDEX(装备突破!D$94:D$113,MATCH($B11*2-20,装备突破!$C$94:$C$113,0))="",I10,INDEX(装备突破!D$94:D$113,MATCH($B11*2-20,装备突破!$C$94:$C$113,0)))</f>
        <v>0.9</v>
      </c>
      <c r="J11" s="29">
        <f>IF(INDEX(装备突破!E$94:E$113,MATCH($B11*2-20,装备突破!$C$94:$C$113,0))="",J10,INDEX(装备突破!E$94:E$113,MATCH($B11*2-20,装备突破!$C$94:$C$113,0)))</f>
        <v>1</v>
      </c>
      <c r="K11" s="29">
        <f>IF(INDEX(装备突破!F$94:F$113,MATCH($B11*2-20,装备突破!$C$94:$C$113,0))="",K10,INDEX(装备突破!F$94:F$113,MATCH($B11*2-20,装备突破!$C$94:$C$113,0)))</f>
        <v>1</v>
      </c>
      <c r="L11" s="29">
        <f>IF(INDEX(装备突破!G$94:G$113,MATCH($B11*2-20,装备突破!$C$94:$C$113,0))="",L10,INDEX(装备突破!G$94:G$113,MATCH($B11*2-20,装备突破!$C$94:$C$113,0)))</f>
        <v>0.92500000000000004</v>
      </c>
      <c r="M11" s="29">
        <f>IF(INDEX(装备突破!H$94:H$113,MATCH($B11*2-20,装备突破!$C$94:$C$113,0))="",M10,INDEX(装备突破!H$94:H$113,MATCH($B11*2-20,装备突破!$C$94:$C$113,0)))</f>
        <v>0.80500000000000005</v>
      </c>
      <c r="N11" s="44" t="s">
        <v>397</v>
      </c>
      <c r="O11" s="44" t="s">
        <v>397</v>
      </c>
      <c r="P11" s="44" t="s">
        <v>397</v>
      </c>
      <c r="Q11" s="44">
        <v>120</v>
      </c>
      <c r="R11" s="44">
        <v>120</v>
      </c>
      <c r="S11" s="43">
        <f>IF(N11="",0,IF(N11&gt;MAX(装备突破!D$6:D$20),"溢出",IF(N11="","",IF(N11&lt;装备突破!D$6,0,IFERROR(MATCH(N11,装备突破!D$6:D$20,0)-1,MATCH(N11,装备突破!D$6:D$20,1))))))</f>
        <v>0</v>
      </c>
      <c r="T11" s="43">
        <f>IF(O11="",0,IF(O11&gt;MAX(装备突破!E$6:E$20),"溢出",IF(O11="","",IF(O11&lt;装备突破!E$6,0,IFERROR(MATCH(O11,装备突破!E$6:E$20,0)-1,MATCH(O11,装备突破!E$6:E$20,1))))))</f>
        <v>0</v>
      </c>
      <c r="U11" s="43">
        <f>IF(P11="",0,IF(P11&gt;MAX(装备突破!F$6:F$20),"溢出",IF(P11="","",IF(P11&lt;装备突破!F$6,0,IFERROR(MATCH(P11,装备突破!F$6:F$20,0)-1,MATCH(P11,装备突破!F$6:F$20,1))))))</f>
        <v>0</v>
      </c>
      <c r="V11" s="43">
        <f>IF(Q11="",0,IF(Q11&gt;MAX(装备突破!G$6:G$20),"溢出",IF(Q11="","",IF(Q11&lt;装备突破!G$6,0,IFERROR(MATCH(Q11,装备突破!G$6:G$20,0)-1,MATCH(Q11,装备突破!G$6:G$20,1))))))</f>
        <v>3</v>
      </c>
      <c r="W11" s="43">
        <f>IF(R11="",0,IF(R11&gt;MAX(装备突破!H$6:H$20),"溢出",IF(R11="","",IF(R11&lt;装备突破!H$6,0,IFERROR(MATCH(R11,装备突破!H$6:H$20,0)-1,MATCH(R11,装备突破!H$6:H$20,1))))))</f>
        <v>1</v>
      </c>
      <c r="X11" s="141"/>
      <c r="Y11" s="141"/>
      <c r="Z11" s="141"/>
      <c r="AA11" s="141"/>
      <c r="AB11" s="158">
        <v>0</v>
      </c>
      <c r="AC11" s="46"/>
      <c r="AD11" s="46"/>
      <c r="AG11" s="46"/>
      <c r="AH11" s="46"/>
      <c r="AI11" s="46"/>
      <c r="AJ11" s="46"/>
      <c r="AK11" s="46"/>
      <c r="AL11" s="46"/>
      <c r="AM11" s="46"/>
      <c r="AN11" s="46"/>
      <c r="AP11" s="46"/>
    </row>
    <row r="12" spans="1:42" x14ac:dyDescent="0.15">
      <c r="A12" s="41">
        <v>10</v>
      </c>
      <c r="B12" s="45">
        <v>70</v>
      </c>
      <c r="C12" s="142">
        <f>INDEX(节奏总纲!$P$4:$P$163,$B12)</f>
        <v>127</v>
      </c>
      <c r="D12" s="134">
        <f>'[1]资源-装备'!H18</f>
        <v>0</v>
      </c>
      <c r="E12" s="134">
        <f>'[1]资源-装备'!I18</f>
        <v>0</v>
      </c>
      <c r="F12" s="134">
        <f>'[1]资源-装备'!J18</f>
        <v>0</v>
      </c>
      <c r="G12" s="134">
        <f>'[1]资源-装备'!K18</f>
        <v>6</v>
      </c>
      <c r="H12" s="134">
        <f>'[1]资源-装备'!L18</f>
        <v>12</v>
      </c>
      <c r="I12" s="29">
        <f>IF(INDEX(装备突破!D$94:D$113,MATCH($B12*2-20,装备突破!$C$94:$C$113,0))="",I11,INDEX(装备突破!D$94:D$113,MATCH($B12*2-20,装备突破!$C$94:$C$113,0)))</f>
        <v>0.9</v>
      </c>
      <c r="J12" s="29">
        <f>IF(INDEX(装备突破!E$94:E$113,MATCH($B12*2-20,装备突破!$C$94:$C$113,0))="",J11,INDEX(装备突破!E$94:E$113,MATCH($B12*2-20,装备突破!$C$94:$C$113,0)))</f>
        <v>1</v>
      </c>
      <c r="K12" s="29">
        <f>IF(INDEX(装备突破!F$94:F$113,MATCH($B12*2-20,装备突破!$C$94:$C$113,0))="",K11,INDEX(装备突破!F$94:F$113,MATCH($B12*2-20,装备突破!$C$94:$C$113,0)))</f>
        <v>1</v>
      </c>
      <c r="L12" s="29">
        <f>IF(INDEX(装备突破!G$94:G$113,MATCH($B12*2-20,装备突破!$C$94:$C$113,0))="",L11,INDEX(装备突破!G$94:G$113,MATCH($B12*2-20,装备突破!$C$94:$C$113,0)))</f>
        <v>1</v>
      </c>
      <c r="M12" s="29">
        <f>IF(INDEX(装备突破!H$94:H$113,MATCH($B12*2-20,装备突破!$C$94:$C$113,0))="",M11,INDEX(装备突破!H$94:H$113,MATCH($B12*2-20,装备突破!$C$94:$C$113,0)))</f>
        <v>0.87</v>
      </c>
      <c r="N12" s="44" t="s">
        <v>397</v>
      </c>
      <c r="O12" s="44" t="s">
        <v>397</v>
      </c>
      <c r="P12" s="44" t="s">
        <v>397</v>
      </c>
      <c r="Q12" s="44">
        <v>120</v>
      </c>
      <c r="R12" s="126">
        <v>140</v>
      </c>
      <c r="S12" s="43">
        <f>IF(N12="",0,IF(N12&gt;MAX(装备突破!D$6:D$20),"溢出",IF(N12="","",IF(N12&lt;装备突破!D$6,0,IFERROR(MATCH(N12,装备突破!D$6:D$20,0)-1,MATCH(N12,装备突破!D$6:D$20,1))))))</f>
        <v>0</v>
      </c>
      <c r="T12" s="43">
        <f>IF(O12="",0,IF(O12&gt;MAX(装备突破!E$6:E$20),"溢出",IF(O12="","",IF(O12&lt;装备突破!E$6,0,IFERROR(MATCH(O12,装备突破!E$6:E$20,0)-1,MATCH(O12,装备突破!E$6:E$20,1))))))</f>
        <v>0</v>
      </c>
      <c r="U12" s="43">
        <f>IF(P12="",0,IF(P12&gt;MAX(装备突破!F$6:F$20),"溢出",IF(P12="","",IF(P12&lt;装备突破!F$6,0,IFERROR(MATCH(P12,装备突破!F$6:F$20,0)-1,MATCH(P12,装备突破!F$6:F$20,1))))))</f>
        <v>0</v>
      </c>
      <c r="V12" s="43">
        <f>IF(Q12="",0,IF(Q12&gt;MAX(装备突破!G$6:G$20),"溢出",IF(Q12="","",IF(Q12&lt;装备突破!G$6,0,IFERROR(MATCH(Q12,装备突破!G$6:G$20,0)-1,MATCH(Q12,装备突破!G$6:G$20,1))))))</f>
        <v>3</v>
      </c>
      <c r="W12" s="43">
        <f>IF(R12="",0,IF(R12&gt;MAX(装备突破!H$6:H$20),"溢出",IF(R12="","",IF(R12&lt;装备突破!H$6,0,IFERROR(MATCH(R12,装备突破!H$6:H$20,0)-1,MATCH(R12,装备突破!H$6:H$20,1))))))</f>
        <v>2</v>
      </c>
      <c r="X12" s="141"/>
      <c r="Y12" s="141"/>
      <c r="Z12" s="141"/>
      <c r="AA12" s="141"/>
      <c r="AB12" s="158">
        <v>2</v>
      </c>
      <c r="AC12" s="46"/>
      <c r="AD12" s="46"/>
      <c r="AG12" s="46"/>
      <c r="AH12" s="46"/>
      <c r="AI12" s="46"/>
      <c r="AJ12" s="46"/>
      <c r="AK12" s="46"/>
      <c r="AL12" s="46"/>
      <c r="AM12" s="46"/>
      <c r="AN12" s="46"/>
      <c r="AP12" s="46"/>
    </row>
    <row r="13" spans="1:42" x14ac:dyDescent="0.15">
      <c r="A13" s="41">
        <v>11</v>
      </c>
      <c r="B13" s="45">
        <v>80</v>
      </c>
      <c r="C13" s="142">
        <f>INDEX(节奏总纲!$P$4:$P$163,$B13)</f>
        <v>255</v>
      </c>
      <c r="D13" s="134">
        <f>'[1]资源-装备'!H19</f>
        <v>0</v>
      </c>
      <c r="E13" s="134">
        <f>'[1]资源-装备'!I19</f>
        <v>0</v>
      </c>
      <c r="F13" s="134">
        <f>'[1]资源-装备'!J19</f>
        <v>0</v>
      </c>
      <c r="G13" s="134">
        <f>'[1]资源-装备'!K19</f>
        <v>0</v>
      </c>
      <c r="H13" s="134">
        <f>'[1]资源-装备'!L19</f>
        <v>18</v>
      </c>
      <c r="I13" s="29">
        <f>IF(INDEX(装备突破!D$94:D$113,MATCH($B13*2-20,装备突破!$C$94:$C$113,0))="",I12,INDEX(装备突破!D$94:D$113,MATCH($B13*2-20,装备突破!$C$94:$C$113,0)))</f>
        <v>0.9</v>
      </c>
      <c r="J13" s="29">
        <f>IF(INDEX(装备突破!E$94:E$113,MATCH($B13*2-20,装备突破!$C$94:$C$113,0))="",J12,INDEX(装备突破!E$94:E$113,MATCH($B13*2-20,装备突破!$C$94:$C$113,0)))</f>
        <v>1</v>
      </c>
      <c r="K13" s="29">
        <f>IF(INDEX(装备突破!F$94:F$113,MATCH($B13*2-20,装备突破!$C$94:$C$113,0))="",K12,INDEX(装备突破!F$94:F$113,MATCH($B13*2-20,装备突破!$C$94:$C$113,0)))</f>
        <v>1</v>
      </c>
      <c r="L13" s="29">
        <f>IF(INDEX(装备突破!G$94:G$113,MATCH($B13*2-20,装备突破!$C$94:$C$113,0))="",L12,INDEX(装备突破!G$94:G$113,MATCH($B13*2-20,装备突破!$C$94:$C$113,0)))</f>
        <v>1</v>
      </c>
      <c r="M13" s="29">
        <f>IF(INDEX(装备突破!H$94:H$113,MATCH($B13*2-20,装备突破!$C$94:$C$113,0))="",M12,INDEX(装备突破!H$94:H$113,MATCH($B13*2-20,装备突破!$C$94:$C$113,0)))</f>
        <v>0.93500000000000005</v>
      </c>
      <c r="N13" s="44" t="s">
        <v>397</v>
      </c>
      <c r="O13" s="44" t="s">
        <v>397</v>
      </c>
      <c r="P13" s="44" t="s">
        <v>397</v>
      </c>
      <c r="Q13" s="44" t="s">
        <v>397</v>
      </c>
      <c r="R13" s="126">
        <v>160</v>
      </c>
      <c r="S13" s="43">
        <f>IF(N13="",0,IF(N13&gt;MAX(装备突破!D$6:D$20),"溢出",IF(N13="","",IF(N13&lt;装备突破!D$6,0,IFERROR(MATCH(N13,装备突破!D$6:D$20,0)-1,MATCH(N13,装备突破!D$6:D$20,1))))))</f>
        <v>0</v>
      </c>
      <c r="T13" s="43">
        <f>IF(O13="",0,IF(O13&gt;MAX(装备突破!E$6:E$20),"溢出",IF(O13="","",IF(O13&lt;装备突破!E$6,0,IFERROR(MATCH(O13,装备突破!E$6:E$20,0)-1,MATCH(O13,装备突破!E$6:E$20,1))))))</f>
        <v>0</v>
      </c>
      <c r="U13" s="43">
        <f>IF(P13="",0,IF(P13&gt;MAX(装备突破!F$6:F$20),"溢出",IF(P13="","",IF(P13&lt;装备突破!F$6,0,IFERROR(MATCH(P13,装备突破!F$6:F$20,0)-1,MATCH(P13,装备突破!F$6:F$20,1))))))</f>
        <v>0</v>
      </c>
      <c r="V13" s="43">
        <f>IF(Q13="",0,IF(Q13&gt;MAX(装备突破!G$6:G$20),"溢出",IF(Q13="","",IF(Q13&lt;装备突破!G$6,0,IFERROR(MATCH(Q13,装备突破!G$6:G$20,0)-1,MATCH(Q13,装备突破!G$6:G$20,1))))))</f>
        <v>0</v>
      </c>
      <c r="W13" s="43">
        <f>IF(R13="",0,IF(R13&gt;MAX(装备突破!H$6:H$20),"溢出",IF(R13="","",IF(R13&lt;装备突破!H$6,0,IFERROR(MATCH(R13,装备突破!H$6:H$20,0)-1,MATCH(R13,装备突破!H$6:H$20,1))))))</f>
        <v>3</v>
      </c>
      <c r="X13" s="141"/>
      <c r="Y13" s="141"/>
      <c r="Z13" s="141"/>
      <c r="AA13" s="141"/>
      <c r="AB13" s="158">
        <v>4</v>
      </c>
      <c r="AC13" s="169"/>
      <c r="AD13" s="46"/>
      <c r="AG13" s="46"/>
      <c r="AH13" s="46"/>
      <c r="AI13" s="46"/>
      <c r="AJ13" s="46"/>
      <c r="AK13" s="46"/>
      <c r="AL13" s="46"/>
      <c r="AM13" s="46"/>
      <c r="AN13" s="46"/>
      <c r="AP13" s="46"/>
    </row>
    <row r="14" spans="1:42" x14ac:dyDescent="0.15">
      <c r="A14" s="41">
        <v>12</v>
      </c>
      <c r="B14" s="45">
        <v>90</v>
      </c>
      <c r="C14" s="142">
        <f>INDEX(节奏总纲!$P$4:$P$163,$B14)</f>
        <v>511</v>
      </c>
      <c r="D14" s="134">
        <f>'[1]资源-装备'!H20</f>
        <v>0</v>
      </c>
      <c r="E14" s="134">
        <f>'[1]资源-装备'!I20</f>
        <v>0</v>
      </c>
      <c r="F14" s="134">
        <f>'[1]资源-装备'!J20</f>
        <v>0</v>
      </c>
      <c r="G14" s="134">
        <f>'[1]资源-装备'!K20</f>
        <v>0</v>
      </c>
      <c r="H14" s="134">
        <f>'[1]资源-装备'!L20</f>
        <v>18</v>
      </c>
      <c r="I14" s="29">
        <f>IF(INDEX(装备突破!D$94:D$113,MATCH($B14*2-20,装备突破!$C$94:$C$113,0))="",I13,INDEX(装备突破!D$94:D$113,MATCH($B14*2-20,装备突破!$C$94:$C$113,0)))</f>
        <v>0.9</v>
      </c>
      <c r="J14" s="29">
        <f>IF(INDEX(装备突破!E$94:E$113,MATCH($B14*2-20,装备突破!$C$94:$C$113,0))="",J13,INDEX(装备突破!E$94:E$113,MATCH($B14*2-20,装备突破!$C$94:$C$113,0)))</f>
        <v>1</v>
      </c>
      <c r="K14" s="29">
        <f>IF(INDEX(装备突破!F$94:F$113,MATCH($B14*2-20,装备突破!$C$94:$C$113,0))="",K13,INDEX(装备突破!F$94:F$113,MATCH($B14*2-20,装备突破!$C$94:$C$113,0)))</f>
        <v>1</v>
      </c>
      <c r="L14" s="29">
        <f>IF(INDEX(装备突破!G$94:G$113,MATCH($B14*2-20,装备突破!$C$94:$C$113,0))="",L13,INDEX(装备突破!G$94:G$113,MATCH($B14*2-20,装备突破!$C$94:$C$113,0)))</f>
        <v>1</v>
      </c>
      <c r="M14" s="29">
        <f>IF(INDEX(装备突破!H$94:H$113,MATCH($B14*2-20,装备突破!$C$94:$C$113,0))="",M13,INDEX(装备突破!H$94:H$113,MATCH($B14*2-20,装备突破!$C$94:$C$113,0)))</f>
        <v>1</v>
      </c>
      <c r="N14" s="44" t="s">
        <v>397</v>
      </c>
      <c r="O14" s="44" t="s">
        <v>397</v>
      </c>
      <c r="P14" s="44" t="s">
        <v>397</v>
      </c>
      <c r="Q14" s="44" t="s">
        <v>397</v>
      </c>
      <c r="R14" s="126">
        <v>180</v>
      </c>
      <c r="S14" s="43">
        <f>IF(N14="",0,IF(N14&gt;MAX(装备突破!D$6:D$20),"溢出",IF(N14="","",IF(N14&lt;装备突破!D$6,0,IFERROR(MATCH(N14,装备突破!D$6:D$20,0)-1,MATCH(N14,装备突破!D$6:D$20,1))))))</f>
        <v>0</v>
      </c>
      <c r="T14" s="43">
        <f>IF(O14="",0,IF(O14&gt;MAX(装备突破!E$6:E$20),"溢出",IF(O14="","",IF(O14&lt;装备突破!E$6,0,IFERROR(MATCH(O14,装备突破!E$6:E$20,0)-1,MATCH(O14,装备突破!E$6:E$20,1))))))</f>
        <v>0</v>
      </c>
      <c r="U14" s="43">
        <f>IF(P14="",0,IF(P14&gt;MAX(装备突破!F$6:F$20),"溢出",IF(P14="","",IF(P14&lt;装备突破!F$6,0,IFERROR(MATCH(P14,装备突破!F$6:F$20,0)-1,MATCH(P14,装备突破!F$6:F$20,1))))))</f>
        <v>0</v>
      </c>
      <c r="V14" s="43">
        <f>IF(Q14="",0,IF(Q14&gt;MAX(装备突破!G$6:G$20),"溢出",IF(Q14="","",IF(Q14&lt;装备突破!G$6,0,IFERROR(MATCH(Q14,装备突破!G$6:G$20,0)-1,MATCH(Q14,装备突破!G$6:G$20,1))))))</f>
        <v>0</v>
      </c>
      <c r="W14" s="43">
        <f>IF(R14="",0,IF(R14&gt;MAX(装备突破!H$6:H$20),"溢出",IF(R14="","",IF(R14&lt;装备突破!H$6,0,IFERROR(MATCH(R14,装备突破!H$6:H$20,0)-1,MATCH(R14,装备突破!H$6:H$20,1))))))</f>
        <v>4</v>
      </c>
      <c r="X14" s="141"/>
      <c r="Y14" s="141"/>
      <c r="Z14" s="141"/>
      <c r="AA14" s="141"/>
      <c r="AB14" s="158">
        <v>8</v>
      </c>
      <c r="AC14" s="169"/>
      <c r="AD14" s="169"/>
      <c r="AE14" s="169"/>
      <c r="AF14" s="169"/>
      <c r="AG14" s="46"/>
      <c r="AH14" s="46"/>
      <c r="AI14" s="46"/>
      <c r="AJ14" s="46"/>
      <c r="AK14" s="46"/>
      <c r="AL14" s="46"/>
      <c r="AM14" s="46"/>
      <c r="AN14" s="46"/>
      <c r="AP14" s="46"/>
    </row>
    <row r="15" spans="1:42" s="46" customFormat="1" x14ac:dyDescent="0.15">
      <c r="A15" s="41">
        <v>13</v>
      </c>
      <c r="B15" s="128">
        <v>100</v>
      </c>
      <c r="C15" s="142">
        <f>INDEX(节奏总纲!$P$4:$P$163,$B15)</f>
        <v>1023</v>
      </c>
      <c r="D15" s="134">
        <f>'[1]资源-装备'!H21</f>
        <v>0</v>
      </c>
      <c r="E15" s="134">
        <f>'[1]资源-装备'!I21</f>
        <v>0</v>
      </c>
      <c r="F15" s="134">
        <f>'[1]资源-装备'!J21</f>
        <v>0</v>
      </c>
      <c r="G15" s="134">
        <f>'[1]资源-装备'!K21</f>
        <v>0</v>
      </c>
      <c r="H15" s="134">
        <f>'[1]资源-装备'!L21</f>
        <v>18</v>
      </c>
      <c r="I15" s="29">
        <f>IF(INDEX(装备突破!D$94:D$113,MATCH($B15*2-20,装备突破!$C$94:$C$113,0))="",I14,INDEX(装备突破!D$94:D$113,MATCH($B15*2-20,装备突破!$C$94:$C$113,0)))</f>
        <v>0.9</v>
      </c>
      <c r="J15" s="29">
        <f>IF(INDEX(装备突破!E$94:E$113,MATCH($B15*2-20,装备突破!$C$94:$C$113,0))="",J14,INDEX(装备突破!E$94:E$113,MATCH($B15*2-20,装备突破!$C$94:$C$113,0)))</f>
        <v>1</v>
      </c>
      <c r="K15" s="29">
        <f>IF(INDEX(装备突破!F$94:F$113,MATCH($B15*2-20,装备突破!$C$94:$C$113,0))="",K14,INDEX(装备突破!F$94:F$113,MATCH($B15*2-20,装备突破!$C$94:$C$113,0)))</f>
        <v>1</v>
      </c>
      <c r="L15" s="29">
        <f>IF(INDEX(装备突破!G$94:G$113,MATCH($B15*2-20,装备突破!$C$94:$C$113,0))="",L14,INDEX(装备突破!G$94:G$113,MATCH($B15*2-20,装备突破!$C$94:$C$113,0)))</f>
        <v>1</v>
      </c>
      <c r="M15" s="29">
        <f>IF(INDEX(装备突破!H$94:H$113,MATCH($B15*2-20,装备突破!$C$94:$C$113,0))="",M14,INDEX(装备突破!H$94:H$113,MATCH($B15*2-20,装备突破!$C$94:$C$113,0)))</f>
        <v>1</v>
      </c>
      <c r="N15" s="126" t="s">
        <v>397</v>
      </c>
      <c r="O15" s="126" t="s">
        <v>397</v>
      </c>
      <c r="P15" s="126" t="s">
        <v>397</v>
      </c>
      <c r="Q15" s="126" t="s">
        <v>397</v>
      </c>
      <c r="R15" s="126">
        <v>200</v>
      </c>
      <c r="S15" s="43">
        <f>IF(N15="",0,IF(N15&gt;MAX(装备突破!D$6:D$20),"溢出",IF(N15="","",IF(N15&lt;装备突破!D$6,0,IFERROR(MATCH(N15,装备突破!D$6:D$20,0)-1,MATCH(N15,装备突破!D$6:D$20,1))))))</f>
        <v>0</v>
      </c>
      <c r="T15" s="43">
        <f>IF(O15="",0,IF(O15&gt;MAX(装备突破!E$6:E$20),"溢出",IF(O15="","",IF(O15&lt;装备突破!E$6,0,IFERROR(MATCH(O15,装备突破!E$6:E$20,0)-1,MATCH(O15,装备突破!E$6:E$20,1))))))</f>
        <v>0</v>
      </c>
      <c r="U15" s="43">
        <f>IF(P15="",0,IF(P15&gt;MAX(装备突破!F$6:F$20),"溢出",IF(P15="","",IF(P15&lt;装备突破!F$6,0,IFERROR(MATCH(P15,装备突破!F$6:F$20,0)-1,MATCH(P15,装备突破!F$6:F$20,1))))))</f>
        <v>0</v>
      </c>
      <c r="V15" s="43">
        <f>IF(Q15="",0,IF(Q15&gt;MAX(装备突破!G$6:G$20),"溢出",IF(Q15="","",IF(Q15&lt;装备突破!G$6,0,IFERROR(MATCH(Q15,装备突破!G$6:G$20,0)-1,MATCH(Q15,装备突破!G$6:G$20,1))))))</f>
        <v>0</v>
      </c>
      <c r="W15" s="43">
        <f>IF(R15="",0,IF(R15&gt;MAX(装备突破!H$6:H$20),"溢出",IF(R15="","",IF(R15&lt;装备突破!H$6,0,IFERROR(MATCH(R15,装备突破!H$6:H$20,0)-1,MATCH(R15,装备突破!H$6:H$20,1))))))</f>
        <v>5</v>
      </c>
      <c r="X15" s="141"/>
      <c r="Y15" s="141"/>
      <c r="Z15" s="141"/>
      <c r="AA15" s="141"/>
      <c r="AB15" s="158">
        <v>14</v>
      </c>
      <c r="AC15" s="169"/>
      <c r="AD15" s="169"/>
      <c r="AE15" s="169"/>
      <c r="AF15" s="169"/>
    </row>
    <row r="16" spans="1:42" s="46" customFormat="1" x14ac:dyDescent="0.15">
      <c r="A16" s="41">
        <v>14</v>
      </c>
      <c r="B16" s="128">
        <v>110</v>
      </c>
      <c r="C16" s="142">
        <f>INDEX(节奏总纲!$P$4:$P$163,$B16)</f>
        <v>2047</v>
      </c>
      <c r="D16" s="134">
        <f>'[1]资源-装备'!H22</f>
        <v>0</v>
      </c>
      <c r="E16" s="134">
        <f>'[1]资源-装备'!I22</f>
        <v>0</v>
      </c>
      <c r="F16" s="134">
        <f>'[1]资源-装备'!J22</f>
        <v>0</v>
      </c>
      <c r="G16" s="134">
        <f>'[1]资源-装备'!K22</f>
        <v>0</v>
      </c>
      <c r="H16" s="134">
        <f>'[1]资源-装备'!L22</f>
        <v>18</v>
      </c>
      <c r="I16" s="29">
        <f>IF(INDEX(装备突破!D$94:D$113,MATCH($B16*2-20,装备突破!$C$94:$C$113,0))="",I15,INDEX(装备突破!D$94:D$113,MATCH($B16*2-20,装备突破!$C$94:$C$113,0)))</f>
        <v>0.9</v>
      </c>
      <c r="J16" s="29">
        <f>IF(INDEX(装备突破!E$94:E$113,MATCH($B16*2-20,装备突破!$C$94:$C$113,0))="",J15,INDEX(装备突破!E$94:E$113,MATCH($B16*2-20,装备突破!$C$94:$C$113,0)))</f>
        <v>1</v>
      </c>
      <c r="K16" s="29">
        <f>IF(INDEX(装备突破!F$94:F$113,MATCH($B16*2-20,装备突破!$C$94:$C$113,0))="",K15,INDEX(装备突破!F$94:F$113,MATCH($B16*2-20,装备突破!$C$94:$C$113,0)))</f>
        <v>1</v>
      </c>
      <c r="L16" s="29">
        <f>IF(INDEX(装备突破!G$94:G$113,MATCH($B16*2-20,装备突破!$C$94:$C$113,0))="",L15,INDEX(装备突破!G$94:G$113,MATCH($B16*2-20,装备突破!$C$94:$C$113,0)))</f>
        <v>1</v>
      </c>
      <c r="M16" s="29">
        <f>IF(INDEX(装备突破!H$94:H$113,MATCH($B16*2-20,装备突破!$C$94:$C$113,0))="",M15,INDEX(装备突破!H$94:H$113,MATCH($B16*2-20,装备突破!$C$94:$C$113,0)))</f>
        <v>1</v>
      </c>
      <c r="N16" s="126" t="s">
        <v>397</v>
      </c>
      <c r="O16" s="126" t="s">
        <v>397</v>
      </c>
      <c r="P16" s="126" t="s">
        <v>397</v>
      </c>
      <c r="Q16" s="126" t="s">
        <v>397</v>
      </c>
      <c r="R16" s="126">
        <v>220</v>
      </c>
      <c r="S16" s="43">
        <f>IF(N16="",0,IF(N16&gt;MAX(装备突破!D$6:D$20),"溢出",IF(N16="","",IF(N16&lt;装备突破!D$6,0,IFERROR(MATCH(N16,装备突破!D$6:D$20,0)-1,MATCH(N16,装备突破!D$6:D$20,1))))))</f>
        <v>0</v>
      </c>
      <c r="T16" s="43">
        <f>IF(O16="",0,IF(O16&gt;MAX(装备突破!E$6:E$20),"溢出",IF(O16="","",IF(O16&lt;装备突破!E$6,0,IFERROR(MATCH(O16,装备突破!E$6:E$20,0)-1,MATCH(O16,装备突破!E$6:E$20,1))))))</f>
        <v>0</v>
      </c>
      <c r="U16" s="43">
        <f>IF(P16="",0,IF(P16&gt;MAX(装备突破!F$6:F$20),"溢出",IF(P16="","",IF(P16&lt;装备突破!F$6,0,IFERROR(MATCH(P16,装备突破!F$6:F$20,0)-1,MATCH(P16,装备突破!F$6:F$20,1))))))</f>
        <v>0</v>
      </c>
      <c r="V16" s="43">
        <f>IF(Q16="",0,IF(Q16&gt;MAX(装备突破!G$6:G$20),"溢出",IF(Q16="","",IF(Q16&lt;装备突破!G$6,0,IFERROR(MATCH(Q16,装备突破!G$6:G$20,0)-1,MATCH(Q16,装备突破!G$6:G$20,1))))))</f>
        <v>0</v>
      </c>
      <c r="W16" s="43">
        <f>IF(R16="",0,IF(R16&gt;MAX(装备突破!H$6:H$20),"溢出",IF(R16="","",IF(R16&lt;装备突破!H$6,0,IFERROR(MATCH(R16,装备突破!H$6:H$20,0)-1,MATCH(R16,装备突破!H$6:H$20,1))))))</f>
        <v>6</v>
      </c>
      <c r="X16" s="141"/>
      <c r="Y16" s="141"/>
      <c r="Z16" s="141"/>
      <c r="AA16" s="141"/>
      <c r="AB16" s="158">
        <v>20</v>
      </c>
      <c r="AC16" s="169"/>
      <c r="AD16" s="169"/>
      <c r="AE16" s="169"/>
      <c r="AF16" s="169"/>
    </row>
    <row r="17" spans="1:42" s="46" customFormat="1" x14ac:dyDescent="0.15">
      <c r="A17" s="41">
        <v>15</v>
      </c>
      <c r="B17" s="128">
        <v>120</v>
      </c>
      <c r="C17" s="142">
        <f>INDEX(节奏总纲!$P$4:$P$163,$B17)</f>
        <v>4095</v>
      </c>
      <c r="D17" s="134">
        <f>'[1]资源-装备'!H23</f>
        <v>0</v>
      </c>
      <c r="E17" s="134">
        <f>'[1]资源-装备'!I23</f>
        <v>0</v>
      </c>
      <c r="F17" s="134">
        <f>'[1]资源-装备'!J23</f>
        <v>0</v>
      </c>
      <c r="G17" s="134">
        <f>'[1]资源-装备'!K23</f>
        <v>0</v>
      </c>
      <c r="H17" s="134">
        <f>'[1]资源-装备'!L23</f>
        <v>18</v>
      </c>
      <c r="I17" s="29">
        <f>IF(INDEX(装备突破!D$94:D$113,MATCH($B17*2-20,装备突破!$C$94:$C$113,0))="",I16,INDEX(装备突破!D$94:D$113,MATCH($B17*2-20,装备突破!$C$94:$C$113,0)))</f>
        <v>0.9</v>
      </c>
      <c r="J17" s="29">
        <f>IF(INDEX(装备突破!E$94:E$113,MATCH($B17*2-20,装备突破!$C$94:$C$113,0))="",J16,INDEX(装备突破!E$94:E$113,MATCH($B17*2-20,装备突破!$C$94:$C$113,0)))</f>
        <v>1</v>
      </c>
      <c r="K17" s="29">
        <f>IF(INDEX(装备突破!F$94:F$113,MATCH($B17*2-20,装备突破!$C$94:$C$113,0))="",K16,INDEX(装备突破!F$94:F$113,MATCH($B17*2-20,装备突破!$C$94:$C$113,0)))</f>
        <v>1</v>
      </c>
      <c r="L17" s="29">
        <f>IF(INDEX(装备突破!G$94:G$113,MATCH($B17*2-20,装备突破!$C$94:$C$113,0))="",L16,INDEX(装备突破!G$94:G$113,MATCH($B17*2-20,装备突破!$C$94:$C$113,0)))</f>
        <v>1</v>
      </c>
      <c r="M17" s="29">
        <f>IF(INDEX(装备突破!H$94:H$113,MATCH($B17*2-20,装备突破!$C$94:$C$113,0))="",M16,INDEX(装备突破!H$94:H$113,MATCH($B17*2-20,装备突破!$C$94:$C$113,0)))</f>
        <v>1</v>
      </c>
      <c r="N17" s="126" t="s">
        <v>397</v>
      </c>
      <c r="O17" s="126" t="s">
        <v>397</v>
      </c>
      <c r="P17" s="126" t="s">
        <v>397</v>
      </c>
      <c r="Q17" s="126" t="s">
        <v>397</v>
      </c>
      <c r="R17" s="126">
        <v>240</v>
      </c>
      <c r="S17" s="43">
        <f>IF(N17="",0,IF(N17&gt;MAX(装备突破!D$6:D$20),"溢出",IF(N17="","",IF(N17&lt;装备突破!D$6,0,IFERROR(MATCH(N17,装备突破!D$6:D$20,0)-1,MATCH(N17,装备突破!D$6:D$20,1))))))</f>
        <v>0</v>
      </c>
      <c r="T17" s="43">
        <f>IF(O17="",0,IF(O17&gt;MAX(装备突破!E$6:E$20),"溢出",IF(O17="","",IF(O17&lt;装备突破!E$6,0,IFERROR(MATCH(O17,装备突破!E$6:E$20,0)-1,MATCH(O17,装备突破!E$6:E$20,1))))))</f>
        <v>0</v>
      </c>
      <c r="U17" s="43">
        <f>IF(P17="",0,IF(P17&gt;MAX(装备突破!F$6:F$20),"溢出",IF(P17="","",IF(P17&lt;装备突破!F$6,0,IFERROR(MATCH(P17,装备突破!F$6:F$20,0)-1,MATCH(P17,装备突破!F$6:F$20,1))))))</f>
        <v>0</v>
      </c>
      <c r="V17" s="43">
        <f>IF(Q17="",0,IF(Q17&gt;MAX(装备突破!G$6:G$20),"溢出",IF(Q17="","",IF(Q17&lt;装备突破!G$6,0,IFERROR(MATCH(Q17,装备突破!G$6:G$20,0)-1,MATCH(Q17,装备突破!G$6:G$20,1))))))</f>
        <v>0</v>
      </c>
      <c r="W17" s="43">
        <f>IF(R17="",0,IF(R17&gt;MAX(装备突破!H$6:H$20),"溢出",IF(R17="","",IF(R17&lt;装备突破!H$6,0,IFERROR(MATCH(R17,装备突破!H$6:H$20,0)-1,MATCH(R17,装备突破!H$6:H$20,1))))))</f>
        <v>7</v>
      </c>
      <c r="X17" s="141"/>
      <c r="Y17" s="141"/>
      <c r="Z17" s="141"/>
      <c r="AA17" s="141"/>
      <c r="AB17" s="158">
        <v>25</v>
      </c>
      <c r="AC17" s="169"/>
      <c r="AD17" s="169"/>
      <c r="AE17" s="169"/>
      <c r="AF17" s="169"/>
    </row>
    <row r="18" spans="1:42" s="46" customFormat="1" x14ac:dyDescent="0.15">
      <c r="A18" s="41">
        <v>16</v>
      </c>
      <c r="B18" s="128">
        <v>130</v>
      </c>
      <c r="C18" s="142">
        <f>INDEX(节奏总纲!$P$4:$P$163,$B18)</f>
        <v>8191</v>
      </c>
      <c r="D18" s="134">
        <f>'[1]资源-装备'!H24</f>
        <v>0</v>
      </c>
      <c r="E18" s="134">
        <f>'[1]资源-装备'!I24</f>
        <v>0</v>
      </c>
      <c r="F18" s="134">
        <f>'[1]资源-装备'!J24</f>
        <v>0</v>
      </c>
      <c r="G18" s="134">
        <f>'[1]资源-装备'!K24</f>
        <v>0</v>
      </c>
      <c r="H18" s="134">
        <f>'[1]资源-装备'!L24</f>
        <v>18</v>
      </c>
      <c r="I18" s="29">
        <f>IF(INDEX(装备突破!D$94:D$113,MATCH($B18*2-20,装备突破!$C$94:$C$113,0))="",I17,INDEX(装备突破!D$94:D$113,MATCH($B18*2-20,装备突破!$C$94:$C$113,0)))</f>
        <v>0.9</v>
      </c>
      <c r="J18" s="29">
        <f>IF(INDEX(装备突破!E$94:E$113,MATCH($B18*2-20,装备突破!$C$94:$C$113,0))="",J17,INDEX(装备突破!E$94:E$113,MATCH($B18*2-20,装备突破!$C$94:$C$113,0)))</f>
        <v>1</v>
      </c>
      <c r="K18" s="29">
        <f>IF(INDEX(装备突破!F$94:F$113,MATCH($B18*2-20,装备突破!$C$94:$C$113,0))="",K17,INDEX(装备突破!F$94:F$113,MATCH($B18*2-20,装备突破!$C$94:$C$113,0)))</f>
        <v>1</v>
      </c>
      <c r="L18" s="29">
        <f>IF(INDEX(装备突破!G$94:G$113,MATCH($B18*2-20,装备突破!$C$94:$C$113,0))="",L17,INDEX(装备突破!G$94:G$113,MATCH($B18*2-20,装备突破!$C$94:$C$113,0)))</f>
        <v>1</v>
      </c>
      <c r="M18" s="29">
        <f>IF(INDEX(装备突破!H$94:H$113,MATCH($B18*2-20,装备突破!$C$94:$C$113,0))="",M17,INDEX(装备突破!H$94:H$113,MATCH($B18*2-20,装备突破!$C$94:$C$113,0)))</f>
        <v>1</v>
      </c>
      <c r="N18" s="126" t="s">
        <v>397</v>
      </c>
      <c r="O18" s="126" t="s">
        <v>397</v>
      </c>
      <c r="P18" s="126" t="s">
        <v>397</v>
      </c>
      <c r="Q18" s="126" t="s">
        <v>397</v>
      </c>
      <c r="R18" s="126">
        <v>260</v>
      </c>
      <c r="S18" s="43">
        <f>IF(N18="",0,IF(N18&gt;MAX(装备突破!D$6:D$20),"溢出",IF(N18="","",IF(N18&lt;装备突破!D$6,0,IFERROR(MATCH(N18,装备突破!D$6:D$20,0)-1,MATCH(N18,装备突破!D$6:D$20,1))))))</f>
        <v>0</v>
      </c>
      <c r="T18" s="43">
        <f>IF(O18="",0,IF(O18&gt;MAX(装备突破!E$6:E$20),"溢出",IF(O18="","",IF(O18&lt;装备突破!E$6,0,IFERROR(MATCH(O18,装备突破!E$6:E$20,0)-1,MATCH(O18,装备突破!E$6:E$20,1))))))</f>
        <v>0</v>
      </c>
      <c r="U18" s="43">
        <f>IF(P18="",0,IF(P18&gt;MAX(装备突破!F$6:F$20),"溢出",IF(P18="","",IF(P18&lt;装备突破!F$6,0,IFERROR(MATCH(P18,装备突破!F$6:F$20,0)-1,MATCH(P18,装备突破!F$6:F$20,1))))))</f>
        <v>0</v>
      </c>
      <c r="V18" s="43">
        <f>IF(Q18="",0,IF(Q18&gt;MAX(装备突破!G$6:G$20),"溢出",IF(Q18="","",IF(Q18&lt;装备突破!G$6,0,IFERROR(MATCH(Q18,装备突破!G$6:G$20,0)-1,MATCH(Q18,装备突破!G$6:G$20,1))))))</f>
        <v>0</v>
      </c>
      <c r="W18" s="43">
        <f>IF(R18="",0,IF(R18&gt;MAX(装备突破!H$6:H$20),"溢出",IF(R18="","",IF(R18&lt;装备突破!H$6,0,IFERROR(MATCH(R18,装备突破!H$6:H$20,0)-1,MATCH(R18,装备突破!H$6:H$20,1))))))</f>
        <v>8</v>
      </c>
      <c r="X18" s="141"/>
      <c r="Y18" s="141"/>
      <c r="Z18" s="141"/>
      <c r="AA18" s="141"/>
      <c r="AB18" s="158">
        <v>25</v>
      </c>
      <c r="AC18" s="169"/>
      <c r="AD18" s="169"/>
      <c r="AE18" s="169"/>
      <c r="AF18" s="169"/>
    </row>
    <row r="19" spans="1:42" s="46" customFormat="1" x14ac:dyDescent="0.15">
      <c r="A19" s="41">
        <v>17</v>
      </c>
      <c r="B19" s="128">
        <v>140</v>
      </c>
      <c r="C19" s="142">
        <f>INDEX(节奏总纲!$P$4:$P$163,$B19)</f>
        <v>16383</v>
      </c>
      <c r="D19" s="134">
        <f>'[1]资源-装备'!H25</f>
        <v>0</v>
      </c>
      <c r="E19" s="134">
        <f>'[1]资源-装备'!I25</f>
        <v>0</v>
      </c>
      <c r="F19" s="134">
        <f>'[1]资源-装备'!J25</f>
        <v>0</v>
      </c>
      <c r="G19" s="134">
        <f>'[1]资源-装备'!K25</f>
        <v>0</v>
      </c>
      <c r="H19" s="134">
        <f>'[1]资源-装备'!L25</f>
        <v>18</v>
      </c>
      <c r="I19" s="29">
        <f>IF(INDEX(装备突破!D$94:D$113,MATCH($B19*2-20,装备突破!$C$94:$C$113,0))="",I18,INDEX(装备突破!D$94:D$113,MATCH($B19*2-20,装备突破!$C$94:$C$113,0)))</f>
        <v>0.9</v>
      </c>
      <c r="J19" s="29">
        <f>IF(INDEX(装备突破!E$94:E$113,MATCH($B19*2-20,装备突破!$C$94:$C$113,0))="",J18,INDEX(装备突破!E$94:E$113,MATCH($B19*2-20,装备突破!$C$94:$C$113,0)))</f>
        <v>1</v>
      </c>
      <c r="K19" s="29">
        <f>IF(INDEX(装备突破!F$94:F$113,MATCH($B19*2-20,装备突破!$C$94:$C$113,0))="",K18,INDEX(装备突破!F$94:F$113,MATCH($B19*2-20,装备突破!$C$94:$C$113,0)))</f>
        <v>1</v>
      </c>
      <c r="L19" s="29">
        <f>IF(INDEX(装备突破!G$94:G$113,MATCH($B19*2-20,装备突破!$C$94:$C$113,0))="",L18,INDEX(装备突破!G$94:G$113,MATCH($B19*2-20,装备突破!$C$94:$C$113,0)))</f>
        <v>1</v>
      </c>
      <c r="M19" s="29">
        <f>IF(INDEX(装备突破!H$94:H$113,MATCH($B19*2-20,装备突破!$C$94:$C$113,0))="",M18,INDEX(装备突破!H$94:H$113,MATCH($B19*2-20,装备突破!$C$94:$C$113,0)))</f>
        <v>1</v>
      </c>
      <c r="N19" s="126" t="s">
        <v>397</v>
      </c>
      <c r="O19" s="126" t="s">
        <v>397</v>
      </c>
      <c r="P19" s="126" t="s">
        <v>397</v>
      </c>
      <c r="Q19" s="126" t="s">
        <v>397</v>
      </c>
      <c r="R19" s="126">
        <v>280</v>
      </c>
      <c r="S19" s="43">
        <f>IF(N19="",0,IF(N19&gt;MAX(装备突破!D$6:D$20),"溢出",IF(N19="","",IF(N19&lt;装备突破!D$6,0,IFERROR(MATCH(N19,装备突破!D$6:D$20,0)-1,MATCH(N19,装备突破!D$6:D$20,1))))))</f>
        <v>0</v>
      </c>
      <c r="T19" s="43">
        <f>IF(O19="",0,IF(O19&gt;MAX(装备突破!E$6:E$20),"溢出",IF(O19="","",IF(O19&lt;装备突破!E$6,0,IFERROR(MATCH(O19,装备突破!E$6:E$20,0)-1,MATCH(O19,装备突破!E$6:E$20,1))))))</f>
        <v>0</v>
      </c>
      <c r="U19" s="43">
        <f>IF(P19="",0,IF(P19&gt;MAX(装备突破!F$6:F$20),"溢出",IF(P19="","",IF(P19&lt;装备突破!F$6,0,IFERROR(MATCH(P19,装备突破!F$6:F$20,0)-1,MATCH(P19,装备突破!F$6:F$20,1))))))</f>
        <v>0</v>
      </c>
      <c r="V19" s="43">
        <f>IF(Q19="",0,IF(Q19&gt;MAX(装备突破!G$6:G$20),"溢出",IF(Q19="","",IF(Q19&lt;装备突破!G$6,0,IFERROR(MATCH(Q19,装备突破!G$6:G$20,0)-1,MATCH(Q19,装备突破!G$6:G$20,1))))))</f>
        <v>0</v>
      </c>
      <c r="W19" s="43">
        <f>IF(R19="",0,IF(R19&gt;MAX(装备突破!H$6:H$20),"溢出",IF(R19="","",IF(R19&lt;装备突破!H$6,0,IFERROR(MATCH(R19,装备突破!H$6:H$20,0)-1,MATCH(R19,装备突破!H$6:H$20,1))))))</f>
        <v>9</v>
      </c>
      <c r="X19" s="141"/>
      <c r="Y19" s="141"/>
      <c r="Z19" s="141"/>
      <c r="AA19" s="141"/>
      <c r="AB19" s="158">
        <v>25</v>
      </c>
      <c r="AC19" s="169"/>
      <c r="AD19" s="169"/>
      <c r="AE19" s="169"/>
      <c r="AF19" s="169"/>
    </row>
    <row r="20" spans="1:42" s="46" customFormat="1" x14ac:dyDescent="0.15">
      <c r="A20" s="41">
        <v>18</v>
      </c>
      <c r="B20" s="128">
        <v>150</v>
      </c>
      <c r="C20" s="142">
        <f>INDEX(节奏总纲!$P$4:$P$163,$B20)</f>
        <v>32767</v>
      </c>
      <c r="D20" s="134">
        <f>'[1]资源-装备'!H26</f>
        <v>0</v>
      </c>
      <c r="E20" s="134">
        <f>'[1]资源-装备'!I26</f>
        <v>0</v>
      </c>
      <c r="F20" s="134">
        <f>'[1]资源-装备'!J26</f>
        <v>0</v>
      </c>
      <c r="G20" s="134">
        <f>'[1]资源-装备'!K26</f>
        <v>0</v>
      </c>
      <c r="H20" s="134">
        <f>'[1]资源-装备'!L26</f>
        <v>18</v>
      </c>
      <c r="I20" s="29">
        <f>IF(INDEX(装备突破!D$94:D$113,MATCH($B20*2-20,装备突破!$C$94:$C$113,0))="",I19,INDEX(装备突破!D$94:D$113,MATCH($B20*2-20,装备突破!$C$94:$C$113,0)))</f>
        <v>0.9</v>
      </c>
      <c r="J20" s="29">
        <f>IF(INDEX(装备突破!E$94:E$113,MATCH($B20*2-20,装备突破!$C$94:$C$113,0))="",J19,INDEX(装备突破!E$94:E$113,MATCH($B20*2-20,装备突破!$C$94:$C$113,0)))</f>
        <v>1</v>
      </c>
      <c r="K20" s="29">
        <f>IF(INDEX(装备突破!F$94:F$113,MATCH($B20*2-20,装备突破!$C$94:$C$113,0))="",K19,INDEX(装备突破!F$94:F$113,MATCH($B20*2-20,装备突破!$C$94:$C$113,0)))</f>
        <v>1</v>
      </c>
      <c r="L20" s="29">
        <f>IF(INDEX(装备突破!G$94:G$113,MATCH($B20*2-20,装备突破!$C$94:$C$113,0))="",L19,INDEX(装备突破!G$94:G$113,MATCH($B20*2-20,装备突破!$C$94:$C$113,0)))</f>
        <v>1</v>
      </c>
      <c r="M20" s="29">
        <f>IF(INDEX(装备突破!H$94:H$113,MATCH($B20*2-20,装备突破!$C$94:$C$113,0))="",M19,INDEX(装备突破!H$94:H$113,MATCH($B20*2-20,装备突破!$C$94:$C$113,0)))</f>
        <v>1</v>
      </c>
      <c r="N20" s="126" t="s">
        <v>397</v>
      </c>
      <c r="O20" s="126" t="s">
        <v>397</v>
      </c>
      <c r="P20" s="126" t="s">
        <v>397</v>
      </c>
      <c r="Q20" s="126" t="s">
        <v>397</v>
      </c>
      <c r="R20" s="126">
        <v>300</v>
      </c>
      <c r="S20" s="43">
        <f>IF(N20="",0,IF(N20&gt;MAX(装备突破!D$6:D$20),"溢出",IF(N20="","",IF(N20&lt;装备突破!D$6,0,IFERROR(MATCH(N20,装备突破!D$6:D$20,0)-1,MATCH(N20,装备突破!D$6:D$20,1))))))</f>
        <v>0</v>
      </c>
      <c r="T20" s="43">
        <f>IF(O20="",0,IF(O20&gt;MAX(装备突破!E$6:E$20),"溢出",IF(O20="","",IF(O20&lt;装备突破!E$6,0,IFERROR(MATCH(O20,装备突破!E$6:E$20,0)-1,MATCH(O20,装备突破!E$6:E$20,1))))))</f>
        <v>0</v>
      </c>
      <c r="U20" s="43">
        <f>IF(P20="",0,IF(P20&gt;MAX(装备突破!F$6:F$20),"溢出",IF(P20="","",IF(P20&lt;装备突破!F$6,0,IFERROR(MATCH(P20,装备突破!F$6:F$20,0)-1,MATCH(P20,装备突破!F$6:F$20,1))))))</f>
        <v>0</v>
      </c>
      <c r="V20" s="43">
        <f>IF(Q20="",0,IF(Q20&gt;MAX(装备突破!G$6:G$20),"溢出",IF(Q20="","",IF(Q20&lt;装备突破!G$6,0,IFERROR(MATCH(Q20,装备突破!G$6:G$20,0)-1,MATCH(Q20,装备突破!G$6:G$20,1))))))</f>
        <v>0</v>
      </c>
      <c r="W20" s="43">
        <f>IF(R20="",0,IF(R20&gt;MAX(装备突破!H$6:H$20),"溢出",IF(R20="","",IF(R20&lt;装备突破!H$6,0,IFERROR(MATCH(R20,装备突破!H$6:H$20,0)-1,MATCH(R20,装备突破!H$6:H$20,1))))))</f>
        <v>10</v>
      </c>
      <c r="X20" s="141"/>
      <c r="Y20" s="141"/>
      <c r="Z20" s="141"/>
      <c r="AA20" s="141"/>
      <c r="AB20" s="158">
        <v>25</v>
      </c>
      <c r="AC20" s="169"/>
      <c r="AD20" s="169"/>
      <c r="AE20" s="169"/>
      <c r="AF20" s="169"/>
    </row>
    <row r="21" spans="1:42" x14ac:dyDescent="0.15">
      <c r="A21" s="41">
        <v>19</v>
      </c>
      <c r="B21" s="128">
        <v>160</v>
      </c>
      <c r="C21" s="142">
        <f>INDEX(节奏总纲!$P$4:$P$163,$B21)</f>
        <v>65535</v>
      </c>
      <c r="D21" s="134">
        <f>'[1]资源-装备'!H27</f>
        <v>0</v>
      </c>
      <c r="E21" s="134">
        <f>'[1]资源-装备'!I27</f>
        <v>0</v>
      </c>
      <c r="F21" s="134">
        <f>'[1]资源-装备'!J27</f>
        <v>0</v>
      </c>
      <c r="G21" s="134">
        <f>'[1]资源-装备'!K27</f>
        <v>0</v>
      </c>
      <c r="H21" s="134">
        <f>'[1]资源-装备'!L27</f>
        <v>18</v>
      </c>
      <c r="I21" s="29">
        <f>IF(INDEX(装备突破!D$94:D$113,MATCH($B21*2-20,装备突破!$C$94:$C$113,0))="",I20,INDEX(装备突破!D$94:D$113,MATCH($B21*2-20,装备突破!$C$94:$C$113,0)))</f>
        <v>0.9</v>
      </c>
      <c r="J21" s="29">
        <f>IF(INDEX(装备突破!E$94:E$113,MATCH($B21*2-20,装备突破!$C$94:$C$113,0))="",J20,INDEX(装备突破!E$94:E$113,MATCH($B21*2-20,装备突破!$C$94:$C$113,0)))</f>
        <v>1</v>
      </c>
      <c r="K21" s="29">
        <f>IF(INDEX(装备突破!F$94:F$113,MATCH($B21*2-20,装备突破!$C$94:$C$113,0))="",K20,INDEX(装备突破!F$94:F$113,MATCH($B21*2-20,装备突破!$C$94:$C$113,0)))</f>
        <v>1</v>
      </c>
      <c r="L21" s="29">
        <f>IF(INDEX(装备突破!G$94:G$113,MATCH($B21*2-20,装备突破!$C$94:$C$113,0))="",L20,INDEX(装备突破!G$94:G$113,MATCH($B21*2-20,装备突破!$C$94:$C$113,0)))</f>
        <v>1</v>
      </c>
      <c r="M21" s="29">
        <f>IF(INDEX(装备突破!H$94:H$113,MATCH($B21*2-20,装备突破!$C$94:$C$113,0))="",M20,INDEX(装备突破!H$94:H$113,MATCH($B21*2-20,装备突破!$C$94:$C$113,0)))</f>
        <v>1</v>
      </c>
      <c r="N21" s="126" t="s">
        <v>397</v>
      </c>
      <c r="O21" s="126" t="s">
        <v>397</v>
      </c>
      <c r="P21" s="126" t="s">
        <v>397</v>
      </c>
      <c r="Q21" s="126" t="s">
        <v>397</v>
      </c>
      <c r="R21" s="126">
        <v>320</v>
      </c>
      <c r="S21" s="43">
        <f>IF(N21="",0,IF(N21&gt;MAX(装备突破!D$6:D$20),"溢出",IF(N21="","",IF(N21&lt;装备突破!D$6,0,IFERROR(MATCH(N21,装备突破!D$6:D$20,0)-1,MATCH(N21,装备突破!D$6:D$20,1))))))</f>
        <v>0</v>
      </c>
      <c r="T21" s="43">
        <f>IF(O21="",0,IF(O21&gt;MAX(装备突破!E$6:E$20),"溢出",IF(O21="","",IF(O21&lt;装备突破!E$6,0,IFERROR(MATCH(O21,装备突破!E$6:E$20,0)-1,MATCH(O21,装备突破!E$6:E$20,1))))))</f>
        <v>0</v>
      </c>
      <c r="U21" s="43">
        <f>IF(P21="",0,IF(P21&gt;MAX(装备突破!F$6:F$20),"溢出",IF(P21="","",IF(P21&lt;装备突破!F$6,0,IFERROR(MATCH(P21,装备突破!F$6:F$20,0)-1,MATCH(P21,装备突破!F$6:F$20,1))))))</f>
        <v>0</v>
      </c>
      <c r="V21" s="43">
        <f>IF(Q21="",0,IF(Q21&gt;MAX(装备突破!G$6:G$20),"溢出",IF(Q21="","",IF(Q21&lt;装备突破!G$6,0,IFERROR(MATCH(Q21,装备突破!G$6:G$20,0)-1,MATCH(Q21,装备突破!G$6:G$20,1))))))</f>
        <v>0</v>
      </c>
      <c r="W21" s="43">
        <f>IF(R21="",0,IF(R21&gt;MAX(装备突破!H$6:H$20),"溢出",IF(R21="","",IF(R21&lt;装备突破!H$6,0,IFERROR(MATCH(R21,装备突破!H$6:H$20,0)-1,MATCH(R21,装备突破!H$6:H$20,1))))))</f>
        <v>11</v>
      </c>
      <c r="X21" s="141"/>
      <c r="Y21" s="141"/>
      <c r="Z21" s="141"/>
      <c r="AA21" s="141"/>
      <c r="AB21" s="158">
        <v>25</v>
      </c>
      <c r="AC21" s="169"/>
      <c r="AD21" s="169"/>
      <c r="AE21" s="169"/>
      <c r="AF21" s="169"/>
      <c r="AG21" s="46"/>
      <c r="AH21" s="46"/>
      <c r="AI21" s="46"/>
      <c r="AJ21" s="46"/>
      <c r="AK21" s="46"/>
      <c r="AL21" s="46"/>
      <c r="AM21" s="46"/>
      <c r="AN21" s="46"/>
      <c r="AP21" s="46"/>
    </row>
    <row r="22" spans="1:42" x14ac:dyDescent="0.15">
      <c r="A22" s="41">
        <v>20</v>
      </c>
      <c r="B22" s="44"/>
      <c r="C22" s="44"/>
      <c r="D22" s="44"/>
      <c r="E22" s="44"/>
      <c r="F22" s="44"/>
      <c r="G22" s="44"/>
      <c r="H22" s="44"/>
      <c r="I22" s="29"/>
      <c r="J22" s="29"/>
      <c r="K22" s="29"/>
      <c r="L22" s="29"/>
      <c r="M22" s="29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141"/>
      <c r="Y22" s="141"/>
      <c r="Z22" s="141"/>
      <c r="AA22" s="141"/>
      <c r="AB22" s="158"/>
      <c r="AC22" s="46"/>
      <c r="AD22" s="169"/>
      <c r="AE22" s="169"/>
      <c r="AF22" s="169"/>
    </row>
    <row r="23" spans="1:42" x14ac:dyDescent="0.15">
      <c r="A23" s="41">
        <v>21</v>
      </c>
      <c r="B23" s="44"/>
      <c r="C23" s="44"/>
      <c r="D23" s="44"/>
      <c r="E23" s="44"/>
      <c r="F23" s="44"/>
      <c r="G23" s="44"/>
      <c r="H23" s="44"/>
      <c r="I23" s="29"/>
      <c r="J23" s="29"/>
      <c r="K23" s="29"/>
      <c r="L23" s="29"/>
      <c r="M23" s="29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141"/>
      <c r="Y23" s="141"/>
      <c r="Z23" s="141"/>
      <c r="AA23" s="141"/>
      <c r="AB23" s="158"/>
      <c r="AC23" s="46"/>
    </row>
    <row r="24" spans="1:42" x14ac:dyDescent="0.15">
      <c r="A24" s="41">
        <v>22</v>
      </c>
      <c r="B24" s="85"/>
      <c r="C24" s="85"/>
      <c r="D24" s="85"/>
      <c r="E24" s="85"/>
      <c r="F24" s="85"/>
      <c r="G24" s="85"/>
      <c r="H24" s="85"/>
      <c r="I24" s="29"/>
      <c r="J24" s="29"/>
      <c r="K24" s="29"/>
      <c r="L24" s="29"/>
      <c r="M24" s="29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141"/>
      <c r="Y24" s="141"/>
      <c r="Z24" s="141"/>
      <c r="AA24" s="141"/>
      <c r="AB24" s="158"/>
    </row>
    <row r="25" spans="1:42" x14ac:dyDescent="0.15">
      <c r="A25" s="41">
        <v>23</v>
      </c>
      <c r="B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</row>
    <row r="26" spans="1:42" x14ac:dyDescent="0.15">
      <c r="A26" s="41">
        <v>24</v>
      </c>
      <c r="B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</row>
    <row r="27" spans="1:42" x14ac:dyDescent="0.15">
      <c r="A27" s="41">
        <v>25</v>
      </c>
      <c r="B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</row>
    <row r="28" spans="1:42" x14ac:dyDescent="0.15">
      <c r="A28" s="41">
        <v>26</v>
      </c>
      <c r="B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</row>
    <row r="29" spans="1:42" x14ac:dyDescent="0.15">
      <c r="A29" s="41">
        <v>27</v>
      </c>
      <c r="B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</row>
    <row r="30" spans="1:42" x14ac:dyDescent="0.15">
      <c r="A30" s="41">
        <v>28</v>
      </c>
      <c r="B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</row>
    <row r="31" spans="1:42" x14ac:dyDescent="0.15">
      <c r="A31" s="41">
        <v>29</v>
      </c>
      <c r="B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</row>
    <row r="32" spans="1:42" x14ac:dyDescent="0.15">
      <c r="A32" s="41">
        <v>1</v>
      </c>
      <c r="B32" s="183" t="s">
        <v>136</v>
      </c>
      <c r="C32" s="183"/>
      <c r="D32" s="183"/>
      <c r="E32" s="183"/>
      <c r="F32" s="183"/>
      <c r="G32" s="183"/>
      <c r="H32" s="183"/>
      <c r="I32" s="183"/>
      <c r="J32" s="183"/>
      <c r="K32" s="183"/>
      <c r="L32" s="183"/>
      <c r="M32" s="183"/>
      <c r="N32" s="183"/>
      <c r="O32" s="183"/>
      <c r="P32" s="183"/>
      <c r="Q32" s="183"/>
      <c r="R32" s="183"/>
      <c r="S32" s="183"/>
      <c r="T32" s="183"/>
      <c r="U32" s="183"/>
      <c r="V32" s="183"/>
      <c r="W32" s="183"/>
    </row>
    <row r="33" spans="1:28" x14ac:dyDescent="0.15">
      <c r="A33" s="41">
        <v>2</v>
      </c>
      <c r="B33" s="44"/>
      <c r="C33" s="44"/>
      <c r="D33" s="183" t="s">
        <v>134</v>
      </c>
      <c r="E33" s="183"/>
      <c r="F33" s="183"/>
      <c r="G33" s="183"/>
      <c r="H33" s="183"/>
      <c r="I33" s="183" t="s">
        <v>192</v>
      </c>
      <c r="J33" s="183"/>
      <c r="K33" s="183"/>
      <c r="L33" s="183"/>
      <c r="M33" s="183"/>
      <c r="N33" s="183" t="s">
        <v>132</v>
      </c>
      <c r="O33" s="183"/>
      <c r="P33" s="183"/>
      <c r="Q33" s="183"/>
      <c r="R33" s="183"/>
      <c r="S33" s="183" t="s">
        <v>151</v>
      </c>
      <c r="T33" s="183"/>
      <c r="U33" s="183"/>
      <c r="V33" s="183"/>
      <c r="W33" s="183"/>
      <c r="X33" s="183" t="s">
        <v>427</v>
      </c>
      <c r="Y33" s="183"/>
      <c r="Z33" s="183"/>
      <c r="AA33" s="183"/>
      <c r="AB33" s="183"/>
    </row>
    <row r="34" spans="1:28" x14ac:dyDescent="0.15">
      <c r="A34" s="41">
        <v>3</v>
      </c>
      <c r="B34" s="45" t="s">
        <v>398</v>
      </c>
      <c r="C34" s="142" t="s">
        <v>212</v>
      </c>
      <c r="D34" s="45" t="s">
        <v>122</v>
      </c>
      <c r="E34" s="45" t="s">
        <v>123</v>
      </c>
      <c r="F34" s="45" t="s">
        <v>124</v>
      </c>
      <c r="G34" s="45" t="s">
        <v>125</v>
      </c>
      <c r="H34" s="45" t="s">
        <v>126</v>
      </c>
      <c r="I34" s="45" t="s">
        <v>140</v>
      </c>
      <c r="J34" s="45" t="s">
        <v>141</v>
      </c>
      <c r="K34" s="45" t="s">
        <v>142</v>
      </c>
      <c r="L34" s="45" t="s">
        <v>143</v>
      </c>
      <c r="M34" s="45" t="s">
        <v>144</v>
      </c>
      <c r="N34" s="45" t="s">
        <v>122</v>
      </c>
      <c r="O34" s="45" t="s">
        <v>123</v>
      </c>
      <c r="P34" s="45" t="s">
        <v>124</v>
      </c>
      <c r="Q34" s="45" t="s">
        <v>125</v>
      </c>
      <c r="R34" s="45" t="s">
        <v>126</v>
      </c>
      <c r="S34" s="45" t="s">
        <v>122</v>
      </c>
      <c r="T34" s="45" t="s">
        <v>123</v>
      </c>
      <c r="U34" s="45" t="s">
        <v>124</v>
      </c>
      <c r="V34" s="45" t="s">
        <v>125</v>
      </c>
      <c r="W34" s="45" t="s">
        <v>126</v>
      </c>
      <c r="X34" s="142" t="s">
        <v>0</v>
      </c>
      <c r="Y34" s="142" t="s">
        <v>1</v>
      </c>
      <c r="Z34" s="142" t="s">
        <v>2</v>
      </c>
      <c r="AA34" s="142" t="s">
        <v>3</v>
      </c>
      <c r="AB34" s="84" t="s">
        <v>4</v>
      </c>
    </row>
    <row r="35" spans="1:28" x14ac:dyDescent="0.15">
      <c r="A35" s="41">
        <v>4</v>
      </c>
      <c r="B35" s="101">
        <v>10</v>
      </c>
      <c r="C35" s="142">
        <f>INDEX(节奏总纲!$Q$4:$Q$163,$B35)</f>
        <v>0.8548</v>
      </c>
      <c r="D35" s="134">
        <f>'[1]资源-装备'!H41</f>
        <v>12</v>
      </c>
      <c r="E35" s="134">
        <f>'[1]资源-装备'!I41</f>
        <v>6</v>
      </c>
      <c r="F35" s="134">
        <f>'[1]资源-装备'!J41</f>
        <v>0</v>
      </c>
      <c r="G35" s="134">
        <f>'[1]资源-装备'!K41</f>
        <v>0</v>
      </c>
      <c r="H35" s="134">
        <f>'[1]资源-装备'!L41</f>
        <v>0</v>
      </c>
      <c r="I35" s="29">
        <f>IF(INDEX(装备突破!D$94:D$113,MATCH($B35*2-20,装备突破!$C$94:$C$113,0))="",I34,INDEX(装备突破!D$94:D$113,MATCH($B35*2-20,装备突破!$C$94:$C$113,0)))</f>
        <v>0.9</v>
      </c>
      <c r="J35" s="29">
        <f>IF(INDEX(装备突破!E$94:E$113,MATCH($B35*2-20,装备突破!$C$94:$C$113,0))="",J34,INDEX(装备突破!E$94:E$113,MATCH($B35*2-20,装备突破!$C$94:$C$113,0)))</f>
        <v>0.7</v>
      </c>
      <c r="K35" s="29">
        <f>IF(INDEX(装备突破!F$94:F$113,MATCH($B35*2-20,装备突破!$C$94:$C$113,0))="",K34,INDEX(装备突破!F$94:F$113,MATCH($B35*2-20,装备突破!$C$94:$C$113,0)))</f>
        <v>0.6</v>
      </c>
      <c r="L35" s="29">
        <f>IF(INDEX(装备突破!G$94:G$113,MATCH($B35*2-20,装备突破!$C$94:$C$113,0))="",L34,INDEX(装备突破!G$94:G$113,MATCH($B35*2-20,装备突破!$C$94:$C$113,0)))</f>
        <v>0.55000000000000004</v>
      </c>
      <c r="M35" s="29">
        <f>IF(INDEX(装备突破!H$94:H$113,MATCH($B35*2-20,装备突破!$C$94:$C$113,0))="",M34,INDEX(装备突破!H$94:H$113,MATCH($B35*2-20,装备突破!$C$94:$C$113,0)))</f>
        <v>0.48</v>
      </c>
      <c r="N35" s="110">
        <v>10</v>
      </c>
      <c r="O35" s="110">
        <v>10</v>
      </c>
      <c r="P35" s="110" t="s">
        <v>397</v>
      </c>
      <c r="Q35" s="110" t="s">
        <v>397</v>
      </c>
      <c r="R35" s="110" t="s">
        <v>397</v>
      </c>
      <c r="S35" s="43">
        <f>IF(N35="",0,IF(N35&gt;MAX(装备突破!D$6:D$20),"溢出",IF(N35="","",IF(N35&lt;装备突破!D$6,0,IFERROR(MATCH(N35,装备突破!D$6:D$20,0)-1,MATCH(N35,装备突破!D$6:D$20,1))))))</f>
        <v>0</v>
      </c>
      <c r="T35" s="43">
        <f>IF(O35="",0,IF(O35&gt;MAX(装备突破!E$6:E$20),"溢出",IF(O35="","",IF(O35&lt;装备突破!E$6,0,IFERROR(MATCH(O35,装备突破!E$6:E$20,0)-1,MATCH(O35,装备突破!E$6:E$20,1))))))</f>
        <v>0</v>
      </c>
      <c r="U35" s="43">
        <f>IF(P35="",0,IF(P35&gt;MAX(装备突破!F$6:F$20),"溢出",IF(P35="","",IF(P35&lt;装备突破!F$6,0,IFERROR(MATCH(P35,装备突破!F$6:F$20,0)-1,MATCH(P35,装备突破!F$6:F$20,1))))))</f>
        <v>0</v>
      </c>
      <c r="V35" s="43">
        <f>IF(Q35="",0,IF(Q35&gt;MAX(装备突破!G$6:G$20),"溢出",IF(Q35="","",IF(Q35&lt;装备突破!G$6,0,IFERROR(MATCH(Q35,装备突破!G$6:G$20,0)-1,MATCH(Q35,装备突破!G$6:G$20,1))))))</f>
        <v>0</v>
      </c>
      <c r="W35" s="43">
        <f>IF(R35="",0,IF(R35&gt;MAX(装备突破!H$6:H$20),"溢出",IF(R35="","",IF(R35&lt;装备突破!H$6,0,IFERROR(MATCH(R35,装备突破!H$6:H$20,0)-1,MATCH(R35,装备突破!H$6:H$20,1))))))</f>
        <v>0</v>
      </c>
      <c r="X35" s="143"/>
      <c r="Y35" s="143"/>
      <c r="Z35" s="143"/>
      <c r="AA35" s="143"/>
      <c r="AB35" s="158">
        <v>0</v>
      </c>
    </row>
    <row r="36" spans="1:28" x14ac:dyDescent="0.15">
      <c r="A36" s="41">
        <v>5</v>
      </c>
      <c r="B36" s="101">
        <v>20</v>
      </c>
      <c r="C36" s="142">
        <f>INDEX(节奏总纲!$Q$4:$Q$163,$B36)</f>
        <v>2.6036999999999999</v>
      </c>
      <c r="D36" s="134">
        <f>'[1]资源-装备'!H42</f>
        <v>0</v>
      </c>
      <c r="E36" s="134">
        <f>'[1]资源-装备'!I42</f>
        <v>13</v>
      </c>
      <c r="F36" s="134">
        <f>'[1]资源-装备'!J42</f>
        <v>5</v>
      </c>
      <c r="G36" s="134">
        <f>'[1]资源-装备'!K42</f>
        <v>0</v>
      </c>
      <c r="H36" s="134">
        <f>'[1]资源-装备'!L42</f>
        <v>0</v>
      </c>
      <c r="I36" s="29">
        <f>IF(INDEX(装备突破!D$94:D$113,MATCH($B36*2-20,装备突破!$C$94:$C$113,0))="",I35,INDEX(装备突破!D$94:D$113,MATCH($B36*2-20,装备突破!$C$94:$C$113,0)))</f>
        <v>0.9</v>
      </c>
      <c r="J36" s="29">
        <f>IF(INDEX(装备突破!E$94:E$113,MATCH($B36*2-20,装备突破!$C$94:$C$113,0))="",J35,INDEX(装备突破!E$94:E$113,MATCH($B36*2-20,装备突破!$C$94:$C$113,0)))</f>
        <v>0.85</v>
      </c>
      <c r="K36" s="29">
        <f>IF(INDEX(装备突破!F$94:F$113,MATCH($B36*2-20,装备突破!$C$94:$C$113,0))="",K35,INDEX(装备突破!F$94:F$113,MATCH($B36*2-20,装备突破!$C$94:$C$113,0)))</f>
        <v>0.7</v>
      </c>
      <c r="L36" s="29">
        <f>IF(INDEX(装备突破!G$94:G$113,MATCH($B36*2-20,装备突破!$C$94:$C$113,0))="",L35,INDEX(装备突破!G$94:G$113,MATCH($B36*2-20,装备突破!$C$94:$C$113,0)))</f>
        <v>0.625</v>
      </c>
      <c r="M36" s="29">
        <f>IF(INDEX(装备突破!H$94:H$113,MATCH($B36*2-20,装备突破!$C$94:$C$113,0))="",M35,INDEX(装备突破!H$94:H$113,MATCH($B36*2-20,装备突破!$C$94:$C$113,0)))</f>
        <v>0.54500000000000004</v>
      </c>
      <c r="N36" s="110">
        <v>20</v>
      </c>
      <c r="O36" s="110">
        <v>30</v>
      </c>
      <c r="P36" s="110">
        <v>30</v>
      </c>
      <c r="Q36" s="110" t="s">
        <v>397</v>
      </c>
      <c r="R36" s="110" t="s">
        <v>397</v>
      </c>
      <c r="S36" s="43">
        <f>IF(N36="",0,IF(N36&gt;MAX(装备突破!D$6:D$20),"溢出",IF(N36="","",IF(N36&lt;装备突破!D$6,0,IFERROR(MATCH(N36,装备突破!D$6:D$20,0)-1,MATCH(N36,装备突破!D$6:D$20,1))))))</f>
        <v>0</v>
      </c>
      <c r="T36" s="43">
        <f>IF(O36="",0,IF(O36&gt;MAX(装备突破!E$6:E$20),"溢出",IF(O36="","",IF(O36&lt;装备突破!E$6,0,IFERROR(MATCH(O36,装备突破!E$6:E$20,0)-1,MATCH(O36,装备突破!E$6:E$20,1))))))</f>
        <v>1</v>
      </c>
      <c r="U36" s="43">
        <f>IF(P36="",0,IF(P36&gt;MAX(装备突破!F$6:F$20),"溢出",IF(P36="","",IF(P36&lt;装备突破!F$6,0,IFERROR(MATCH(P36,装备突破!F$6:F$20,0)-1,MATCH(P36,装备突破!F$6:F$20,1))))))</f>
        <v>0</v>
      </c>
      <c r="V36" s="43">
        <f>IF(Q36="",0,IF(Q36&gt;MAX(装备突破!G$6:G$20),"溢出",IF(Q36="","",IF(Q36&lt;装备突破!G$6,0,IFERROR(MATCH(Q36,装备突破!G$6:G$20,0)-1,MATCH(Q36,装备突破!G$6:G$20,1))))))</f>
        <v>0</v>
      </c>
      <c r="W36" s="43">
        <f>IF(R36="",0,IF(R36&gt;MAX(装备突破!H$6:H$20),"溢出",IF(R36="","",IF(R36&lt;装备突破!H$6,0,IFERROR(MATCH(R36,装备突破!H$6:H$20,0)-1,MATCH(R36,装备突破!H$6:H$20,1))))))</f>
        <v>0</v>
      </c>
      <c r="X36" s="143"/>
      <c r="Y36" s="143"/>
      <c r="Z36" s="143"/>
      <c r="AA36" s="143"/>
      <c r="AB36" s="158">
        <v>0</v>
      </c>
    </row>
    <row r="37" spans="1:28" x14ac:dyDescent="0.15">
      <c r="A37" s="41">
        <v>6</v>
      </c>
      <c r="B37" s="101">
        <v>30</v>
      </c>
      <c r="C37" s="142">
        <f>INDEX(节奏总纲!$Q$4:$Q$163,$B37)</f>
        <v>6.1025999999999998</v>
      </c>
      <c r="D37" s="134">
        <f>'[1]资源-装备'!H43</f>
        <v>0</v>
      </c>
      <c r="E37" s="134">
        <f>'[1]资源-装备'!I43</f>
        <v>0</v>
      </c>
      <c r="F37" s="134">
        <f>'[1]资源-装备'!J43</f>
        <v>16</v>
      </c>
      <c r="G37" s="134">
        <f>'[1]资源-装备'!K43</f>
        <v>2</v>
      </c>
      <c r="H37" s="134">
        <f>'[1]资源-装备'!L43</f>
        <v>0</v>
      </c>
      <c r="I37" s="29">
        <f>IF(INDEX(装备突破!D$94:D$113,MATCH($B37*2-20,装备突破!$C$94:$C$113,0))="",I36,INDEX(装备突破!D$94:D$113,MATCH($B37*2-20,装备突破!$C$94:$C$113,0)))</f>
        <v>0.9</v>
      </c>
      <c r="J37" s="29">
        <f>IF(INDEX(装备突破!E$94:E$113,MATCH($B37*2-20,装备突破!$C$94:$C$113,0))="",J36,INDEX(装备突破!E$94:E$113,MATCH($B37*2-20,装备突破!$C$94:$C$113,0)))</f>
        <v>1</v>
      </c>
      <c r="K37" s="29">
        <f>IF(INDEX(装备突破!F$94:F$113,MATCH($B37*2-20,装备突破!$C$94:$C$113,0))="",K36,INDEX(装备突破!F$94:F$113,MATCH($B37*2-20,装备突破!$C$94:$C$113,0)))</f>
        <v>0.8</v>
      </c>
      <c r="L37" s="29">
        <f>IF(INDEX(装备突破!G$94:G$113,MATCH($B37*2-20,装备突破!$C$94:$C$113,0))="",L36,INDEX(装备突破!G$94:G$113,MATCH($B37*2-20,装备突破!$C$94:$C$113,0)))</f>
        <v>0.7</v>
      </c>
      <c r="M37" s="29">
        <f>IF(INDEX(装备突破!H$94:H$113,MATCH($B37*2-20,装备突破!$C$94:$C$113,0))="",M36,INDEX(装备突破!H$94:H$113,MATCH($B37*2-20,装备突破!$C$94:$C$113,0)))</f>
        <v>0.61</v>
      </c>
      <c r="N37" s="110" t="s">
        <v>397</v>
      </c>
      <c r="O37" s="110">
        <v>40</v>
      </c>
      <c r="P37" s="110">
        <v>60</v>
      </c>
      <c r="Q37" s="110">
        <v>60</v>
      </c>
      <c r="R37" s="110" t="s">
        <v>397</v>
      </c>
      <c r="S37" s="43">
        <f>IF(N37="",0,IF(N37&gt;MAX(装备突破!D$6:D$20),"溢出",IF(N37="","",IF(N37&lt;装备突破!D$6,0,IFERROR(MATCH(N37,装备突破!D$6:D$20,0)-1,MATCH(N37,装备突破!D$6:D$20,1))))))</f>
        <v>0</v>
      </c>
      <c r="T37" s="43">
        <f>IF(O37="",0,IF(O37&gt;MAX(装备突破!E$6:E$20),"溢出",IF(O37="","",IF(O37&lt;装备突破!E$6,0,IFERROR(MATCH(O37,装备突破!E$6:E$20,0)-1,MATCH(O37,装备突破!E$6:E$20,1))))))</f>
        <v>1</v>
      </c>
      <c r="U37" s="43">
        <f>IF(P37="",0,IF(P37&gt;MAX(装备突破!F$6:F$20),"溢出",IF(P37="","",IF(P37&lt;装备突破!F$6,0,IFERROR(MATCH(P37,装备突破!F$6:F$20,0)-1,MATCH(P37,装备突破!F$6:F$20,1))))))</f>
        <v>1</v>
      </c>
      <c r="V37" s="43">
        <f>IF(Q37="",0,IF(Q37&gt;MAX(装备突破!G$6:G$20),"溢出",IF(Q37="","",IF(Q37&lt;装备突破!G$6,0,IFERROR(MATCH(Q37,装备突破!G$6:G$20,0)-1,MATCH(Q37,装备突破!G$6:G$20,1))))))</f>
        <v>0</v>
      </c>
      <c r="W37" s="43">
        <f>IF(R37="",0,IF(R37&gt;MAX(装备突破!H$6:H$20),"溢出",IF(R37="","",IF(R37&lt;装备突破!H$6,0,IFERROR(MATCH(R37,装备突破!H$6:H$20,0)-1,MATCH(R37,装备突破!H$6:H$20,1))))))</f>
        <v>0</v>
      </c>
      <c r="X37" s="143"/>
      <c r="Y37" s="143"/>
      <c r="Z37" s="143"/>
      <c r="AA37" s="143"/>
      <c r="AB37" s="158">
        <v>0</v>
      </c>
    </row>
    <row r="38" spans="1:28" x14ac:dyDescent="0.15">
      <c r="A38" s="41">
        <v>7</v>
      </c>
      <c r="B38" s="101">
        <v>40</v>
      </c>
      <c r="C38" s="142">
        <f>INDEX(节奏总纲!$Q$4:$Q$163,$B38)</f>
        <v>13.059000000000001</v>
      </c>
      <c r="D38" s="134">
        <f>'[1]资源-装备'!H44</f>
        <v>0</v>
      </c>
      <c r="E38" s="134">
        <f>'[1]资源-装备'!I44</f>
        <v>0</v>
      </c>
      <c r="F38" s="134">
        <f>'[1]资源-装备'!J44</f>
        <v>0</v>
      </c>
      <c r="G38" s="134">
        <f>'[1]资源-装备'!K44</f>
        <v>16</v>
      </c>
      <c r="H38" s="134">
        <f>'[1]资源-装备'!L44</f>
        <v>0</v>
      </c>
      <c r="I38" s="29">
        <f>IF(INDEX(装备突破!D$94:D$113,MATCH($B38*2-20,装备突破!$C$94:$C$113,0))="",I37,INDEX(装备突破!D$94:D$113,MATCH($B38*2-20,装备突破!$C$94:$C$113,0)))</f>
        <v>0.9</v>
      </c>
      <c r="J38" s="29">
        <f>IF(INDEX(装备突破!E$94:E$113,MATCH($B38*2-20,装备突破!$C$94:$C$113,0))="",J37,INDEX(装备突破!E$94:E$113,MATCH($B38*2-20,装备突破!$C$94:$C$113,0)))</f>
        <v>1</v>
      </c>
      <c r="K38" s="29">
        <f>IF(INDEX(装备突破!F$94:F$113,MATCH($B38*2-20,装备突破!$C$94:$C$113,0))="",K37,INDEX(装备突破!F$94:F$113,MATCH($B38*2-20,装备突破!$C$94:$C$113,0)))</f>
        <v>0.9</v>
      </c>
      <c r="L38" s="29">
        <f>IF(INDEX(装备突破!G$94:G$113,MATCH($B38*2-20,装备突破!$C$94:$C$113,0))="",L37,INDEX(装备突破!G$94:G$113,MATCH($B38*2-20,装备突破!$C$94:$C$113,0)))</f>
        <v>0.77500000000000002</v>
      </c>
      <c r="M38" s="29">
        <f>IF(INDEX(装备突破!H$94:H$113,MATCH($B38*2-20,装备突破!$C$94:$C$113,0))="",M37,INDEX(装备突破!H$94:H$113,MATCH($B38*2-20,装备突破!$C$94:$C$113,0)))</f>
        <v>0.67500000000000004</v>
      </c>
      <c r="N38" s="110" t="s">
        <v>397</v>
      </c>
      <c r="O38" s="110">
        <v>40</v>
      </c>
      <c r="P38" s="110">
        <v>80</v>
      </c>
      <c r="Q38" s="110">
        <v>80</v>
      </c>
      <c r="R38" s="110" t="s">
        <v>397</v>
      </c>
      <c r="S38" s="43">
        <f>IF(N38="",0,IF(N38&gt;MAX(装备突破!D$6:D$20),"溢出",IF(N38="","",IF(N38&lt;装备突破!D$6,0,IFERROR(MATCH(N38,装备突破!D$6:D$20,0)-1,MATCH(N38,装备突破!D$6:D$20,1))))))</f>
        <v>0</v>
      </c>
      <c r="T38" s="43">
        <f>IF(O38="",0,IF(O38&gt;MAX(装备突破!E$6:E$20),"溢出",IF(O38="","",IF(O38&lt;装备突破!E$6,0,IFERROR(MATCH(O38,装备突破!E$6:E$20,0)-1,MATCH(O38,装备突破!E$6:E$20,1))))))</f>
        <v>1</v>
      </c>
      <c r="U38" s="43">
        <f>IF(P38="",0,IF(P38&gt;MAX(装备突破!F$6:F$20),"溢出",IF(P38="","",IF(P38&lt;装备突破!F$6,0,IFERROR(MATCH(P38,装备突破!F$6:F$20,0)-1,MATCH(P38,装备突破!F$6:F$20,1))))))</f>
        <v>2</v>
      </c>
      <c r="V38" s="43">
        <f>IF(Q38="",0,IF(Q38&gt;MAX(装备突破!G$6:G$20),"溢出",IF(Q38="","",IF(Q38&lt;装备突破!G$6,0,IFERROR(MATCH(Q38,装备突破!G$6:G$20,0)-1,MATCH(Q38,装备突破!G$6:G$20,1))))))</f>
        <v>1</v>
      </c>
      <c r="W38" s="43">
        <f>IF(R38="",0,IF(R38&gt;MAX(装备突破!H$6:H$20),"溢出",IF(R38="","",IF(R38&lt;装备突破!H$6,0,IFERROR(MATCH(R38,装备突破!H$6:H$20,0)-1,MATCH(R38,装备突破!H$6:H$20,1))))))</f>
        <v>0</v>
      </c>
      <c r="X38" s="143"/>
      <c r="Y38" s="143"/>
      <c r="Z38" s="143"/>
      <c r="AA38" s="143"/>
      <c r="AB38" s="158">
        <v>0</v>
      </c>
    </row>
    <row r="39" spans="1:28" x14ac:dyDescent="0.15">
      <c r="A39" s="41">
        <v>8</v>
      </c>
      <c r="B39" s="101">
        <v>50</v>
      </c>
      <c r="C39" s="142">
        <f>INDEX(节奏总纲!$Q$4:$Q$163,$B39)</f>
        <v>27.0351</v>
      </c>
      <c r="D39" s="134">
        <f>'[1]资源-装备'!H45</f>
        <v>0</v>
      </c>
      <c r="E39" s="134">
        <f>'[1]资源-装备'!I45</f>
        <v>0</v>
      </c>
      <c r="F39" s="134">
        <f>'[1]资源-装备'!J45</f>
        <v>0</v>
      </c>
      <c r="G39" s="134">
        <f>'[1]资源-装备'!K45</f>
        <v>14</v>
      </c>
      <c r="H39" s="134">
        <f>'[1]资源-装备'!L45</f>
        <v>2</v>
      </c>
      <c r="I39" s="29">
        <f>IF(INDEX(装备突破!D$94:D$113,MATCH($B39*2-20,装备突破!$C$94:$C$113,0))="",I38,INDEX(装备突破!D$94:D$113,MATCH($B39*2-20,装备突破!$C$94:$C$113,0)))</f>
        <v>0.9</v>
      </c>
      <c r="J39" s="29">
        <f>IF(INDEX(装备突破!E$94:E$113,MATCH($B39*2-20,装备突破!$C$94:$C$113,0))="",J38,INDEX(装备突破!E$94:E$113,MATCH($B39*2-20,装备突破!$C$94:$C$113,0)))</f>
        <v>1</v>
      </c>
      <c r="K39" s="29">
        <f>IF(INDEX(装备突破!F$94:F$113,MATCH($B39*2-20,装备突破!$C$94:$C$113,0))="",K38,INDEX(装备突破!F$94:F$113,MATCH($B39*2-20,装备突破!$C$94:$C$113,0)))</f>
        <v>1</v>
      </c>
      <c r="L39" s="29">
        <f>IF(INDEX(装备突破!G$94:G$113,MATCH($B39*2-20,装备突破!$C$94:$C$113,0))="",L38,INDEX(装备突破!G$94:G$113,MATCH($B39*2-20,装备突破!$C$94:$C$113,0)))</f>
        <v>0.85</v>
      </c>
      <c r="M39" s="29">
        <f>IF(INDEX(装备突破!H$94:H$113,MATCH($B39*2-20,装备突破!$C$94:$C$113,0))="",M38,INDEX(装备突破!H$94:H$113,MATCH($B39*2-20,装备突破!$C$94:$C$113,0)))</f>
        <v>0.74</v>
      </c>
      <c r="N39" s="110" t="s">
        <v>397</v>
      </c>
      <c r="O39" s="110" t="s">
        <v>397</v>
      </c>
      <c r="P39" s="110">
        <v>80</v>
      </c>
      <c r="Q39" s="110">
        <v>100</v>
      </c>
      <c r="R39" s="110">
        <v>100</v>
      </c>
      <c r="S39" s="43">
        <f>IF(N39="",0,IF(N39&gt;MAX(装备突破!D$6:D$20),"溢出",IF(N39="","",IF(N39&lt;装备突破!D$6,0,IFERROR(MATCH(N39,装备突破!D$6:D$20,0)-1,MATCH(N39,装备突破!D$6:D$20,1))))))</f>
        <v>0</v>
      </c>
      <c r="T39" s="43">
        <f>IF(O39="",0,IF(O39&gt;MAX(装备突破!E$6:E$20),"溢出",IF(O39="","",IF(O39&lt;装备突破!E$6,0,IFERROR(MATCH(O39,装备突破!E$6:E$20,0)-1,MATCH(O39,装备突破!E$6:E$20,1))))))</f>
        <v>0</v>
      </c>
      <c r="U39" s="43">
        <f>IF(P39="",0,IF(P39&gt;MAX(装备突破!F$6:F$20),"溢出",IF(P39="","",IF(P39&lt;装备突破!F$6,0,IFERROR(MATCH(P39,装备突破!F$6:F$20,0)-1,MATCH(P39,装备突破!F$6:F$20,1))))))</f>
        <v>2</v>
      </c>
      <c r="V39" s="43">
        <f>IF(Q39="",0,IF(Q39&gt;MAX(装备突破!G$6:G$20),"溢出",IF(Q39="","",IF(Q39&lt;装备突破!G$6,0,IFERROR(MATCH(Q39,装备突破!G$6:G$20,0)-1,MATCH(Q39,装备突破!G$6:G$20,1))))))</f>
        <v>2</v>
      </c>
      <c r="W39" s="43">
        <f>IF(R39="",0,IF(R39&gt;MAX(装备突破!H$6:H$20),"溢出",IF(R39="","",IF(R39&lt;装备突破!H$6,0,IFERROR(MATCH(R39,装备突破!H$6:H$20,0)-1,MATCH(R39,装备突破!H$6:H$20,1))))))</f>
        <v>0</v>
      </c>
      <c r="X39" s="143"/>
      <c r="Y39" s="143"/>
      <c r="Z39" s="143"/>
      <c r="AA39" s="143"/>
      <c r="AB39" s="158">
        <v>0</v>
      </c>
    </row>
    <row r="40" spans="1:28" x14ac:dyDescent="0.15">
      <c r="A40" s="41">
        <v>9</v>
      </c>
      <c r="B40" s="101">
        <v>60</v>
      </c>
      <c r="C40" s="142">
        <f>INDEX(节奏总纲!$Q$4:$Q$163,$B40)</f>
        <v>54.589500000000001</v>
      </c>
      <c r="D40" s="134">
        <f>'[1]资源-装备'!H46</f>
        <v>0</v>
      </c>
      <c r="E40" s="134">
        <f>'[1]资源-装备'!I46</f>
        <v>0</v>
      </c>
      <c r="F40" s="134">
        <f>'[1]资源-装备'!J46</f>
        <v>0</v>
      </c>
      <c r="G40" s="134">
        <f>'[1]资源-装备'!K46</f>
        <v>12</v>
      </c>
      <c r="H40" s="134">
        <f>'[1]资源-装备'!L46</f>
        <v>6</v>
      </c>
      <c r="I40" s="29">
        <f>IF(INDEX(装备突破!D$94:D$113,MATCH($B40*2-20,装备突破!$C$94:$C$113,0))="",I39,INDEX(装备突破!D$94:D$113,MATCH($B40*2-20,装备突破!$C$94:$C$113,0)))</f>
        <v>0.9</v>
      </c>
      <c r="J40" s="29">
        <f>IF(INDEX(装备突破!E$94:E$113,MATCH($B40*2-20,装备突破!$C$94:$C$113,0))="",J39,INDEX(装备突破!E$94:E$113,MATCH($B40*2-20,装备突破!$C$94:$C$113,0)))</f>
        <v>1</v>
      </c>
      <c r="K40" s="29">
        <f>IF(INDEX(装备突破!F$94:F$113,MATCH($B40*2-20,装备突破!$C$94:$C$113,0))="",K39,INDEX(装备突破!F$94:F$113,MATCH($B40*2-20,装备突破!$C$94:$C$113,0)))</f>
        <v>1</v>
      </c>
      <c r="L40" s="29">
        <f>IF(INDEX(装备突破!G$94:G$113,MATCH($B40*2-20,装备突破!$C$94:$C$113,0))="",L39,INDEX(装备突破!G$94:G$113,MATCH($B40*2-20,装备突破!$C$94:$C$113,0)))</f>
        <v>0.92500000000000004</v>
      </c>
      <c r="M40" s="29">
        <f>IF(INDEX(装备突破!H$94:H$113,MATCH($B40*2-20,装备突破!$C$94:$C$113,0))="",M39,INDEX(装备突破!H$94:H$113,MATCH($B40*2-20,装备突破!$C$94:$C$113,0)))</f>
        <v>0.80500000000000005</v>
      </c>
      <c r="N40" s="110" t="s">
        <v>397</v>
      </c>
      <c r="O40" s="110" t="s">
        <v>397</v>
      </c>
      <c r="P40" s="110" t="s">
        <v>397</v>
      </c>
      <c r="Q40" s="110">
        <v>120</v>
      </c>
      <c r="R40" s="110">
        <v>120</v>
      </c>
      <c r="S40" s="43">
        <f>IF(N40="",0,IF(N40&gt;MAX(装备突破!D$6:D$20),"溢出",IF(N40="","",IF(N40&lt;装备突破!D$6,0,IFERROR(MATCH(N40,装备突破!D$6:D$20,0)-1,MATCH(N40,装备突破!D$6:D$20,1))))))</f>
        <v>0</v>
      </c>
      <c r="T40" s="43">
        <f>IF(O40="",0,IF(O40&gt;MAX(装备突破!E$6:E$20),"溢出",IF(O40="","",IF(O40&lt;装备突破!E$6,0,IFERROR(MATCH(O40,装备突破!E$6:E$20,0)-1,MATCH(O40,装备突破!E$6:E$20,1))))))</f>
        <v>0</v>
      </c>
      <c r="U40" s="43">
        <f>IF(P40="",0,IF(P40&gt;MAX(装备突破!F$6:F$20),"溢出",IF(P40="","",IF(P40&lt;装备突破!F$6,0,IFERROR(MATCH(P40,装备突破!F$6:F$20,0)-1,MATCH(P40,装备突破!F$6:F$20,1))))))</f>
        <v>0</v>
      </c>
      <c r="V40" s="43">
        <f>IF(Q40="",0,IF(Q40&gt;MAX(装备突破!G$6:G$20),"溢出",IF(Q40="","",IF(Q40&lt;装备突破!G$6,0,IFERROR(MATCH(Q40,装备突破!G$6:G$20,0)-1,MATCH(Q40,装备突破!G$6:G$20,1))))))</f>
        <v>3</v>
      </c>
      <c r="W40" s="43">
        <f>IF(R40="",0,IF(R40&gt;MAX(装备突破!H$6:H$20),"溢出",IF(R40="","",IF(R40&lt;装备突破!H$6,0,IFERROR(MATCH(R40,装备突破!H$6:H$20,0)-1,MATCH(R40,装备突破!H$6:H$20,1))))))</f>
        <v>1</v>
      </c>
      <c r="X40" s="143"/>
      <c r="Y40" s="143"/>
      <c r="Z40" s="143"/>
      <c r="AA40" s="143"/>
      <c r="AB40" s="158">
        <v>0</v>
      </c>
    </row>
    <row r="41" spans="1:28" x14ac:dyDescent="0.15">
      <c r="A41" s="41">
        <v>10</v>
      </c>
      <c r="B41" s="101">
        <v>70</v>
      </c>
      <c r="C41" s="142">
        <f>INDEX(节奏总纲!$Q$4:$Q$163,$B41)</f>
        <v>109.9693</v>
      </c>
      <c r="D41" s="134">
        <f>'[1]资源-装备'!H47</f>
        <v>0</v>
      </c>
      <c r="E41" s="134">
        <f>'[1]资源-装备'!I47</f>
        <v>0</v>
      </c>
      <c r="F41" s="134">
        <f>'[1]资源-装备'!J47</f>
        <v>0</v>
      </c>
      <c r="G41" s="134">
        <f>'[1]资源-装备'!K47</f>
        <v>6</v>
      </c>
      <c r="H41" s="134">
        <f>'[1]资源-装备'!L47</f>
        <v>12</v>
      </c>
      <c r="I41" s="29">
        <f>IF(INDEX(装备突破!D$94:D$113,MATCH($B41*2-20,装备突破!$C$94:$C$113,0))="",I40,INDEX(装备突破!D$94:D$113,MATCH($B41*2-20,装备突破!$C$94:$C$113,0)))</f>
        <v>0.9</v>
      </c>
      <c r="J41" s="29">
        <f>IF(INDEX(装备突破!E$94:E$113,MATCH($B41*2-20,装备突破!$C$94:$C$113,0))="",J40,INDEX(装备突破!E$94:E$113,MATCH($B41*2-20,装备突破!$C$94:$C$113,0)))</f>
        <v>1</v>
      </c>
      <c r="K41" s="29">
        <f>IF(INDEX(装备突破!F$94:F$113,MATCH($B41*2-20,装备突破!$C$94:$C$113,0))="",K40,INDEX(装备突破!F$94:F$113,MATCH($B41*2-20,装备突破!$C$94:$C$113,0)))</f>
        <v>1</v>
      </c>
      <c r="L41" s="29">
        <f>IF(INDEX(装备突破!G$94:G$113,MATCH($B41*2-20,装备突破!$C$94:$C$113,0))="",L40,INDEX(装备突破!G$94:G$113,MATCH($B41*2-20,装备突破!$C$94:$C$113,0)))</f>
        <v>1</v>
      </c>
      <c r="M41" s="29">
        <f>IF(INDEX(装备突破!H$94:H$113,MATCH($B41*2-20,装备突破!$C$94:$C$113,0))="",M40,INDEX(装备突破!H$94:H$113,MATCH($B41*2-20,装备突破!$C$94:$C$113,0)))</f>
        <v>0.87</v>
      </c>
      <c r="N41" s="110" t="s">
        <v>397</v>
      </c>
      <c r="O41" s="110" t="s">
        <v>397</v>
      </c>
      <c r="P41" s="110" t="s">
        <v>397</v>
      </c>
      <c r="Q41" s="110">
        <v>120</v>
      </c>
      <c r="R41" s="110">
        <v>140</v>
      </c>
      <c r="S41" s="43">
        <f>IF(N41="",0,IF(N41&gt;MAX(装备突破!D$6:D$20),"溢出",IF(N41="","",IF(N41&lt;装备突破!D$6,0,IFERROR(MATCH(N41,装备突破!D$6:D$20,0)-1,MATCH(N41,装备突破!D$6:D$20,1))))))</f>
        <v>0</v>
      </c>
      <c r="T41" s="43">
        <f>IF(O41="",0,IF(O41&gt;MAX(装备突破!E$6:E$20),"溢出",IF(O41="","",IF(O41&lt;装备突破!E$6,0,IFERROR(MATCH(O41,装备突破!E$6:E$20,0)-1,MATCH(O41,装备突破!E$6:E$20,1))))))</f>
        <v>0</v>
      </c>
      <c r="U41" s="43">
        <f>IF(P41="",0,IF(P41&gt;MAX(装备突破!F$6:F$20),"溢出",IF(P41="","",IF(P41&lt;装备突破!F$6,0,IFERROR(MATCH(P41,装备突破!F$6:F$20,0)-1,MATCH(P41,装备突破!F$6:F$20,1))))))</f>
        <v>0</v>
      </c>
      <c r="V41" s="43">
        <f>IF(Q41="",0,IF(Q41&gt;MAX(装备突破!G$6:G$20),"溢出",IF(Q41="","",IF(Q41&lt;装备突破!G$6,0,IFERROR(MATCH(Q41,装备突破!G$6:G$20,0)-1,MATCH(Q41,装备突破!G$6:G$20,1))))))</f>
        <v>3</v>
      </c>
      <c r="W41" s="43">
        <f>IF(R41="",0,IF(R41&gt;MAX(装备突破!H$6:H$20),"溢出",IF(R41="","",IF(R41&lt;装备突破!H$6,0,IFERROR(MATCH(R41,装备突破!H$6:H$20,0)-1,MATCH(R41,装备突破!H$6:H$20,1))))))</f>
        <v>2</v>
      </c>
      <c r="X41" s="143"/>
      <c r="Y41" s="143"/>
      <c r="Z41" s="143"/>
      <c r="AA41" s="143"/>
      <c r="AB41" s="158">
        <v>2.5</v>
      </c>
    </row>
    <row r="42" spans="1:28" x14ac:dyDescent="0.15">
      <c r="A42" s="41">
        <v>11</v>
      </c>
      <c r="B42" s="101">
        <v>80</v>
      </c>
      <c r="C42" s="142">
        <f>INDEX(节奏总纲!$Q$4:$Q$163,$B42)</f>
        <v>221.08500000000001</v>
      </c>
      <c r="D42" s="134">
        <f>'[1]资源-装备'!H48</f>
        <v>0</v>
      </c>
      <c r="E42" s="134">
        <f>'[1]资源-装备'!I48</f>
        <v>0</v>
      </c>
      <c r="F42" s="134">
        <f>'[1]资源-装备'!J48</f>
        <v>0</v>
      </c>
      <c r="G42" s="134">
        <f>'[1]资源-装备'!K48</f>
        <v>0</v>
      </c>
      <c r="H42" s="134">
        <f>'[1]资源-装备'!L48</f>
        <v>18</v>
      </c>
      <c r="I42" s="29">
        <f>IF(INDEX(装备突破!D$94:D$113,MATCH($B42*2-20,装备突破!$C$94:$C$113,0))="",I41,INDEX(装备突破!D$94:D$113,MATCH($B42*2-20,装备突破!$C$94:$C$113,0)))</f>
        <v>0.9</v>
      </c>
      <c r="J42" s="29">
        <f>IF(INDEX(装备突破!E$94:E$113,MATCH($B42*2-20,装备突破!$C$94:$C$113,0))="",J41,INDEX(装备突破!E$94:E$113,MATCH($B42*2-20,装备突破!$C$94:$C$113,0)))</f>
        <v>1</v>
      </c>
      <c r="K42" s="29">
        <f>IF(INDEX(装备突破!F$94:F$113,MATCH($B42*2-20,装备突破!$C$94:$C$113,0))="",K41,INDEX(装备突破!F$94:F$113,MATCH($B42*2-20,装备突破!$C$94:$C$113,0)))</f>
        <v>1</v>
      </c>
      <c r="L42" s="29">
        <f>IF(INDEX(装备突破!G$94:G$113,MATCH($B42*2-20,装备突破!$C$94:$C$113,0))="",L41,INDEX(装备突破!G$94:G$113,MATCH($B42*2-20,装备突破!$C$94:$C$113,0)))</f>
        <v>1</v>
      </c>
      <c r="M42" s="29">
        <f>IF(INDEX(装备突破!H$94:H$113,MATCH($B42*2-20,装备突破!$C$94:$C$113,0))="",M41,INDEX(装备突破!H$94:H$113,MATCH($B42*2-20,装备突破!$C$94:$C$113,0)))</f>
        <v>0.93500000000000005</v>
      </c>
      <c r="N42" s="110" t="s">
        <v>397</v>
      </c>
      <c r="O42" s="110" t="s">
        <v>397</v>
      </c>
      <c r="P42" s="110" t="s">
        <v>397</v>
      </c>
      <c r="Q42" s="110" t="s">
        <v>397</v>
      </c>
      <c r="R42" s="110">
        <v>160</v>
      </c>
      <c r="S42" s="43">
        <f>IF(N42="",0,IF(N42&gt;MAX(装备突破!D$6:D$20),"溢出",IF(N42="","",IF(N42&lt;装备突破!D$6,0,IFERROR(MATCH(N42,装备突破!D$6:D$20,0)-1,MATCH(N42,装备突破!D$6:D$20,1))))))</f>
        <v>0</v>
      </c>
      <c r="T42" s="43">
        <f>IF(O42="",0,IF(O42&gt;MAX(装备突破!E$6:E$20),"溢出",IF(O42="","",IF(O42&lt;装备突破!E$6,0,IFERROR(MATCH(O42,装备突破!E$6:E$20,0)-1,MATCH(O42,装备突破!E$6:E$20,1))))))</f>
        <v>0</v>
      </c>
      <c r="U42" s="43">
        <f>IF(P42="",0,IF(P42&gt;MAX(装备突破!F$6:F$20),"溢出",IF(P42="","",IF(P42&lt;装备突破!F$6,0,IFERROR(MATCH(P42,装备突破!F$6:F$20,0)-1,MATCH(P42,装备突破!F$6:F$20,1))))))</f>
        <v>0</v>
      </c>
      <c r="V42" s="43">
        <f>IF(Q42="",0,IF(Q42&gt;MAX(装备突破!G$6:G$20),"溢出",IF(Q42="","",IF(Q42&lt;装备突破!G$6,0,IFERROR(MATCH(Q42,装备突破!G$6:G$20,0)-1,MATCH(Q42,装备突破!G$6:G$20,1))))))</f>
        <v>0</v>
      </c>
      <c r="W42" s="43">
        <f>IF(R42="",0,IF(R42&gt;MAX(装备突破!H$6:H$20),"溢出",IF(R42="","",IF(R42&lt;装备突破!H$6,0,IFERROR(MATCH(R42,装备突破!H$6:H$20,0)-1,MATCH(R42,装备突破!H$6:H$20,1))))))</f>
        <v>3</v>
      </c>
      <c r="X42" s="143"/>
      <c r="Y42" s="143"/>
      <c r="Z42" s="143"/>
      <c r="AA42" s="143"/>
      <c r="AB42" s="158">
        <v>5</v>
      </c>
    </row>
    <row r="43" spans="1:28" x14ac:dyDescent="0.15">
      <c r="A43" s="41">
        <v>12</v>
      </c>
      <c r="B43" s="101">
        <v>90</v>
      </c>
      <c r="C43" s="142">
        <f>INDEX(节奏总纲!$Q$4:$Q$163,$B43)</f>
        <v>438.13140000000004</v>
      </c>
      <c r="D43" s="134">
        <f>'[1]资源-装备'!H49</f>
        <v>0</v>
      </c>
      <c r="E43" s="134">
        <f>'[1]资源-装备'!I49</f>
        <v>0</v>
      </c>
      <c r="F43" s="134">
        <f>'[1]资源-装备'!J49</f>
        <v>0</v>
      </c>
      <c r="G43" s="134">
        <f>'[1]资源-装备'!K49</f>
        <v>0</v>
      </c>
      <c r="H43" s="134">
        <f>'[1]资源-装备'!L49</f>
        <v>18</v>
      </c>
      <c r="I43" s="29">
        <f>IF(INDEX(装备突破!D$94:D$113,MATCH($B43*2-20,装备突破!$C$94:$C$113,0))="",I42,INDEX(装备突破!D$94:D$113,MATCH($B43*2-20,装备突破!$C$94:$C$113,0)))</f>
        <v>0.9</v>
      </c>
      <c r="J43" s="29">
        <f>IF(INDEX(装备突破!E$94:E$113,MATCH($B43*2-20,装备突破!$C$94:$C$113,0))="",J42,INDEX(装备突破!E$94:E$113,MATCH($B43*2-20,装备突破!$C$94:$C$113,0)))</f>
        <v>1</v>
      </c>
      <c r="K43" s="29">
        <f>IF(INDEX(装备突破!F$94:F$113,MATCH($B43*2-20,装备突破!$C$94:$C$113,0))="",K42,INDEX(装备突破!F$94:F$113,MATCH($B43*2-20,装备突破!$C$94:$C$113,0)))</f>
        <v>1</v>
      </c>
      <c r="L43" s="29">
        <f>IF(INDEX(装备突破!G$94:G$113,MATCH($B43*2-20,装备突破!$C$94:$C$113,0))="",L42,INDEX(装备突破!G$94:G$113,MATCH($B43*2-20,装备突破!$C$94:$C$113,0)))</f>
        <v>1</v>
      </c>
      <c r="M43" s="29">
        <f>IF(INDEX(装备突破!H$94:H$113,MATCH($B43*2-20,装备突破!$C$94:$C$113,0))="",M42,INDEX(装备突破!H$94:H$113,MATCH($B43*2-20,装备突破!$C$94:$C$113,0)))</f>
        <v>1</v>
      </c>
      <c r="N43" s="110" t="s">
        <v>397</v>
      </c>
      <c r="O43" s="110" t="s">
        <v>397</v>
      </c>
      <c r="P43" s="110" t="s">
        <v>397</v>
      </c>
      <c r="Q43" s="110" t="s">
        <v>397</v>
      </c>
      <c r="R43" s="110">
        <v>180</v>
      </c>
      <c r="S43" s="43">
        <f>IF(N43="",0,IF(N43&gt;MAX(装备突破!D$6:D$20),"溢出",IF(N43="","",IF(N43&lt;装备突破!D$6,0,IFERROR(MATCH(N43,装备突破!D$6:D$20,0)-1,MATCH(N43,装备突破!D$6:D$20,1))))))</f>
        <v>0</v>
      </c>
      <c r="T43" s="43">
        <f>IF(O43="",0,IF(O43&gt;MAX(装备突破!E$6:E$20),"溢出",IF(O43="","",IF(O43&lt;装备突破!E$6,0,IFERROR(MATCH(O43,装备突破!E$6:E$20,0)-1,MATCH(O43,装备突破!E$6:E$20,1))))))</f>
        <v>0</v>
      </c>
      <c r="U43" s="43">
        <f>IF(P43="",0,IF(P43&gt;MAX(装备突破!F$6:F$20),"溢出",IF(P43="","",IF(P43&lt;装备突破!F$6,0,IFERROR(MATCH(P43,装备突破!F$6:F$20,0)-1,MATCH(P43,装备突破!F$6:F$20,1))))))</f>
        <v>0</v>
      </c>
      <c r="V43" s="43">
        <f>IF(Q43="",0,IF(Q43&gt;MAX(装备突破!G$6:G$20),"溢出",IF(Q43="","",IF(Q43&lt;装备突破!G$6,0,IFERROR(MATCH(Q43,装备突破!G$6:G$20,0)-1,MATCH(Q43,装备突破!G$6:G$20,1))))))</f>
        <v>0</v>
      </c>
      <c r="W43" s="43">
        <f>IF(R43="",0,IF(R43&gt;MAX(装备突破!H$6:H$20),"溢出",IF(R43="","",IF(R43&lt;装备突破!H$6,0,IFERROR(MATCH(R43,装备突破!H$6:H$20,0)-1,MATCH(R43,装备突破!H$6:H$20,1))))))</f>
        <v>4</v>
      </c>
      <c r="X43" s="143"/>
      <c r="Y43" s="143"/>
      <c r="Z43" s="143"/>
      <c r="AA43" s="143"/>
      <c r="AB43" s="158">
        <v>10</v>
      </c>
    </row>
    <row r="44" spans="1:28" s="46" customFormat="1" x14ac:dyDescent="0.15">
      <c r="A44" s="41">
        <v>13</v>
      </c>
      <c r="B44" s="128">
        <v>100</v>
      </c>
      <c r="C44" s="142">
        <f>INDEX(节奏总纲!$Q$4:$Q$163,$B44)</f>
        <v>875.38110000000006</v>
      </c>
      <c r="D44" s="134">
        <f>'[1]资源-装备'!H50</f>
        <v>0</v>
      </c>
      <c r="E44" s="134">
        <f>'[1]资源-装备'!I50</f>
        <v>0</v>
      </c>
      <c r="F44" s="134">
        <f>'[1]资源-装备'!J50</f>
        <v>0</v>
      </c>
      <c r="G44" s="134">
        <f>'[1]资源-装备'!K50</f>
        <v>0</v>
      </c>
      <c r="H44" s="134">
        <f>'[1]资源-装备'!L50</f>
        <v>18</v>
      </c>
      <c r="I44" s="29">
        <f>IF(INDEX(装备突破!D$94:D$113,MATCH($B44*2-20,装备突破!$C$94:$C$113,0))="",I43,INDEX(装备突破!D$94:D$113,MATCH($B44*2-20,装备突破!$C$94:$C$113,0)))</f>
        <v>0.9</v>
      </c>
      <c r="J44" s="29">
        <f>IF(INDEX(装备突破!E$94:E$113,MATCH($B44*2-20,装备突破!$C$94:$C$113,0))="",J43,INDEX(装备突破!E$94:E$113,MATCH($B44*2-20,装备突破!$C$94:$C$113,0)))</f>
        <v>1</v>
      </c>
      <c r="K44" s="29">
        <f>IF(INDEX(装备突破!F$94:F$113,MATCH($B44*2-20,装备突破!$C$94:$C$113,0))="",K43,INDEX(装备突破!F$94:F$113,MATCH($B44*2-20,装备突破!$C$94:$C$113,0)))</f>
        <v>1</v>
      </c>
      <c r="L44" s="29">
        <f>IF(INDEX(装备突破!G$94:G$113,MATCH($B44*2-20,装备突破!$C$94:$C$113,0))="",L43,INDEX(装备突破!G$94:G$113,MATCH($B44*2-20,装备突破!$C$94:$C$113,0)))</f>
        <v>1</v>
      </c>
      <c r="M44" s="29">
        <f>IF(INDEX(装备突破!H$94:H$113,MATCH($B44*2-20,装备突破!$C$94:$C$113,0))="",M43,INDEX(装备突破!H$94:H$113,MATCH($B44*2-20,装备突破!$C$94:$C$113,0)))</f>
        <v>1</v>
      </c>
      <c r="N44" s="126" t="s">
        <v>397</v>
      </c>
      <c r="O44" s="126" t="s">
        <v>397</v>
      </c>
      <c r="P44" s="126" t="s">
        <v>397</v>
      </c>
      <c r="Q44" s="126" t="s">
        <v>397</v>
      </c>
      <c r="R44" s="126">
        <v>200</v>
      </c>
      <c r="S44" s="43">
        <f>IF(N44="",0,IF(N44&gt;MAX(装备突破!D$6:D$20),"溢出",IF(N44="","",IF(N44&lt;装备突破!D$6,0,IFERROR(MATCH(N44,装备突破!D$6:D$20,0)-1,MATCH(N44,装备突破!D$6:D$20,1))))))</f>
        <v>0</v>
      </c>
      <c r="T44" s="43">
        <f>IF(O44="",0,IF(O44&gt;MAX(装备突破!E$6:E$20),"溢出",IF(O44="","",IF(O44&lt;装备突破!E$6,0,IFERROR(MATCH(O44,装备突破!E$6:E$20,0)-1,MATCH(O44,装备突破!E$6:E$20,1))))))</f>
        <v>0</v>
      </c>
      <c r="U44" s="43">
        <f>IF(P44="",0,IF(P44&gt;MAX(装备突破!F$6:F$20),"溢出",IF(P44="","",IF(P44&lt;装备突破!F$6,0,IFERROR(MATCH(P44,装备突破!F$6:F$20,0)-1,MATCH(P44,装备突破!F$6:F$20,1))))))</f>
        <v>0</v>
      </c>
      <c r="V44" s="43">
        <f>IF(Q44="",0,IF(Q44&gt;MAX(装备突破!G$6:G$20),"溢出",IF(Q44="","",IF(Q44&lt;装备突破!G$6,0,IFERROR(MATCH(Q44,装备突破!G$6:G$20,0)-1,MATCH(Q44,装备突破!G$6:G$20,1))))))</f>
        <v>0</v>
      </c>
      <c r="W44" s="43">
        <f>IF(R44="",0,IF(R44&gt;MAX(装备突破!H$6:H$20),"溢出",IF(R44="","",IF(R44&lt;装备突破!H$6,0,IFERROR(MATCH(R44,装备突破!H$6:H$20,0)-1,MATCH(R44,装备突破!H$6:H$20,1))))))</f>
        <v>5</v>
      </c>
      <c r="X44" s="143"/>
      <c r="Y44" s="143"/>
      <c r="Z44" s="143"/>
      <c r="AA44" s="143"/>
      <c r="AB44" s="158">
        <v>17.5</v>
      </c>
    </row>
    <row r="45" spans="1:28" s="46" customFormat="1" x14ac:dyDescent="0.15">
      <c r="A45" s="41">
        <v>14</v>
      </c>
      <c r="B45" s="128">
        <v>110</v>
      </c>
      <c r="C45" s="142">
        <f>INDEX(节奏总纲!$Q$4:$Q$163,$B45)</f>
        <v>1741.3829000000001</v>
      </c>
      <c r="D45" s="134">
        <f>'[1]资源-装备'!H51</f>
        <v>0</v>
      </c>
      <c r="E45" s="134">
        <f>'[1]资源-装备'!I51</f>
        <v>0</v>
      </c>
      <c r="F45" s="134">
        <f>'[1]资源-装备'!J51</f>
        <v>0</v>
      </c>
      <c r="G45" s="134">
        <f>'[1]资源-装备'!K51</f>
        <v>0</v>
      </c>
      <c r="H45" s="134">
        <f>'[1]资源-装备'!L51</f>
        <v>18</v>
      </c>
      <c r="I45" s="29">
        <f>IF(INDEX(装备突破!D$94:D$113,MATCH($B45*2-20,装备突破!$C$94:$C$113,0))="",I44,INDEX(装备突破!D$94:D$113,MATCH($B45*2-20,装备突破!$C$94:$C$113,0)))</f>
        <v>0.9</v>
      </c>
      <c r="J45" s="29">
        <f>IF(INDEX(装备突破!E$94:E$113,MATCH($B45*2-20,装备突破!$C$94:$C$113,0))="",J44,INDEX(装备突破!E$94:E$113,MATCH($B45*2-20,装备突破!$C$94:$C$113,0)))</f>
        <v>1</v>
      </c>
      <c r="K45" s="29">
        <f>IF(INDEX(装备突破!F$94:F$113,MATCH($B45*2-20,装备突破!$C$94:$C$113,0))="",K44,INDEX(装备突破!F$94:F$113,MATCH($B45*2-20,装备突破!$C$94:$C$113,0)))</f>
        <v>1</v>
      </c>
      <c r="L45" s="29">
        <f>IF(INDEX(装备突破!G$94:G$113,MATCH($B45*2-20,装备突破!$C$94:$C$113,0))="",L44,INDEX(装备突破!G$94:G$113,MATCH($B45*2-20,装备突破!$C$94:$C$113,0)))</f>
        <v>1</v>
      </c>
      <c r="M45" s="29">
        <f>IF(INDEX(装备突破!H$94:H$113,MATCH($B45*2-20,装备突破!$C$94:$C$113,0))="",M44,INDEX(装备突破!H$94:H$113,MATCH($B45*2-20,装备突破!$C$94:$C$113,0)))</f>
        <v>1</v>
      </c>
      <c r="N45" s="126" t="s">
        <v>397</v>
      </c>
      <c r="O45" s="126" t="s">
        <v>397</v>
      </c>
      <c r="P45" s="126" t="s">
        <v>397</v>
      </c>
      <c r="Q45" s="126" t="s">
        <v>397</v>
      </c>
      <c r="R45" s="126">
        <v>220</v>
      </c>
      <c r="S45" s="43">
        <f>IF(N45="",0,IF(N45&gt;MAX(装备突破!D$6:D$20),"溢出",IF(N45="","",IF(N45&lt;装备突破!D$6,0,IFERROR(MATCH(N45,装备突破!D$6:D$20,0)-1,MATCH(N45,装备突破!D$6:D$20,1))))))</f>
        <v>0</v>
      </c>
      <c r="T45" s="43">
        <f>IF(O45="",0,IF(O45&gt;MAX(装备突破!E$6:E$20),"溢出",IF(O45="","",IF(O45&lt;装备突破!E$6,0,IFERROR(MATCH(O45,装备突破!E$6:E$20,0)-1,MATCH(O45,装备突破!E$6:E$20,1))))))</f>
        <v>0</v>
      </c>
      <c r="U45" s="43">
        <f>IF(P45="",0,IF(P45&gt;MAX(装备突破!F$6:F$20),"溢出",IF(P45="","",IF(P45&lt;装备突破!F$6,0,IFERROR(MATCH(P45,装备突破!F$6:F$20,0)-1,MATCH(P45,装备突破!F$6:F$20,1))))))</f>
        <v>0</v>
      </c>
      <c r="V45" s="43">
        <f>IF(Q45="",0,IF(Q45&gt;MAX(装备突破!G$6:G$20),"溢出",IF(Q45="","",IF(Q45&lt;装备突破!G$6,0,IFERROR(MATCH(Q45,装备突破!G$6:G$20,0)-1,MATCH(Q45,装备突破!G$6:G$20,1))))))</f>
        <v>0</v>
      </c>
      <c r="W45" s="43">
        <f>IF(R45="",0,IF(R45&gt;MAX(装备突破!H$6:H$20),"溢出",IF(R45="","",IF(R45&lt;装备突破!H$6,0,IFERROR(MATCH(R45,装备突破!H$6:H$20,0)-1,MATCH(R45,装备突破!H$6:H$20,1))))))</f>
        <v>6</v>
      </c>
      <c r="X45" s="143"/>
      <c r="Y45" s="143"/>
      <c r="Z45" s="143"/>
      <c r="AA45" s="143"/>
      <c r="AB45" s="158">
        <v>25</v>
      </c>
    </row>
    <row r="46" spans="1:28" s="46" customFormat="1" x14ac:dyDescent="0.15">
      <c r="A46" s="41">
        <v>15</v>
      </c>
      <c r="B46" s="128">
        <v>120</v>
      </c>
      <c r="C46" s="142">
        <f>INDEX(节奏总纲!$Q$4:$Q$163,$B46)</f>
        <v>3486.0735</v>
      </c>
      <c r="D46" s="134">
        <f>'[1]资源-装备'!H52</f>
        <v>0</v>
      </c>
      <c r="E46" s="134">
        <f>'[1]资源-装备'!I52</f>
        <v>0</v>
      </c>
      <c r="F46" s="134">
        <f>'[1]资源-装备'!J52</f>
        <v>0</v>
      </c>
      <c r="G46" s="134">
        <f>'[1]资源-装备'!K52</f>
        <v>0</v>
      </c>
      <c r="H46" s="134">
        <f>'[1]资源-装备'!L52</f>
        <v>18</v>
      </c>
      <c r="I46" s="29">
        <f>IF(INDEX(装备突破!D$94:D$113,MATCH($B46*2-20,装备突破!$C$94:$C$113,0))="",I45,INDEX(装备突破!D$94:D$113,MATCH($B46*2-20,装备突破!$C$94:$C$113,0)))</f>
        <v>0.9</v>
      </c>
      <c r="J46" s="29">
        <f>IF(INDEX(装备突破!E$94:E$113,MATCH($B46*2-20,装备突破!$C$94:$C$113,0))="",J45,INDEX(装备突破!E$94:E$113,MATCH($B46*2-20,装备突破!$C$94:$C$113,0)))</f>
        <v>1</v>
      </c>
      <c r="K46" s="29">
        <f>IF(INDEX(装备突破!F$94:F$113,MATCH($B46*2-20,装备突破!$C$94:$C$113,0))="",K45,INDEX(装备突破!F$94:F$113,MATCH($B46*2-20,装备突破!$C$94:$C$113,0)))</f>
        <v>1</v>
      </c>
      <c r="L46" s="29">
        <f>IF(INDEX(装备突破!G$94:G$113,MATCH($B46*2-20,装备突破!$C$94:$C$113,0))="",L45,INDEX(装备突破!G$94:G$113,MATCH($B46*2-20,装备突破!$C$94:$C$113,0)))</f>
        <v>1</v>
      </c>
      <c r="M46" s="29">
        <f>IF(INDEX(装备突破!H$94:H$113,MATCH($B46*2-20,装备突破!$C$94:$C$113,0))="",M45,INDEX(装备突破!H$94:H$113,MATCH($B46*2-20,装备突破!$C$94:$C$113,0)))</f>
        <v>1</v>
      </c>
      <c r="N46" s="126" t="s">
        <v>397</v>
      </c>
      <c r="O46" s="126" t="s">
        <v>397</v>
      </c>
      <c r="P46" s="126" t="s">
        <v>397</v>
      </c>
      <c r="Q46" s="126" t="s">
        <v>397</v>
      </c>
      <c r="R46" s="126">
        <v>240</v>
      </c>
      <c r="S46" s="43">
        <f>IF(N46="",0,IF(N46&gt;MAX(装备突破!D$6:D$20),"溢出",IF(N46="","",IF(N46&lt;装备突破!D$6,0,IFERROR(MATCH(N46,装备突破!D$6:D$20,0)-1,MATCH(N46,装备突破!D$6:D$20,1))))))</f>
        <v>0</v>
      </c>
      <c r="T46" s="43">
        <f>IF(O46="",0,IF(O46&gt;MAX(装备突破!E$6:E$20),"溢出",IF(O46="","",IF(O46&lt;装备突破!E$6,0,IFERROR(MATCH(O46,装备突破!E$6:E$20,0)-1,MATCH(O46,装备突破!E$6:E$20,1))))))</f>
        <v>0</v>
      </c>
      <c r="U46" s="43">
        <f>IF(P46="",0,IF(P46&gt;MAX(装备突破!F$6:F$20),"溢出",IF(P46="","",IF(P46&lt;装备突破!F$6,0,IFERROR(MATCH(P46,装备突破!F$6:F$20,0)-1,MATCH(P46,装备突破!F$6:F$20,1))))))</f>
        <v>0</v>
      </c>
      <c r="V46" s="43">
        <f>IF(Q46="",0,IF(Q46&gt;MAX(装备突破!G$6:G$20),"溢出",IF(Q46="","",IF(Q46&lt;装备突破!G$6,0,IFERROR(MATCH(Q46,装备突破!G$6:G$20,0)-1,MATCH(Q46,装备突破!G$6:G$20,1))))))</f>
        <v>0</v>
      </c>
      <c r="W46" s="43">
        <f>IF(R46="",0,IF(R46&gt;MAX(装备突破!H$6:H$20),"溢出",IF(R46="","",IF(R46&lt;装备突破!H$6,0,IFERROR(MATCH(R46,装备突破!H$6:H$20,0)-1,MATCH(R46,装备突破!H$6:H$20,1))))))</f>
        <v>7</v>
      </c>
      <c r="X46" s="143"/>
      <c r="Y46" s="143"/>
      <c r="Z46" s="143"/>
      <c r="AA46" s="143"/>
      <c r="AB46" s="158">
        <v>25</v>
      </c>
    </row>
    <row r="47" spans="1:28" s="46" customFormat="1" x14ac:dyDescent="0.15">
      <c r="A47" s="41">
        <v>16</v>
      </c>
      <c r="B47" s="128">
        <v>130</v>
      </c>
      <c r="C47" s="142">
        <f>INDEX(节奏总纲!$Q$4:$Q$163,$B47)</f>
        <v>6941.8725000000004</v>
      </c>
      <c r="D47" s="134">
        <f>'[1]资源-装备'!H53</f>
        <v>0</v>
      </c>
      <c r="E47" s="134">
        <f>'[1]资源-装备'!I53</f>
        <v>0</v>
      </c>
      <c r="F47" s="134">
        <f>'[1]资源-装备'!J53</f>
        <v>0</v>
      </c>
      <c r="G47" s="134">
        <f>'[1]资源-装备'!K53</f>
        <v>0</v>
      </c>
      <c r="H47" s="134">
        <f>'[1]资源-装备'!L53</f>
        <v>18</v>
      </c>
      <c r="I47" s="29">
        <f>IF(INDEX(装备突破!D$94:D$113,MATCH($B47*2-20,装备突破!$C$94:$C$113,0))="",I46,INDEX(装备突破!D$94:D$113,MATCH($B47*2-20,装备突破!$C$94:$C$113,0)))</f>
        <v>0.9</v>
      </c>
      <c r="J47" s="29">
        <f>IF(INDEX(装备突破!E$94:E$113,MATCH($B47*2-20,装备突破!$C$94:$C$113,0))="",J46,INDEX(装备突破!E$94:E$113,MATCH($B47*2-20,装备突破!$C$94:$C$113,0)))</f>
        <v>1</v>
      </c>
      <c r="K47" s="29">
        <f>IF(INDEX(装备突破!F$94:F$113,MATCH($B47*2-20,装备突破!$C$94:$C$113,0))="",K46,INDEX(装备突破!F$94:F$113,MATCH($B47*2-20,装备突破!$C$94:$C$113,0)))</f>
        <v>1</v>
      </c>
      <c r="L47" s="29">
        <f>IF(INDEX(装备突破!G$94:G$113,MATCH($B47*2-20,装备突破!$C$94:$C$113,0))="",L46,INDEX(装备突破!G$94:G$113,MATCH($B47*2-20,装备突破!$C$94:$C$113,0)))</f>
        <v>1</v>
      </c>
      <c r="M47" s="29">
        <f>IF(INDEX(装备突破!H$94:H$113,MATCH($B47*2-20,装备突破!$C$94:$C$113,0))="",M46,INDEX(装备突破!H$94:H$113,MATCH($B47*2-20,装备突破!$C$94:$C$113,0)))</f>
        <v>1</v>
      </c>
      <c r="N47" s="126" t="s">
        <v>397</v>
      </c>
      <c r="O47" s="126" t="s">
        <v>397</v>
      </c>
      <c r="P47" s="126" t="s">
        <v>397</v>
      </c>
      <c r="Q47" s="126" t="s">
        <v>397</v>
      </c>
      <c r="R47" s="126">
        <v>260</v>
      </c>
      <c r="S47" s="43">
        <f>IF(N47="",0,IF(N47&gt;MAX(装备突破!D$6:D$20),"溢出",IF(N47="","",IF(N47&lt;装备突破!D$6,0,IFERROR(MATCH(N47,装备突破!D$6:D$20,0)-1,MATCH(N47,装备突破!D$6:D$20,1))))))</f>
        <v>0</v>
      </c>
      <c r="T47" s="43">
        <f>IF(O47="",0,IF(O47&gt;MAX(装备突破!E$6:E$20),"溢出",IF(O47="","",IF(O47&lt;装备突破!E$6,0,IFERROR(MATCH(O47,装备突破!E$6:E$20,0)-1,MATCH(O47,装备突破!E$6:E$20,1))))))</f>
        <v>0</v>
      </c>
      <c r="U47" s="43">
        <f>IF(P47="",0,IF(P47&gt;MAX(装备突破!F$6:F$20),"溢出",IF(P47="","",IF(P47&lt;装备突破!F$6,0,IFERROR(MATCH(P47,装备突破!F$6:F$20,0)-1,MATCH(P47,装备突破!F$6:F$20,1))))))</f>
        <v>0</v>
      </c>
      <c r="V47" s="43">
        <f>IF(Q47="",0,IF(Q47&gt;MAX(装备突破!G$6:G$20),"溢出",IF(Q47="","",IF(Q47&lt;装备突破!G$6,0,IFERROR(MATCH(Q47,装备突破!G$6:G$20,0)-1,MATCH(Q47,装备突破!G$6:G$20,1))))))</f>
        <v>0</v>
      </c>
      <c r="W47" s="43">
        <f>IF(R47="",0,IF(R47&gt;MAX(装备突破!H$6:H$20),"溢出",IF(R47="","",IF(R47&lt;装备突破!H$6,0,IFERROR(MATCH(R47,装备突破!H$6:H$20,0)-1,MATCH(R47,装备突破!H$6:H$20,1))))))</f>
        <v>8</v>
      </c>
      <c r="X47" s="143"/>
      <c r="Y47" s="143"/>
      <c r="Z47" s="143"/>
      <c r="AA47" s="143"/>
      <c r="AB47" s="158">
        <v>25</v>
      </c>
    </row>
    <row r="48" spans="1:28" s="46" customFormat="1" x14ac:dyDescent="0.15">
      <c r="A48" s="41">
        <v>17</v>
      </c>
      <c r="B48" s="128">
        <v>140</v>
      </c>
      <c r="C48" s="142">
        <f>INDEX(节奏总纲!$Q$4:$Q$163,$B48)</f>
        <v>13881.315900000001</v>
      </c>
      <c r="D48" s="134">
        <f>'[1]资源-装备'!H54</f>
        <v>0</v>
      </c>
      <c r="E48" s="134">
        <f>'[1]资源-装备'!I54</f>
        <v>0</v>
      </c>
      <c r="F48" s="134">
        <f>'[1]资源-装备'!J54</f>
        <v>0</v>
      </c>
      <c r="G48" s="134">
        <f>'[1]资源-装备'!K54</f>
        <v>0</v>
      </c>
      <c r="H48" s="134">
        <f>'[1]资源-装备'!L54</f>
        <v>18</v>
      </c>
      <c r="I48" s="29">
        <f>IF(INDEX(装备突破!D$94:D$113,MATCH($B48*2-20,装备突破!$C$94:$C$113,0))="",I47,INDEX(装备突破!D$94:D$113,MATCH($B48*2-20,装备突破!$C$94:$C$113,0)))</f>
        <v>0.9</v>
      </c>
      <c r="J48" s="29">
        <f>IF(INDEX(装备突破!E$94:E$113,MATCH($B48*2-20,装备突破!$C$94:$C$113,0))="",J47,INDEX(装备突破!E$94:E$113,MATCH($B48*2-20,装备突破!$C$94:$C$113,0)))</f>
        <v>1</v>
      </c>
      <c r="K48" s="29">
        <f>IF(INDEX(装备突破!F$94:F$113,MATCH($B48*2-20,装备突破!$C$94:$C$113,0))="",K47,INDEX(装备突破!F$94:F$113,MATCH($B48*2-20,装备突破!$C$94:$C$113,0)))</f>
        <v>1</v>
      </c>
      <c r="L48" s="29">
        <f>IF(INDEX(装备突破!G$94:G$113,MATCH($B48*2-20,装备突破!$C$94:$C$113,0))="",L47,INDEX(装备突破!G$94:G$113,MATCH($B48*2-20,装备突破!$C$94:$C$113,0)))</f>
        <v>1</v>
      </c>
      <c r="M48" s="29">
        <f>IF(INDEX(装备突破!H$94:H$113,MATCH($B48*2-20,装备突破!$C$94:$C$113,0))="",M47,INDEX(装备突破!H$94:H$113,MATCH($B48*2-20,装备突破!$C$94:$C$113,0)))</f>
        <v>1</v>
      </c>
      <c r="N48" s="126" t="s">
        <v>397</v>
      </c>
      <c r="O48" s="126" t="s">
        <v>397</v>
      </c>
      <c r="P48" s="126" t="s">
        <v>397</v>
      </c>
      <c r="Q48" s="126" t="s">
        <v>397</v>
      </c>
      <c r="R48" s="126">
        <v>280</v>
      </c>
      <c r="S48" s="43">
        <f>IF(N48="",0,IF(N48&gt;MAX(装备突破!D$6:D$20),"溢出",IF(N48="","",IF(N48&lt;装备突破!D$6,0,IFERROR(MATCH(N48,装备突破!D$6:D$20,0)-1,MATCH(N48,装备突破!D$6:D$20,1))))))</f>
        <v>0</v>
      </c>
      <c r="T48" s="43">
        <f>IF(O48="",0,IF(O48&gt;MAX(装备突破!E$6:E$20),"溢出",IF(O48="","",IF(O48&lt;装备突破!E$6,0,IFERROR(MATCH(O48,装备突破!E$6:E$20,0)-1,MATCH(O48,装备突破!E$6:E$20,1))))))</f>
        <v>0</v>
      </c>
      <c r="U48" s="43">
        <f>IF(P48="",0,IF(P48&gt;MAX(装备突破!F$6:F$20),"溢出",IF(P48="","",IF(P48&lt;装备突破!F$6,0,IFERROR(MATCH(P48,装备突破!F$6:F$20,0)-1,MATCH(P48,装备突破!F$6:F$20,1))))))</f>
        <v>0</v>
      </c>
      <c r="V48" s="43">
        <f>IF(Q48="",0,IF(Q48&gt;MAX(装备突破!G$6:G$20),"溢出",IF(Q48="","",IF(Q48&lt;装备突破!G$6,0,IFERROR(MATCH(Q48,装备突破!G$6:G$20,0)-1,MATCH(Q48,装备突破!G$6:G$20,1))))))</f>
        <v>0</v>
      </c>
      <c r="W48" s="43">
        <f>IF(R48="",0,IF(R48&gt;MAX(装备突破!H$6:H$20),"溢出",IF(R48="","",IF(R48&lt;装备突破!H$6,0,IFERROR(MATCH(R48,装备突破!H$6:H$20,0)-1,MATCH(R48,装备突破!H$6:H$20,1))))))</f>
        <v>9</v>
      </c>
      <c r="X48" s="143"/>
      <c r="Y48" s="143"/>
      <c r="Z48" s="143"/>
      <c r="AA48" s="143"/>
      <c r="AB48" s="158">
        <v>25</v>
      </c>
    </row>
    <row r="49" spans="1:28" s="46" customFormat="1" x14ac:dyDescent="0.15">
      <c r="A49" s="41">
        <v>18</v>
      </c>
      <c r="B49" s="128">
        <v>150</v>
      </c>
      <c r="C49" s="142">
        <f>INDEX(节奏总纲!$Q$4:$Q$163,$B49)</f>
        <v>27671.731500000002</v>
      </c>
      <c r="D49" s="134">
        <f>'[1]资源-装备'!H55</f>
        <v>0</v>
      </c>
      <c r="E49" s="134">
        <f>'[1]资源-装备'!I55</f>
        <v>0</v>
      </c>
      <c r="F49" s="134">
        <f>'[1]资源-装备'!J55</f>
        <v>0</v>
      </c>
      <c r="G49" s="134">
        <f>'[1]资源-装备'!K55</f>
        <v>0</v>
      </c>
      <c r="H49" s="134">
        <f>'[1]资源-装备'!L55</f>
        <v>18</v>
      </c>
      <c r="I49" s="29">
        <f>IF(INDEX(装备突破!D$94:D$113,MATCH($B49*2-20,装备突破!$C$94:$C$113,0))="",I48,INDEX(装备突破!D$94:D$113,MATCH($B49*2-20,装备突破!$C$94:$C$113,0)))</f>
        <v>0.9</v>
      </c>
      <c r="J49" s="29">
        <f>IF(INDEX(装备突破!E$94:E$113,MATCH($B49*2-20,装备突破!$C$94:$C$113,0))="",J48,INDEX(装备突破!E$94:E$113,MATCH($B49*2-20,装备突破!$C$94:$C$113,0)))</f>
        <v>1</v>
      </c>
      <c r="K49" s="29">
        <f>IF(INDEX(装备突破!F$94:F$113,MATCH($B49*2-20,装备突破!$C$94:$C$113,0))="",K48,INDEX(装备突破!F$94:F$113,MATCH($B49*2-20,装备突破!$C$94:$C$113,0)))</f>
        <v>1</v>
      </c>
      <c r="L49" s="29">
        <f>IF(INDEX(装备突破!G$94:G$113,MATCH($B49*2-20,装备突破!$C$94:$C$113,0))="",L48,INDEX(装备突破!G$94:G$113,MATCH($B49*2-20,装备突破!$C$94:$C$113,0)))</f>
        <v>1</v>
      </c>
      <c r="M49" s="29">
        <f>IF(INDEX(装备突破!H$94:H$113,MATCH($B49*2-20,装备突破!$C$94:$C$113,0))="",M48,INDEX(装备突破!H$94:H$113,MATCH($B49*2-20,装备突破!$C$94:$C$113,0)))</f>
        <v>1</v>
      </c>
      <c r="N49" s="126" t="s">
        <v>397</v>
      </c>
      <c r="O49" s="126" t="s">
        <v>397</v>
      </c>
      <c r="P49" s="126" t="s">
        <v>397</v>
      </c>
      <c r="Q49" s="126" t="s">
        <v>397</v>
      </c>
      <c r="R49" s="126">
        <v>300</v>
      </c>
      <c r="S49" s="43">
        <f>IF(N49="",0,IF(N49&gt;MAX(装备突破!D$6:D$20),"溢出",IF(N49="","",IF(N49&lt;装备突破!D$6,0,IFERROR(MATCH(N49,装备突破!D$6:D$20,0)-1,MATCH(N49,装备突破!D$6:D$20,1))))))</f>
        <v>0</v>
      </c>
      <c r="T49" s="43">
        <f>IF(O49="",0,IF(O49&gt;MAX(装备突破!E$6:E$20),"溢出",IF(O49="","",IF(O49&lt;装备突破!E$6,0,IFERROR(MATCH(O49,装备突破!E$6:E$20,0)-1,MATCH(O49,装备突破!E$6:E$20,1))))))</f>
        <v>0</v>
      </c>
      <c r="U49" s="43">
        <f>IF(P49="",0,IF(P49&gt;MAX(装备突破!F$6:F$20),"溢出",IF(P49="","",IF(P49&lt;装备突破!F$6,0,IFERROR(MATCH(P49,装备突破!F$6:F$20,0)-1,MATCH(P49,装备突破!F$6:F$20,1))))))</f>
        <v>0</v>
      </c>
      <c r="V49" s="43">
        <f>IF(Q49="",0,IF(Q49&gt;MAX(装备突破!G$6:G$20),"溢出",IF(Q49="","",IF(Q49&lt;装备突破!G$6,0,IFERROR(MATCH(Q49,装备突破!G$6:G$20,0)-1,MATCH(Q49,装备突破!G$6:G$20,1))))))</f>
        <v>0</v>
      </c>
      <c r="W49" s="43">
        <f>IF(R49="",0,IF(R49&gt;MAX(装备突破!H$6:H$20),"溢出",IF(R49="","",IF(R49&lt;装备突破!H$6,0,IFERROR(MATCH(R49,装备突破!H$6:H$20,0)-1,MATCH(R49,装备突破!H$6:H$20,1))))))</f>
        <v>10</v>
      </c>
      <c r="X49" s="143"/>
      <c r="Y49" s="143"/>
      <c r="Z49" s="143"/>
      <c r="AA49" s="143"/>
      <c r="AB49" s="158">
        <v>25</v>
      </c>
    </row>
    <row r="50" spans="1:28" x14ac:dyDescent="0.15">
      <c r="A50" s="41">
        <v>19</v>
      </c>
      <c r="B50" s="128">
        <v>160</v>
      </c>
      <c r="C50" s="142">
        <f>INDEX(节奏总纲!$Q$4:$Q$163,$B50)</f>
        <v>65535</v>
      </c>
      <c r="D50" s="134">
        <f>'[1]资源-装备'!H56</f>
        <v>0</v>
      </c>
      <c r="E50" s="134">
        <f>'[1]资源-装备'!I56</f>
        <v>0</v>
      </c>
      <c r="F50" s="134">
        <f>'[1]资源-装备'!J56</f>
        <v>0</v>
      </c>
      <c r="G50" s="134">
        <f>'[1]资源-装备'!K56</f>
        <v>0</v>
      </c>
      <c r="H50" s="134">
        <f>'[1]资源-装备'!L56</f>
        <v>18</v>
      </c>
      <c r="I50" s="29">
        <f>IF(INDEX(装备突破!D$94:D$113,MATCH($B50*2-20,装备突破!$C$94:$C$113,0))="",I49,INDEX(装备突破!D$94:D$113,MATCH($B50*2-20,装备突破!$C$94:$C$113,0)))</f>
        <v>0.9</v>
      </c>
      <c r="J50" s="29">
        <f>IF(INDEX(装备突破!E$94:E$113,MATCH($B50*2-20,装备突破!$C$94:$C$113,0))="",J49,INDEX(装备突破!E$94:E$113,MATCH($B50*2-20,装备突破!$C$94:$C$113,0)))</f>
        <v>1</v>
      </c>
      <c r="K50" s="29">
        <f>IF(INDEX(装备突破!F$94:F$113,MATCH($B50*2-20,装备突破!$C$94:$C$113,0))="",K49,INDEX(装备突破!F$94:F$113,MATCH($B50*2-20,装备突破!$C$94:$C$113,0)))</f>
        <v>1</v>
      </c>
      <c r="L50" s="29">
        <f>IF(INDEX(装备突破!G$94:G$113,MATCH($B50*2-20,装备突破!$C$94:$C$113,0))="",L49,INDEX(装备突破!G$94:G$113,MATCH($B50*2-20,装备突破!$C$94:$C$113,0)))</f>
        <v>1</v>
      </c>
      <c r="M50" s="29">
        <f>IF(INDEX(装备突破!H$94:H$113,MATCH($B50*2-20,装备突破!$C$94:$C$113,0))="",M49,INDEX(装备突破!H$94:H$113,MATCH($B50*2-20,装备突破!$C$94:$C$113,0)))</f>
        <v>1</v>
      </c>
      <c r="N50" s="126" t="s">
        <v>397</v>
      </c>
      <c r="O50" s="126" t="s">
        <v>397</v>
      </c>
      <c r="P50" s="126" t="s">
        <v>397</v>
      </c>
      <c r="Q50" s="126" t="s">
        <v>397</v>
      </c>
      <c r="R50" s="126">
        <v>320</v>
      </c>
      <c r="S50" s="43">
        <f>IF(N50="",0,IF(N50&gt;MAX(装备突破!D$6:D$20),"溢出",IF(N50="","",IF(N50&lt;装备突破!D$6,0,IFERROR(MATCH(N50,装备突破!D$6:D$20,0)-1,MATCH(N50,装备突破!D$6:D$20,1))))))</f>
        <v>0</v>
      </c>
      <c r="T50" s="43">
        <f>IF(O50="",0,IF(O50&gt;MAX(装备突破!E$6:E$20),"溢出",IF(O50="","",IF(O50&lt;装备突破!E$6,0,IFERROR(MATCH(O50,装备突破!E$6:E$20,0)-1,MATCH(O50,装备突破!E$6:E$20,1))))))</f>
        <v>0</v>
      </c>
      <c r="U50" s="43">
        <f>IF(P50="",0,IF(P50&gt;MAX(装备突破!F$6:F$20),"溢出",IF(P50="","",IF(P50&lt;装备突破!F$6,0,IFERROR(MATCH(P50,装备突破!F$6:F$20,0)-1,MATCH(P50,装备突破!F$6:F$20,1))))))</f>
        <v>0</v>
      </c>
      <c r="V50" s="43">
        <f>IF(Q50="",0,IF(Q50&gt;MAX(装备突破!G$6:G$20),"溢出",IF(Q50="","",IF(Q50&lt;装备突破!G$6,0,IFERROR(MATCH(Q50,装备突破!G$6:G$20,0)-1,MATCH(Q50,装备突破!G$6:G$20,1))))))</f>
        <v>0</v>
      </c>
      <c r="W50" s="43">
        <f>IF(R50="",0,IF(R50&gt;MAX(装备突破!H$6:H$20),"溢出",IF(R50="","",IF(R50&lt;装备突破!H$6,0,IFERROR(MATCH(R50,装备突破!H$6:H$20,0)-1,MATCH(R50,装备突破!H$6:H$20,1))))))</f>
        <v>11</v>
      </c>
      <c r="X50" s="143"/>
      <c r="Y50" s="143"/>
      <c r="Z50" s="143"/>
      <c r="AA50" s="143"/>
      <c r="AB50" s="158">
        <v>25</v>
      </c>
    </row>
    <row r="51" spans="1:28" x14ac:dyDescent="0.15">
      <c r="A51" s="41">
        <v>20</v>
      </c>
      <c r="B51" s="44"/>
      <c r="C51" s="44"/>
      <c r="D51" s="44"/>
      <c r="E51" s="44"/>
      <c r="F51" s="44"/>
      <c r="G51" s="44"/>
      <c r="H51" s="44"/>
      <c r="I51" s="29" t="str">
        <f>IF(S51="","",INDEX(装备突破!D$94:D$113,MATCH(S51,装备突破!$C$94:$C$113,0),1))</f>
        <v/>
      </c>
      <c r="J51" s="29" t="str">
        <f>IF(T51="","",INDEX(装备突破!E$94:E$113,MATCH(T51,装备突破!$C$94:$C$113,0),1))</f>
        <v/>
      </c>
      <c r="K51" s="29" t="str">
        <f>IF(U51="","",INDEX(装备突破!F$94:F$113,MATCH(U51,装备突破!$C$94:$C$113,0),1))</f>
        <v/>
      </c>
      <c r="L51" s="29" t="str">
        <f>IF(V51="","",INDEX(装备突破!G$94:G$113,MATCH(V51,装备突破!$C$94:$C$113,0),1))</f>
        <v/>
      </c>
      <c r="M51" s="29" t="str">
        <f>IF(W51="","",INDEX(装备突破!H$94:H$113,MATCH(W51,装备突破!$C$94:$C$113,0),1))</f>
        <v/>
      </c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141"/>
      <c r="Y51" s="141"/>
      <c r="Z51" s="141"/>
      <c r="AA51" s="141"/>
      <c r="AB51" s="158"/>
    </row>
    <row r="52" spans="1:28" x14ac:dyDescent="0.15">
      <c r="A52" s="41">
        <v>21</v>
      </c>
      <c r="B52" s="44"/>
      <c r="C52" s="44"/>
      <c r="D52" s="44"/>
      <c r="E52" s="44"/>
      <c r="F52" s="44"/>
      <c r="G52" s="44"/>
      <c r="H52" s="44"/>
      <c r="I52" s="29" t="str">
        <f>IF(S52="","",INDEX(装备突破!D$94:D$113,MATCH(S52,装备突破!$C$94:$C$113,0),1))</f>
        <v/>
      </c>
      <c r="J52" s="29" t="str">
        <f>IF(T52="","",INDEX(装备突破!E$94:E$113,MATCH(T52,装备突破!$C$94:$C$113,0),1))</f>
        <v/>
      </c>
      <c r="K52" s="29" t="str">
        <f>IF(U52="","",INDEX(装备突破!F$94:F$113,MATCH(U52,装备突破!$C$94:$C$113,0),1))</f>
        <v/>
      </c>
      <c r="L52" s="29" t="str">
        <f>IF(V52="","",INDEX(装备突破!G$94:G$113,MATCH(V52,装备突破!$C$94:$C$113,0),1))</f>
        <v/>
      </c>
      <c r="M52" s="29" t="str">
        <f>IF(W52="","",INDEX(装备突破!H$94:H$113,MATCH(W52,装备突破!$C$94:$C$113,0),1))</f>
        <v/>
      </c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141"/>
      <c r="Y52" s="141"/>
      <c r="Z52" s="141"/>
      <c r="AA52" s="141"/>
      <c r="AB52" s="158"/>
    </row>
    <row r="53" spans="1:28" x14ac:dyDescent="0.15">
      <c r="A53" s="41">
        <v>22</v>
      </c>
      <c r="B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</row>
    <row r="54" spans="1:28" x14ac:dyDescent="0.15">
      <c r="A54" s="41">
        <v>23</v>
      </c>
      <c r="B54" s="46"/>
      <c r="D54" s="46"/>
      <c r="E54" s="46"/>
      <c r="F54" s="46"/>
      <c r="G54" s="46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</row>
    <row r="55" spans="1:28" x14ac:dyDescent="0.15">
      <c r="A55" s="41">
        <v>24</v>
      </c>
      <c r="B55" s="46"/>
      <c r="D55" s="46"/>
      <c r="E55" s="46"/>
      <c r="F55" s="46"/>
      <c r="G55" s="46"/>
      <c r="H55" s="46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W55" s="46"/>
    </row>
    <row r="56" spans="1:28" x14ac:dyDescent="0.15">
      <c r="A56" s="41">
        <v>25</v>
      </c>
      <c r="B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W56" s="46"/>
    </row>
    <row r="57" spans="1:28" x14ac:dyDescent="0.15">
      <c r="A57" s="41">
        <v>26</v>
      </c>
      <c r="B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W57" s="46"/>
    </row>
    <row r="58" spans="1:28" x14ac:dyDescent="0.15">
      <c r="A58" s="41">
        <v>27</v>
      </c>
      <c r="B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</row>
    <row r="59" spans="1:28" x14ac:dyDescent="0.15">
      <c r="A59" s="41">
        <v>28</v>
      </c>
      <c r="B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W59" s="46"/>
    </row>
    <row r="60" spans="1:28" x14ac:dyDescent="0.15">
      <c r="A60" s="41">
        <v>29</v>
      </c>
      <c r="B60" s="46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</row>
    <row r="61" spans="1:28" x14ac:dyDescent="0.15">
      <c r="A61" s="41">
        <v>1</v>
      </c>
      <c r="B61" s="183" t="s">
        <v>137</v>
      </c>
      <c r="C61" s="183"/>
      <c r="D61" s="183"/>
      <c r="E61" s="183"/>
      <c r="F61" s="183"/>
      <c r="G61" s="183"/>
      <c r="H61" s="183"/>
      <c r="I61" s="183"/>
      <c r="J61" s="183"/>
      <c r="K61" s="183"/>
      <c r="L61" s="183"/>
      <c r="M61" s="183"/>
      <c r="N61" s="183"/>
      <c r="O61" s="183"/>
      <c r="P61" s="183"/>
      <c r="Q61" s="183"/>
      <c r="R61" s="183"/>
      <c r="S61" s="183"/>
      <c r="T61" s="183"/>
      <c r="U61" s="183"/>
      <c r="V61" s="183"/>
      <c r="W61" s="183"/>
      <c r="Z61" s="7"/>
      <c r="AA61" s="7"/>
    </row>
    <row r="62" spans="1:28" x14ac:dyDescent="0.15">
      <c r="A62" s="41">
        <v>2</v>
      </c>
      <c r="B62" s="44"/>
      <c r="C62" s="44"/>
      <c r="D62" s="183" t="s">
        <v>134</v>
      </c>
      <c r="E62" s="183"/>
      <c r="F62" s="183"/>
      <c r="G62" s="183"/>
      <c r="H62" s="183"/>
      <c r="I62" s="183" t="s">
        <v>192</v>
      </c>
      <c r="J62" s="183"/>
      <c r="K62" s="183"/>
      <c r="L62" s="183"/>
      <c r="M62" s="183"/>
      <c r="N62" s="183" t="s">
        <v>132</v>
      </c>
      <c r="O62" s="183"/>
      <c r="P62" s="183"/>
      <c r="Q62" s="183"/>
      <c r="R62" s="183"/>
      <c r="S62" s="183" t="s">
        <v>151</v>
      </c>
      <c r="T62" s="183"/>
      <c r="U62" s="183"/>
      <c r="V62" s="183"/>
      <c r="W62" s="183"/>
      <c r="X62" s="183" t="s">
        <v>427</v>
      </c>
      <c r="Y62" s="183"/>
      <c r="Z62" s="183"/>
      <c r="AA62" s="183"/>
      <c r="AB62" s="183"/>
    </row>
    <row r="63" spans="1:28" x14ac:dyDescent="0.15">
      <c r="A63" s="41">
        <v>3</v>
      </c>
      <c r="B63" s="45" t="s">
        <v>398</v>
      </c>
      <c r="C63" s="142" t="s">
        <v>212</v>
      </c>
      <c r="D63" s="45" t="s">
        <v>122</v>
      </c>
      <c r="E63" s="83" t="s">
        <v>123</v>
      </c>
      <c r="F63" s="45" t="s">
        <v>124</v>
      </c>
      <c r="G63" s="45" t="s">
        <v>125</v>
      </c>
      <c r="H63" s="45" t="s">
        <v>126</v>
      </c>
      <c r="I63" s="45" t="s">
        <v>140</v>
      </c>
      <c r="J63" s="45" t="s">
        <v>141</v>
      </c>
      <c r="K63" s="45" t="s">
        <v>142</v>
      </c>
      <c r="L63" s="45" t="s">
        <v>143</v>
      </c>
      <c r="M63" s="45" t="s">
        <v>144</v>
      </c>
      <c r="N63" s="45" t="s">
        <v>122</v>
      </c>
      <c r="O63" s="45" t="s">
        <v>123</v>
      </c>
      <c r="P63" s="45" t="s">
        <v>124</v>
      </c>
      <c r="Q63" s="45" t="s">
        <v>125</v>
      </c>
      <c r="R63" s="45" t="s">
        <v>126</v>
      </c>
      <c r="S63" s="45" t="s">
        <v>122</v>
      </c>
      <c r="T63" s="45" t="s">
        <v>123</v>
      </c>
      <c r="U63" s="45" t="s">
        <v>124</v>
      </c>
      <c r="V63" s="45" t="s">
        <v>125</v>
      </c>
      <c r="W63" s="45" t="s">
        <v>126</v>
      </c>
      <c r="X63" s="142" t="s">
        <v>0</v>
      </c>
      <c r="Y63" s="142" t="s">
        <v>1</v>
      </c>
      <c r="Z63" s="142" t="s">
        <v>2</v>
      </c>
      <c r="AA63" s="142" t="s">
        <v>3</v>
      </c>
      <c r="AB63" s="84" t="s">
        <v>4</v>
      </c>
    </row>
    <row r="64" spans="1:28" x14ac:dyDescent="0.15">
      <c r="A64" s="41">
        <v>4</v>
      </c>
      <c r="B64" s="45">
        <v>10</v>
      </c>
      <c r="C64" s="142">
        <f>INDEX(节奏总纲!$R$4:$R$163,$B64)</f>
        <v>0.6895</v>
      </c>
      <c r="D64" s="134">
        <f>'[1]资源-装备'!H70</f>
        <v>12</v>
      </c>
      <c r="E64" s="134">
        <f>'[1]资源-装备'!I70</f>
        <v>6</v>
      </c>
      <c r="F64" s="134">
        <f>'[1]资源-装备'!J70</f>
        <v>0</v>
      </c>
      <c r="G64" s="134">
        <f>'[1]资源-装备'!K70</f>
        <v>0</v>
      </c>
      <c r="H64" s="134">
        <f>'[1]资源-装备'!L70</f>
        <v>0</v>
      </c>
      <c r="I64" s="29">
        <f>IF(INDEX(装备突破!D$94:D$113,MATCH($B64*2-20,装备突破!$C$94:$C$113,0))="",I63,INDEX(装备突破!D$94:D$113,MATCH($B64*2-20,装备突破!$C$94:$C$113,0)))</f>
        <v>0.9</v>
      </c>
      <c r="J64" s="29">
        <f>IF(INDEX(装备突破!E$94:E$113,MATCH($B64*2-20,装备突破!$C$94:$C$113,0))="",J63,INDEX(装备突破!E$94:E$113,MATCH($B64*2-20,装备突破!$C$94:$C$113,0)))</f>
        <v>0.7</v>
      </c>
      <c r="K64" s="29">
        <f>IF(INDEX(装备突破!F$94:F$113,MATCH($B64*2-20,装备突破!$C$94:$C$113,0))="",K63,INDEX(装备突破!F$94:F$113,MATCH($B64*2-20,装备突破!$C$94:$C$113,0)))</f>
        <v>0.6</v>
      </c>
      <c r="L64" s="29">
        <f>IF(INDEX(装备突破!G$94:G$113,MATCH($B64*2-20,装备突破!$C$94:$C$113,0))="",L63,INDEX(装备突破!G$94:G$113,MATCH($B64*2-20,装备突破!$C$94:$C$113,0)))</f>
        <v>0.55000000000000004</v>
      </c>
      <c r="M64" s="29">
        <f>IF(INDEX(装备突破!H$94:H$113,MATCH($B64*2-20,装备突破!$C$94:$C$113,0))="",M63,INDEX(装备突破!H$94:H$113,MATCH($B64*2-20,装备突破!$C$94:$C$113,0)))</f>
        <v>0.48</v>
      </c>
      <c r="N64" s="110">
        <v>10</v>
      </c>
      <c r="O64" s="110">
        <v>10</v>
      </c>
      <c r="P64" s="110" t="s">
        <v>397</v>
      </c>
      <c r="Q64" s="110" t="s">
        <v>397</v>
      </c>
      <c r="R64" s="110" t="s">
        <v>397</v>
      </c>
      <c r="S64" s="43">
        <f>IF(N64="",0,IF(N64&gt;MAX(装备突破!D$6:D$20),"溢出",IF(N64="","",IF(N64&lt;装备突破!D$6,0,IFERROR(MATCH(N64,装备突破!D$6:D$20,0)-1,MATCH(N64,装备突破!D$6:D$20,1))))))</f>
        <v>0</v>
      </c>
      <c r="T64" s="43">
        <f>IF(O64="",0,IF(O64&gt;MAX(装备突破!E$6:E$20),"溢出",IF(O64="","",IF(O64&lt;装备突破!E$6,0,IFERROR(MATCH(O64,装备突破!E$6:E$20,0)-1,MATCH(O64,装备突破!E$6:E$20,1))))))</f>
        <v>0</v>
      </c>
      <c r="U64" s="43">
        <f>IF(P64="",0,IF(P64&gt;MAX(装备突破!F$6:F$20),"溢出",IF(P64="","",IF(P64&lt;装备突破!F$6,0,IFERROR(MATCH(P64,装备突破!F$6:F$20,0)-1,MATCH(P64,装备突破!F$6:F$20,1))))))</f>
        <v>0</v>
      </c>
      <c r="V64" s="43">
        <f>IF(Q64="",0,IF(Q64&gt;MAX(装备突破!G$6:G$20),"溢出",IF(Q64="","",IF(Q64&lt;装备突破!G$6,0,IFERROR(MATCH(Q64,装备突破!G$6:G$20,0)-1,MATCH(Q64,装备突破!G$6:G$20,1))))))</f>
        <v>0</v>
      </c>
      <c r="W64" s="43">
        <f>IF(R64="",0,IF(R64&gt;MAX(装备突破!H$6:H$20),"溢出",IF(R64="","",IF(R64&lt;装备突破!H$6,0,IFERROR(MATCH(R64,装备突破!H$6:H$20,0)-1,MATCH(R64,装备突破!H$6:H$20,1))))))</f>
        <v>0</v>
      </c>
      <c r="X64" s="143"/>
      <c r="Y64" s="143"/>
      <c r="Z64" s="143"/>
      <c r="AA64" s="143"/>
      <c r="AB64" s="158">
        <v>0</v>
      </c>
    </row>
    <row r="65" spans="1:28" x14ac:dyDescent="0.15">
      <c r="A65" s="41">
        <v>5</v>
      </c>
      <c r="B65" s="45">
        <v>20</v>
      </c>
      <c r="C65" s="142">
        <f>INDEX(节奏总纲!$R$4:$R$163,$B65)</f>
        <v>2.1372</v>
      </c>
      <c r="D65" s="134">
        <f>'[1]资源-装备'!H71</f>
        <v>0</v>
      </c>
      <c r="E65" s="134">
        <f>'[1]资源-装备'!I71</f>
        <v>13</v>
      </c>
      <c r="F65" s="134">
        <f>'[1]资源-装备'!J71</f>
        <v>5</v>
      </c>
      <c r="G65" s="134">
        <f>'[1]资源-装备'!K71</f>
        <v>0</v>
      </c>
      <c r="H65" s="134">
        <f>'[1]资源-装备'!L71</f>
        <v>0</v>
      </c>
      <c r="I65" s="29">
        <f>IF(INDEX(装备突破!D$94:D$113,MATCH($B65*2-20,装备突破!$C$94:$C$113,0))="",I64,INDEX(装备突破!D$94:D$113,MATCH($B65*2-20,装备突破!$C$94:$C$113,0)))</f>
        <v>0.9</v>
      </c>
      <c r="J65" s="29">
        <f>IF(INDEX(装备突破!E$94:E$113,MATCH($B65*2-20,装备突破!$C$94:$C$113,0))="",J64,INDEX(装备突破!E$94:E$113,MATCH($B65*2-20,装备突破!$C$94:$C$113,0)))</f>
        <v>0.85</v>
      </c>
      <c r="K65" s="29">
        <f>IF(INDEX(装备突破!F$94:F$113,MATCH($B65*2-20,装备突破!$C$94:$C$113,0))="",K64,INDEX(装备突破!F$94:F$113,MATCH($B65*2-20,装备突破!$C$94:$C$113,0)))</f>
        <v>0.7</v>
      </c>
      <c r="L65" s="29">
        <f>IF(INDEX(装备突破!G$94:G$113,MATCH($B65*2-20,装备突破!$C$94:$C$113,0))="",L64,INDEX(装备突破!G$94:G$113,MATCH($B65*2-20,装备突破!$C$94:$C$113,0)))</f>
        <v>0.625</v>
      </c>
      <c r="M65" s="29">
        <f>IF(INDEX(装备突破!H$94:H$113,MATCH($B65*2-20,装备突破!$C$94:$C$113,0))="",M64,INDEX(装备突破!H$94:H$113,MATCH($B65*2-20,装备突破!$C$94:$C$113,0)))</f>
        <v>0.54500000000000004</v>
      </c>
      <c r="N65" s="110">
        <v>20</v>
      </c>
      <c r="O65" s="110">
        <v>30</v>
      </c>
      <c r="P65" s="110">
        <v>30</v>
      </c>
      <c r="Q65" s="110" t="s">
        <v>397</v>
      </c>
      <c r="R65" s="110" t="s">
        <v>397</v>
      </c>
      <c r="S65" s="43">
        <f>IF(N65="",0,IF(N65&gt;MAX(装备突破!D$6:D$20),"溢出",IF(N65="","",IF(N65&lt;装备突破!D$6,0,IFERROR(MATCH(N65,装备突破!D$6:D$20,0)-1,MATCH(N65,装备突破!D$6:D$20,1))))))</f>
        <v>0</v>
      </c>
      <c r="T65" s="43">
        <f>IF(O65="",0,IF(O65&gt;MAX(装备突破!E$6:E$20),"溢出",IF(O65="","",IF(O65&lt;装备突破!E$6,0,IFERROR(MATCH(O65,装备突破!E$6:E$20,0)-1,MATCH(O65,装备突破!E$6:E$20,1))))))</f>
        <v>1</v>
      </c>
      <c r="U65" s="43">
        <f>IF(P65="",0,IF(P65&gt;MAX(装备突破!F$6:F$20),"溢出",IF(P65="","",IF(P65&lt;装备突破!F$6,0,IFERROR(MATCH(P65,装备突破!F$6:F$20,0)-1,MATCH(P65,装备突破!F$6:F$20,1))))))</f>
        <v>0</v>
      </c>
      <c r="V65" s="43">
        <f>IF(Q65="",0,IF(Q65&gt;MAX(装备突破!G$6:G$20),"溢出",IF(Q65="","",IF(Q65&lt;装备突破!G$6,0,IFERROR(MATCH(Q65,装备突破!G$6:G$20,0)-1,MATCH(Q65,装备突破!G$6:G$20,1))))))</f>
        <v>0</v>
      </c>
      <c r="W65" s="43">
        <f>IF(R65="",0,IF(R65&gt;MAX(装备突破!H$6:H$20),"溢出",IF(R65="","",IF(R65&lt;装备突破!H$6,0,IFERROR(MATCH(R65,装备突破!H$6:H$20,0)-1,MATCH(R65,装备突破!H$6:H$20,1))))))</f>
        <v>0</v>
      </c>
      <c r="X65" s="143"/>
      <c r="Y65" s="143"/>
      <c r="Z65" s="143"/>
      <c r="AA65" s="143"/>
      <c r="AB65" s="158">
        <v>0</v>
      </c>
    </row>
    <row r="66" spans="1:28" x14ac:dyDescent="0.15">
      <c r="A66" s="41">
        <v>6</v>
      </c>
      <c r="B66" s="45">
        <v>30</v>
      </c>
      <c r="C66" s="142">
        <f>INDEX(节奏总纲!$R$4:$R$163,$B66)</f>
        <v>5.0421000000000005</v>
      </c>
      <c r="D66" s="134">
        <f>'[1]资源-装备'!H72</f>
        <v>0</v>
      </c>
      <c r="E66" s="134">
        <f>'[1]资源-装备'!I72</f>
        <v>0</v>
      </c>
      <c r="F66" s="134">
        <f>'[1]资源-装备'!J72</f>
        <v>16</v>
      </c>
      <c r="G66" s="134">
        <f>'[1]资源-装备'!K72</f>
        <v>2</v>
      </c>
      <c r="H66" s="134">
        <f>'[1]资源-装备'!L72</f>
        <v>0</v>
      </c>
      <c r="I66" s="29">
        <f>IF(INDEX(装备突破!D$94:D$113,MATCH($B66*2-20,装备突破!$C$94:$C$113,0))="",I65,INDEX(装备突破!D$94:D$113,MATCH($B66*2-20,装备突破!$C$94:$C$113,0)))</f>
        <v>0.9</v>
      </c>
      <c r="J66" s="29">
        <f>IF(INDEX(装备突破!E$94:E$113,MATCH($B66*2-20,装备突破!$C$94:$C$113,0))="",J65,INDEX(装备突破!E$94:E$113,MATCH($B66*2-20,装备突破!$C$94:$C$113,0)))</f>
        <v>1</v>
      </c>
      <c r="K66" s="29">
        <f>IF(INDEX(装备突破!F$94:F$113,MATCH($B66*2-20,装备突破!$C$94:$C$113,0))="",K65,INDEX(装备突破!F$94:F$113,MATCH($B66*2-20,装备突破!$C$94:$C$113,0)))</f>
        <v>0.8</v>
      </c>
      <c r="L66" s="29">
        <f>IF(INDEX(装备突破!G$94:G$113,MATCH($B66*2-20,装备突破!$C$94:$C$113,0))="",L65,INDEX(装备突破!G$94:G$113,MATCH($B66*2-20,装备突破!$C$94:$C$113,0)))</f>
        <v>0.7</v>
      </c>
      <c r="M66" s="29">
        <f>IF(INDEX(装备突破!H$94:H$113,MATCH($B66*2-20,装备突破!$C$94:$C$113,0))="",M65,INDEX(装备突破!H$94:H$113,MATCH($B66*2-20,装备突破!$C$94:$C$113,0)))</f>
        <v>0.61</v>
      </c>
      <c r="N66" s="110" t="s">
        <v>397</v>
      </c>
      <c r="O66" s="110">
        <v>40</v>
      </c>
      <c r="P66" s="110">
        <v>60</v>
      </c>
      <c r="Q66" s="110">
        <v>60</v>
      </c>
      <c r="R66" s="110" t="s">
        <v>397</v>
      </c>
      <c r="S66" s="43">
        <f>IF(N66="",0,IF(N66&gt;MAX(装备突破!D$6:D$20),"溢出",IF(N66="","",IF(N66&lt;装备突破!D$6,0,IFERROR(MATCH(N66,装备突破!D$6:D$20,0)-1,MATCH(N66,装备突破!D$6:D$20,1))))))</f>
        <v>0</v>
      </c>
      <c r="T66" s="43">
        <f>IF(O66="",0,IF(O66&gt;MAX(装备突破!E$6:E$20),"溢出",IF(O66="","",IF(O66&lt;装备突破!E$6,0,IFERROR(MATCH(O66,装备突破!E$6:E$20,0)-1,MATCH(O66,装备突破!E$6:E$20,1))))))</f>
        <v>1</v>
      </c>
      <c r="U66" s="43">
        <f>IF(P66="",0,IF(P66&gt;MAX(装备突破!F$6:F$20),"溢出",IF(P66="","",IF(P66&lt;装备突破!F$6,0,IFERROR(MATCH(P66,装备突破!F$6:F$20,0)-1,MATCH(P66,装备突破!F$6:F$20,1))))))</f>
        <v>1</v>
      </c>
      <c r="V66" s="43">
        <f>IF(Q66="",0,IF(Q66&gt;MAX(装备突破!G$6:G$20),"溢出",IF(Q66="","",IF(Q66&lt;装备突破!G$6,0,IFERROR(MATCH(Q66,装备突破!G$6:G$20,0)-1,MATCH(Q66,装备突破!G$6:G$20,1))))))</f>
        <v>0</v>
      </c>
      <c r="W66" s="43">
        <f>IF(R66="",0,IF(R66&gt;MAX(装备突破!H$6:H$20),"溢出",IF(R66="","",IF(R66&lt;装备突破!H$6,0,IFERROR(MATCH(R66,装备突破!H$6:H$20,0)-1,MATCH(R66,装备突破!H$6:H$20,1))))))</f>
        <v>0</v>
      </c>
      <c r="X66" s="143"/>
      <c r="Y66" s="143"/>
      <c r="Z66" s="143"/>
      <c r="AA66" s="143"/>
      <c r="AB66" s="158">
        <v>0</v>
      </c>
    </row>
    <row r="67" spans="1:28" x14ac:dyDescent="0.15">
      <c r="A67" s="41">
        <v>7</v>
      </c>
      <c r="B67" s="45">
        <v>40</v>
      </c>
      <c r="C67" s="142">
        <f>INDEX(节奏总纲!$R$4:$R$163,$B67)</f>
        <v>10.782</v>
      </c>
      <c r="D67" s="134">
        <f>'[1]资源-装备'!H73</f>
        <v>0</v>
      </c>
      <c r="E67" s="134">
        <f>'[1]资源-装备'!I73</f>
        <v>0</v>
      </c>
      <c r="F67" s="134">
        <f>'[1]资源-装备'!J73</f>
        <v>0</v>
      </c>
      <c r="G67" s="134">
        <f>'[1]资源-装备'!K73</f>
        <v>16</v>
      </c>
      <c r="H67" s="134">
        <f>'[1]资源-装备'!L73</f>
        <v>0</v>
      </c>
      <c r="I67" s="29">
        <f>IF(INDEX(装备突破!D$94:D$113,MATCH($B67*2-20,装备突破!$C$94:$C$113,0))="",I66,INDEX(装备突破!D$94:D$113,MATCH($B67*2-20,装备突破!$C$94:$C$113,0)))</f>
        <v>0.9</v>
      </c>
      <c r="J67" s="29">
        <f>IF(INDEX(装备突破!E$94:E$113,MATCH($B67*2-20,装备突破!$C$94:$C$113,0))="",J66,INDEX(装备突破!E$94:E$113,MATCH($B67*2-20,装备突破!$C$94:$C$113,0)))</f>
        <v>1</v>
      </c>
      <c r="K67" s="29">
        <f>IF(INDEX(装备突破!F$94:F$113,MATCH($B67*2-20,装备突破!$C$94:$C$113,0))="",K66,INDEX(装备突破!F$94:F$113,MATCH($B67*2-20,装备突破!$C$94:$C$113,0)))</f>
        <v>0.9</v>
      </c>
      <c r="L67" s="29">
        <f>IF(INDEX(装备突破!G$94:G$113,MATCH($B67*2-20,装备突破!$C$94:$C$113,0))="",L66,INDEX(装备突破!G$94:G$113,MATCH($B67*2-20,装备突破!$C$94:$C$113,0)))</f>
        <v>0.77500000000000002</v>
      </c>
      <c r="M67" s="29">
        <f>IF(INDEX(装备突破!H$94:H$113,MATCH($B67*2-20,装备突破!$C$94:$C$113,0))="",M66,INDEX(装备突破!H$94:H$113,MATCH($B67*2-20,装备突破!$C$94:$C$113,0)))</f>
        <v>0.67500000000000004</v>
      </c>
      <c r="N67" s="110" t="s">
        <v>397</v>
      </c>
      <c r="O67" s="110">
        <v>40</v>
      </c>
      <c r="P67" s="110">
        <v>80</v>
      </c>
      <c r="Q67" s="110">
        <v>80</v>
      </c>
      <c r="R67" s="110" t="s">
        <v>397</v>
      </c>
      <c r="S67" s="43">
        <f>IF(N67="",0,IF(N67&gt;MAX(装备突破!D$6:D$20),"溢出",IF(N67="","",IF(N67&lt;装备突破!D$6,0,IFERROR(MATCH(N67,装备突破!D$6:D$20,0)-1,MATCH(N67,装备突破!D$6:D$20,1))))))</f>
        <v>0</v>
      </c>
      <c r="T67" s="43">
        <f>IF(O67="",0,IF(O67&gt;MAX(装备突破!E$6:E$20),"溢出",IF(O67="","",IF(O67&lt;装备突破!E$6,0,IFERROR(MATCH(O67,装备突破!E$6:E$20,0)-1,MATCH(O67,装备突破!E$6:E$20,1))))))</f>
        <v>1</v>
      </c>
      <c r="U67" s="43">
        <f>IF(P67="",0,IF(P67&gt;MAX(装备突破!F$6:F$20),"溢出",IF(P67="","",IF(P67&lt;装备突破!F$6,0,IFERROR(MATCH(P67,装备突破!F$6:F$20,0)-1,MATCH(P67,装备突破!F$6:F$20,1))))))</f>
        <v>2</v>
      </c>
      <c r="V67" s="43">
        <f>IF(Q67="",0,IF(Q67&gt;MAX(装备突破!G$6:G$20),"溢出",IF(Q67="","",IF(Q67&lt;装备突破!G$6,0,IFERROR(MATCH(Q67,装备突破!G$6:G$20,0)-1,MATCH(Q67,装备突破!G$6:G$20,1))))))</f>
        <v>1</v>
      </c>
      <c r="W67" s="43">
        <f>IF(R67="",0,IF(R67&gt;MAX(装备突破!H$6:H$20),"溢出",IF(R67="","",IF(R67&lt;装备突破!H$6,0,IFERROR(MATCH(R67,装备突破!H$6:H$20,0)-1,MATCH(R67,装备突破!H$6:H$20,1))))))</f>
        <v>0</v>
      </c>
      <c r="X67" s="143"/>
      <c r="Y67" s="143"/>
      <c r="Z67" s="143"/>
      <c r="AA67" s="143"/>
      <c r="AB67" s="158">
        <v>0</v>
      </c>
    </row>
    <row r="68" spans="1:28" x14ac:dyDescent="0.15">
      <c r="A68" s="41">
        <v>8</v>
      </c>
      <c r="B68" s="45">
        <v>50</v>
      </c>
      <c r="C68" s="142">
        <f>INDEX(节奏总纲!$R$4:$R$163,$B68)</f>
        <v>22.205300000000001</v>
      </c>
      <c r="D68" s="134">
        <f>'[1]资源-装备'!H74</f>
        <v>0</v>
      </c>
      <c r="E68" s="134">
        <f>'[1]资源-装备'!I74</f>
        <v>0</v>
      </c>
      <c r="F68" s="134">
        <f>'[1]资源-装备'!J74</f>
        <v>0</v>
      </c>
      <c r="G68" s="134">
        <f>'[1]资源-装备'!K74</f>
        <v>14</v>
      </c>
      <c r="H68" s="134">
        <f>'[1]资源-装备'!L74</f>
        <v>2</v>
      </c>
      <c r="I68" s="29">
        <f>IF(INDEX(装备突破!D$94:D$113,MATCH($B68*2-20,装备突破!$C$94:$C$113,0))="",I67,INDEX(装备突破!D$94:D$113,MATCH($B68*2-20,装备突破!$C$94:$C$113,0)))</f>
        <v>0.9</v>
      </c>
      <c r="J68" s="29">
        <f>IF(INDEX(装备突破!E$94:E$113,MATCH($B68*2-20,装备突破!$C$94:$C$113,0))="",J67,INDEX(装备突破!E$94:E$113,MATCH($B68*2-20,装备突破!$C$94:$C$113,0)))</f>
        <v>1</v>
      </c>
      <c r="K68" s="29">
        <f>IF(INDEX(装备突破!F$94:F$113,MATCH($B68*2-20,装备突破!$C$94:$C$113,0))="",K67,INDEX(装备突破!F$94:F$113,MATCH($B68*2-20,装备突破!$C$94:$C$113,0)))</f>
        <v>1</v>
      </c>
      <c r="L68" s="29">
        <f>IF(INDEX(装备突破!G$94:G$113,MATCH($B68*2-20,装备突破!$C$94:$C$113,0))="",L67,INDEX(装备突破!G$94:G$113,MATCH($B68*2-20,装备突破!$C$94:$C$113,0)))</f>
        <v>0.85</v>
      </c>
      <c r="M68" s="29">
        <f>IF(INDEX(装备突破!H$94:H$113,MATCH($B68*2-20,装备突破!$C$94:$C$113,0))="",M67,INDEX(装备突破!H$94:H$113,MATCH($B68*2-20,装备突破!$C$94:$C$113,0)))</f>
        <v>0.74</v>
      </c>
      <c r="N68" s="110" t="s">
        <v>397</v>
      </c>
      <c r="O68" s="110" t="s">
        <v>397</v>
      </c>
      <c r="P68" s="110">
        <v>80</v>
      </c>
      <c r="Q68" s="110">
        <v>100</v>
      </c>
      <c r="R68" s="110">
        <v>100</v>
      </c>
      <c r="S68" s="43">
        <f>IF(N68="",0,IF(N68&gt;MAX(装备突破!D$6:D$20),"溢出",IF(N68="","",IF(N68&lt;装备突破!D$6,0,IFERROR(MATCH(N68,装备突破!D$6:D$20,0)-1,MATCH(N68,装备突破!D$6:D$20,1))))))</f>
        <v>0</v>
      </c>
      <c r="T68" s="43">
        <f>IF(O68="",0,IF(O68&gt;MAX(装备突破!E$6:E$20),"溢出",IF(O68="","",IF(O68&lt;装备突破!E$6,0,IFERROR(MATCH(O68,装备突破!E$6:E$20,0)-1,MATCH(O68,装备突破!E$6:E$20,1))))))</f>
        <v>0</v>
      </c>
      <c r="U68" s="43">
        <f>IF(P68="",0,IF(P68&gt;MAX(装备突破!F$6:F$20),"溢出",IF(P68="","",IF(P68&lt;装备突破!F$6,0,IFERROR(MATCH(P68,装备突破!F$6:F$20,0)-1,MATCH(P68,装备突破!F$6:F$20,1))))))</f>
        <v>2</v>
      </c>
      <c r="V68" s="43">
        <f>IF(Q68="",0,IF(Q68&gt;MAX(装备突破!G$6:G$20),"溢出",IF(Q68="","",IF(Q68&lt;装备突破!G$6,0,IFERROR(MATCH(Q68,装备突破!G$6:G$20,0)-1,MATCH(Q68,装备突破!G$6:G$20,1))))))</f>
        <v>2</v>
      </c>
      <c r="W68" s="43">
        <f>IF(R68="",0,IF(R68&gt;MAX(装备突破!H$6:H$20),"溢出",IF(R68="","",IF(R68&lt;装备突破!H$6,0,IFERROR(MATCH(R68,装备突破!H$6:H$20,0)-1,MATCH(R68,装备突破!H$6:H$20,1))))))</f>
        <v>0</v>
      </c>
      <c r="X68" s="143"/>
      <c r="Y68" s="143"/>
      <c r="Z68" s="143"/>
      <c r="AA68" s="143"/>
      <c r="AB68" s="158">
        <v>0</v>
      </c>
    </row>
    <row r="69" spans="1:28" x14ac:dyDescent="0.15">
      <c r="A69" s="41">
        <v>9</v>
      </c>
      <c r="B69" s="45">
        <v>60</v>
      </c>
      <c r="C69" s="142">
        <f>INDEX(节奏总纲!$R$4:$R$163,$B69)</f>
        <v>44.717399999999998</v>
      </c>
      <c r="D69" s="134">
        <f>'[1]资源-装备'!H75</f>
        <v>0</v>
      </c>
      <c r="E69" s="134">
        <f>'[1]资源-装备'!I75</f>
        <v>0</v>
      </c>
      <c r="F69" s="134">
        <f>'[1]资源-装备'!J75</f>
        <v>0</v>
      </c>
      <c r="G69" s="134">
        <f>'[1]资源-装备'!K75</f>
        <v>12</v>
      </c>
      <c r="H69" s="134">
        <f>'[1]资源-装备'!L75</f>
        <v>6</v>
      </c>
      <c r="I69" s="29">
        <f>IF(INDEX(装备突破!D$94:D$113,MATCH($B69*2-20,装备突破!$C$94:$C$113,0))="",I68,INDEX(装备突破!D$94:D$113,MATCH($B69*2-20,装备突破!$C$94:$C$113,0)))</f>
        <v>0.9</v>
      </c>
      <c r="J69" s="29">
        <f>IF(INDEX(装备突破!E$94:E$113,MATCH($B69*2-20,装备突破!$C$94:$C$113,0))="",J68,INDEX(装备突破!E$94:E$113,MATCH($B69*2-20,装备突破!$C$94:$C$113,0)))</f>
        <v>1</v>
      </c>
      <c r="K69" s="29">
        <f>IF(INDEX(装备突破!F$94:F$113,MATCH($B69*2-20,装备突破!$C$94:$C$113,0))="",K68,INDEX(装备突破!F$94:F$113,MATCH($B69*2-20,装备突破!$C$94:$C$113,0)))</f>
        <v>1</v>
      </c>
      <c r="L69" s="29">
        <f>IF(INDEX(装备突破!G$94:G$113,MATCH($B69*2-20,装备突破!$C$94:$C$113,0))="",L68,INDEX(装备突破!G$94:G$113,MATCH($B69*2-20,装备突破!$C$94:$C$113,0)))</f>
        <v>0.92500000000000004</v>
      </c>
      <c r="M69" s="29">
        <f>IF(INDEX(装备突破!H$94:H$113,MATCH($B69*2-20,装备突破!$C$94:$C$113,0))="",M68,INDEX(装备突破!H$94:H$113,MATCH($B69*2-20,装备突破!$C$94:$C$113,0)))</f>
        <v>0.80500000000000005</v>
      </c>
      <c r="N69" s="110" t="s">
        <v>397</v>
      </c>
      <c r="O69" s="110" t="s">
        <v>397</v>
      </c>
      <c r="P69" s="110" t="s">
        <v>397</v>
      </c>
      <c r="Q69" s="110">
        <v>120</v>
      </c>
      <c r="R69" s="110">
        <v>120</v>
      </c>
      <c r="S69" s="43">
        <f>IF(N69="",0,IF(N69&gt;MAX(装备突破!D$6:D$20),"溢出",IF(N69="","",IF(N69&lt;装备突破!D$6,0,IFERROR(MATCH(N69,装备突破!D$6:D$20,0)-1,MATCH(N69,装备突破!D$6:D$20,1))))))</f>
        <v>0</v>
      </c>
      <c r="T69" s="43">
        <f>IF(O69="",0,IF(O69&gt;MAX(装备突破!E$6:E$20),"溢出",IF(O69="","",IF(O69&lt;装备突破!E$6,0,IFERROR(MATCH(O69,装备突破!E$6:E$20,0)-1,MATCH(O69,装备突破!E$6:E$20,1))))))</f>
        <v>0</v>
      </c>
      <c r="U69" s="43">
        <f>IF(P69="",0,IF(P69&gt;MAX(装备突破!F$6:F$20),"溢出",IF(P69="","",IF(P69&lt;装备突破!F$6,0,IFERROR(MATCH(P69,装备突破!F$6:F$20,0)-1,MATCH(P69,装备突破!F$6:F$20,1))))))</f>
        <v>0</v>
      </c>
      <c r="V69" s="43">
        <f>IF(Q69="",0,IF(Q69&gt;MAX(装备突破!G$6:G$20),"溢出",IF(Q69="","",IF(Q69&lt;装备突破!G$6,0,IFERROR(MATCH(Q69,装备突破!G$6:G$20,0)-1,MATCH(Q69,装备突破!G$6:G$20,1))))))</f>
        <v>3</v>
      </c>
      <c r="W69" s="43">
        <f>IF(R69="",0,IF(R69&gt;MAX(装备突破!H$6:H$20),"溢出",IF(R69="","",IF(R69&lt;装备突破!H$6,0,IFERROR(MATCH(R69,装备突破!H$6:H$20,0)-1,MATCH(R69,装备突破!H$6:H$20,1))))))</f>
        <v>1</v>
      </c>
      <c r="X69" s="143"/>
      <c r="Y69" s="143"/>
      <c r="Z69" s="143"/>
      <c r="AA69" s="143"/>
      <c r="AB69" s="158">
        <v>0</v>
      </c>
    </row>
    <row r="70" spans="1:28" x14ac:dyDescent="0.15">
      <c r="A70" s="41">
        <v>10</v>
      </c>
      <c r="B70" s="45">
        <v>70</v>
      </c>
      <c r="C70" s="142">
        <f>INDEX(节奏总纲!$R$4:$R$163,$B70)</f>
        <v>90.106499999999997</v>
      </c>
      <c r="D70" s="134">
        <f>'[1]资源-装备'!H76</f>
        <v>0</v>
      </c>
      <c r="E70" s="134">
        <f>'[1]资源-装备'!I76</f>
        <v>0</v>
      </c>
      <c r="F70" s="134">
        <f>'[1]资源-装备'!J76</f>
        <v>0</v>
      </c>
      <c r="G70" s="134">
        <f>'[1]资源-装备'!K76</f>
        <v>6</v>
      </c>
      <c r="H70" s="134">
        <f>'[1]资源-装备'!L76</f>
        <v>12</v>
      </c>
      <c r="I70" s="29">
        <f>IF(INDEX(装备突破!D$94:D$113,MATCH($B70*2-20,装备突破!$C$94:$C$113,0))="",I69,INDEX(装备突破!D$94:D$113,MATCH($B70*2-20,装备突破!$C$94:$C$113,0)))</f>
        <v>0.9</v>
      </c>
      <c r="J70" s="29">
        <f>IF(INDEX(装备突破!E$94:E$113,MATCH($B70*2-20,装备突破!$C$94:$C$113,0))="",J69,INDEX(装备突破!E$94:E$113,MATCH($B70*2-20,装备突破!$C$94:$C$113,0)))</f>
        <v>1</v>
      </c>
      <c r="K70" s="29">
        <f>IF(INDEX(装备突破!F$94:F$113,MATCH($B70*2-20,装备突破!$C$94:$C$113,0))="",K69,INDEX(装备突破!F$94:F$113,MATCH($B70*2-20,装备突破!$C$94:$C$113,0)))</f>
        <v>1</v>
      </c>
      <c r="L70" s="29">
        <f>IF(INDEX(装备突破!G$94:G$113,MATCH($B70*2-20,装备突破!$C$94:$C$113,0))="",L69,INDEX(装备突破!G$94:G$113,MATCH($B70*2-20,装备突破!$C$94:$C$113,0)))</f>
        <v>1</v>
      </c>
      <c r="M70" s="29">
        <f>IF(INDEX(装备突破!H$94:H$113,MATCH($B70*2-20,装备突破!$C$94:$C$113,0))="",M69,INDEX(装备突破!H$94:H$113,MATCH($B70*2-20,装备突破!$C$94:$C$113,0)))</f>
        <v>0.87</v>
      </c>
      <c r="N70" s="110" t="s">
        <v>397</v>
      </c>
      <c r="O70" s="110" t="s">
        <v>397</v>
      </c>
      <c r="P70" s="110" t="s">
        <v>397</v>
      </c>
      <c r="Q70" s="110">
        <v>120</v>
      </c>
      <c r="R70" s="110">
        <v>140</v>
      </c>
      <c r="S70" s="43">
        <f>IF(N70="",0,IF(N70&gt;MAX(装备突破!D$6:D$20),"溢出",IF(N70="","",IF(N70&lt;装备突破!D$6,0,IFERROR(MATCH(N70,装备突破!D$6:D$20,0)-1,MATCH(N70,装备突破!D$6:D$20,1))))))</f>
        <v>0</v>
      </c>
      <c r="T70" s="43">
        <f>IF(O70="",0,IF(O70&gt;MAX(装备突破!E$6:E$20),"溢出",IF(O70="","",IF(O70&lt;装备突破!E$6,0,IFERROR(MATCH(O70,装备突破!E$6:E$20,0)-1,MATCH(O70,装备突破!E$6:E$20,1))))))</f>
        <v>0</v>
      </c>
      <c r="U70" s="43">
        <f>IF(P70="",0,IF(P70&gt;MAX(装备突破!F$6:F$20),"溢出",IF(P70="","",IF(P70&lt;装备突破!F$6,0,IFERROR(MATCH(P70,装备突破!F$6:F$20,0)-1,MATCH(P70,装备突破!F$6:F$20,1))))))</f>
        <v>0</v>
      </c>
      <c r="V70" s="43">
        <f>IF(Q70="",0,IF(Q70&gt;MAX(装备突破!G$6:G$20),"溢出",IF(Q70="","",IF(Q70&lt;装备突破!G$6,0,IFERROR(MATCH(Q70,装备突破!G$6:G$20,0)-1,MATCH(Q70,装备突破!G$6:G$20,1))))))</f>
        <v>3</v>
      </c>
      <c r="W70" s="43">
        <f>IF(R70="",0,IF(R70&gt;MAX(装备突破!H$6:H$20),"溢出",IF(R70="","",IF(R70&lt;装备突破!H$6,0,IFERROR(MATCH(R70,装备突破!H$6:H$20,0)-1,MATCH(R70,装备突破!H$6:H$20,1))))))</f>
        <v>2</v>
      </c>
      <c r="X70" s="143"/>
      <c r="Y70" s="143"/>
      <c r="Z70" s="143"/>
      <c r="AA70" s="143"/>
      <c r="AB70" s="158">
        <v>3.5</v>
      </c>
    </row>
    <row r="71" spans="1:28" x14ac:dyDescent="0.15">
      <c r="A71" s="41">
        <v>11</v>
      </c>
      <c r="B71" s="45">
        <v>80</v>
      </c>
      <c r="C71" s="142">
        <f>INDEX(节奏总纲!$R$4:$R$163,$B71)</f>
        <v>180.33600000000001</v>
      </c>
      <c r="D71" s="134">
        <f>'[1]资源-装备'!H77</f>
        <v>0</v>
      </c>
      <c r="E71" s="134">
        <f>'[1]资源-装备'!I77</f>
        <v>0</v>
      </c>
      <c r="F71" s="134">
        <f>'[1]资源-装备'!J77</f>
        <v>0</v>
      </c>
      <c r="G71" s="134">
        <f>'[1]资源-装备'!K77</f>
        <v>0</v>
      </c>
      <c r="H71" s="134">
        <f>'[1]资源-装备'!L77</f>
        <v>18</v>
      </c>
      <c r="I71" s="29">
        <f>IF(INDEX(装备突破!D$94:D$113,MATCH($B71*2-20,装备突破!$C$94:$C$113,0))="",I70,INDEX(装备突破!D$94:D$113,MATCH($B71*2-20,装备突破!$C$94:$C$113,0)))</f>
        <v>0.9</v>
      </c>
      <c r="J71" s="29">
        <f>IF(INDEX(装备突破!E$94:E$113,MATCH($B71*2-20,装备突破!$C$94:$C$113,0))="",J70,INDEX(装备突破!E$94:E$113,MATCH($B71*2-20,装备突破!$C$94:$C$113,0)))</f>
        <v>1</v>
      </c>
      <c r="K71" s="29">
        <f>IF(INDEX(装备突破!F$94:F$113,MATCH($B71*2-20,装备突破!$C$94:$C$113,0))="",K70,INDEX(装备突破!F$94:F$113,MATCH($B71*2-20,装备突破!$C$94:$C$113,0)))</f>
        <v>1</v>
      </c>
      <c r="L71" s="29">
        <f>IF(INDEX(装备突破!G$94:G$113,MATCH($B71*2-20,装备突破!$C$94:$C$113,0))="",L70,INDEX(装备突破!G$94:G$113,MATCH($B71*2-20,装备突破!$C$94:$C$113,0)))</f>
        <v>1</v>
      </c>
      <c r="M71" s="29">
        <f>IF(INDEX(装备突破!H$94:H$113,MATCH($B71*2-20,装备突破!$C$94:$C$113,0))="",M70,INDEX(装备突破!H$94:H$113,MATCH($B71*2-20,装备突破!$C$94:$C$113,0)))</f>
        <v>0.93500000000000005</v>
      </c>
      <c r="N71" s="110" t="s">
        <v>397</v>
      </c>
      <c r="O71" s="110" t="s">
        <v>397</v>
      </c>
      <c r="P71" s="110" t="s">
        <v>397</v>
      </c>
      <c r="Q71" s="110" t="s">
        <v>397</v>
      </c>
      <c r="R71" s="110">
        <v>160</v>
      </c>
      <c r="S71" s="43">
        <f>IF(N71="",0,IF(N71&gt;MAX(装备突破!D$6:D$20),"溢出",IF(N71="","",IF(N71&lt;装备突破!D$6,0,IFERROR(MATCH(N71,装备突破!D$6:D$20,0)-1,MATCH(N71,装备突破!D$6:D$20,1))))))</f>
        <v>0</v>
      </c>
      <c r="T71" s="43">
        <f>IF(O71="",0,IF(O71&gt;MAX(装备突破!E$6:E$20),"溢出",IF(O71="","",IF(O71&lt;装备突破!E$6,0,IFERROR(MATCH(O71,装备突破!E$6:E$20,0)-1,MATCH(O71,装备突破!E$6:E$20,1))))))</f>
        <v>0</v>
      </c>
      <c r="U71" s="43">
        <f>IF(P71="",0,IF(P71&gt;MAX(装备突破!F$6:F$20),"溢出",IF(P71="","",IF(P71&lt;装备突破!F$6,0,IFERROR(MATCH(P71,装备突破!F$6:F$20,0)-1,MATCH(P71,装备突破!F$6:F$20,1))))))</f>
        <v>0</v>
      </c>
      <c r="V71" s="43">
        <f>IF(Q71="",0,IF(Q71&gt;MAX(装备突破!G$6:G$20),"溢出",IF(Q71="","",IF(Q71&lt;装备突破!G$6,0,IFERROR(MATCH(Q71,装备突破!G$6:G$20,0)-1,MATCH(Q71,装备突破!G$6:G$20,1))))))</f>
        <v>0</v>
      </c>
      <c r="W71" s="43">
        <f>IF(R71="",0,IF(R71&gt;MAX(装备突破!H$6:H$20),"溢出",IF(R71="","",IF(R71&lt;装备突破!H$6,0,IFERROR(MATCH(R71,装备突破!H$6:H$20,0)-1,MATCH(R71,装备突破!H$6:H$20,1))))))</f>
        <v>3</v>
      </c>
      <c r="X71" s="143"/>
      <c r="Y71" s="143"/>
      <c r="Z71" s="143"/>
      <c r="AA71" s="143"/>
      <c r="AB71" s="158">
        <v>7</v>
      </c>
    </row>
    <row r="72" spans="1:28" x14ac:dyDescent="0.15">
      <c r="A72" s="41">
        <v>12</v>
      </c>
      <c r="B72" s="45">
        <v>90</v>
      </c>
      <c r="C72" s="142">
        <f>INDEX(节奏总纲!$R$4:$R$163,$B72)</f>
        <v>354.12299999999999</v>
      </c>
      <c r="D72" s="134">
        <f>'[1]资源-装备'!H78</f>
        <v>0</v>
      </c>
      <c r="E72" s="134">
        <f>'[1]资源-装备'!I78</f>
        <v>0</v>
      </c>
      <c r="F72" s="134">
        <f>'[1]资源-装备'!J78</f>
        <v>0</v>
      </c>
      <c r="G72" s="134">
        <f>'[1]资源-装备'!K78</f>
        <v>0</v>
      </c>
      <c r="H72" s="134">
        <f>'[1]资源-装备'!L78</f>
        <v>18</v>
      </c>
      <c r="I72" s="29">
        <f>IF(INDEX(装备突破!D$94:D$113,MATCH($B72*2-20,装备突破!$C$94:$C$113,0))="",I71,INDEX(装备突破!D$94:D$113,MATCH($B72*2-20,装备突破!$C$94:$C$113,0)))</f>
        <v>0.9</v>
      </c>
      <c r="J72" s="29">
        <f>IF(INDEX(装备突破!E$94:E$113,MATCH($B72*2-20,装备突破!$C$94:$C$113,0))="",J71,INDEX(装备突破!E$94:E$113,MATCH($B72*2-20,装备突破!$C$94:$C$113,0)))</f>
        <v>1</v>
      </c>
      <c r="K72" s="29">
        <f>IF(INDEX(装备突破!F$94:F$113,MATCH($B72*2-20,装备突破!$C$94:$C$113,0))="",K71,INDEX(装备突破!F$94:F$113,MATCH($B72*2-20,装备突破!$C$94:$C$113,0)))</f>
        <v>1</v>
      </c>
      <c r="L72" s="29">
        <f>IF(INDEX(装备突破!G$94:G$113,MATCH($B72*2-20,装备突破!$C$94:$C$113,0))="",L71,INDEX(装备突破!G$94:G$113,MATCH($B72*2-20,装备突破!$C$94:$C$113,0)))</f>
        <v>1</v>
      </c>
      <c r="M72" s="29">
        <f>IF(INDEX(装备突破!H$94:H$113,MATCH($B72*2-20,装备突破!$C$94:$C$113,0))="",M71,INDEX(装备突破!H$94:H$113,MATCH($B72*2-20,装备突破!$C$94:$C$113,0)))</f>
        <v>1</v>
      </c>
      <c r="N72" s="110" t="s">
        <v>397</v>
      </c>
      <c r="O72" s="110" t="s">
        <v>397</v>
      </c>
      <c r="P72" s="110" t="s">
        <v>397</v>
      </c>
      <c r="Q72" s="110" t="s">
        <v>397</v>
      </c>
      <c r="R72" s="110">
        <v>180</v>
      </c>
      <c r="S72" s="43">
        <f>IF(N72="",0,IF(N72&gt;MAX(装备突破!D$6:D$20),"溢出",IF(N72="","",IF(N72&lt;装备突破!D$6,0,IFERROR(MATCH(N72,装备突破!D$6:D$20,0)-1,MATCH(N72,装备突破!D$6:D$20,1))))))</f>
        <v>0</v>
      </c>
      <c r="T72" s="43">
        <f>IF(O72="",0,IF(O72&gt;MAX(装备突破!E$6:E$20),"溢出",IF(O72="","",IF(O72&lt;装备突破!E$6,0,IFERROR(MATCH(O72,装备突破!E$6:E$20,0)-1,MATCH(O72,装备突破!E$6:E$20,1))))))</f>
        <v>0</v>
      </c>
      <c r="U72" s="43">
        <f>IF(P72="",0,IF(P72&gt;MAX(装备突破!F$6:F$20),"溢出",IF(P72="","",IF(P72&lt;装备突破!F$6,0,IFERROR(MATCH(P72,装备突破!F$6:F$20,0)-1,MATCH(P72,装备突破!F$6:F$20,1))))))</f>
        <v>0</v>
      </c>
      <c r="V72" s="43">
        <f>IF(Q72="",0,IF(Q72&gt;MAX(装备突破!G$6:G$20),"溢出",IF(Q72="","",IF(Q72&lt;装备突破!G$6,0,IFERROR(MATCH(Q72,装备突破!G$6:G$20,0)-1,MATCH(Q72,装备突破!G$6:G$20,1))))))</f>
        <v>0</v>
      </c>
      <c r="W72" s="43">
        <f>IF(R72="",0,IF(R72&gt;MAX(装备突破!H$6:H$20),"溢出",IF(R72="","",IF(R72&lt;装备突破!H$6,0,IFERROR(MATCH(R72,装备突破!H$6:H$20,0)-1,MATCH(R72,装备突破!H$6:H$20,1))))))</f>
        <v>4</v>
      </c>
      <c r="X72" s="143"/>
      <c r="Y72" s="143"/>
      <c r="Z72" s="143"/>
      <c r="AA72" s="143"/>
      <c r="AB72" s="158">
        <v>14</v>
      </c>
    </row>
    <row r="73" spans="1:28" s="46" customFormat="1" x14ac:dyDescent="0.15">
      <c r="A73" s="41">
        <v>13</v>
      </c>
      <c r="B73" s="128">
        <v>100</v>
      </c>
      <c r="C73" s="142">
        <f>INDEX(节奏总纲!$R$4:$R$163,$B73)</f>
        <v>706.6884</v>
      </c>
      <c r="D73" s="134">
        <f>'[1]资源-装备'!H79</f>
        <v>0</v>
      </c>
      <c r="E73" s="134">
        <f>'[1]资源-装备'!I79</f>
        <v>0</v>
      </c>
      <c r="F73" s="134">
        <f>'[1]资源-装备'!J79</f>
        <v>0</v>
      </c>
      <c r="G73" s="134">
        <f>'[1]资源-装备'!K79</f>
        <v>0</v>
      </c>
      <c r="H73" s="134">
        <f>'[1]资源-装备'!L79</f>
        <v>18</v>
      </c>
      <c r="I73" s="29">
        <f>IF(INDEX(装备突破!D$94:D$113,MATCH($B73*2-20,装备突破!$C$94:$C$113,0))="",I72,INDEX(装备突破!D$94:D$113,MATCH($B73*2-20,装备突破!$C$94:$C$113,0)))</f>
        <v>0.9</v>
      </c>
      <c r="J73" s="29">
        <f>IF(INDEX(装备突破!E$94:E$113,MATCH($B73*2-20,装备突破!$C$94:$C$113,0))="",J72,INDEX(装备突破!E$94:E$113,MATCH($B73*2-20,装备突破!$C$94:$C$113,0)))</f>
        <v>1</v>
      </c>
      <c r="K73" s="29">
        <f>IF(INDEX(装备突破!F$94:F$113,MATCH($B73*2-20,装备突破!$C$94:$C$113,0))="",K72,INDEX(装备突破!F$94:F$113,MATCH($B73*2-20,装备突破!$C$94:$C$113,0)))</f>
        <v>1</v>
      </c>
      <c r="L73" s="29">
        <f>IF(INDEX(装备突破!G$94:G$113,MATCH($B73*2-20,装备突破!$C$94:$C$113,0))="",L72,INDEX(装备突破!G$94:G$113,MATCH($B73*2-20,装备突破!$C$94:$C$113,0)))</f>
        <v>1</v>
      </c>
      <c r="M73" s="29">
        <f>IF(INDEX(装备突破!H$94:H$113,MATCH($B73*2-20,装备突破!$C$94:$C$113,0))="",M72,INDEX(装备突破!H$94:H$113,MATCH($B73*2-20,装备突破!$C$94:$C$113,0)))</f>
        <v>1</v>
      </c>
      <c r="N73" s="126" t="s">
        <v>397</v>
      </c>
      <c r="O73" s="126" t="s">
        <v>397</v>
      </c>
      <c r="P73" s="126" t="s">
        <v>397</v>
      </c>
      <c r="Q73" s="126" t="s">
        <v>397</v>
      </c>
      <c r="R73" s="126">
        <v>200</v>
      </c>
      <c r="S73" s="43">
        <f>IF(N73="",0,IF(N73&gt;MAX(装备突破!D$6:D$20),"溢出",IF(N73="","",IF(N73&lt;装备突破!D$6,0,IFERROR(MATCH(N73,装备突破!D$6:D$20,0)-1,MATCH(N73,装备突破!D$6:D$20,1))))))</f>
        <v>0</v>
      </c>
      <c r="T73" s="43">
        <f>IF(O73="",0,IF(O73&gt;MAX(装备突破!E$6:E$20),"溢出",IF(O73="","",IF(O73&lt;装备突破!E$6,0,IFERROR(MATCH(O73,装备突破!E$6:E$20,0)-1,MATCH(O73,装备突破!E$6:E$20,1))))))</f>
        <v>0</v>
      </c>
      <c r="U73" s="43">
        <f>IF(P73="",0,IF(P73&gt;MAX(装备突破!F$6:F$20),"溢出",IF(P73="","",IF(P73&lt;装备突破!F$6,0,IFERROR(MATCH(P73,装备突破!F$6:F$20,0)-1,MATCH(P73,装备突破!F$6:F$20,1))))))</f>
        <v>0</v>
      </c>
      <c r="V73" s="43">
        <f>IF(Q73="",0,IF(Q73&gt;MAX(装备突破!G$6:G$20),"溢出",IF(Q73="","",IF(Q73&lt;装备突破!G$6,0,IFERROR(MATCH(Q73,装备突破!G$6:G$20,0)-1,MATCH(Q73,装备突破!G$6:G$20,1))))))</f>
        <v>0</v>
      </c>
      <c r="W73" s="43">
        <f>IF(R73="",0,IF(R73&gt;MAX(装备突破!H$6:H$20),"溢出",IF(R73="","",IF(R73&lt;装备突破!H$6,0,IFERROR(MATCH(R73,装备突破!H$6:H$20,0)-1,MATCH(R73,装备突破!H$6:H$20,1))))))</f>
        <v>5</v>
      </c>
      <c r="X73" s="143"/>
      <c r="Y73" s="143"/>
      <c r="Z73" s="143"/>
      <c r="AA73" s="143"/>
      <c r="AB73" s="158">
        <v>24.5</v>
      </c>
    </row>
    <row r="74" spans="1:28" s="46" customFormat="1" x14ac:dyDescent="0.15">
      <c r="A74" s="41">
        <v>14</v>
      </c>
      <c r="B74" s="128">
        <v>110</v>
      </c>
      <c r="C74" s="142">
        <f>INDEX(节奏总纲!$R$4:$R$163,$B74)</f>
        <v>1397.2821999999999</v>
      </c>
      <c r="D74" s="134">
        <f>'[1]资源-装备'!H80</f>
        <v>0</v>
      </c>
      <c r="E74" s="134">
        <f>'[1]资源-装备'!I80</f>
        <v>0</v>
      </c>
      <c r="F74" s="134">
        <f>'[1]资源-装备'!J80</f>
        <v>0</v>
      </c>
      <c r="G74" s="134">
        <f>'[1]资源-装备'!K80</f>
        <v>0</v>
      </c>
      <c r="H74" s="134">
        <f>'[1]资源-装备'!L80</f>
        <v>18</v>
      </c>
      <c r="I74" s="29">
        <f>IF(INDEX(装备突破!D$94:D$113,MATCH($B74*2-20,装备突破!$C$94:$C$113,0))="",I73,INDEX(装备突破!D$94:D$113,MATCH($B74*2-20,装备突破!$C$94:$C$113,0)))</f>
        <v>0.9</v>
      </c>
      <c r="J74" s="29">
        <f>IF(INDEX(装备突破!E$94:E$113,MATCH($B74*2-20,装备突破!$C$94:$C$113,0))="",J73,INDEX(装备突破!E$94:E$113,MATCH($B74*2-20,装备突破!$C$94:$C$113,0)))</f>
        <v>1</v>
      </c>
      <c r="K74" s="29">
        <f>IF(INDEX(装备突破!F$94:F$113,MATCH($B74*2-20,装备突破!$C$94:$C$113,0))="",K73,INDEX(装备突破!F$94:F$113,MATCH($B74*2-20,装备突破!$C$94:$C$113,0)))</f>
        <v>1</v>
      </c>
      <c r="L74" s="29">
        <f>IF(INDEX(装备突破!G$94:G$113,MATCH($B74*2-20,装备突破!$C$94:$C$113,0))="",L73,INDEX(装备突破!G$94:G$113,MATCH($B74*2-20,装备突破!$C$94:$C$113,0)))</f>
        <v>1</v>
      </c>
      <c r="M74" s="29">
        <f>IF(INDEX(装备突破!H$94:H$113,MATCH($B74*2-20,装备突破!$C$94:$C$113,0))="",M73,INDEX(装备突破!H$94:H$113,MATCH($B74*2-20,装备突破!$C$94:$C$113,0)))</f>
        <v>1</v>
      </c>
      <c r="N74" s="126" t="s">
        <v>397</v>
      </c>
      <c r="O74" s="126" t="s">
        <v>397</v>
      </c>
      <c r="P74" s="126" t="s">
        <v>397</v>
      </c>
      <c r="Q74" s="126" t="s">
        <v>397</v>
      </c>
      <c r="R74" s="126">
        <v>220</v>
      </c>
      <c r="S74" s="43">
        <f>IF(N74="",0,IF(N74&gt;MAX(装备突破!D$6:D$20),"溢出",IF(N74="","",IF(N74&lt;装备突破!D$6,0,IFERROR(MATCH(N74,装备突破!D$6:D$20,0)-1,MATCH(N74,装备突破!D$6:D$20,1))))))</f>
        <v>0</v>
      </c>
      <c r="T74" s="43">
        <f>IF(O74="",0,IF(O74&gt;MAX(装备突破!E$6:E$20),"溢出",IF(O74="","",IF(O74&lt;装备突破!E$6,0,IFERROR(MATCH(O74,装备突破!E$6:E$20,0)-1,MATCH(O74,装备突破!E$6:E$20,1))))))</f>
        <v>0</v>
      </c>
      <c r="U74" s="43">
        <f>IF(P74="",0,IF(P74&gt;MAX(装备突破!F$6:F$20),"溢出",IF(P74="","",IF(P74&lt;装备突破!F$6,0,IFERROR(MATCH(P74,装备突破!F$6:F$20,0)-1,MATCH(P74,装备突破!F$6:F$20,1))))))</f>
        <v>0</v>
      </c>
      <c r="V74" s="43">
        <f>IF(Q74="",0,IF(Q74&gt;MAX(装备突破!G$6:G$20),"溢出",IF(Q74="","",IF(Q74&lt;装备突破!G$6,0,IFERROR(MATCH(Q74,装备突破!G$6:G$20,0)-1,MATCH(Q74,装备突破!G$6:G$20,1))))))</f>
        <v>0</v>
      </c>
      <c r="W74" s="43">
        <f>IF(R74="",0,IF(R74&gt;MAX(装备突破!H$6:H$20),"溢出",IF(R74="","",IF(R74&lt;装备突破!H$6,0,IFERROR(MATCH(R74,装备突破!H$6:H$20,0)-1,MATCH(R74,装备突破!H$6:H$20,1))))))</f>
        <v>6</v>
      </c>
      <c r="X74" s="143"/>
      <c r="Y74" s="143"/>
      <c r="Z74" s="143"/>
      <c r="AA74" s="143"/>
      <c r="AB74" s="158">
        <v>25</v>
      </c>
    </row>
    <row r="75" spans="1:28" s="46" customFormat="1" x14ac:dyDescent="0.15">
      <c r="A75" s="41">
        <v>15</v>
      </c>
      <c r="B75" s="128">
        <v>120</v>
      </c>
      <c r="C75" s="142">
        <f>INDEX(节奏总纲!$R$4:$R$163,$B75)</f>
        <v>2791.971</v>
      </c>
      <c r="D75" s="134">
        <f>'[1]资源-装备'!H81</f>
        <v>0</v>
      </c>
      <c r="E75" s="134">
        <f>'[1]资源-装备'!I81</f>
        <v>0</v>
      </c>
      <c r="F75" s="134">
        <f>'[1]资源-装备'!J81</f>
        <v>0</v>
      </c>
      <c r="G75" s="134">
        <f>'[1]资源-装备'!K81</f>
        <v>0</v>
      </c>
      <c r="H75" s="134">
        <f>'[1]资源-装备'!L81</f>
        <v>18</v>
      </c>
      <c r="I75" s="29">
        <f>IF(INDEX(装备突破!D$94:D$113,MATCH($B75*2-20,装备突破!$C$94:$C$113,0))="",I74,INDEX(装备突破!D$94:D$113,MATCH($B75*2-20,装备突破!$C$94:$C$113,0)))</f>
        <v>0.9</v>
      </c>
      <c r="J75" s="29">
        <f>IF(INDEX(装备突破!E$94:E$113,MATCH($B75*2-20,装备突破!$C$94:$C$113,0))="",J74,INDEX(装备突破!E$94:E$113,MATCH($B75*2-20,装备突破!$C$94:$C$113,0)))</f>
        <v>1</v>
      </c>
      <c r="K75" s="29">
        <f>IF(INDEX(装备突破!F$94:F$113,MATCH($B75*2-20,装备突破!$C$94:$C$113,0))="",K74,INDEX(装备突破!F$94:F$113,MATCH($B75*2-20,装备突破!$C$94:$C$113,0)))</f>
        <v>1</v>
      </c>
      <c r="L75" s="29">
        <f>IF(INDEX(装备突破!G$94:G$113,MATCH($B75*2-20,装备突破!$C$94:$C$113,0))="",L74,INDEX(装备突破!G$94:G$113,MATCH($B75*2-20,装备突破!$C$94:$C$113,0)))</f>
        <v>1</v>
      </c>
      <c r="M75" s="29">
        <f>IF(INDEX(装备突破!H$94:H$113,MATCH($B75*2-20,装备突破!$C$94:$C$113,0))="",M74,INDEX(装备突破!H$94:H$113,MATCH($B75*2-20,装备突破!$C$94:$C$113,0)))</f>
        <v>1</v>
      </c>
      <c r="N75" s="126" t="s">
        <v>397</v>
      </c>
      <c r="O75" s="126" t="s">
        <v>397</v>
      </c>
      <c r="P75" s="126" t="s">
        <v>397</v>
      </c>
      <c r="Q75" s="126" t="s">
        <v>397</v>
      </c>
      <c r="R75" s="126">
        <v>240</v>
      </c>
      <c r="S75" s="43">
        <f>IF(N75="",0,IF(N75&gt;MAX(装备突破!D$6:D$20),"溢出",IF(N75="","",IF(N75&lt;装备突破!D$6,0,IFERROR(MATCH(N75,装备突破!D$6:D$20,0)-1,MATCH(N75,装备突破!D$6:D$20,1))))))</f>
        <v>0</v>
      </c>
      <c r="T75" s="43">
        <f>IF(O75="",0,IF(O75&gt;MAX(装备突破!E$6:E$20),"溢出",IF(O75="","",IF(O75&lt;装备突破!E$6,0,IFERROR(MATCH(O75,装备突破!E$6:E$20,0)-1,MATCH(O75,装备突破!E$6:E$20,1))))))</f>
        <v>0</v>
      </c>
      <c r="U75" s="43">
        <f>IF(P75="",0,IF(P75&gt;MAX(装备突破!F$6:F$20),"溢出",IF(P75="","",IF(P75&lt;装备突破!F$6,0,IFERROR(MATCH(P75,装备突破!F$6:F$20,0)-1,MATCH(P75,装备突破!F$6:F$20,1))))))</f>
        <v>0</v>
      </c>
      <c r="V75" s="43">
        <f>IF(Q75="",0,IF(Q75&gt;MAX(装备突破!G$6:G$20),"溢出",IF(Q75="","",IF(Q75&lt;装备突破!G$6,0,IFERROR(MATCH(Q75,装备突破!G$6:G$20,0)-1,MATCH(Q75,装备突破!G$6:G$20,1))))))</f>
        <v>0</v>
      </c>
      <c r="W75" s="43">
        <f>IF(R75="",0,IF(R75&gt;MAX(装备突破!H$6:H$20),"溢出",IF(R75="","",IF(R75&lt;装备突破!H$6,0,IFERROR(MATCH(R75,装备突破!H$6:H$20,0)-1,MATCH(R75,装备突破!H$6:H$20,1))))))</f>
        <v>7</v>
      </c>
      <c r="X75" s="143"/>
      <c r="Y75" s="143"/>
      <c r="Z75" s="143"/>
      <c r="AA75" s="143"/>
      <c r="AB75" s="158">
        <v>25</v>
      </c>
    </row>
    <row r="76" spans="1:28" s="46" customFormat="1" x14ac:dyDescent="0.15">
      <c r="A76" s="41">
        <v>16</v>
      </c>
      <c r="B76" s="128">
        <v>130</v>
      </c>
      <c r="C76" s="142">
        <f>INDEX(节奏总纲!$R$4:$R$163,$B76)</f>
        <v>5542.0306</v>
      </c>
      <c r="D76" s="134">
        <f>'[1]资源-装备'!H82</f>
        <v>0</v>
      </c>
      <c r="E76" s="134">
        <f>'[1]资源-装备'!I82</f>
        <v>0</v>
      </c>
      <c r="F76" s="134">
        <f>'[1]资源-装备'!J82</f>
        <v>0</v>
      </c>
      <c r="G76" s="134">
        <f>'[1]资源-装备'!K82</f>
        <v>0</v>
      </c>
      <c r="H76" s="134">
        <f>'[1]资源-装备'!L82</f>
        <v>18</v>
      </c>
      <c r="I76" s="29">
        <f>IF(INDEX(装备突破!D$94:D$113,MATCH($B76*2-20,装备突破!$C$94:$C$113,0))="",I75,INDEX(装备突破!D$94:D$113,MATCH($B76*2-20,装备突破!$C$94:$C$113,0)))</f>
        <v>0.9</v>
      </c>
      <c r="J76" s="29">
        <f>IF(INDEX(装备突破!E$94:E$113,MATCH($B76*2-20,装备突破!$C$94:$C$113,0))="",J75,INDEX(装备突破!E$94:E$113,MATCH($B76*2-20,装备突破!$C$94:$C$113,0)))</f>
        <v>1</v>
      </c>
      <c r="K76" s="29">
        <f>IF(INDEX(装备突破!F$94:F$113,MATCH($B76*2-20,装备突破!$C$94:$C$113,0))="",K75,INDEX(装备突破!F$94:F$113,MATCH($B76*2-20,装备突破!$C$94:$C$113,0)))</f>
        <v>1</v>
      </c>
      <c r="L76" s="29">
        <f>IF(INDEX(装备突破!G$94:G$113,MATCH($B76*2-20,装备突破!$C$94:$C$113,0))="",L75,INDEX(装备突破!G$94:G$113,MATCH($B76*2-20,装备突破!$C$94:$C$113,0)))</f>
        <v>1</v>
      </c>
      <c r="M76" s="29">
        <f>IF(INDEX(装备突破!H$94:H$113,MATCH($B76*2-20,装备突破!$C$94:$C$113,0))="",M75,INDEX(装备突破!H$94:H$113,MATCH($B76*2-20,装备突破!$C$94:$C$113,0)))</f>
        <v>1</v>
      </c>
      <c r="N76" s="126" t="s">
        <v>397</v>
      </c>
      <c r="O76" s="126" t="s">
        <v>397</v>
      </c>
      <c r="P76" s="126" t="s">
        <v>397</v>
      </c>
      <c r="Q76" s="126" t="s">
        <v>397</v>
      </c>
      <c r="R76" s="126">
        <v>260</v>
      </c>
      <c r="S76" s="43">
        <f>IF(N76="",0,IF(N76&gt;MAX(装备突破!D$6:D$20),"溢出",IF(N76="","",IF(N76&lt;装备突破!D$6,0,IFERROR(MATCH(N76,装备突破!D$6:D$20,0)-1,MATCH(N76,装备突破!D$6:D$20,1))))))</f>
        <v>0</v>
      </c>
      <c r="T76" s="43">
        <f>IF(O76="",0,IF(O76&gt;MAX(装备突破!E$6:E$20),"溢出",IF(O76="","",IF(O76&lt;装备突破!E$6,0,IFERROR(MATCH(O76,装备突破!E$6:E$20,0)-1,MATCH(O76,装备突破!E$6:E$20,1))))))</f>
        <v>0</v>
      </c>
      <c r="U76" s="43">
        <f>IF(P76="",0,IF(P76&gt;MAX(装备突破!F$6:F$20),"溢出",IF(P76="","",IF(P76&lt;装备突破!F$6,0,IFERROR(MATCH(P76,装备突破!F$6:F$20,0)-1,MATCH(P76,装备突破!F$6:F$20,1))))))</f>
        <v>0</v>
      </c>
      <c r="V76" s="43">
        <f>IF(Q76="",0,IF(Q76&gt;MAX(装备突破!G$6:G$20),"溢出",IF(Q76="","",IF(Q76&lt;装备突破!G$6,0,IFERROR(MATCH(Q76,装备突破!G$6:G$20,0)-1,MATCH(Q76,装备突破!G$6:G$20,1))))))</f>
        <v>0</v>
      </c>
      <c r="W76" s="43">
        <f>IF(R76="",0,IF(R76&gt;MAX(装备突破!H$6:H$20),"溢出",IF(R76="","",IF(R76&lt;装备突破!H$6,0,IFERROR(MATCH(R76,装备突破!H$6:H$20,0)-1,MATCH(R76,装备突破!H$6:H$20,1))))))</f>
        <v>8</v>
      </c>
      <c r="X76" s="143"/>
      <c r="Y76" s="143"/>
      <c r="Z76" s="143"/>
      <c r="AA76" s="143"/>
      <c r="AB76" s="158">
        <v>25</v>
      </c>
    </row>
    <row r="77" spans="1:28" s="46" customFormat="1" x14ac:dyDescent="0.15">
      <c r="A77" s="41">
        <v>17</v>
      </c>
      <c r="B77" s="128">
        <v>140</v>
      </c>
      <c r="C77" s="142">
        <f>INDEX(节奏总纲!$R$4:$R$163,$B77)</f>
        <v>11037.2271</v>
      </c>
      <c r="D77" s="134">
        <f>'[1]资源-装备'!H83</f>
        <v>0</v>
      </c>
      <c r="E77" s="134">
        <f>'[1]资源-装备'!I83</f>
        <v>0</v>
      </c>
      <c r="F77" s="134">
        <f>'[1]资源-装备'!J83</f>
        <v>0</v>
      </c>
      <c r="G77" s="134">
        <f>'[1]资源-装备'!K83</f>
        <v>0</v>
      </c>
      <c r="H77" s="134">
        <f>'[1]资源-装备'!L83</f>
        <v>18</v>
      </c>
      <c r="I77" s="29">
        <f>IF(INDEX(装备突破!D$94:D$113,MATCH($B77*2-20,装备突破!$C$94:$C$113,0))="",I76,INDEX(装备突破!D$94:D$113,MATCH($B77*2-20,装备突破!$C$94:$C$113,0)))</f>
        <v>0.9</v>
      </c>
      <c r="J77" s="29">
        <f>IF(INDEX(装备突破!E$94:E$113,MATCH($B77*2-20,装备突破!$C$94:$C$113,0))="",J76,INDEX(装备突破!E$94:E$113,MATCH($B77*2-20,装备突破!$C$94:$C$113,0)))</f>
        <v>1</v>
      </c>
      <c r="K77" s="29">
        <f>IF(INDEX(装备突破!F$94:F$113,MATCH($B77*2-20,装备突破!$C$94:$C$113,0))="",K76,INDEX(装备突破!F$94:F$113,MATCH($B77*2-20,装备突破!$C$94:$C$113,0)))</f>
        <v>1</v>
      </c>
      <c r="L77" s="29">
        <f>IF(INDEX(装备突破!G$94:G$113,MATCH($B77*2-20,装备突破!$C$94:$C$113,0))="",L76,INDEX(装备突破!G$94:G$113,MATCH($B77*2-20,装备突破!$C$94:$C$113,0)))</f>
        <v>1</v>
      </c>
      <c r="M77" s="29">
        <f>IF(INDEX(装备突破!H$94:H$113,MATCH($B77*2-20,装备突破!$C$94:$C$113,0))="",M76,INDEX(装备突破!H$94:H$113,MATCH($B77*2-20,装备突破!$C$94:$C$113,0)))</f>
        <v>1</v>
      </c>
      <c r="N77" s="126" t="s">
        <v>397</v>
      </c>
      <c r="O77" s="126" t="s">
        <v>397</v>
      </c>
      <c r="P77" s="126" t="s">
        <v>397</v>
      </c>
      <c r="Q77" s="126" t="s">
        <v>397</v>
      </c>
      <c r="R77" s="126">
        <v>280</v>
      </c>
      <c r="S77" s="43">
        <f>IF(N77="",0,IF(N77&gt;MAX(装备突破!D$6:D$20),"溢出",IF(N77="","",IF(N77&lt;装备突破!D$6,0,IFERROR(MATCH(N77,装备突破!D$6:D$20,0)-1,MATCH(N77,装备突破!D$6:D$20,1))))))</f>
        <v>0</v>
      </c>
      <c r="T77" s="43">
        <f>IF(O77="",0,IF(O77&gt;MAX(装备突破!E$6:E$20),"溢出",IF(O77="","",IF(O77&lt;装备突破!E$6,0,IFERROR(MATCH(O77,装备突破!E$6:E$20,0)-1,MATCH(O77,装备突破!E$6:E$20,1))))))</f>
        <v>0</v>
      </c>
      <c r="U77" s="43">
        <f>IF(P77="",0,IF(P77&gt;MAX(装备突破!F$6:F$20),"溢出",IF(P77="","",IF(P77&lt;装备突破!F$6,0,IFERROR(MATCH(P77,装备突破!F$6:F$20,0)-1,MATCH(P77,装备突破!F$6:F$20,1))))))</f>
        <v>0</v>
      </c>
      <c r="V77" s="43">
        <f>IF(Q77="",0,IF(Q77&gt;MAX(装备突破!G$6:G$20),"溢出",IF(Q77="","",IF(Q77&lt;装备突破!G$6,0,IFERROR(MATCH(Q77,装备突破!G$6:G$20,0)-1,MATCH(Q77,装备突破!G$6:G$20,1))))))</f>
        <v>0</v>
      </c>
      <c r="W77" s="43">
        <f>IF(R77="",0,IF(R77&gt;MAX(装备突破!H$6:H$20),"溢出",IF(R77="","",IF(R77&lt;装备突破!H$6,0,IFERROR(MATCH(R77,装备突破!H$6:H$20,0)-1,MATCH(R77,装备突破!H$6:H$20,1))))))</f>
        <v>9</v>
      </c>
      <c r="X77" s="143"/>
      <c r="Y77" s="143"/>
      <c r="Z77" s="143"/>
      <c r="AA77" s="143"/>
      <c r="AB77" s="158">
        <v>25</v>
      </c>
    </row>
    <row r="78" spans="1:28" s="46" customFormat="1" x14ac:dyDescent="0.15">
      <c r="A78" s="41">
        <v>18</v>
      </c>
      <c r="B78" s="128">
        <v>150</v>
      </c>
      <c r="C78" s="142">
        <f>INDEX(节奏总纲!$R$4:$R$163,$B78)</f>
        <v>21996.487099999998</v>
      </c>
      <c r="D78" s="134">
        <f>'[1]资源-装备'!H84</f>
        <v>0</v>
      </c>
      <c r="E78" s="134">
        <f>'[1]资源-装备'!I84</f>
        <v>0</v>
      </c>
      <c r="F78" s="134">
        <f>'[1]资源-装备'!J84</f>
        <v>0</v>
      </c>
      <c r="G78" s="134">
        <f>'[1]资源-装备'!K84</f>
        <v>0</v>
      </c>
      <c r="H78" s="134">
        <f>'[1]资源-装备'!L84</f>
        <v>18</v>
      </c>
      <c r="I78" s="29">
        <f>IF(INDEX(装备突破!D$94:D$113,MATCH($B78*2-20,装备突破!$C$94:$C$113,0))="",I77,INDEX(装备突破!D$94:D$113,MATCH($B78*2-20,装备突破!$C$94:$C$113,0)))</f>
        <v>0.9</v>
      </c>
      <c r="J78" s="29">
        <f>IF(INDEX(装备突破!E$94:E$113,MATCH($B78*2-20,装备突破!$C$94:$C$113,0))="",J77,INDEX(装备突破!E$94:E$113,MATCH($B78*2-20,装备突破!$C$94:$C$113,0)))</f>
        <v>1</v>
      </c>
      <c r="K78" s="29">
        <f>IF(INDEX(装备突破!F$94:F$113,MATCH($B78*2-20,装备突破!$C$94:$C$113,0))="",K77,INDEX(装备突破!F$94:F$113,MATCH($B78*2-20,装备突破!$C$94:$C$113,0)))</f>
        <v>1</v>
      </c>
      <c r="L78" s="29">
        <f>IF(INDEX(装备突破!G$94:G$113,MATCH($B78*2-20,装备突破!$C$94:$C$113,0))="",L77,INDEX(装备突破!G$94:G$113,MATCH($B78*2-20,装备突破!$C$94:$C$113,0)))</f>
        <v>1</v>
      </c>
      <c r="M78" s="29">
        <f>IF(INDEX(装备突破!H$94:H$113,MATCH($B78*2-20,装备突破!$C$94:$C$113,0))="",M77,INDEX(装备突破!H$94:H$113,MATCH($B78*2-20,装备突破!$C$94:$C$113,0)))</f>
        <v>1</v>
      </c>
      <c r="N78" s="126" t="s">
        <v>397</v>
      </c>
      <c r="O78" s="126" t="s">
        <v>397</v>
      </c>
      <c r="P78" s="126" t="s">
        <v>397</v>
      </c>
      <c r="Q78" s="126" t="s">
        <v>397</v>
      </c>
      <c r="R78" s="126">
        <v>300</v>
      </c>
      <c r="S78" s="43">
        <f>IF(N78="",0,IF(N78&gt;MAX(装备突破!D$6:D$20),"溢出",IF(N78="","",IF(N78&lt;装备突破!D$6,0,IFERROR(MATCH(N78,装备突破!D$6:D$20,0)-1,MATCH(N78,装备突破!D$6:D$20,1))))))</f>
        <v>0</v>
      </c>
      <c r="T78" s="43">
        <f>IF(O78="",0,IF(O78&gt;MAX(装备突破!E$6:E$20),"溢出",IF(O78="","",IF(O78&lt;装备突破!E$6,0,IFERROR(MATCH(O78,装备突破!E$6:E$20,0)-1,MATCH(O78,装备突破!E$6:E$20,1))))))</f>
        <v>0</v>
      </c>
      <c r="U78" s="43">
        <f>IF(P78="",0,IF(P78&gt;MAX(装备突破!F$6:F$20),"溢出",IF(P78="","",IF(P78&lt;装备突破!F$6,0,IFERROR(MATCH(P78,装备突破!F$6:F$20,0)-1,MATCH(P78,装备突破!F$6:F$20,1))))))</f>
        <v>0</v>
      </c>
      <c r="V78" s="43">
        <f>IF(Q78="",0,IF(Q78&gt;MAX(装备突破!G$6:G$20),"溢出",IF(Q78="","",IF(Q78&lt;装备突破!G$6,0,IFERROR(MATCH(Q78,装备突破!G$6:G$20,0)-1,MATCH(Q78,装备突破!G$6:G$20,1))))))</f>
        <v>0</v>
      </c>
      <c r="W78" s="43">
        <f>IF(R78="",0,IF(R78&gt;MAX(装备突破!H$6:H$20),"溢出",IF(R78="","",IF(R78&lt;装备突破!H$6,0,IFERROR(MATCH(R78,装备突破!H$6:H$20,0)-1,MATCH(R78,装备突破!H$6:H$20,1))))))</f>
        <v>10</v>
      </c>
      <c r="X78" s="143"/>
      <c r="Y78" s="143"/>
      <c r="Z78" s="143"/>
      <c r="AA78" s="143"/>
      <c r="AB78" s="158">
        <v>25</v>
      </c>
    </row>
    <row r="79" spans="1:28" x14ac:dyDescent="0.15">
      <c r="A79" s="41">
        <v>19</v>
      </c>
      <c r="B79" s="128">
        <v>160</v>
      </c>
      <c r="C79" s="142">
        <f>INDEX(节奏总纲!$R$4:$R$163,$B79)</f>
        <v>66190.350000000006</v>
      </c>
      <c r="D79" s="134">
        <f>'[1]资源-装备'!H85</f>
        <v>0</v>
      </c>
      <c r="E79" s="134">
        <f>'[1]资源-装备'!I85</f>
        <v>0</v>
      </c>
      <c r="F79" s="134">
        <f>'[1]资源-装备'!J85</f>
        <v>0</v>
      </c>
      <c r="G79" s="134">
        <f>'[1]资源-装备'!K85</f>
        <v>0</v>
      </c>
      <c r="H79" s="134">
        <f>'[1]资源-装备'!L85</f>
        <v>18</v>
      </c>
      <c r="I79" s="29">
        <f>IF(INDEX(装备突破!D$94:D$113,MATCH($B79*2-20,装备突破!$C$94:$C$113,0))="",I78,INDEX(装备突破!D$94:D$113,MATCH($B79*2-20,装备突破!$C$94:$C$113,0)))</f>
        <v>0.9</v>
      </c>
      <c r="J79" s="29">
        <f>IF(INDEX(装备突破!E$94:E$113,MATCH($B79*2-20,装备突破!$C$94:$C$113,0))="",J78,INDEX(装备突破!E$94:E$113,MATCH($B79*2-20,装备突破!$C$94:$C$113,0)))</f>
        <v>1</v>
      </c>
      <c r="K79" s="29">
        <f>IF(INDEX(装备突破!F$94:F$113,MATCH($B79*2-20,装备突破!$C$94:$C$113,0))="",K78,INDEX(装备突破!F$94:F$113,MATCH($B79*2-20,装备突破!$C$94:$C$113,0)))</f>
        <v>1</v>
      </c>
      <c r="L79" s="29">
        <f>IF(INDEX(装备突破!G$94:G$113,MATCH($B79*2-20,装备突破!$C$94:$C$113,0))="",L78,INDEX(装备突破!G$94:G$113,MATCH($B79*2-20,装备突破!$C$94:$C$113,0)))</f>
        <v>1</v>
      </c>
      <c r="M79" s="29">
        <f>IF(INDEX(装备突破!H$94:H$113,MATCH($B79*2-20,装备突破!$C$94:$C$113,0))="",M78,INDEX(装备突破!H$94:H$113,MATCH($B79*2-20,装备突破!$C$94:$C$113,0)))</f>
        <v>1</v>
      </c>
      <c r="N79" s="126" t="s">
        <v>397</v>
      </c>
      <c r="O79" s="126" t="s">
        <v>397</v>
      </c>
      <c r="P79" s="126" t="s">
        <v>397</v>
      </c>
      <c r="Q79" s="126" t="s">
        <v>397</v>
      </c>
      <c r="R79" s="126">
        <v>320</v>
      </c>
      <c r="S79" s="43">
        <f>IF(N79="",0,IF(N79&gt;MAX(装备突破!D$6:D$20),"溢出",IF(N79="","",IF(N79&lt;装备突破!D$6,0,IFERROR(MATCH(N79,装备突破!D$6:D$20,0)-1,MATCH(N79,装备突破!D$6:D$20,1))))))</f>
        <v>0</v>
      </c>
      <c r="T79" s="43">
        <f>IF(O79="",0,IF(O79&gt;MAX(装备突破!E$6:E$20),"溢出",IF(O79="","",IF(O79&lt;装备突破!E$6,0,IFERROR(MATCH(O79,装备突破!E$6:E$20,0)-1,MATCH(O79,装备突破!E$6:E$20,1))))))</f>
        <v>0</v>
      </c>
      <c r="U79" s="43">
        <f>IF(P79="",0,IF(P79&gt;MAX(装备突破!F$6:F$20),"溢出",IF(P79="","",IF(P79&lt;装备突破!F$6,0,IFERROR(MATCH(P79,装备突破!F$6:F$20,0)-1,MATCH(P79,装备突破!F$6:F$20,1))))))</f>
        <v>0</v>
      </c>
      <c r="V79" s="43">
        <f>IF(Q79="",0,IF(Q79&gt;MAX(装备突破!G$6:G$20),"溢出",IF(Q79="","",IF(Q79&lt;装备突破!G$6,0,IFERROR(MATCH(Q79,装备突破!G$6:G$20,0)-1,MATCH(Q79,装备突破!G$6:G$20,1))))))</f>
        <v>0</v>
      </c>
      <c r="W79" s="43">
        <f>IF(R79="",0,IF(R79&gt;MAX(装备突破!H$6:H$20),"溢出",IF(R79="","",IF(R79&lt;装备突破!H$6,0,IFERROR(MATCH(R79,装备突破!H$6:H$20,0)-1,MATCH(R79,装备突破!H$6:H$20,1))))))</f>
        <v>11</v>
      </c>
      <c r="X79" s="143"/>
      <c r="Y79" s="143"/>
      <c r="Z79" s="143"/>
      <c r="AA79" s="143"/>
      <c r="AB79" s="158">
        <v>25</v>
      </c>
    </row>
    <row r="80" spans="1:28" x14ac:dyDescent="0.15">
      <c r="A80" s="41">
        <v>20</v>
      </c>
      <c r="B80" s="44"/>
      <c r="C80" s="44"/>
      <c r="D80" s="44"/>
      <c r="E80" s="44"/>
      <c r="F80" s="44"/>
      <c r="G80" s="44"/>
      <c r="H80" s="44"/>
      <c r="I80" s="29" t="str">
        <f>IF(S80="","",INDEX(装备突破!D$94:D$113,MATCH(S80,装备突破!$C$94:$C$113,0),1))</f>
        <v/>
      </c>
      <c r="J80" s="29" t="str">
        <f>IF(T80="","",INDEX(装备突破!E$94:E$113,MATCH(T80,装备突破!$C$94:$C$113,0),1))</f>
        <v/>
      </c>
      <c r="K80" s="29" t="str">
        <f>IF(U80="","",INDEX(装备突破!F$94:F$113,MATCH(U80,装备突破!$C$94:$C$113,0),1))</f>
        <v/>
      </c>
      <c r="L80" s="29" t="str">
        <f>IF(V80="","",INDEX(装备突破!G$94:G$113,MATCH(V80,装备突破!$C$94:$C$113,0),1))</f>
        <v/>
      </c>
      <c r="M80" s="29" t="str">
        <f>IF(W80="","",INDEX(装备突破!H$94:H$113,MATCH(W80,装备突破!$C$94:$C$113,0),1))</f>
        <v/>
      </c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141"/>
      <c r="Y80" s="141"/>
      <c r="Z80" s="141"/>
      <c r="AA80" s="141"/>
      <c r="AB80" s="158"/>
    </row>
    <row r="81" spans="1:28" x14ac:dyDescent="0.15">
      <c r="A81" s="41">
        <v>21</v>
      </c>
      <c r="B81" s="44"/>
      <c r="C81" s="44"/>
      <c r="D81" s="44"/>
      <c r="E81" s="44"/>
      <c r="F81" s="44"/>
      <c r="G81" s="44"/>
      <c r="H81" s="44"/>
      <c r="I81" s="29" t="str">
        <f>IF(S81="","",INDEX(装备突破!D$94:D$113,MATCH(S81,装备突破!$C$94:$C$113,0),1))</f>
        <v/>
      </c>
      <c r="J81" s="29" t="str">
        <f>IF(T81="","",INDEX(装备突破!E$94:E$113,MATCH(T81,装备突破!$C$94:$C$113,0),1))</f>
        <v/>
      </c>
      <c r="K81" s="29" t="str">
        <f>IF(U81="","",INDEX(装备突破!F$94:F$113,MATCH(U81,装备突破!$C$94:$C$113,0),1))</f>
        <v/>
      </c>
      <c r="L81" s="29" t="str">
        <f>IF(V81="","",INDEX(装备突破!G$94:G$113,MATCH(V81,装备突破!$C$94:$C$113,0),1))</f>
        <v/>
      </c>
      <c r="M81" s="29" t="str">
        <f>IF(W81="","",INDEX(装备突破!H$94:H$113,MATCH(W81,装备突破!$C$94:$C$113,0),1))</f>
        <v/>
      </c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141"/>
      <c r="Y81" s="141"/>
      <c r="Z81" s="141"/>
      <c r="AA81" s="141"/>
      <c r="AB81" s="158"/>
    </row>
    <row r="82" spans="1:28" x14ac:dyDescent="0.15">
      <c r="A82" s="41">
        <v>22</v>
      </c>
      <c r="B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</row>
    <row r="83" spans="1:28" x14ac:dyDescent="0.15">
      <c r="A83" s="41">
        <v>23</v>
      </c>
      <c r="B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</row>
    <row r="84" spans="1:28" x14ac:dyDescent="0.15">
      <c r="A84" s="41">
        <v>24</v>
      </c>
      <c r="B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</row>
    <row r="85" spans="1:28" x14ac:dyDescent="0.15">
      <c r="A85" s="41">
        <v>25</v>
      </c>
      <c r="B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</row>
    <row r="86" spans="1:28" x14ac:dyDescent="0.15">
      <c r="A86" s="41">
        <v>26</v>
      </c>
      <c r="B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</row>
    <row r="87" spans="1:28" x14ac:dyDescent="0.15">
      <c r="A87" s="41">
        <v>27</v>
      </c>
      <c r="B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</row>
    <row r="88" spans="1:28" x14ac:dyDescent="0.15">
      <c r="A88" s="41">
        <v>28</v>
      </c>
      <c r="B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</row>
    <row r="89" spans="1:28" x14ac:dyDescent="0.15">
      <c r="A89" s="41">
        <v>29</v>
      </c>
      <c r="B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</row>
    <row r="90" spans="1:28" x14ac:dyDescent="0.15">
      <c r="A90" s="41">
        <v>1</v>
      </c>
      <c r="B90" s="183" t="s">
        <v>138</v>
      </c>
      <c r="C90" s="183"/>
      <c r="D90" s="183"/>
      <c r="E90" s="183"/>
      <c r="F90" s="183"/>
      <c r="G90" s="183"/>
      <c r="H90" s="183"/>
      <c r="I90" s="183"/>
      <c r="J90" s="183"/>
      <c r="K90" s="183"/>
      <c r="L90" s="183"/>
      <c r="M90" s="183"/>
      <c r="N90" s="183"/>
      <c r="O90" s="183"/>
      <c r="P90" s="183"/>
      <c r="Q90" s="183"/>
      <c r="R90" s="183"/>
      <c r="S90" s="183"/>
      <c r="T90" s="183"/>
      <c r="U90" s="183"/>
      <c r="V90" s="183"/>
      <c r="W90" s="183"/>
      <c r="Z90" s="7"/>
      <c r="AA90" s="7"/>
    </row>
    <row r="91" spans="1:28" x14ac:dyDescent="0.15">
      <c r="A91" s="41">
        <v>2</v>
      </c>
      <c r="B91" s="44"/>
      <c r="C91" s="44"/>
      <c r="D91" s="183" t="s">
        <v>134</v>
      </c>
      <c r="E91" s="183"/>
      <c r="F91" s="183"/>
      <c r="G91" s="183"/>
      <c r="H91" s="183"/>
      <c r="I91" s="183" t="s">
        <v>192</v>
      </c>
      <c r="J91" s="183"/>
      <c r="K91" s="183"/>
      <c r="L91" s="183"/>
      <c r="M91" s="183"/>
      <c r="N91" s="183" t="s">
        <v>132</v>
      </c>
      <c r="O91" s="183"/>
      <c r="P91" s="183"/>
      <c r="Q91" s="183"/>
      <c r="R91" s="183"/>
      <c r="S91" s="183" t="s">
        <v>151</v>
      </c>
      <c r="T91" s="183"/>
      <c r="U91" s="183"/>
      <c r="V91" s="183"/>
      <c r="W91" s="183"/>
      <c r="X91" s="183" t="s">
        <v>427</v>
      </c>
      <c r="Y91" s="183"/>
      <c r="Z91" s="183"/>
      <c r="AA91" s="183"/>
      <c r="AB91" s="183"/>
    </row>
    <row r="92" spans="1:28" x14ac:dyDescent="0.15">
      <c r="A92" s="41">
        <v>3</v>
      </c>
      <c r="B92" s="45" t="s">
        <v>398</v>
      </c>
      <c r="C92" s="142" t="s">
        <v>212</v>
      </c>
      <c r="D92" s="45" t="s">
        <v>122</v>
      </c>
      <c r="E92" s="83" t="s">
        <v>123</v>
      </c>
      <c r="F92" s="83" t="s">
        <v>124</v>
      </c>
      <c r="G92" s="45" t="s">
        <v>125</v>
      </c>
      <c r="H92" s="45" t="s">
        <v>126</v>
      </c>
      <c r="I92" s="45" t="s">
        <v>140</v>
      </c>
      <c r="J92" s="45" t="s">
        <v>141</v>
      </c>
      <c r="K92" s="45" t="s">
        <v>142</v>
      </c>
      <c r="L92" s="45" t="s">
        <v>143</v>
      </c>
      <c r="M92" s="45" t="s">
        <v>144</v>
      </c>
      <c r="N92" s="45" t="s">
        <v>122</v>
      </c>
      <c r="O92" s="45" t="s">
        <v>123</v>
      </c>
      <c r="P92" s="45" t="s">
        <v>124</v>
      </c>
      <c r="Q92" s="45" t="s">
        <v>125</v>
      </c>
      <c r="R92" s="45" t="s">
        <v>126</v>
      </c>
      <c r="S92" s="45" t="s">
        <v>122</v>
      </c>
      <c r="T92" s="45" t="s">
        <v>123</v>
      </c>
      <c r="U92" s="45" t="s">
        <v>124</v>
      </c>
      <c r="V92" s="45" t="s">
        <v>125</v>
      </c>
      <c r="W92" s="45" t="s">
        <v>126</v>
      </c>
      <c r="X92" s="142" t="s">
        <v>0</v>
      </c>
      <c r="Y92" s="142" t="s">
        <v>1</v>
      </c>
      <c r="Z92" s="142" t="s">
        <v>2</v>
      </c>
      <c r="AA92" s="142" t="s">
        <v>3</v>
      </c>
      <c r="AB92" s="84" t="s">
        <v>4</v>
      </c>
    </row>
    <row r="93" spans="1:28" x14ac:dyDescent="0.15">
      <c r="A93" s="41">
        <v>4</v>
      </c>
      <c r="B93" s="45">
        <v>10</v>
      </c>
      <c r="C93" s="142">
        <f>INDEX(节奏总纲!$S$4:$S$163,$B93)</f>
        <v>0.49980000000000002</v>
      </c>
      <c r="D93" s="134">
        <f>'[1]资源-装备'!H99</f>
        <v>12</v>
      </c>
      <c r="E93" s="134">
        <f>'[1]资源-装备'!I99</f>
        <v>6</v>
      </c>
      <c r="F93" s="134">
        <f>'[1]资源-装备'!J99</f>
        <v>0</v>
      </c>
      <c r="G93" s="134">
        <f>'[1]资源-装备'!K99</f>
        <v>0</v>
      </c>
      <c r="H93" s="134">
        <f>'[1]资源-装备'!L99</f>
        <v>0</v>
      </c>
      <c r="I93" s="29">
        <f>IF(INDEX(装备突破!D$94:D$113,MATCH($B93*2-20,装备突破!$C$94:$C$113,0))="",I92,INDEX(装备突破!D$94:D$113,MATCH($B93*2-20,装备突破!$C$94:$C$113,0)))</f>
        <v>0.9</v>
      </c>
      <c r="J93" s="29">
        <f>IF(INDEX(装备突破!E$94:E$113,MATCH($B93*2-20,装备突破!$C$94:$C$113,0))="",J92,INDEX(装备突破!E$94:E$113,MATCH($B93*2-20,装备突破!$C$94:$C$113,0)))</f>
        <v>0.7</v>
      </c>
      <c r="K93" s="29">
        <f>IF(INDEX(装备突破!F$94:F$113,MATCH($B93*2-20,装备突破!$C$94:$C$113,0))="",K92,INDEX(装备突破!F$94:F$113,MATCH($B93*2-20,装备突破!$C$94:$C$113,0)))</f>
        <v>0.6</v>
      </c>
      <c r="L93" s="29">
        <f>IF(INDEX(装备突破!G$94:G$113,MATCH($B93*2-20,装备突破!$C$94:$C$113,0))="",L92,INDEX(装备突破!G$94:G$113,MATCH($B93*2-20,装备突破!$C$94:$C$113,0)))</f>
        <v>0.55000000000000004</v>
      </c>
      <c r="M93" s="29">
        <f>IF(INDEX(装备突破!H$94:H$113,MATCH($B93*2-20,装备突破!$C$94:$C$113,0))="",M92,INDEX(装备突破!H$94:H$113,MATCH($B93*2-20,装备突破!$C$94:$C$113,0)))</f>
        <v>0.48</v>
      </c>
      <c r="N93" s="110">
        <v>10</v>
      </c>
      <c r="O93" s="110">
        <v>10</v>
      </c>
      <c r="P93" s="110" t="s">
        <v>397</v>
      </c>
      <c r="Q93" s="110" t="s">
        <v>397</v>
      </c>
      <c r="R93" s="110" t="s">
        <v>397</v>
      </c>
      <c r="S93" s="43">
        <f>IF(N93="",0,IF(N93&gt;MAX(装备突破!D$6:D$20),"溢出",IF(N93="","",IF(N93&lt;装备突破!D$6,0,IFERROR(MATCH(N93,装备突破!D$6:D$20,0)-1,MATCH(N93,装备突破!D$6:D$20,1))))))</f>
        <v>0</v>
      </c>
      <c r="T93" s="43">
        <f>IF(O93="",0,IF(O93&gt;MAX(装备突破!E$6:E$20),"溢出",IF(O93="","",IF(O93&lt;装备突破!E$6,0,IFERROR(MATCH(O93,装备突破!E$6:E$20,0)-1,MATCH(O93,装备突破!E$6:E$20,1))))))</f>
        <v>0</v>
      </c>
      <c r="U93" s="43">
        <f>IF(P93="",0,IF(P93&gt;MAX(装备突破!F$6:F$20),"溢出",IF(P93="","",IF(P93&lt;装备突破!F$6,0,IFERROR(MATCH(P93,装备突破!F$6:F$20,0)-1,MATCH(P93,装备突破!F$6:F$20,1))))))</f>
        <v>0</v>
      </c>
      <c r="V93" s="43">
        <f>IF(Q93="",0,IF(Q93&gt;MAX(装备突破!G$6:G$20),"溢出",IF(Q93="","",IF(Q93&lt;装备突破!G$6,0,IFERROR(MATCH(Q93,装备突破!G$6:G$20,0)-1,MATCH(Q93,装备突破!G$6:G$20,1))))))</f>
        <v>0</v>
      </c>
      <c r="W93" s="43">
        <f>IF(R93="",0,IF(R93&gt;MAX(装备突破!H$6:H$20),"溢出",IF(R93="","",IF(R93&lt;装备突破!H$6,0,IFERROR(MATCH(R93,装备突破!H$6:H$20,0)-1,MATCH(R93,装备突破!H$6:H$20,1))))))</f>
        <v>0</v>
      </c>
      <c r="X93" s="143"/>
      <c r="Y93" s="143"/>
      <c r="Z93" s="143"/>
      <c r="AA93" s="143"/>
      <c r="AB93" s="158">
        <v>0</v>
      </c>
    </row>
    <row r="94" spans="1:28" x14ac:dyDescent="0.15">
      <c r="A94" s="41">
        <v>5</v>
      </c>
      <c r="B94" s="45">
        <v>20</v>
      </c>
      <c r="C94" s="142">
        <f>INDEX(节奏总纲!$S$4:$S$163,$B94)</f>
        <v>1.5800999999999998</v>
      </c>
      <c r="D94" s="134">
        <f>'[1]资源-装备'!H100</f>
        <v>0</v>
      </c>
      <c r="E94" s="134">
        <f>'[1]资源-装备'!I100</f>
        <v>13</v>
      </c>
      <c r="F94" s="134">
        <f>'[1]资源-装备'!J100</f>
        <v>5</v>
      </c>
      <c r="G94" s="134">
        <f>'[1]资源-装备'!K100</f>
        <v>0</v>
      </c>
      <c r="H94" s="134">
        <f>'[1]资源-装备'!L100</f>
        <v>0</v>
      </c>
      <c r="I94" s="29">
        <f>IF(INDEX(装备突破!D$94:D$113,MATCH($B94*2-20,装备突破!$C$94:$C$113,0))="",I93,INDEX(装备突破!D$94:D$113,MATCH($B94*2-20,装备突破!$C$94:$C$113,0)))</f>
        <v>0.9</v>
      </c>
      <c r="J94" s="29">
        <f>IF(INDEX(装备突破!E$94:E$113,MATCH($B94*2-20,装备突破!$C$94:$C$113,0))="",J93,INDEX(装备突破!E$94:E$113,MATCH($B94*2-20,装备突破!$C$94:$C$113,0)))</f>
        <v>0.85</v>
      </c>
      <c r="K94" s="29">
        <f>IF(INDEX(装备突破!F$94:F$113,MATCH($B94*2-20,装备突破!$C$94:$C$113,0))="",K93,INDEX(装备突破!F$94:F$113,MATCH($B94*2-20,装备突破!$C$94:$C$113,0)))</f>
        <v>0.7</v>
      </c>
      <c r="L94" s="29">
        <f>IF(INDEX(装备突破!G$94:G$113,MATCH($B94*2-20,装备突破!$C$94:$C$113,0))="",L93,INDEX(装备突破!G$94:G$113,MATCH($B94*2-20,装备突破!$C$94:$C$113,0)))</f>
        <v>0.625</v>
      </c>
      <c r="M94" s="29">
        <f>IF(INDEX(装备突破!H$94:H$113,MATCH($B94*2-20,装备突破!$C$94:$C$113,0))="",M93,INDEX(装备突破!H$94:H$113,MATCH($B94*2-20,装备突破!$C$94:$C$113,0)))</f>
        <v>0.54500000000000004</v>
      </c>
      <c r="N94" s="110">
        <v>20</v>
      </c>
      <c r="O94" s="110">
        <v>30</v>
      </c>
      <c r="P94" s="110">
        <v>30</v>
      </c>
      <c r="Q94" s="110" t="s">
        <v>397</v>
      </c>
      <c r="R94" s="110" t="s">
        <v>397</v>
      </c>
      <c r="S94" s="43">
        <f>IF(N94="",0,IF(N94&gt;MAX(装备突破!D$6:D$20),"溢出",IF(N94="","",IF(N94&lt;装备突破!D$6,0,IFERROR(MATCH(N94,装备突破!D$6:D$20,0)-1,MATCH(N94,装备突破!D$6:D$20,1))))))</f>
        <v>0</v>
      </c>
      <c r="T94" s="43">
        <f>IF(O94="",0,IF(O94&gt;MAX(装备突破!E$6:E$20),"溢出",IF(O94="","",IF(O94&lt;装备突破!E$6,0,IFERROR(MATCH(O94,装备突破!E$6:E$20,0)-1,MATCH(O94,装备突破!E$6:E$20,1))))))</f>
        <v>1</v>
      </c>
      <c r="U94" s="43">
        <f>IF(P94="",0,IF(P94&gt;MAX(装备突破!F$6:F$20),"溢出",IF(P94="","",IF(P94&lt;装备突破!F$6,0,IFERROR(MATCH(P94,装备突破!F$6:F$20,0)-1,MATCH(P94,装备突破!F$6:F$20,1))))))</f>
        <v>0</v>
      </c>
      <c r="V94" s="43">
        <f>IF(Q94="",0,IF(Q94&gt;MAX(装备突破!G$6:G$20),"溢出",IF(Q94="","",IF(Q94&lt;装备突破!G$6,0,IFERROR(MATCH(Q94,装备突破!G$6:G$20,0)-1,MATCH(Q94,装备突破!G$6:G$20,1))))))</f>
        <v>0</v>
      </c>
      <c r="W94" s="43">
        <f>IF(R94="",0,IF(R94&gt;MAX(装备突破!H$6:H$20),"溢出",IF(R94="","",IF(R94&lt;装备突破!H$6,0,IFERROR(MATCH(R94,装备突破!H$6:H$20,0)-1,MATCH(R94,装备突破!H$6:H$20,1))))))</f>
        <v>0</v>
      </c>
      <c r="X94" s="143"/>
      <c r="Y94" s="143"/>
      <c r="Z94" s="143"/>
      <c r="AA94" s="143"/>
      <c r="AB94" s="158">
        <v>0</v>
      </c>
    </row>
    <row r="95" spans="1:28" x14ac:dyDescent="0.15">
      <c r="A95" s="41">
        <v>6</v>
      </c>
      <c r="B95" s="45">
        <v>30</v>
      </c>
      <c r="C95" s="142">
        <f>INDEX(节奏总纲!$S$4:$S$163,$B95)</f>
        <v>3.7428999999999997</v>
      </c>
      <c r="D95" s="134">
        <f>'[1]资源-装备'!H101</f>
        <v>0</v>
      </c>
      <c r="E95" s="134">
        <f>'[1]资源-装备'!I101</f>
        <v>0</v>
      </c>
      <c r="F95" s="134">
        <f>'[1]资源-装备'!J101</f>
        <v>16</v>
      </c>
      <c r="G95" s="134">
        <f>'[1]资源-装备'!K101</f>
        <v>2</v>
      </c>
      <c r="H95" s="134">
        <f>'[1]资源-装备'!L101</f>
        <v>0</v>
      </c>
      <c r="I95" s="29">
        <f>IF(INDEX(装备突破!D$94:D$113,MATCH($B95*2-20,装备突破!$C$94:$C$113,0))="",I94,INDEX(装备突破!D$94:D$113,MATCH($B95*2-20,装备突破!$C$94:$C$113,0)))</f>
        <v>0.9</v>
      </c>
      <c r="J95" s="29">
        <f>IF(INDEX(装备突破!E$94:E$113,MATCH($B95*2-20,装备突破!$C$94:$C$113,0))="",J94,INDEX(装备突破!E$94:E$113,MATCH($B95*2-20,装备突破!$C$94:$C$113,0)))</f>
        <v>1</v>
      </c>
      <c r="K95" s="29">
        <f>IF(INDEX(装备突破!F$94:F$113,MATCH($B95*2-20,装备突破!$C$94:$C$113,0))="",K94,INDEX(装备突破!F$94:F$113,MATCH($B95*2-20,装备突破!$C$94:$C$113,0)))</f>
        <v>0.8</v>
      </c>
      <c r="L95" s="29">
        <f>IF(INDEX(装备突破!G$94:G$113,MATCH($B95*2-20,装备突破!$C$94:$C$113,0))="",L94,INDEX(装备突破!G$94:G$113,MATCH($B95*2-20,装备突破!$C$94:$C$113,0)))</f>
        <v>0.7</v>
      </c>
      <c r="M95" s="29">
        <f>IF(INDEX(装备突破!H$94:H$113,MATCH($B95*2-20,装备突破!$C$94:$C$113,0))="",M94,INDEX(装备突破!H$94:H$113,MATCH($B95*2-20,装备突破!$C$94:$C$113,0)))</f>
        <v>0.61</v>
      </c>
      <c r="N95" s="110" t="s">
        <v>397</v>
      </c>
      <c r="O95" s="110">
        <v>40</v>
      </c>
      <c r="P95" s="110">
        <v>60</v>
      </c>
      <c r="Q95" s="110">
        <v>60</v>
      </c>
      <c r="R95" s="110" t="s">
        <v>397</v>
      </c>
      <c r="S95" s="43">
        <f>IF(N95="",0,IF(N95&gt;MAX(装备突破!D$6:D$20),"溢出",IF(N95="","",IF(N95&lt;装备突破!D$6,0,IFERROR(MATCH(N95,装备突破!D$6:D$20,0)-1,MATCH(N95,装备突破!D$6:D$20,1))))))</f>
        <v>0</v>
      </c>
      <c r="T95" s="43">
        <f>IF(O95="",0,IF(O95&gt;MAX(装备突破!E$6:E$20),"溢出",IF(O95="","",IF(O95&lt;装备突破!E$6,0,IFERROR(MATCH(O95,装备突破!E$6:E$20,0)-1,MATCH(O95,装备突破!E$6:E$20,1))))))</f>
        <v>1</v>
      </c>
      <c r="U95" s="43">
        <f>IF(P95="",0,IF(P95&gt;MAX(装备突破!F$6:F$20),"溢出",IF(P95="","",IF(P95&lt;装备突破!F$6,0,IFERROR(MATCH(P95,装备突破!F$6:F$20,0)-1,MATCH(P95,装备突破!F$6:F$20,1))))))</f>
        <v>1</v>
      </c>
      <c r="V95" s="43">
        <f>IF(Q95="",0,IF(Q95&gt;MAX(装备突破!G$6:G$20),"溢出",IF(Q95="","",IF(Q95&lt;装备突破!G$6,0,IFERROR(MATCH(Q95,装备突破!G$6:G$20,0)-1,MATCH(Q95,装备突破!G$6:G$20,1))))))</f>
        <v>0</v>
      </c>
      <c r="W95" s="43">
        <f>IF(R95="",0,IF(R95&gt;MAX(装备突破!H$6:H$20),"溢出",IF(R95="","",IF(R95&lt;装备突破!H$6,0,IFERROR(MATCH(R95,装备突破!H$6:H$20,0)-1,MATCH(R95,装备突破!H$6:H$20,1))))))</f>
        <v>0</v>
      </c>
      <c r="X95" s="143"/>
      <c r="Y95" s="143"/>
      <c r="Z95" s="143"/>
      <c r="AA95" s="143"/>
      <c r="AB95" s="158">
        <v>0</v>
      </c>
    </row>
    <row r="96" spans="1:28" x14ac:dyDescent="0.15">
      <c r="A96" s="41">
        <v>7</v>
      </c>
      <c r="B96" s="45">
        <v>40</v>
      </c>
      <c r="C96" s="142">
        <f>INDEX(节奏总纲!$S$4:$S$163,$B96)</f>
        <v>8.0009999999999994</v>
      </c>
      <c r="D96" s="134">
        <f>'[1]资源-装备'!H102</f>
        <v>0</v>
      </c>
      <c r="E96" s="134">
        <f>'[1]资源-装备'!I102</f>
        <v>0</v>
      </c>
      <c r="F96" s="134">
        <f>'[1]资源-装备'!J102</f>
        <v>0</v>
      </c>
      <c r="G96" s="134">
        <f>'[1]资源-装备'!K102</f>
        <v>16</v>
      </c>
      <c r="H96" s="134">
        <f>'[1]资源-装备'!L102</f>
        <v>0</v>
      </c>
      <c r="I96" s="29">
        <f>IF(INDEX(装备突破!D$94:D$113,MATCH($B96*2-20,装备突破!$C$94:$C$113,0))="",I95,INDEX(装备突破!D$94:D$113,MATCH($B96*2-20,装备突破!$C$94:$C$113,0)))</f>
        <v>0.9</v>
      </c>
      <c r="J96" s="29">
        <f>IF(INDEX(装备突破!E$94:E$113,MATCH($B96*2-20,装备突破!$C$94:$C$113,0))="",J95,INDEX(装备突破!E$94:E$113,MATCH($B96*2-20,装备突破!$C$94:$C$113,0)))</f>
        <v>1</v>
      </c>
      <c r="K96" s="29">
        <f>IF(INDEX(装备突破!F$94:F$113,MATCH($B96*2-20,装备突破!$C$94:$C$113,0))="",K95,INDEX(装备突破!F$94:F$113,MATCH($B96*2-20,装备突破!$C$94:$C$113,0)))</f>
        <v>0.9</v>
      </c>
      <c r="L96" s="29">
        <f>IF(INDEX(装备突破!G$94:G$113,MATCH($B96*2-20,装备突破!$C$94:$C$113,0))="",L95,INDEX(装备突破!G$94:G$113,MATCH($B96*2-20,装备突破!$C$94:$C$113,0)))</f>
        <v>0.77500000000000002</v>
      </c>
      <c r="M96" s="29">
        <f>IF(INDEX(装备突破!H$94:H$113,MATCH($B96*2-20,装备突破!$C$94:$C$113,0))="",M95,INDEX(装备突破!H$94:H$113,MATCH($B96*2-20,装备突破!$C$94:$C$113,0)))</f>
        <v>0.67500000000000004</v>
      </c>
      <c r="N96" s="110" t="s">
        <v>397</v>
      </c>
      <c r="O96" s="110">
        <v>40</v>
      </c>
      <c r="P96" s="110">
        <v>80</v>
      </c>
      <c r="Q96" s="110">
        <v>80</v>
      </c>
      <c r="R96" s="110" t="s">
        <v>397</v>
      </c>
      <c r="S96" s="43">
        <f>IF(N96="",0,IF(N96&gt;MAX(装备突破!D$6:D$20),"溢出",IF(N96="","",IF(N96&lt;装备突破!D$6,0,IFERROR(MATCH(N96,装备突破!D$6:D$20,0)-1,MATCH(N96,装备突破!D$6:D$20,1))))))</f>
        <v>0</v>
      </c>
      <c r="T96" s="43">
        <f>IF(O96="",0,IF(O96&gt;MAX(装备突破!E$6:E$20),"溢出",IF(O96="","",IF(O96&lt;装备突破!E$6,0,IFERROR(MATCH(O96,装备突破!E$6:E$20,0)-1,MATCH(O96,装备突破!E$6:E$20,1))))))</f>
        <v>1</v>
      </c>
      <c r="U96" s="43">
        <f>IF(P96="",0,IF(P96&gt;MAX(装备突破!F$6:F$20),"溢出",IF(P96="","",IF(P96&lt;装备突破!F$6,0,IFERROR(MATCH(P96,装备突破!F$6:F$20,0)-1,MATCH(P96,装备突破!F$6:F$20,1))))))</f>
        <v>2</v>
      </c>
      <c r="V96" s="43">
        <f>IF(Q96="",0,IF(Q96&gt;MAX(装备突破!G$6:G$20),"溢出",IF(Q96="","",IF(Q96&lt;装备突破!G$6,0,IFERROR(MATCH(Q96,装备突破!G$6:G$20,0)-1,MATCH(Q96,装备突破!G$6:G$20,1))))))</f>
        <v>1</v>
      </c>
      <c r="W96" s="43">
        <f>IF(R96="",0,IF(R96&gt;MAX(装备突破!H$6:H$20),"溢出",IF(R96="","",IF(R96&lt;装备突破!H$6,0,IFERROR(MATCH(R96,装备突破!H$6:H$20,0)-1,MATCH(R96,装备突破!H$6:H$20,1))))))</f>
        <v>0</v>
      </c>
      <c r="X96" s="143"/>
      <c r="Y96" s="143"/>
      <c r="Z96" s="143"/>
      <c r="AA96" s="143"/>
      <c r="AB96" s="158">
        <v>0</v>
      </c>
    </row>
    <row r="97" spans="1:28" x14ac:dyDescent="0.15">
      <c r="A97" s="41">
        <v>8</v>
      </c>
      <c r="B97" s="45">
        <v>50</v>
      </c>
      <c r="C97" s="142">
        <f>INDEX(节奏总纲!$S$4:$S$163,$B97)</f>
        <v>16.386599999999998</v>
      </c>
      <c r="D97" s="134">
        <f>'[1]资源-装备'!H103</f>
        <v>0</v>
      </c>
      <c r="E97" s="134">
        <f>'[1]资源-装备'!I103</f>
        <v>0</v>
      </c>
      <c r="F97" s="134">
        <f>'[1]资源-装备'!J103</f>
        <v>0</v>
      </c>
      <c r="G97" s="134">
        <f>'[1]资源-装备'!K103</f>
        <v>14</v>
      </c>
      <c r="H97" s="134">
        <f>'[1]资源-装备'!L103</f>
        <v>2</v>
      </c>
      <c r="I97" s="29">
        <f>IF(INDEX(装备突破!D$94:D$113,MATCH($B97*2-20,装备突破!$C$94:$C$113,0))="",I96,INDEX(装备突破!D$94:D$113,MATCH($B97*2-20,装备突破!$C$94:$C$113,0)))</f>
        <v>0.9</v>
      </c>
      <c r="J97" s="29">
        <f>IF(INDEX(装备突破!E$94:E$113,MATCH($B97*2-20,装备突破!$C$94:$C$113,0))="",J96,INDEX(装备突破!E$94:E$113,MATCH($B97*2-20,装备突破!$C$94:$C$113,0)))</f>
        <v>1</v>
      </c>
      <c r="K97" s="29">
        <f>IF(INDEX(装备突破!F$94:F$113,MATCH($B97*2-20,装备突破!$C$94:$C$113,0))="",K96,INDEX(装备突破!F$94:F$113,MATCH($B97*2-20,装备突破!$C$94:$C$113,0)))</f>
        <v>1</v>
      </c>
      <c r="L97" s="29">
        <f>IF(INDEX(装备突破!G$94:G$113,MATCH($B97*2-20,装备突破!$C$94:$C$113,0))="",L96,INDEX(装备突破!G$94:G$113,MATCH($B97*2-20,装备突破!$C$94:$C$113,0)))</f>
        <v>0.85</v>
      </c>
      <c r="M97" s="29">
        <f>IF(INDEX(装备突破!H$94:H$113,MATCH($B97*2-20,装备突破!$C$94:$C$113,0))="",M96,INDEX(装备突破!H$94:H$113,MATCH($B97*2-20,装备突破!$C$94:$C$113,0)))</f>
        <v>0.74</v>
      </c>
      <c r="N97" s="110" t="s">
        <v>397</v>
      </c>
      <c r="O97" s="110" t="s">
        <v>397</v>
      </c>
      <c r="P97" s="110">
        <v>80</v>
      </c>
      <c r="Q97" s="110">
        <v>100</v>
      </c>
      <c r="R97" s="110">
        <v>100</v>
      </c>
      <c r="S97" s="43">
        <f>IF(N97="",0,IF(N97&gt;MAX(装备突破!D$6:D$20),"溢出",IF(N97="","",IF(N97&lt;装备突破!D$6,0,IFERROR(MATCH(N97,装备突破!D$6:D$20,0)-1,MATCH(N97,装备突破!D$6:D$20,1))))))</f>
        <v>0</v>
      </c>
      <c r="T97" s="43">
        <f>IF(O97="",0,IF(O97&gt;MAX(装备突破!E$6:E$20),"溢出",IF(O97="","",IF(O97&lt;装备突破!E$6,0,IFERROR(MATCH(O97,装备突破!E$6:E$20,0)-1,MATCH(O97,装备突破!E$6:E$20,1))))))</f>
        <v>0</v>
      </c>
      <c r="U97" s="43">
        <f>IF(P97="",0,IF(P97&gt;MAX(装备突破!F$6:F$20),"溢出",IF(P97="","",IF(P97&lt;装备突破!F$6,0,IFERROR(MATCH(P97,装备突破!F$6:F$20,0)-1,MATCH(P97,装备突破!F$6:F$20,1))))))</f>
        <v>2</v>
      </c>
      <c r="V97" s="43">
        <f>IF(Q97="",0,IF(Q97&gt;MAX(装备突破!G$6:G$20),"溢出",IF(Q97="","",IF(Q97&lt;装备突破!G$6,0,IFERROR(MATCH(Q97,装备突破!G$6:G$20,0)-1,MATCH(Q97,装备突破!G$6:G$20,1))))))</f>
        <v>2</v>
      </c>
      <c r="W97" s="43">
        <f>IF(R97="",0,IF(R97&gt;MAX(装备突破!H$6:H$20),"溢出",IF(R97="","",IF(R97&lt;装备突破!H$6,0,IFERROR(MATCH(R97,装备突破!H$6:H$20,0)-1,MATCH(R97,装备突破!H$6:H$20,1))))))</f>
        <v>0</v>
      </c>
      <c r="X97" s="143"/>
      <c r="Y97" s="143"/>
      <c r="Z97" s="143"/>
      <c r="AA97" s="143"/>
      <c r="AB97" s="158">
        <v>0</v>
      </c>
    </row>
    <row r="98" spans="1:28" x14ac:dyDescent="0.15">
      <c r="A98" s="41">
        <v>9</v>
      </c>
      <c r="B98" s="45">
        <v>60</v>
      </c>
      <c r="C98" s="142">
        <f>INDEX(节奏总纲!$S$4:$S$163,$B98)</f>
        <v>32.810400000000001</v>
      </c>
      <c r="D98" s="134">
        <f>'[1]资源-装备'!H104</f>
        <v>0</v>
      </c>
      <c r="E98" s="134">
        <f>'[1]资源-装备'!I104</f>
        <v>0</v>
      </c>
      <c r="F98" s="134">
        <f>'[1]资源-装备'!J104</f>
        <v>0</v>
      </c>
      <c r="G98" s="134">
        <f>'[1]资源-装备'!K104</f>
        <v>12</v>
      </c>
      <c r="H98" s="134">
        <f>'[1]资源-装备'!L104</f>
        <v>6</v>
      </c>
      <c r="I98" s="29">
        <f>IF(INDEX(装备突破!D$94:D$113,MATCH($B98*2-20,装备突破!$C$94:$C$113,0))="",I97,INDEX(装备突破!D$94:D$113,MATCH($B98*2-20,装备突破!$C$94:$C$113,0)))</f>
        <v>0.9</v>
      </c>
      <c r="J98" s="29">
        <f>IF(INDEX(装备突破!E$94:E$113,MATCH($B98*2-20,装备突破!$C$94:$C$113,0))="",J97,INDEX(装备突破!E$94:E$113,MATCH($B98*2-20,装备突破!$C$94:$C$113,0)))</f>
        <v>1</v>
      </c>
      <c r="K98" s="29">
        <f>IF(INDEX(装备突破!F$94:F$113,MATCH($B98*2-20,装备突破!$C$94:$C$113,0))="",K97,INDEX(装备突破!F$94:F$113,MATCH($B98*2-20,装备突破!$C$94:$C$113,0)))</f>
        <v>1</v>
      </c>
      <c r="L98" s="29">
        <f>IF(INDEX(装备突破!G$94:G$113,MATCH($B98*2-20,装备突破!$C$94:$C$113,0))="",L97,INDEX(装备突破!G$94:G$113,MATCH($B98*2-20,装备突破!$C$94:$C$113,0)))</f>
        <v>0.92500000000000004</v>
      </c>
      <c r="M98" s="29">
        <f>IF(INDEX(装备突破!H$94:H$113,MATCH($B98*2-20,装备突破!$C$94:$C$113,0))="",M97,INDEX(装备突破!H$94:H$113,MATCH($B98*2-20,装备突破!$C$94:$C$113,0)))</f>
        <v>0.80500000000000005</v>
      </c>
      <c r="N98" s="110" t="s">
        <v>397</v>
      </c>
      <c r="O98" s="110" t="s">
        <v>397</v>
      </c>
      <c r="P98" s="110" t="s">
        <v>397</v>
      </c>
      <c r="Q98" s="110">
        <v>120</v>
      </c>
      <c r="R98" s="110">
        <v>120</v>
      </c>
      <c r="S98" s="43">
        <f>IF(N98="",0,IF(N98&gt;MAX(装备突破!D$6:D$20),"溢出",IF(N98="","",IF(N98&lt;装备突破!D$6,0,IFERROR(MATCH(N98,装备突破!D$6:D$20,0)-1,MATCH(N98,装备突破!D$6:D$20,1))))))</f>
        <v>0</v>
      </c>
      <c r="T98" s="43">
        <f>IF(O98="",0,IF(O98&gt;MAX(装备突破!E$6:E$20),"溢出",IF(O98="","",IF(O98&lt;装备突破!E$6,0,IFERROR(MATCH(O98,装备突破!E$6:E$20,0)-1,MATCH(O98,装备突破!E$6:E$20,1))))))</f>
        <v>0</v>
      </c>
      <c r="U98" s="43">
        <f>IF(P98="",0,IF(P98&gt;MAX(装备突破!F$6:F$20),"溢出",IF(P98="","",IF(P98&lt;装备突破!F$6,0,IFERROR(MATCH(P98,装备突破!F$6:F$20,0)-1,MATCH(P98,装备突破!F$6:F$20,1))))))</f>
        <v>0</v>
      </c>
      <c r="V98" s="43">
        <f>IF(Q98="",0,IF(Q98&gt;MAX(装备突破!G$6:G$20),"溢出",IF(Q98="","",IF(Q98&lt;装备突破!G$6,0,IFERROR(MATCH(Q98,装备突破!G$6:G$20,0)-1,MATCH(Q98,装备突破!G$6:G$20,1))))))</f>
        <v>3</v>
      </c>
      <c r="W98" s="43">
        <f>IF(R98="",0,IF(R98&gt;MAX(装备突破!H$6:H$20),"溢出",IF(R98="","",IF(R98&lt;装备突破!H$6,0,IFERROR(MATCH(R98,装备突破!H$6:H$20,0)-1,MATCH(R98,装备突破!H$6:H$20,1))))))</f>
        <v>1</v>
      </c>
      <c r="X98" s="143"/>
      <c r="Y98" s="143"/>
      <c r="Z98" s="143"/>
      <c r="AA98" s="143"/>
      <c r="AB98" s="158">
        <v>0</v>
      </c>
    </row>
    <row r="99" spans="1:28" x14ac:dyDescent="0.15">
      <c r="A99" s="41">
        <v>10</v>
      </c>
      <c r="B99" s="45">
        <v>70</v>
      </c>
      <c r="C99" s="142">
        <f>INDEX(节奏总纲!$S$4:$S$163,$B99)</f>
        <v>65.925700000000006</v>
      </c>
      <c r="D99" s="134">
        <f>'[1]资源-装备'!H105</f>
        <v>0</v>
      </c>
      <c r="E99" s="134">
        <f>'[1]资源-装备'!I105</f>
        <v>0</v>
      </c>
      <c r="F99" s="134">
        <f>'[1]资源-装备'!J105</f>
        <v>0</v>
      </c>
      <c r="G99" s="134">
        <f>'[1]资源-装备'!K105</f>
        <v>6</v>
      </c>
      <c r="H99" s="134">
        <f>'[1]资源-装备'!L105</f>
        <v>12</v>
      </c>
      <c r="I99" s="29">
        <f>IF(INDEX(装备突破!D$94:D$113,MATCH($B99*2-20,装备突破!$C$94:$C$113,0))="",I98,INDEX(装备突破!D$94:D$113,MATCH($B99*2-20,装备突破!$C$94:$C$113,0)))</f>
        <v>0.9</v>
      </c>
      <c r="J99" s="29">
        <f>IF(INDEX(装备突破!E$94:E$113,MATCH($B99*2-20,装备突破!$C$94:$C$113,0))="",J98,INDEX(装备突破!E$94:E$113,MATCH($B99*2-20,装备突破!$C$94:$C$113,0)))</f>
        <v>1</v>
      </c>
      <c r="K99" s="29">
        <f>IF(INDEX(装备突破!F$94:F$113,MATCH($B99*2-20,装备突破!$C$94:$C$113,0))="",K98,INDEX(装备突破!F$94:F$113,MATCH($B99*2-20,装备突破!$C$94:$C$113,0)))</f>
        <v>1</v>
      </c>
      <c r="L99" s="29">
        <f>IF(INDEX(装备突破!G$94:G$113,MATCH($B99*2-20,装备突破!$C$94:$C$113,0))="",L98,INDEX(装备突破!G$94:G$113,MATCH($B99*2-20,装备突破!$C$94:$C$113,0)))</f>
        <v>1</v>
      </c>
      <c r="M99" s="29">
        <f>IF(INDEX(装备突破!H$94:H$113,MATCH($B99*2-20,装备突破!$C$94:$C$113,0))="",M98,INDEX(装备突破!H$94:H$113,MATCH($B99*2-20,装备突破!$C$94:$C$113,0)))</f>
        <v>0.87</v>
      </c>
      <c r="N99" s="110" t="s">
        <v>397</v>
      </c>
      <c r="O99" s="110" t="s">
        <v>397</v>
      </c>
      <c r="P99" s="110" t="s">
        <v>397</v>
      </c>
      <c r="Q99" s="110">
        <v>120</v>
      </c>
      <c r="R99" s="110">
        <v>140</v>
      </c>
      <c r="S99" s="43">
        <f>IF(N99="",0,IF(N99&gt;MAX(装备突破!D$6:D$20),"溢出",IF(N99="","",IF(N99&lt;装备突破!D$6,0,IFERROR(MATCH(N99,装备突破!D$6:D$20,0)-1,MATCH(N99,装备突破!D$6:D$20,1))))))</f>
        <v>0</v>
      </c>
      <c r="T99" s="43">
        <f>IF(O99="",0,IF(O99&gt;MAX(装备突破!E$6:E$20),"溢出",IF(O99="","",IF(O99&lt;装备突破!E$6,0,IFERROR(MATCH(O99,装备突破!E$6:E$20,0)-1,MATCH(O99,装备突破!E$6:E$20,1))))))</f>
        <v>0</v>
      </c>
      <c r="U99" s="43">
        <f>IF(P99="",0,IF(P99&gt;MAX(装备突破!F$6:F$20),"溢出",IF(P99="","",IF(P99&lt;装备突破!F$6,0,IFERROR(MATCH(P99,装备突破!F$6:F$20,0)-1,MATCH(P99,装备突破!F$6:F$20,1))))))</f>
        <v>0</v>
      </c>
      <c r="V99" s="43">
        <f>IF(Q99="",0,IF(Q99&gt;MAX(装备突破!G$6:G$20),"溢出",IF(Q99="","",IF(Q99&lt;装备突破!G$6,0,IFERROR(MATCH(Q99,装备突破!G$6:G$20,0)-1,MATCH(Q99,装备突破!G$6:G$20,1))))))</f>
        <v>3</v>
      </c>
      <c r="W99" s="43">
        <f>IF(R99="",0,IF(R99&gt;MAX(装备突破!H$6:H$20),"溢出",IF(R99="","",IF(R99&lt;装备突破!H$6,0,IFERROR(MATCH(R99,装备突破!H$6:H$20,0)-1,MATCH(R99,装备突破!H$6:H$20,1))))))</f>
        <v>2</v>
      </c>
      <c r="X99" s="143"/>
      <c r="Y99" s="143"/>
      <c r="Z99" s="143"/>
      <c r="AA99" s="143"/>
      <c r="AB99" s="158">
        <v>4.5</v>
      </c>
    </row>
    <row r="100" spans="1:28" x14ac:dyDescent="0.15">
      <c r="A100" s="41">
        <v>11</v>
      </c>
      <c r="B100" s="45">
        <v>80</v>
      </c>
      <c r="C100" s="142">
        <f>INDEX(节奏总纲!$S$4:$S$163,$B100)</f>
        <v>131.58000000000001</v>
      </c>
      <c r="D100" s="134">
        <f>'[1]资源-装备'!H106</f>
        <v>0</v>
      </c>
      <c r="E100" s="134">
        <f>'[1]资源-装备'!I106</f>
        <v>0</v>
      </c>
      <c r="F100" s="134">
        <f>'[1]资源-装备'!J106</f>
        <v>0</v>
      </c>
      <c r="G100" s="134">
        <f>'[1]资源-装备'!K106</f>
        <v>0</v>
      </c>
      <c r="H100" s="134">
        <f>'[1]资源-装备'!L106</f>
        <v>18</v>
      </c>
      <c r="I100" s="29">
        <f>IF(INDEX(装备突破!D$94:D$113,MATCH($B100*2-20,装备突破!$C$94:$C$113,0))="",I99,INDEX(装备突破!D$94:D$113,MATCH($B100*2-20,装备突破!$C$94:$C$113,0)))</f>
        <v>0.9</v>
      </c>
      <c r="J100" s="29">
        <f>IF(INDEX(装备突破!E$94:E$113,MATCH($B100*2-20,装备突破!$C$94:$C$113,0))="",J99,INDEX(装备突破!E$94:E$113,MATCH($B100*2-20,装备突破!$C$94:$C$113,0)))</f>
        <v>1</v>
      </c>
      <c r="K100" s="29">
        <f>IF(INDEX(装备突破!F$94:F$113,MATCH($B100*2-20,装备突破!$C$94:$C$113,0))="",K99,INDEX(装备突破!F$94:F$113,MATCH($B100*2-20,装备突破!$C$94:$C$113,0)))</f>
        <v>1</v>
      </c>
      <c r="L100" s="29">
        <f>IF(INDEX(装备突破!G$94:G$113,MATCH($B100*2-20,装备突破!$C$94:$C$113,0))="",L99,INDEX(装备突破!G$94:G$113,MATCH($B100*2-20,装备突破!$C$94:$C$113,0)))</f>
        <v>1</v>
      </c>
      <c r="M100" s="29">
        <f>IF(INDEX(装备突破!H$94:H$113,MATCH($B100*2-20,装备突破!$C$94:$C$113,0))="",M99,INDEX(装备突破!H$94:H$113,MATCH($B100*2-20,装备突破!$C$94:$C$113,0)))</f>
        <v>0.93500000000000005</v>
      </c>
      <c r="N100" s="110" t="s">
        <v>397</v>
      </c>
      <c r="O100" s="110" t="s">
        <v>397</v>
      </c>
      <c r="P100" s="110" t="s">
        <v>397</v>
      </c>
      <c r="Q100" s="110" t="s">
        <v>397</v>
      </c>
      <c r="R100" s="110">
        <v>160</v>
      </c>
      <c r="S100" s="43">
        <f>IF(N100="",0,IF(N100&gt;MAX(装备突破!D$6:D$20),"溢出",IF(N100="","",IF(N100&lt;装备突破!D$6,0,IFERROR(MATCH(N100,装备突破!D$6:D$20,0)-1,MATCH(N100,装备突破!D$6:D$20,1))))))</f>
        <v>0</v>
      </c>
      <c r="T100" s="43">
        <f>IF(O100="",0,IF(O100&gt;MAX(装备突破!E$6:E$20),"溢出",IF(O100="","",IF(O100&lt;装备突破!E$6,0,IFERROR(MATCH(O100,装备突破!E$6:E$20,0)-1,MATCH(O100,装备突破!E$6:E$20,1))))))</f>
        <v>0</v>
      </c>
      <c r="U100" s="43">
        <f>IF(P100="",0,IF(P100&gt;MAX(装备突破!F$6:F$20),"溢出",IF(P100="","",IF(P100&lt;装备突破!F$6,0,IFERROR(MATCH(P100,装备突破!F$6:F$20,0)-1,MATCH(P100,装备突破!F$6:F$20,1))))))</f>
        <v>0</v>
      </c>
      <c r="V100" s="43">
        <f>IF(Q100="",0,IF(Q100&gt;MAX(装备突破!G$6:G$20),"溢出",IF(Q100="","",IF(Q100&lt;装备突破!G$6,0,IFERROR(MATCH(Q100,装备突破!G$6:G$20,0)-1,MATCH(Q100,装备突破!G$6:G$20,1))))))</f>
        <v>0</v>
      </c>
      <c r="W100" s="43">
        <f>IF(R100="",0,IF(R100&gt;MAX(装备突破!H$6:H$20),"溢出",IF(R100="","",IF(R100&lt;装备突破!H$6,0,IFERROR(MATCH(R100,装备突破!H$6:H$20,0)-1,MATCH(R100,装备突破!H$6:H$20,1))))))</f>
        <v>3</v>
      </c>
      <c r="X100" s="143"/>
      <c r="Y100" s="143"/>
      <c r="Z100" s="143"/>
      <c r="AA100" s="143"/>
      <c r="AB100" s="158">
        <v>9</v>
      </c>
    </row>
    <row r="101" spans="1:28" x14ac:dyDescent="0.15">
      <c r="A101" s="41">
        <v>12</v>
      </c>
      <c r="B101" s="45">
        <v>90</v>
      </c>
      <c r="C101" s="142">
        <f>INDEX(节奏总纲!$S$4:$S$163,$B101)</f>
        <v>254.88680000000002</v>
      </c>
      <c r="D101" s="134">
        <f>'[1]资源-装备'!H107</f>
        <v>0</v>
      </c>
      <c r="E101" s="134">
        <f>'[1]资源-装备'!I107</f>
        <v>0</v>
      </c>
      <c r="F101" s="134">
        <f>'[1]资源-装备'!J107</f>
        <v>0</v>
      </c>
      <c r="G101" s="134">
        <f>'[1]资源-装备'!K107</f>
        <v>0</v>
      </c>
      <c r="H101" s="134">
        <f>'[1]资源-装备'!L107</f>
        <v>18</v>
      </c>
      <c r="I101" s="29">
        <f>IF(INDEX(装备突破!D$94:D$113,MATCH($B101*2-20,装备突破!$C$94:$C$113,0))="",I100,INDEX(装备突破!D$94:D$113,MATCH($B101*2-20,装备突破!$C$94:$C$113,0)))</f>
        <v>0.9</v>
      </c>
      <c r="J101" s="29">
        <f>IF(INDEX(装备突破!E$94:E$113,MATCH($B101*2-20,装备突破!$C$94:$C$113,0))="",J100,INDEX(装备突破!E$94:E$113,MATCH($B101*2-20,装备突破!$C$94:$C$113,0)))</f>
        <v>1</v>
      </c>
      <c r="K101" s="29">
        <f>IF(INDEX(装备突破!F$94:F$113,MATCH($B101*2-20,装备突破!$C$94:$C$113,0))="",K100,INDEX(装备突破!F$94:F$113,MATCH($B101*2-20,装备突破!$C$94:$C$113,0)))</f>
        <v>1</v>
      </c>
      <c r="L101" s="29">
        <f>IF(INDEX(装备突破!G$94:G$113,MATCH($B101*2-20,装备突破!$C$94:$C$113,0))="",L100,INDEX(装备突破!G$94:G$113,MATCH($B101*2-20,装备突破!$C$94:$C$113,0)))</f>
        <v>1</v>
      </c>
      <c r="M101" s="29">
        <f>IF(INDEX(装备突破!H$94:H$113,MATCH($B101*2-20,装备突破!$C$94:$C$113,0))="",M100,INDEX(装备突破!H$94:H$113,MATCH($B101*2-20,装备突破!$C$94:$C$113,0)))</f>
        <v>1</v>
      </c>
      <c r="N101" s="110" t="s">
        <v>397</v>
      </c>
      <c r="O101" s="110" t="s">
        <v>397</v>
      </c>
      <c r="P101" s="110" t="s">
        <v>397</v>
      </c>
      <c r="Q101" s="110" t="s">
        <v>397</v>
      </c>
      <c r="R101" s="110">
        <v>180</v>
      </c>
      <c r="S101" s="43">
        <f>IF(N101="",0,IF(N101&gt;MAX(装备突破!D$6:D$20),"溢出",IF(N101="","",IF(N101&lt;装备突破!D$6,0,IFERROR(MATCH(N101,装备突破!D$6:D$20,0)-1,MATCH(N101,装备突破!D$6:D$20,1))))))</f>
        <v>0</v>
      </c>
      <c r="T101" s="43">
        <f>IF(O101="",0,IF(O101&gt;MAX(装备突破!E$6:E$20),"溢出",IF(O101="","",IF(O101&lt;装备突破!E$6,0,IFERROR(MATCH(O101,装备突破!E$6:E$20,0)-1,MATCH(O101,装备突破!E$6:E$20,1))))))</f>
        <v>0</v>
      </c>
      <c r="U101" s="43">
        <f>IF(P101="",0,IF(P101&gt;MAX(装备突破!F$6:F$20),"溢出",IF(P101="","",IF(P101&lt;装备突破!F$6,0,IFERROR(MATCH(P101,装备突破!F$6:F$20,0)-1,MATCH(P101,装备突破!F$6:F$20,1))))))</f>
        <v>0</v>
      </c>
      <c r="V101" s="43">
        <f>IF(Q101="",0,IF(Q101&gt;MAX(装备突破!G$6:G$20),"溢出",IF(Q101="","",IF(Q101&lt;装备突破!G$6,0,IFERROR(MATCH(Q101,装备突破!G$6:G$20,0)-1,MATCH(Q101,装备突破!G$6:G$20,1))))))</f>
        <v>0</v>
      </c>
      <c r="W101" s="43">
        <f>IF(R101="",0,IF(R101&gt;MAX(装备突破!H$6:H$20),"溢出",IF(R101="","",IF(R101&lt;装备突破!H$6,0,IFERROR(MATCH(R101,装备突破!H$6:H$20,0)-1,MATCH(R101,装备突破!H$6:H$20,1))))))</f>
        <v>4</v>
      </c>
      <c r="X101" s="143"/>
      <c r="Y101" s="143"/>
      <c r="Z101" s="143"/>
      <c r="AA101" s="143"/>
      <c r="AB101" s="158">
        <v>18</v>
      </c>
    </row>
    <row r="102" spans="1:28" s="46" customFormat="1" x14ac:dyDescent="0.15">
      <c r="A102" s="41">
        <v>13</v>
      </c>
      <c r="B102" s="128">
        <v>100</v>
      </c>
      <c r="C102" s="142">
        <f>INDEX(节奏总纲!$S$4:$S$163,$B102)</f>
        <v>508.22640000000001</v>
      </c>
      <c r="D102" s="134">
        <f>'[1]资源-装备'!H108</f>
        <v>0</v>
      </c>
      <c r="E102" s="134">
        <f>'[1]资源-装备'!I108</f>
        <v>0</v>
      </c>
      <c r="F102" s="134">
        <f>'[1]资源-装备'!J108</f>
        <v>0</v>
      </c>
      <c r="G102" s="134">
        <f>'[1]资源-装备'!K108</f>
        <v>0</v>
      </c>
      <c r="H102" s="134">
        <f>'[1]资源-装备'!L108</f>
        <v>18</v>
      </c>
      <c r="I102" s="29">
        <f>IF(INDEX(装备突破!D$94:D$113,MATCH($B102*2-20,装备突破!$C$94:$C$113,0))="",I101,INDEX(装备突破!D$94:D$113,MATCH($B102*2-20,装备突破!$C$94:$C$113,0)))</f>
        <v>0.9</v>
      </c>
      <c r="J102" s="29">
        <f>IF(INDEX(装备突破!E$94:E$113,MATCH($B102*2-20,装备突破!$C$94:$C$113,0))="",J101,INDEX(装备突破!E$94:E$113,MATCH($B102*2-20,装备突破!$C$94:$C$113,0)))</f>
        <v>1</v>
      </c>
      <c r="K102" s="29">
        <f>IF(INDEX(装备突破!F$94:F$113,MATCH($B102*2-20,装备突破!$C$94:$C$113,0))="",K101,INDEX(装备突破!F$94:F$113,MATCH($B102*2-20,装备突破!$C$94:$C$113,0)))</f>
        <v>1</v>
      </c>
      <c r="L102" s="29">
        <f>IF(INDEX(装备突破!G$94:G$113,MATCH($B102*2-20,装备突破!$C$94:$C$113,0))="",L101,INDEX(装备突破!G$94:G$113,MATCH($B102*2-20,装备突破!$C$94:$C$113,0)))</f>
        <v>1</v>
      </c>
      <c r="M102" s="29">
        <f>IF(INDEX(装备突破!H$94:H$113,MATCH($B102*2-20,装备突破!$C$94:$C$113,0))="",M101,INDEX(装备突破!H$94:H$113,MATCH($B102*2-20,装备突破!$C$94:$C$113,0)))</f>
        <v>1</v>
      </c>
      <c r="N102" s="126" t="s">
        <v>397</v>
      </c>
      <c r="O102" s="126" t="s">
        <v>397</v>
      </c>
      <c r="P102" s="126" t="s">
        <v>397</v>
      </c>
      <c r="Q102" s="126" t="s">
        <v>397</v>
      </c>
      <c r="R102" s="126">
        <v>200</v>
      </c>
      <c r="S102" s="43">
        <f>IF(N102="",0,IF(N102&gt;MAX(装备突破!D$6:D$20),"溢出",IF(N102="","",IF(N102&lt;装备突破!D$6,0,IFERROR(MATCH(N102,装备突破!D$6:D$20,0)-1,MATCH(N102,装备突破!D$6:D$20,1))))))</f>
        <v>0</v>
      </c>
      <c r="T102" s="43">
        <f>IF(O102="",0,IF(O102&gt;MAX(装备突破!E$6:E$20),"溢出",IF(O102="","",IF(O102&lt;装备突破!E$6,0,IFERROR(MATCH(O102,装备突破!E$6:E$20,0)-1,MATCH(O102,装备突破!E$6:E$20,1))))))</f>
        <v>0</v>
      </c>
      <c r="U102" s="43">
        <f>IF(P102="",0,IF(P102&gt;MAX(装备突破!F$6:F$20),"溢出",IF(P102="","",IF(P102&lt;装备突破!F$6,0,IFERROR(MATCH(P102,装备突破!F$6:F$20,0)-1,MATCH(P102,装备突破!F$6:F$20,1))))))</f>
        <v>0</v>
      </c>
      <c r="V102" s="43">
        <f>IF(Q102="",0,IF(Q102&gt;MAX(装备突破!G$6:G$20),"溢出",IF(Q102="","",IF(Q102&lt;装备突破!G$6,0,IFERROR(MATCH(Q102,装备突破!G$6:G$20,0)-1,MATCH(Q102,装备突破!G$6:G$20,1))))))</f>
        <v>0</v>
      </c>
      <c r="W102" s="43">
        <f>IF(R102="",0,IF(R102&gt;MAX(装备突破!H$6:H$20),"溢出",IF(R102="","",IF(R102&lt;装备突破!H$6,0,IFERROR(MATCH(R102,装备突破!H$6:H$20,0)-1,MATCH(R102,装备突破!H$6:H$20,1))))))</f>
        <v>5</v>
      </c>
      <c r="X102" s="143"/>
      <c r="Y102" s="143"/>
      <c r="Z102" s="143"/>
      <c r="AA102" s="143"/>
      <c r="AB102" s="158">
        <v>25</v>
      </c>
    </row>
    <row r="103" spans="1:28" s="46" customFormat="1" x14ac:dyDescent="0.15">
      <c r="A103" s="41">
        <v>14</v>
      </c>
      <c r="B103" s="128">
        <v>110</v>
      </c>
      <c r="C103" s="142">
        <f>INDEX(节奏总纲!$S$4:$S$163,$B103)</f>
        <v>1001.3924000000001</v>
      </c>
      <c r="D103" s="134">
        <f>'[1]资源-装备'!H109</f>
        <v>0</v>
      </c>
      <c r="E103" s="134">
        <f>'[1]资源-装备'!I109</f>
        <v>0</v>
      </c>
      <c r="F103" s="134">
        <f>'[1]资源-装备'!J109</f>
        <v>0</v>
      </c>
      <c r="G103" s="134">
        <f>'[1]资源-装备'!K109</f>
        <v>0</v>
      </c>
      <c r="H103" s="134">
        <f>'[1]资源-装备'!L109</f>
        <v>18</v>
      </c>
      <c r="I103" s="29">
        <f>IF(INDEX(装备突破!D$94:D$113,MATCH($B103*2-20,装备突破!$C$94:$C$113,0))="",I102,INDEX(装备突破!D$94:D$113,MATCH($B103*2-20,装备突破!$C$94:$C$113,0)))</f>
        <v>0.9</v>
      </c>
      <c r="J103" s="29">
        <f>IF(INDEX(装备突破!E$94:E$113,MATCH($B103*2-20,装备突破!$C$94:$C$113,0))="",J102,INDEX(装备突破!E$94:E$113,MATCH($B103*2-20,装备突破!$C$94:$C$113,0)))</f>
        <v>1</v>
      </c>
      <c r="K103" s="29">
        <f>IF(INDEX(装备突破!F$94:F$113,MATCH($B103*2-20,装备突破!$C$94:$C$113,0))="",K102,INDEX(装备突破!F$94:F$113,MATCH($B103*2-20,装备突破!$C$94:$C$113,0)))</f>
        <v>1</v>
      </c>
      <c r="L103" s="29">
        <f>IF(INDEX(装备突破!G$94:G$113,MATCH($B103*2-20,装备突破!$C$94:$C$113,0))="",L102,INDEX(装备突破!G$94:G$113,MATCH($B103*2-20,装备突破!$C$94:$C$113,0)))</f>
        <v>1</v>
      </c>
      <c r="M103" s="29">
        <f>IF(INDEX(装备突破!H$94:H$113,MATCH($B103*2-20,装备突破!$C$94:$C$113,0))="",M102,INDEX(装备突破!H$94:H$113,MATCH($B103*2-20,装备突破!$C$94:$C$113,0)))</f>
        <v>1</v>
      </c>
      <c r="N103" s="126" t="s">
        <v>397</v>
      </c>
      <c r="O103" s="126" t="s">
        <v>397</v>
      </c>
      <c r="P103" s="126" t="s">
        <v>397</v>
      </c>
      <c r="Q103" s="126" t="s">
        <v>397</v>
      </c>
      <c r="R103" s="126">
        <v>220</v>
      </c>
      <c r="S103" s="43">
        <f>IF(N103="",0,IF(N103&gt;MAX(装备突破!D$6:D$20),"溢出",IF(N103="","",IF(N103&lt;装备突破!D$6,0,IFERROR(MATCH(N103,装备突破!D$6:D$20,0)-1,MATCH(N103,装备突破!D$6:D$20,1))))))</f>
        <v>0</v>
      </c>
      <c r="T103" s="43">
        <f>IF(O103="",0,IF(O103&gt;MAX(装备突破!E$6:E$20),"溢出",IF(O103="","",IF(O103&lt;装备突破!E$6,0,IFERROR(MATCH(O103,装备突破!E$6:E$20,0)-1,MATCH(O103,装备突破!E$6:E$20,1))))))</f>
        <v>0</v>
      </c>
      <c r="U103" s="43">
        <f>IF(P103="",0,IF(P103&gt;MAX(装备突破!F$6:F$20),"溢出",IF(P103="","",IF(P103&lt;装备突破!F$6,0,IFERROR(MATCH(P103,装备突破!F$6:F$20,0)-1,MATCH(P103,装备突破!F$6:F$20,1))))))</f>
        <v>0</v>
      </c>
      <c r="V103" s="43">
        <f>IF(Q103="",0,IF(Q103&gt;MAX(装备突破!G$6:G$20),"溢出",IF(Q103="","",IF(Q103&lt;装备突破!G$6,0,IFERROR(MATCH(Q103,装备突破!G$6:G$20,0)-1,MATCH(Q103,装备突破!G$6:G$20,1))))))</f>
        <v>0</v>
      </c>
      <c r="W103" s="43">
        <f>IF(R103="",0,IF(R103&gt;MAX(装备突破!H$6:H$20),"溢出",IF(R103="","",IF(R103&lt;装备突破!H$6,0,IFERROR(MATCH(R103,装备突破!H$6:H$20,0)-1,MATCH(R103,装备突破!H$6:H$20,1))))))</f>
        <v>6</v>
      </c>
      <c r="X103" s="143"/>
      <c r="Y103" s="143"/>
      <c r="Z103" s="143"/>
      <c r="AA103" s="143"/>
      <c r="AB103" s="158">
        <v>25</v>
      </c>
    </row>
    <row r="104" spans="1:28" s="46" customFormat="1" x14ac:dyDescent="0.15">
      <c r="A104" s="41">
        <v>15</v>
      </c>
      <c r="B104" s="128">
        <v>120</v>
      </c>
      <c r="C104" s="142">
        <f>INDEX(节奏总纲!$S$4:$S$163,$B104)</f>
        <v>1988.5319999999999</v>
      </c>
      <c r="D104" s="134">
        <f>'[1]资源-装备'!H110</f>
        <v>0</v>
      </c>
      <c r="E104" s="134">
        <f>'[1]资源-装备'!I110</f>
        <v>0</v>
      </c>
      <c r="F104" s="134">
        <f>'[1]资源-装备'!J110</f>
        <v>0</v>
      </c>
      <c r="G104" s="134">
        <f>'[1]资源-装备'!K110</f>
        <v>0</v>
      </c>
      <c r="H104" s="134">
        <f>'[1]资源-装备'!L110</f>
        <v>18</v>
      </c>
      <c r="I104" s="29">
        <f>IF(INDEX(装备突破!D$94:D$113,MATCH($B104*2-20,装备突破!$C$94:$C$113,0))="",I103,INDEX(装备突破!D$94:D$113,MATCH($B104*2-20,装备突破!$C$94:$C$113,0)))</f>
        <v>0.9</v>
      </c>
      <c r="J104" s="29">
        <f>IF(INDEX(装备突破!E$94:E$113,MATCH($B104*2-20,装备突破!$C$94:$C$113,0))="",J103,INDEX(装备突破!E$94:E$113,MATCH($B104*2-20,装备突破!$C$94:$C$113,0)))</f>
        <v>1</v>
      </c>
      <c r="K104" s="29">
        <f>IF(INDEX(装备突破!F$94:F$113,MATCH($B104*2-20,装备突破!$C$94:$C$113,0))="",K103,INDEX(装备突破!F$94:F$113,MATCH($B104*2-20,装备突破!$C$94:$C$113,0)))</f>
        <v>1</v>
      </c>
      <c r="L104" s="29">
        <f>IF(INDEX(装备突破!G$94:G$113,MATCH($B104*2-20,装备突破!$C$94:$C$113,0))="",L103,INDEX(装备突破!G$94:G$113,MATCH($B104*2-20,装备突破!$C$94:$C$113,0)))</f>
        <v>1</v>
      </c>
      <c r="M104" s="29">
        <f>IF(INDEX(装备突破!H$94:H$113,MATCH($B104*2-20,装备突破!$C$94:$C$113,0))="",M103,INDEX(装备突破!H$94:H$113,MATCH($B104*2-20,装备突破!$C$94:$C$113,0)))</f>
        <v>1</v>
      </c>
      <c r="N104" s="126" t="s">
        <v>397</v>
      </c>
      <c r="O104" s="126" t="s">
        <v>397</v>
      </c>
      <c r="P104" s="126" t="s">
        <v>397</v>
      </c>
      <c r="Q104" s="126" t="s">
        <v>397</v>
      </c>
      <c r="R104" s="126">
        <v>240</v>
      </c>
      <c r="S104" s="43">
        <f>IF(N104="",0,IF(N104&gt;MAX(装备突破!D$6:D$20),"溢出",IF(N104="","",IF(N104&lt;装备突破!D$6,0,IFERROR(MATCH(N104,装备突破!D$6:D$20,0)-1,MATCH(N104,装备突破!D$6:D$20,1))))))</f>
        <v>0</v>
      </c>
      <c r="T104" s="43">
        <f>IF(O104="",0,IF(O104&gt;MAX(装备突破!E$6:E$20),"溢出",IF(O104="","",IF(O104&lt;装备突破!E$6,0,IFERROR(MATCH(O104,装备突破!E$6:E$20,0)-1,MATCH(O104,装备突破!E$6:E$20,1))))))</f>
        <v>0</v>
      </c>
      <c r="U104" s="43">
        <f>IF(P104="",0,IF(P104&gt;MAX(装备突破!F$6:F$20),"溢出",IF(P104="","",IF(P104&lt;装备突破!F$6,0,IFERROR(MATCH(P104,装备突破!F$6:F$20,0)-1,MATCH(P104,装备突破!F$6:F$20,1))))))</f>
        <v>0</v>
      </c>
      <c r="V104" s="43">
        <f>IF(Q104="",0,IF(Q104&gt;MAX(装备突破!G$6:G$20),"溢出",IF(Q104="","",IF(Q104&lt;装备突破!G$6,0,IFERROR(MATCH(Q104,装备突破!G$6:G$20,0)-1,MATCH(Q104,装备突破!G$6:G$20,1))))))</f>
        <v>0</v>
      </c>
      <c r="W104" s="43">
        <f>IF(R104="",0,IF(R104&gt;MAX(装备突破!H$6:H$20),"溢出",IF(R104="","",IF(R104&lt;装备突破!H$6,0,IFERROR(MATCH(R104,装备突破!H$6:H$20,0)-1,MATCH(R104,装备突破!H$6:H$20,1))))))</f>
        <v>7</v>
      </c>
      <c r="X104" s="143"/>
      <c r="Y104" s="143"/>
      <c r="Z104" s="143"/>
      <c r="AA104" s="143"/>
      <c r="AB104" s="158">
        <v>25</v>
      </c>
    </row>
    <row r="105" spans="1:28" s="46" customFormat="1" x14ac:dyDescent="0.15">
      <c r="A105" s="41">
        <v>16</v>
      </c>
      <c r="B105" s="128">
        <v>130</v>
      </c>
      <c r="C105" s="142">
        <f>INDEX(节奏总纲!$S$4:$S$163,$B105)</f>
        <v>3951.3384000000001</v>
      </c>
      <c r="D105" s="134">
        <f>'[1]资源-装备'!H111</f>
        <v>0</v>
      </c>
      <c r="E105" s="134">
        <f>'[1]资源-装备'!I111</f>
        <v>0</v>
      </c>
      <c r="F105" s="134">
        <f>'[1]资源-装备'!J111</f>
        <v>0</v>
      </c>
      <c r="G105" s="134">
        <f>'[1]资源-装备'!K111</f>
        <v>0</v>
      </c>
      <c r="H105" s="134">
        <f>'[1]资源-装备'!L111</f>
        <v>18</v>
      </c>
      <c r="I105" s="29">
        <f>IF(INDEX(装备突破!D$94:D$113,MATCH($B105*2-20,装备突破!$C$94:$C$113,0))="",I104,INDEX(装备突破!D$94:D$113,MATCH($B105*2-20,装备突破!$C$94:$C$113,0)))</f>
        <v>0.9</v>
      </c>
      <c r="J105" s="29">
        <f>IF(INDEX(装备突破!E$94:E$113,MATCH($B105*2-20,装备突破!$C$94:$C$113,0))="",J104,INDEX(装备突破!E$94:E$113,MATCH($B105*2-20,装备突破!$C$94:$C$113,0)))</f>
        <v>1</v>
      </c>
      <c r="K105" s="29">
        <f>IF(INDEX(装备突破!F$94:F$113,MATCH($B105*2-20,装备突破!$C$94:$C$113,0))="",K104,INDEX(装备突破!F$94:F$113,MATCH($B105*2-20,装备突破!$C$94:$C$113,0)))</f>
        <v>1</v>
      </c>
      <c r="L105" s="29">
        <f>IF(INDEX(装备突破!G$94:G$113,MATCH($B105*2-20,装备突破!$C$94:$C$113,0))="",L104,INDEX(装备突破!G$94:G$113,MATCH($B105*2-20,装备突破!$C$94:$C$113,0)))</f>
        <v>1</v>
      </c>
      <c r="M105" s="29">
        <f>IF(INDEX(装备突破!H$94:H$113,MATCH($B105*2-20,装备突破!$C$94:$C$113,0))="",M104,INDEX(装备突破!H$94:H$113,MATCH($B105*2-20,装备突破!$C$94:$C$113,0)))</f>
        <v>1</v>
      </c>
      <c r="N105" s="126" t="s">
        <v>397</v>
      </c>
      <c r="O105" s="126" t="s">
        <v>397</v>
      </c>
      <c r="P105" s="126" t="s">
        <v>397</v>
      </c>
      <c r="Q105" s="126" t="s">
        <v>397</v>
      </c>
      <c r="R105" s="126">
        <v>260</v>
      </c>
      <c r="S105" s="43">
        <f>IF(N105="",0,IF(N105&gt;MAX(装备突破!D$6:D$20),"溢出",IF(N105="","",IF(N105&lt;装备突破!D$6,0,IFERROR(MATCH(N105,装备突破!D$6:D$20,0)-1,MATCH(N105,装备突破!D$6:D$20,1))))))</f>
        <v>0</v>
      </c>
      <c r="T105" s="43">
        <f>IF(O105="",0,IF(O105&gt;MAX(装备突破!E$6:E$20),"溢出",IF(O105="","",IF(O105&lt;装备突破!E$6,0,IFERROR(MATCH(O105,装备突破!E$6:E$20,0)-1,MATCH(O105,装备突破!E$6:E$20,1))))))</f>
        <v>0</v>
      </c>
      <c r="U105" s="43">
        <f>IF(P105="",0,IF(P105&gt;MAX(装备突破!F$6:F$20),"溢出",IF(P105="","",IF(P105&lt;装备突破!F$6,0,IFERROR(MATCH(P105,装备突破!F$6:F$20,0)-1,MATCH(P105,装备突破!F$6:F$20,1))))))</f>
        <v>0</v>
      </c>
      <c r="V105" s="43">
        <f>IF(Q105="",0,IF(Q105&gt;MAX(装备突破!G$6:G$20),"溢出",IF(Q105="","",IF(Q105&lt;装备突破!G$6,0,IFERROR(MATCH(Q105,装备突破!G$6:G$20,0)-1,MATCH(Q105,装备突破!G$6:G$20,1))))))</f>
        <v>0</v>
      </c>
      <c r="W105" s="43">
        <f>IF(R105="",0,IF(R105&gt;MAX(装备突破!H$6:H$20),"溢出",IF(R105="","",IF(R105&lt;装备突破!H$6,0,IFERROR(MATCH(R105,装备突破!H$6:H$20,0)-1,MATCH(R105,装备突破!H$6:H$20,1))))))</f>
        <v>8</v>
      </c>
      <c r="X105" s="143"/>
      <c r="Y105" s="143"/>
      <c r="Z105" s="143"/>
      <c r="AA105" s="143"/>
      <c r="AB105" s="158">
        <v>25</v>
      </c>
    </row>
    <row r="106" spans="1:28" s="46" customFormat="1" x14ac:dyDescent="0.15">
      <c r="A106" s="41">
        <v>17</v>
      </c>
      <c r="B106" s="128">
        <v>140</v>
      </c>
      <c r="C106" s="142">
        <f>INDEX(节奏总纲!$S$4:$S$163,$B106)</f>
        <v>7827.7974000000004</v>
      </c>
      <c r="D106" s="134">
        <f>'[1]资源-装备'!H112</f>
        <v>0</v>
      </c>
      <c r="E106" s="134">
        <f>'[1]资源-装备'!I112</f>
        <v>0</v>
      </c>
      <c r="F106" s="134">
        <f>'[1]资源-装备'!J112</f>
        <v>0</v>
      </c>
      <c r="G106" s="134">
        <f>'[1]资源-装备'!K112</f>
        <v>0</v>
      </c>
      <c r="H106" s="134">
        <f>'[1]资源-装备'!L112</f>
        <v>18</v>
      </c>
      <c r="I106" s="29">
        <f>IF(INDEX(装备突破!D$94:D$113,MATCH($B106*2-20,装备突破!$C$94:$C$113,0))="",I105,INDEX(装备突破!D$94:D$113,MATCH($B106*2-20,装备突破!$C$94:$C$113,0)))</f>
        <v>0.9</v>
      </c>
      <c r="J106" s="29">
        <f>IF(INDEX(装备突破!E$94:E$113,MATCH($B106*2-20,装备突破!$C$94:$C$113,0))="",J105,INDEX(装备突破!E$94:E$113,MATCH($B106*2-20,装备突破!$C$94:$C$113,0)))</f>
        <v>1</v>
      </c>
      <c r="K106" s="29">
        <f>IF(INDEX(装备突破!F$94:F$113,MATCH($B106*2-20,装备突破!$C$94:$C$113,0))="",K105,INDEX(装备突破!F$94:F$113,MATCH($B106*2-20,装备突破!$C$94:$C$113,0)))</f>
        <v>1</v>
      </c>
      <c r="L106" s="29">
        <f>IF(INDEX(装备突破!G$94:G$113,MATCH($B106*2-20,装备突破!$C$94:$C$113,0))="",L105,INDEX(装备突破!G$94:G$113,MATCH($B106*2-20,装备突破!$C$94:$C$113,0)))</f>
        <v>1</v>
      </c>
      <c r="M106" s="29">
        <f>IF(INDEX(装备突破!H$94:H$113,MATCH($B106*2-20,装备突破!$C$94:$C$113,0))="",M105,INDEX(装备突破!H$94:H$113,MATCH($B106*2-20,装备突破!$C$94:$C$113,0)))</f>
        <v>1</v>
      </c>
      <c r="N106" s="126" t="s">
        <v>397</v>
      </c>
      <c r="O106" s="126" t="s">
        <v>397</v>
      </c>
      <c r="P106" s="126" t="s">
        <v>397</v>
      </c>
      <c r="Q106" s="126" t="s">
        <v>397</v>
      </c>
      <c r="R106" s="126">
        <v>280</v>
      </c>
      <c r="S106" s="43">
        <f>IF(N106="",0,IF(N106&gt;MAX(装备突破!D$6:D$20),"溢出",IF(N106="","",IF(N106&lt;装备突破!D$6,0,IFERROR(MATCH(N106,装备突破!D$6:D$20,0)-1,MATCH(N106,装备突破!D$6:D$20,1))))))</f>
        <v>0</v>
      </c>
      <c r="T106" s="43">
        <f>IF(O106="",0,IF(O106&gt;MAX(装备突破!E$6:E$20),"溢出",IF(O106="","",IF(O106&lt;装备突破!E$6,0,IFERROR(MATCH(O106,装备突破!E$6:E$20,0)-1,MATCH(O106,装备突破!E$6:E$20,1))))))</f>
        <v>0</v>
      </c>
      <c r="U106" s="43">
        <f>IF(P106="",0,IF(P106&gt;MAX(装备突破!F$6:F$20),"溢出",IF(P106="","",IF(P106&lt;装备突破!F$6,0,IFERROR(MATCH(P106,装备突破!F$6:F$20,0)-1,MATCH(P106,装备突破!F$6:F$20,1))))))</f>
        <v>0</v>
      </c>
      <c r="V106" s="43">
        <f>IF(Q106="",0,IF(Q106&gt;MAX(装备突破!G$6:G$20),"溢出",IF(Q106="","",IF(Q106&lt;装备突破!G$6,0,IFERROR(MATCH(Q106,装备突破!G$6:G$20,0)-1,MATCH(Q106,装备突破!G$6:G$20,1))))))</f>
        <v>0</v>
      </c>
      <c r="W106" s="43">
        <f>IF(R106="",0,IF(R106&gt;MAX(装备突破!H$6:H$20),"溢出",IF(R106="","",IF(R106&lt;装备突破!H$6,0,IFERROR(MATCH(R106,装备突破!H$6:H$20,0)-1,MATCH(R106,装备突破!H$6:H$20,1))))))</f>
        <v>9</v>
      </c>
      <c r="X106" s="143"/>
      <c r="Y106" s="143"/>
      <c r="Z106" s="143"/>
      <c r="AA106" s="143"/>
      <c r="AB106" s="158">
        <v>25</v>
      </c>
    </row>
    <row r="107" spans="1:28" s="46" customFormat="1" x14ac:dyDescent="0.15">
      <c r="A107" s="41">
        <v>18</v>
      </c>
      <c r="B107" s="128">
        <v>150</v>
      </c>
      <c r="C107" s="142">
        <f>INDEX(节奏总纲!$S$4:$S$163,$B107)</f>
        <v>15603.645400000001</v>
      </c>
      <c r="D107" s="134">
        <f>'[1]资源-装备'!H113</f>
        <v>0</v>
      </c>
      <c r="E107" s="134">
        <f>'[1]资源-装备'!I113</f>
        <v>0</v>
      </c>
      <c r="F107" s="134">
        <f>'[1]资源-装备'!J113</f>
        <v>0</v>
      </c>
      <c r="G107" s="134">
        <f>'[1]资源-装备'!K113</f>
        <v>0</v>
      </c>
      <c r="H107" s="134">
        <f>'[1]资源-装备'!L113</f>
        <v>18</v>
      </c>
      <c r="I107" s="29">
        <f>IF(INDEX(装备突破!D$94:D$113,MATCH($B107*2-20,装备突破!$C$94:$C$113,0))="",I106,INDEX(装备突破!D$94:D$113,MATCH($B107*2-20,装备突破!$C$94:$C$113,0)))</f>
        <v>0.9</v>
      </c>
      <c r="J107" s="29">
        <f>IF(INDEX(装备突破!E$94:E$113,MATCH($B107*2-20,装备突破!$C$94:$C$113,0))="",J106,INDEX(装备突破!E$94:E$113,MATCH($B107*2-20,装备突破!$C$94:$C$113,0)))</f>
        <v>1</v>
      </c>
      <c r="K107" s="29">
        <f>IF(INDEX(装备突破!F$94:F$113,MATCH($B107*2-20,装备突破!$C$94:$C$113,0))="",K106,INDEX(装备突破!F$94:F$113,MATCH($B107*2-20,装备突破!$C$94:$C$113,0)))</f>
        <v>1</v>
      </c>
      <c r="L107" s="29">
        <f>IF(INDEX(装备突破!G$94:G$113,MATCH($B107*2-20,装备突破!$C$94:$C$113,0))="",L106,INDEX(装备突破!G$94:G$113,MATCH($B107*2-20,装备突破!$C$94:$C$113,0)))</f>
        <v>1</v>
      </c>
      <c r="M107" s="29">
        <f>IF(INDEX(装备突破!H$94:H$113,MATCH($B107*2-20,装备突破!$C$94:$C$113,0))="",M106,INDEX(装备突破!H$94:H$113,MATCH($B107*2-20,装备突破!$C$94:$C$113,0)))</f>
        <v>1</v>
      </c>
      <c r="N107" s="126" t="s">
        <v>397</v>
      </c>
      <c r="O107" s="126" t="s">
        <v>397</v>
      </c>
      <c r="P107" s="126" t="s">
        <v>397</v>
      </c>
      <c r="Q107" s="126" t="s">
        <v>397</v>
      </c>
      <c r="R107" s="126">
        <v>300</v>
      </c>
      <c r="S107" s="43">
        <f>IF(N107="",0,IF(N107&gt;MAX(装备突破!D$6:D$20),"溢出",IF(N107="","",IF(N107&lt;装备突破!D$6,0,IFERROR(MATCH(N107,装备突破!D$6:D$20,0)-1,MATCH(N107,装备突破!D$6:D$20,1))))))</f>
        <v>0</v>
      </c>
      <c r="T107" s="43">
        <f>IF(O107="",0,IF(O107&gt;MAX(装备突破!E$6:E$20),"溢出",IF(O107="","",IF(O107&lt;装备突破!E$6,0,IFERROR(MATCH(O107,装备突破!E$6:E$20,0)-1,MATCH(O107,装备突破!E$6:E$20,1))))))</f>
        <v>0</v>
      </c>
      <c r="U107" s="43">
        <f>IF(P107="",0,IF(P107&gt;MAX(装备突破!F$6:F$20),"溢出",IF(P107="","",IF(P107&lt;装备突破!F$6,0,IFERROR(MATCH(P107,装备突破!F$6:F$20,0)-1,MATCH(P107,装备突破!F$6:F$20,1))))))</f>
        <v>0</v>
      </c>
      <c r="V107" s="43">
        <f>IF(Q107="",0,IF(Q107&gt;MAX(装备突破!G$6:G$20),"溢出",IF(Q107="","",IF(Q107&lt;装备突破!G$6,0,IFERROR(MATCH(Q107,装备突破!G$6:G$20,0)-1,MATCH(Q107,装备突破!G$6:G$20,1))))))</f>
        <v>0</v>
      </c>
      <c r="W107" s="43">
        <f>IF(R107="",0,IF(R107&gt;MAX(装备突破!H$6:H$20),"溢出",IF(R107="","",IF(R107&lt;装备突破!H$6,0,IFERROR(MATCH(R107,装备突破!H$6:H$20,0)-1,MATCH(R107,装备突破!H$6:H$20,1))))))</f>
        <v>10</v>
      </c>
      <c r="X107" s="143"/>
      <c r="Y107" s="143"/>
      <c r="Z107" s="143"/>
      <c r="AA107" s="143"/>
      <c r="AB107" s="158">
        <v>25</v>
      </c>
    </row>
    <row r="108" spans="1:28" x14ac:dyDescent="0.15">
      <c r="A108" s="41">
        <v>19</v>
      </c>
      <c r="B108" s="128">
        <v>160</v>
      </c>
      <c r="C108" s="142">
        <f>INDEX(节奏总纲!$S$4:$S$163,$B108)</f>
        <v>66190.350000000006</v>
      </c>
      <c r="D108" s="134">
        <f>'[1]资源-装备'!H114</f>
        <v>0</v>
      </c>
      <c r="E108" s="134">
        <f>'[1]资源-装备'!I114</f>
        <v>0</v>
      </c>
      <c r="F108" s="134">
        <f>'[1]资源-装备'!J114</f>
        <v>0</v>
      </c>
      <c r="G108" s="134">
        <f>'[1]资源-装备'!K114</f>
        <v>0</v>
      </c>
      <c r="H108" s="134">
        <f>'[1]资源-装备'!L114</f>
        <v>18</v>
      </c>
      <c r="I108" s="29">
        <f>IF(INDEX(装备突破!D$94:D$113,MATCH($B108*2-20,装备突破!$C$94:$C$113,0))="",I107,INDEX(装备突破!D$94:D$113,MATCH($B108*2-20,装备突破!$C$94:$C$113,0)))</f>
        <v>0.9</v>
      </c>
      <c r="J108" s="29">
        <f>IF(INDEX(装备突破!E$94:E$113,MATCH($B108*2-20,装备突破!$C$94:$C$113,0))="",J107,INDEX(装备突破!E$94:E$113,MATCH($B108*2-20,装备突破!$C$94:$C$113,0)))</f>
        <v>1</v>
      </c>
      <c r="K108" s="29">
        <f>IF(INDEX(装备突破!F$94:F$113,MATCH($B108*2-20,装备突破!$C$94:$C$113,0))="",K107,INDEX(装备突破!F$94:F$113,MATCH($B108*2-20,装备突破!$C$94:$C$113,0)))</f>
        <v>1</v>
      </c>
      <c r="L108" s="29">
        <f>IF(INDEX(装备突破!G$94:G$113,MATCH($B108*2-20,装备突破!$C$94:$C$113,0))="",L107,INDEX(装备突破!G$94:G$113,MATCH($B108*2-20,装备突破!$C$94:$C$113,0)))</f>
        <v>1</v>
      </c>
      <c r="M108" s="29">
        <f>IF(INDEX(装备突破!H$94:H$113,MATCH($B108*2-20,装备突破!$C$94:$C$113,0))="",M107,INDEX(装备突破!H$94:H$113,MATCH($B108*2-20,装备突破!$C$94:$C$113,0)))</f>
        <v>1</v>
      </c>
      <c r="N108" s="126" t="s">
        <v>397</v>
      </c>
      <c r="O108" s="126" t="s">
        <v>397</v>
      </c>
      <c r="P108" s="126" t="s">
        <v>397</v>
      </c>
      <c r="Q108" s="126" t="s">
        <v>397</v>
      </c>
      <c r="R108" s="126">
        <v>320</v>
      </c>
      <c r="S108" s="43">
        <f>IF(N108="",0,IF(N108&gt;MAX(装备突破!D$6:D$20),"溢出",IF(N108="","",IF(N108&lt;装备突破!D$6,0,IFERROR(MATCH(N108,装备突破!D$6:D$20,0)-1,MATCH(N108,装备突破!D$6:D$20,1))))))</f>
        <v>0</v>
      </c>
      <c r="T108" s="43">
        <f>IF(O108="",0,IF(O108&gt;MAX(装备突破!E$6:E$20),"溢出",IF(O108="","",IF(O108&lt;装备突破!E$6,0,IFERROR(MATCH(O108,装备突破!E$6:E$20,0)-1,MATCH(O108,装备突破!E$6:E$20,1))))))</f>
        <v>0</v>
      </c>
      <c r="U108" s="43">
        <f>IF(P108="",0,IF(P108&gt;MAX(装备突破!F$6:F$20),"溢出",IF(P108="","",IF(P108&lt;装备突破!F$6,0,IFERROR(MATCH(P108,装备突破!F$6:F$20,0)-1,MATCH(P108,装备突破!F$6:F$20,1))))))</f>
        <v>0</v>
      </c>
      <c r="V108" s="43">
        <f>IF(Q108="",0,IF(Q108&gt;MAX(装备突破!G$6:G$20),"溢出",IF(Q108="","",IF(Q108&lt;装备突破!G$6,0,IFERROR(MATCH(Q108,装备突破!G$6:G$20,0)-1,MATCH(Q108,装备突破!G$6:G$20,1))))))</f>
        <v>0</v>
      </c>
      <c r="W108" s="43">
        <f>IF(R108="",0,IF(R108&gt;MAX(装备突破!H$6:H$20),"溢出",IF(R108="","",IF(R108&lt;装备突破!H$6,0,IFERROR(MATCH(R108,装备突破!H$6:H$20,0)-1,MATCH(R108,装备突破!H$6:H$20,1))))))</f>
        <v>11</v>
      </c>
      <c r="X108" s="143"/>
      <c r="Y108" s="143"/>
      <c r="Z108" s="143"/>
      <c r="AA108" s="143"/>
      <c r="AB108" s="158">
        <v>25</v>
      </c>
    </row>
    <row r="109" spans="1:28" x14ac:dyDescent="0.15">
      <c r="A109" s="41">
        <v>20</v>
      </c>
      <c r="B109" s="44"/>
      <c r="C109" s="44"/>
      <c r="D109" s="82"/>
      <c r="E109" s="82"/>
      <c r="F109" s="82"/>
      <c r="G109" s="82"/>
      <c r="H109" s="82"/>
      <c r="I109" s="29" t="str">
        <f>IF(S109="","",INDEX(装备突破!D$94:D$113,MATCH(S109,装备突破!$C$94:$C$113,0),1))</f>
        <v/>
      </c>
      <c r="J109" s="29" t="str">
        <f>IF(T109="","",INDEX(装备突破!E$94:E$113,MATCH(T109,装备突破!$C$94:$C$113,0),1))</f>
        <v/>
      </c>
      <c r="K109" s="29" t="str">
        <f>IF(U109="","",INDEX(装备突破!F$94:F$113,MATCH(U109,装备突破!$C$94:$C$113,0),1))</f>
        <v/>
      </c>
      <c r="L109" s="29" t="str">
        <f>IF(V109="","",INDEX(装备突破!G$94:G$113,MATCH(V109,装备突破!$C$94:$C$113,0),1))</f>
        <v/>
      </c>
      <c r="M109" s="29" t="str">
        <f>IF(W109="","",INDEX(装备突破!H$94:H$113,MATCH(W109,装备突破!$C$94:$C$113,0),1))</f>
        <v/>
      </c>
      <c r="N109" s="44"/>
      <c r="O109" s="44"/>
      <c r="P109" s="44"/>
      <c r="Q109" s="44"/>
      <c r="R109" s="44"/>
      <c r="S109" s="44"/>
      <c r="T109" s="44"/>
      <c r="U109" s="44"/>
      <c r="V109" s="44"/>
      <c r="W109" s="44"/>
      <c r="X109" s="141"/>
      <c r="Y109" s="141"/>
      <c r="Z109" s="141"/>
      <c r="AA109" s="141"/>
      <c r="AB109" s="158"/>
    </row>
    <row r="110" spans="1:28" x14ac:dyDescent="0.15">
      <c r="A110" s="41">
        <v>21</v>
      </c>
      <c r="B110" s="44"/>
      <c r="C110" s="44"/>
      <c r="D110" s="44"/>
      <c r="E110" s="44"/>
      <c r="F110" s="44"/>
      <c r="G110" s="44"/>
      <c r="H110" s="44"/>
      <c r="I110" s="29" t="str">
        <f>IF(S110="","",INDEX(装备突破!D$94:D$113,MATCH(S110,装备突破!$C$94:$C$113,0),1))</f>
        <v/>
      </c>
      <c r="J110" s="29" t="str">
        <f>IF(T110="","",INDEX(装备突破!E$94:E$113,MATCH(T110,装备突破!$C$94:$C$113,0),1))</f>
        <v/>
      </c>
      <c r="K110" s="29" t="str">
        <f>IF(U110="","",INDEX(装备突破!F$94:F$113,MATCH(U110,装备突破!$C$94:$C$113,0),1))</f>
        <v/>
      </c>
      <c r="L110" s="29" t="str">
        <f>IF(V110="","",INDEX(装备突破!G$94:G$113,MATCH(V110,装备突破!$C$94:$C$113,0),1))</f>
        <v/>
      </c>
      <c r="M110" s="29" t="str">
        <f>IF(W110="","",INDEX(装备突破!H$94:H$113,MATCH(W110,装备突破!$C$94:$C$113,0),1))</f>
        <v/>
      </c>
      <c r="N110" s="44"/>
      <c r="O110" s="44"/>
      <c r="P110" s="44"/>
      <c r="Q110" s="44"/>
      <c r="R110" s="44"/>
      <c r="S110" s="44"/>
      <c r="T110" s="44"/>
      <c r="U110" s="44"/>
      <c r="V110" s="44"/>
      <c r="W110" s="44"/>
      <c r="X110" s="141"/>
      <c r="Y110" s="141"/>
      <c r="Z110" s="141"/>
      <c r="AA110" s="141"/>
      <c r="AB110" s="158"/>
    </row>
    <row r="111" spans="1:28" x14ac:dyDescent="0.15">
      <c r="A111" s="41">
        <v>22</v>
      </c>
      <c r="B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</row>
    <row r="112" spans="1:28" x14ac:dyDescent="0.15">
      <c r="A112" s="41">
        <v>23</v>
      </c>
      <c r="B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</row>
    <row r="113" spans="1:28" x14ac:dyDescent="0.15">
      <c r="A113" s="41">
        <v>24</v>
      </c>
      <c r="B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</row>
    <row r="114" spans="1:28" x14ac:dyDescent="0.15">
      <c r="A114" s="41">
        <v>25</v>
      </c>
      <c r="B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</row>
    <row r="115" spans="1:28" x14ac:dyDescent="0.15">
      <c r="A115" s="41">
        <v>26</v>
      </c>
      <c r="B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</row>
    <row r="116" spans="1:28" x14ac:dyDescent="0.15">
      <c r="A116" s="41">
        <v>27</v>
      </c>
      <c r="B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</row>
    <row r="117" spans="1:28" x14ac:dyDescent="0.15">
      <c r="A117" s="41">
        <v>28</v>
      </c>
      <c r="B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</row>
    <row r="118" spans="1:28" x14ac:dyDescent="0.15">
      <c r="A118" s="41">
        <v>29</v>
      </c>
      <c r="B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</row>
    <row r="119" spans="1:28" x14ac:dyDescent="0.15">
      <c r="A119" s="41">
        <v>1</v>
      </c>
      <c r="B119" s="183" t="s">
        <v>135</v>
      </c>
      <c r="C119" s="183"/>
      <c r="D119" s="183"/>
      <c r="E119" s="183"/>
      <c r="F119" s="183"/>
      <c r="G119" s="183"/>
      <c r="H119" s="183"/>
      <c r="I119" s="183"/>
      <c r="J119" s="183"/>
      <c r="K119" s="183"/>
      <c r="L119" s="183"/>
      <c r="M119" s="183"/>
      <c r="N119" s="183"/>
      <c r="O119" s="183"/>
      <c r="P119" s="183"/>
      <c r="Q119" s="183"/>
      <c r="R119" s="183"/>
      <c r="S119" s="183"/>
      <c r="T119" s="183"/>
      <c r="U119" s="183"/>
      <c r="V119" s="183"/>
      <c r="W119" s="183"/>
      <c r="Z119" s="7"/>
      <c r="AA119" s="7"/>
    </row>
    <row r="120" spans="1:28" x14ac:dyDescent="0.15">
      <c r="A120" s="41">
        <v>2</v>
      </c>
      <c r="B120" s="44"/>
      <c r="C120" s="44"/>
      <c r="D120" s="183" t="s">
        <v>134</v>
      </c>
      <c r="E120" s="183"/>
      <c r="F120" s="183"/>
      <c r="G120" s="183"/>
      <c r="H120" s="183"/>
      <c r="I120" s="183" t="s">
        <v>192</v>
      </c>
      <c r="J120" s="183"/>
      <c r="K120" s="183"/>
      <c r="L120" s="183"/>
      <c r="M120" s="183"/>
      <c r="N120" s="183" t="s">
        <v>132</v>
      </c>
      <c r="O120" s="183"/>
      <c r="P120" s="183"/>
      <c r="Q120" s="183"/>
      <c r="R120" s="183"/>
      <c r="S120" s="183" t="s">
        <v>151</v>
      </c>
      <c r="T120" s="183"/>
      <c r="U120" s="183"/>
      <c r="V120" s="183"/>
      <c r="W120" s="183"/>
      <c r="X120" s="183" t="s">
        <v>427</v>
      </c>
      <c r="Y120" s="183"/>
      <c r="Z120" s="183"/>
      <c r="AA120" s="183"/>
      <c r="AB120" s="183"/>
    </row>
    <row r="121" spans="1:28" x14ac:dyDescent="0.15">
      <c r="A121" s="41">
        <v>3</v>
      </c>
      <c r="B121" s="45" t="s">
        <v>398</v>
      </c>
      <c r="C121" s="142" t="s">
        <v>212</v>
      </c>
      <c r="D121" s="45" t="s">
        <v>122</v>
      </c>
      <c r="E121" s="83" t="s">
        <v>123</v>
      </c>
      <c r="F121" s="83" t="s">
        <v>124</v>
      </c>
      <c r="G121" s="83" t="s">
        <v>125</v>
      </c>
      <c r="H121" s="45" t="s">
        <v>126</v>
      </c>
      <c r="I121" s="45" t="s">
        <v>140</v>
      </c>
      <c r="J121" s="45" t="s">
        <v>141</v>
      </c>
      <c r="K121" s="45" t="s">
        <v>142</v>
      </c>
      <c r="L121" s="45" t="s">
        <v>143</v>
      </c>
      <c r="M121" s="45" t="s">
        <v>144</v>
      </c>
      <c r="N121" s="45" t="s">
        <v>122</v>
      </c>
      <c r="O121" s="45" t="s">
        <v>123</v>
      </c>
      <c r="P121" s="45" t="s">
        <v>124</v>
      </c>
      <c r="Q121" s="45" t="s">
        <v>125</v>
      </c>
      <c r="R121" s="45" t="s">
        <v>126</v>
      </c>
      <c r="S121" s="45" t="s">
        <v>122</v>
      </c>
      <c r="T121" s="45" t="s">
        <v>123</v>
      </c>
      <c r="U121" s="45" t="s">
        <v>124</v>
      </c>
      <c r="V121" s="45" t="s">
        <v>125</v>
      </c>
      <c r="W121" s="45" t="s">
        <v>126</v>
      </c>
      <c r="X121" s="142" t="s">
        <v>0</v>
      </c>
      <c r="Y121" s="142" t="s">
        <v>1</v>
      </c>
      <c r="Z121" s="142" t="s">
        <v>2</v>
      </c>
      <c r="AA121" s="142" t="s">
        <v>3</v>
      </c>
      <c r="AB121" s="84" t="s">
        <v>4</v>
      </c>
    </row>
    <row r="122" spans="1:28" x14ac:dyDescent="0.15">
      <c r="A122" s="41">
        <v>4</v>
      </c>
      <c r="B122" s="45">
        <v>10</v>
      </c>
      <c r="C122" s="142">
        <f>INDEX(节奏总纲!$T$4:$T$163,$B122)</f>
        <v>0.2732</v>
      </c>
      <c r="D122" s="134">
        <f>'[1]资源-装备'!H128</f>
        <v>12</v>
      </c>
      <c r="E122" s="134">
        <f>'[1]资源-装备'!I128</f>
        <v>6</v>
      </c>
      <c r="F122" s="134">
        <f>'[1]资源-装备'!J128</f>
        <v>0</v>
      </c>
      <c r="G122" s="134">
        <f>'[1]资源-装备'!K128</f>
        <v>0</v>
      </c>
      <c r="H122" s="134">
        <f>'[1]资源-装备'!L128</f>
        <v>0</v>
      </c>
      <c r="I122" s="29">
        <f>IF(INDEX(装备突破!D$94:D$113,MATCH($B122*2-20,装备突破!$C$94:$C$113,0))="",I121,INDEX(装备突破!D$94:D$113,MATCH($B122*2-20,装备突破!$C$94:$C$113,0)))</f>
        <v>0.9</v>
      </c>
      <c r="J122" s="29">
        <f>IF(INDEX(装备突破!E$94:E$113,MATCH($B122*2-20,装备突破!$C$94:$C$113,0))="",J121,INDEX(装备突破!E$94:E$113,MATCH($B122*2-20,装备突破!$C$94:$C$113,0)))</f>
        <v>0.7</v>
      </c>
      <c r="K122" s="29">
        <f>IF(INDEX(装备突破!F$94:F$113,MATCH($B122*2-20,装备突破!$C$94:$C$113,0))="",K121,INDEX(装备突破!F$94:F$113,MATCH($B122*2-20,装备突破!$C$94:$C$113,0)))</f>
        <v>0.6</v>
      </c>
      <c r="L122" s="29">
        <f>IF(INDEX(装备突破!G$94:G$113,MATCH($B122*2-20,装备突破!$C$94:$C$113,0))="",L121,INDEX(装备突破!G$94:G$113,MATCH($B122*2-20,装备突破!$C$94:$C$113,0)))</f>
        <v>0.55000000000000004</v>
      </c>
      <c r="M122" s="29">
        <f>IF(INDEX(装备突破!H$94:H$113,MATCH($B122*2-20,装备突破!$C$94:$C$113,0))="",M121,INDEX(装备突破!H$94:H$113,MATCH($B122*2-20,装备突破!$C$94:$C$113,0)))</f>
        <v>0.48</v>
      </c>
      <c r="N122" s="110">
        <v>10</v>
      </c>
      <c r="O122" s="110">
        <v>10</v>
      </c>
      <c r="P122" s="110" t="s">
        <v>397</v>
      </c>
      <c r="Q122" s="110" t="s">
        <v>397</v>
      </c>
      <c r="R122" s="110" t="s">
        <v>397</v>
      </c>
      <c r="S122" s="43">
        <f>IF(N122="",0,IF(N122&gt;MAX(装备突破!D$6:D$20),"溢出",IF(N122="","",IF(N122&lt;装备突破!D$6,0,IFERROR(MATCH(N122,装备突破!D$6:D$20,0)-1,MATCH(N122,装备突破!D$6:D$20,1))))))</f>
        <v>0</v>
      </c>
      <c r="T122" s="43">
        <f>IF(O122="",0,IF(O122&gt;MAX(装备突破!E$6:E$20),"溢出",IF(O122="","",IF(O122&lt;装备突破!E$6,0,IFERROR(MATCH(O122,装备突破!E$6:E$20,0)-1,MATCH(O122,装备突破!E$6:E$20,1))))))</f>
        <v>0</v>
      </c>
      <c r="U122" s="43">
        <f>IF(P122="",0,IF(P122&gt;MAX(装备突破!F$6:F$20),"溢出",IF(P122="","",IF(P122&lt;装备突破!F$6,0,IFERROR(MATCH(P122,装备突破!F$6:F$20,0)-1,MATCH(P122,装备突破!F$6:F$20,1))))))</f>
        <v>0</v>
      </c>
      <c r="V122" s="43">
        <f>IF(Q122="",0,IF(Q122&gt;MAX(装备突破!G$6:G$20),"溢出",IF(Q122="","",IF(Q122&lt;装备突破!G$6,0,IFERROR(MATCH(Q122,装备突破!G$6:G$20,0)-1,MATCH(Q122,装备突破!G$6:G$20,1))))))</f>
        <v>0</v>
      </c>
      <c r="W122" s="43">
        <f>IF(R122="",0,IF(R122&gt;MAX(装备突破!H$6:H$20),"溢出",IF(R122="","",IF(R122&lt;装备突破!H$6,0,IFERROR(MATCH(R122,装备突破!H$6:H$20,0)-1,MATCH(R122,装备突破!H$6:H$20,1))))))</f>
        <v>0</v>
      </c>
      <c r="X122" s="143"/>
      <c r="Y122" s="143"/>
      <c r="Z122" s="143"/>
      <c r="AA122" s="143"/>
      <c r="AB122" s="158">
        <v>0</v>
      </c>
    </row>
    <row r="123" spans="1:28" x14ac:dyDescent="0.15">
      <c r="A123" s="41">
        <v>5</v>
      </c>
      <c r="B123" s="45">
        <v>20</v>
      </c>
      <c r="C123" s="142">
        <f>INDEX(节奏总纲!$T$4:$T$163,$B123)</f>
        <v>0.87990000000000002</v>
      </c>
      <c r="D123" s="134">
        <f>'[1]资源-装备'!H129</f>
        <v>0</v>
      </c>
      <c r="E123" s="134">
        <f>'[1]资源-装备'!I129</f>
        <v>13</v>
      </c>
      <c r="F123" s="134">
        <f>'[1]资源-装备'!J129</f>
        <v>5</v>
      </c>
      <c r="G123" s="134">
        <f>'[1]资源-装备'!K129</f>
        <v>0</v>
      </c>
      <c r="H123" s="134">
        <f>'[1]资源-装备'!L129</f>
        <v>0</v>
      </c>
      <c r="I123" s="29">
        <f>IF(INDEX(装备突破!D$94:D$113,MATCH($B123*2-20,装备突破!$C$94:$C$113,0))="",I122,INDEX(装备突破!D$94:D$113,MATCH($B123*2-20,装备突破!$C$94:$C$113,0)))</f>
        <v>0.9</v>
      </c>
      <c r="J123" s="29">
        <f>IF(INDEX(装备突破!E$94:E$113,MATCH($B123*2-20,装备突破!$C$94:$C$113,0))="",J122,INDEX(装备突破!E$94:E$113,MATCH($B123*2-20,装备突破!$C$94:$C$113,0)))</f>
        <v>0.85</v>
      </c>
      <c r="K123" s="29">
        <f>IF(INDEX(装备突破!F$94:F$113,MATCH($B123*2-20,装备突破!$C$94:$C$113,0))="",K122,INDEX(装备突破!F$94:F$113,MATCH($B123*2-20,装备突破!$C$94:$C$113,0)))</f>
        <v>0.7</v>
      </c>
      <c r="L123" s="29">
        <f>IF(INDEX(装备突破!G$94:G$113,MATCH($B123*2-20,装备突破!$C$94:$C$113,0))="",L122,INDEX(装备突破!G$94:G$113,MATCH($B123*2-20,装备突破!$C$94:$C$113,0)))</f>
        <v>0.625</v>
      </c>
      <c r="M123" s="29">
        <f>IF(INDEX(装备突破!H$94:H$113,MATCH($B123*2-20,装备突破!$C$94:$C$113,0))="",M122,INDEX(装备突破!H$94:H$113,MATCH($B123*2-20,装备突破!$C$94:$C$113,0)))</f>
        <v>0.54500000000000004</v>
      </c>
      <c r="N123" s="110">
        <v>20</v>
      </c>
      <c r="O123" s="110">
        <v>30</v>
      </c>
      <c r="P123" s="110">
        <v>30</v>
      </c>
      <c r="Q123" s="110" t="s">
        <v>397</v>
      </c>
      <c r="R123" s="110" t="s">
        <v>397</v>
      </c>
      <c r="S123" s="43">
        <f>IF(N123="",0,IF(N123&gt;MAX(装备突破!D$6:D$20),"溢出",IF(N123="","",IF(N123&lt;装备突破!D$6,0,IFERROR(MATCH(N123,装备突破!D$6:D$20,0)-1,MATCH(N123,装备突破!D$6:D$20,1))))))</f>
        <v>0</v>
      </c>
      <c r="T123" s="43">
        <f>IF(O123="",0,IF(O123&gt;MAX(装备突破!E$6:E$20),"溢出",IF(O123="","",IF(O123&lt;装备突破!E$6,0,IFERROR(MATCH(O123,装备突破!E$6:E$20,0)-1,MATCH(O123,装备突破!E$6:E$20,1))))))</f>
        <v>1</v>
      </c>
      <c r="U123" s="43">
        <f>IF(P123="",0,IF(P123&gt;MAX(装备突破!F$6:F$20),"溢出",IF(P123="","",IF(P123&lt;装备突破!F$6,0,IFERROR(MATCH(P123,装备突破!F$6:F$20,0)-1,MATCH(P123,装备突破!F$6:F$20,1))))))</f>
        <v>0</v>
      </c>
      <c r="V123" s="43">
        <f>IF(Q123="",0,IF(Q123&gt;MAX(装备突破!G$6:G$20),"溢出",IF(Q123="","",IF(Q123&lt;装备突破!G$6,0,IFERROR(MATCH(Q123,装备突破!G$6:G$20,0)-1,MATCH(Q123,装备突破!G$6:G$20,1))))))</f>
        <v>0</v>
      </c>
      <c r="W123" s="43">
        <f>IF(R123="",0,IF(R123&gt;MAX(装备突破!H$6:H$20),"溢出",IF(R123="","",IF(R123&lt;装备突破!H$6,0,IFERROR(MATCH(R123,装备突破!H$6:H$20,0)-1,MATCH(R123,装备突破!H$6:H$20,1))))))</f>
        <v>0</v>
      </c>
      <c r="X123" s="143"/>
      <c r="Y123" s="143"/>
      <c r="Z123" s="143"/>
      <c r="AA123" s="143"/>
      <c r="AB123" s="158">
        <v>0</v>
      </c>
    </row>
    <row r="124" spans="1:28" x14ac:dyDescent="0.15">
      <c r="A124" s="41">
        <v>6</v>
      </c>
      <c r="B124" s="45">
        <v>30</v>
      </c>
      <c r="C124" s="142">
        <f>INDEX(节奏总纲!$T$4:$T$163,$B124)</f>
        <v>2.1006999999999998</v>
      </c>
      <c r="D124" s="134">
        <f>'[1]资源-装备'!H130</f>
        <v>0</v>
      </c>
      <c r="E124" s="134">
        <f>'[1]资源-装备'!I130</f>
        <v>0</v>
      </c>
      <c r="F124" s="134">
        <f>'[1]资源-装备'!J130</f>
        <v>16</v>
      </c>
      <c r="G124" s="134">
        <f>'[1]资源-装备'!K130</f>
        <v>2</v>
      </c>
      <c r="H124" s="134">
        <f>'[1]资源-装备'!L130</f>
        <v>0</v>
      </c>
      <c r="I124" s="29">
        <f>IF(INDEX(装备突破!D$94:D$113,MATCH($B124*2-20,装备突破!$C$94:$C$113,0))="",I123,INDEX(装备突破!D$94:D$113,MATCH($B124*2-20,装备突破!$C$94:$C$113,0)))</f>
        <v>0.9</v>
      </c>
      <c r="J124" s="29">
        <f>IF(INDEX(装备突破!E$94:E$113,MATCH($B124*2-20,装备突破!$C$94:$C$113,0))="",J123,INDEX(装备突破!E$94:E$113,MATCH($B124*2-20,装备突破!$C$94:$C$113,0)))</f>
        <v>1</v>
      </c>
      <c r="K124" s="29">
        <f>IF(INDEX(装备突破!F$94:F$113,MATCH($B124*2-20,装备突破!$C$94:$C$113,0))="",K123,INDEX(装备突破!F$94:F$113,MATCH($B124*2-20,装备突破!$C$94:$C$113,0)))</f>
        <v>0.8</v>
      </c>
      <c r="L124" s="29">
        <f>IF(INDEX(装备突破!G$94:G$113,MATCH($B124*2-20,装备突破!$C$94:$C$113,0))="",L123,INDEX(装备突破!G$94:G$113,MATCH($B124*2-20,装备突破!$C$94:$C$113,0)))</f>
        <v>0.7</v>
      </c>
      <c r="M124" s="29">
        <f>IF(INDEX(装备突破!H$94:H$113,MATCH($B124*2-20,装备突破!$C$94:$C$113,0))="",M123,INDEX(装备突破!H$94:H$113,MATCH($B124*2-20,装备突破!$C$94:$C$113,0)))</f>
        <v>0.61</v>
      </c>
      <c r="N124" s="110" t="s">
        <v>397</v>
      </c>
      <c r="O124" s="110">
        <v>40</v>
      </c>
      <c r="P124" s="110">
        <v>60</v>
      </c>
      <c r="Q124" s="110">
        <v>60</v>
      </c>
      <c r="R124" s="110" t="s">
        <v>397</v>
      </c>
      <c r="S124" s="43">
        <f>IF(N124="",0,IF(N124&gt;MAX(装备突破!D$6:D$20),"溢出",IF(N124="","",IF(N124&lt;装备突破!D$6,0,IFERROR(MATCH(N124,装备突破!D$6:D$20,0)-1,MATCH(N124,装备突破!D$6:D$20,1))))))</f>
        <v>0</v>
      </c>
      <c r="T124" s="43">
        <f>IF(O124="",0,IF(O124&gt;MAX(装备突破!E$6:E$20),"溢出",IF(O124="","",IF(O124&lt;装备突破!E$6,0,IFERROR(MATCH(O124,装备突破!E$6:E$20,0)-1,MATCH(O124,装备突破!E$6:E$20,1))))))</f>
        <v>1</v>
      </c>
      <c r="U124" s="43">
        <f>IF(P124="",0,IF(P124&gt;MAX(装备突破!F$6:F$20),"溢出",IF(P124="","",IF(P124&lt;装备突破!F$6,0,IFERROR(MATCH(P124,装备突破!F$6:F$20,0)-1,MATCH(P124,装备突破!F$6:F$20,1))))))</f>
        <v>1</v>
      </c>
      <c r="V124" s="43">
        <f>IF(Q124="",0,IF(Q124&gt;MAX(装备突破!G$6:G$20),"溢出",IF(Q124="","",IF(Q124&lt;装备突破!G$6,0,IFERROR(MATCH(Q124,装备突破!G$6:G$20,0)-1,MATCH(Q124,装备突破!G$6:G$20,1))))))</f>
        <v>0</v>
      </c>
      <c r="W124" s="43">
        <f>IF(R124="",0,IF(R124&gt;MAX(装备突破!H$6:H$20),"溢出",IF(R124="","",IF(R124&lt;装备突破!H$6,0,IFERROR(MATCH(R124,装备突破!H$6:H$20,0)-1,MATCH(R124,装备突破!H$6:H$20,1))))))</f>
        <v>0</v>
      </c>
      <c r="X124" s="143"/>
      <c r="Y124" s="143"/>
      <c r="Z124" s="143"/>
      <c r="AA124" s="143"/>
      <c r="AB124" s="158">
        <v>0</v>
      </c>
    </row>
    <row r="125" spans="1:28" x14ac:dyDescent="0.15">
      <c r="A125" s="41">
        <v>7</v>
      </c>
      <c r="B125" s="45">
        <v>40</v>
      </c>
      <c r="C125" s="142">
        <f>INDEX(节奏总纲!$T$4:$T$163,$B125)</f>
        <v>4.5</v>
      </c>
      <c r="D125" s="134">
        <f>'[1]资源-装备'!H131</f>
        <v>0</v>
      </c>
      <c r="E125" s="134">
        <f>'[1]资源-装备'!I131</f>
        <v>0</v>
      </c>
      <c r="F125" s="134">
        <f>'[1]资源-装备'!J131</f>
        <v>0</v>
      </c>
      <c r="G125" s="134">
        <f>'[1]资源-装备'!K131</f>
        <v>16</v>
      </c>
      <c r="H125" s="134">
        <f>'[1]资源-装备'!L131</f>
        <v>0</v>
      </c>
      <c r="I125" s="29">
        <f>IF(INDEX(装备突破!D$94:D$113,MATCH($B125*2-20,装备突破!$C$94:$C$113,0))="",I124,INDEX(装备突破!D$94:D$113,MATCH($B125*2-20,装备突破!$C$94:$C$113,0)))</f>
        <v>0.9</v>
      </c>
      <c r="J125" s="29">
        <f>IF(INDEX(装备突破!E$94:E$113,MATCH($B125*2-20,装备突破!$C$94:$C$113,0))="",J124,INDEX(装备突破!E$94:E$113,MATCH($B125*2-20,装备突破!$C$94:$C$113,0)))</f>
        <v>1</v>
      </c>
      <c r="K125" s="29">
        <f>IF(INDEX(装备突破!F$94:F$113,MATCH($B125*2-20,装备突破!$C$94:$C$113,0))="",K124,INDEX(装备突破!F$94:F$113,MATCH($B125*2-20,装备突破!$C$94:$C$113,0)))</f>
        <v>0.9</v>
      </c>
      <c r="L125" s="29">
        <f>IF(INDEX(装备突破!G$94:G$113,MATCH($B125*2-20,装备突破!$C$94:$C$113,0))="",L124,INDEX(装备突破!G$94:G$113,MATCH($B125*2-20,装备突破!$C$94:$C$113,0)))</f>
        <v>0.77500000000000002</v>
      </c>
      <c r="M125" s="29">
        <f>IF(INDEX(装备突破!H$94:H$113,MATCH($B125*2-20,装备突破!$C$94:$C$113,0))="",M124,INDEX(装备突破!H$94:H$113,MATCH($B125*2-20,装备突破!$C$94:$C$113,0)))</f>
        <v>0.67500000000000004</v>
      </c>
      <c r="N125" s="110" t="s">
        <v>397</v>
      </c>
      <c r="O125" s="110">
        <v>40</v>
      </c>
      <c r="P125" s="110">
        <v>80</v>
      </c>
      <c r="Q125" s="110">
        <v>80</v>
      </c>
      <c r="R125" s="110" t="s">
        <v>397</v>
      </c>
      <c r="S125" s="43">
        <f>IF(N125="",0,IF(N125&gt;MAX(装备突破!D$6:D$20),"溢出",IF(N125="","",IF(N125&lt;装备突破!D$6,0,IFERROR(MATCH(N125,装备突破!D$6:D$20,0)-1,MATCH(N125,装备突破!D$6:D$20,1))))))</f>
        <v>0</v>
      </c>
      <c r="T125" s="43">
        <f>IF(O125="",0,IF(O125&gt;MAX(装备突破!E$6:E$20),"溢出",IF(O125="","",IF(O125&lt;装备突破!E$6,0,IFERROR(MATCH(O125,装备突破!E$6:E$20,0)-1,MATCH(O125,装备突破!E$6:E$20,1))))))</f>
        <v>1</v>
      </c>
      <c r="U125" s="43">
        <f>IF(P125="",0,IF(P125&gt;MAX(装备突破!F$6:F$20),"溢出",IF(P125="","",IF(P125&lt;装备突破!F$6,0,IFERROR(MATCH(P125,装备突破!F$6:F$20,0)-1,MATCH(P125,装备突破!F$6:F$20,1))))))</f>
        <v>2</v>
      </c>
      <c r="V125" s="43">
        <f>IF(Q125="",0,IF(Q125&gt;MAX(装备突破!G$6:G$20),"溢出",IF(Q125="","",IF(Q125&lt;装备突破!G$6,0,IFERROR(MATCH(Q125,装备突破!G$6:G$20,0)-1,MATCH(Q125,装备突破!G$6:G$20,1))))))</f>
        <v>1</v>
      </c>
      <c r="W125" s="43">
        <f>IF(R125="",0,IF(R125&gt;MAX(装备突破!H$6:H$20),"溢出",IF(R125="","",IF(R125&lt;装备突破!H$6,0,IFERROR(MATCH(R125,装备突破!H$6:H$20,0)-1,MATCH(R125,装备突破!H$6:H$20,1))))))</f>
        <v>0</v>
      </c>
      <c r="X125" s="143"/>
      <c r="Y125" s="143"/>
      <c r="Z125" s="143"/>
      <c r="AA125" s="143"/>
      <c r="AB125" s="158">
        <v>0</v>
      </c>
    </row>
    <row r="126" spans="1:28" x14ac:dyDescent="0.15">
      <c r="A126" s="41">
        <v>8</v>
      </c>
      <c r="B126" s="45">
        <v>50</v>
      </c>
      <c r="C126" s="142">
        <f>INDEX(节奏总纲!$T$4:$T$163,$B126)</f>
        <v>9.1883999999999997</v>
      </c>
      <c r="D126" s="134">
        <f>'[1]资源-装备'!H132</f>
        <v>0</v>
      </c>
      <c r="E126" s="134">
        <f>'[1]资源-装备'!I132</f>
        <v>0</v>
      </c>
      <c r="F126" s="134">
        <f>'[1]资源-装备'!J132</f>
        <v>0</v>
      </c>
      <c r="G126" s="134">
        <f>'[1]资源-装备'!K132</f>
        <v>14</v>
      </c>
      <c r="H126" s="134">
        <f>'[1]资源-装备'!L132</f>
        <v>2</v>
      </c>
      <c r="I126" s="29">
        <f>IF(INDEX(装备突破!D$94:D$113,MATCH($B126*2-20,装备突破!$C$94:$C$113,0))="",I125,INDEX(装备突破!D$94:D$113,MATCH($B126*2-20,装备突破!$C$94:$C$113,0)))</f>
        <v>0.9</v>
      </c>
      <c r="J126" s="29">
        <f>IF(INDEX(装备突破!E$94:E$113,MATCH($B126*2-20,装备突破!$C$94:$C$113,0))="",J125,INDEX(装备突破!E$94:E$113,MATCH($B126*2-20,装备突破!$C$94:$C$113,0)))</f>
        <v>1</v>
      </c>
      <c r="K126" s="29">
        <f>IF(INDEX(装备突破!F$94:F$113,MATCH($B126*2-20,装备突破!$C$94:$C$113,0))="",K125,INDEX(装备突破!F$94:F$113,MATCH($B126*2-20,装备突破!$C$94:$C$113,0)))</f>
        <v>1</v>
      </c>
      <c r="L126" s="29">
        <f>IF(INDEX(装备突破!G$94:G$113,MATCH($B126*2-20,装备突破!$C$94:$C$113,0))="",L125,INDEX(装备突破!G$94:G$113,MATCH($B126*2-20,装备突破!$C$94:$C$113,0)))</f>
        <v>0.85</v>
      </c>
      <c r="M126" s="29">
        <f>IF(INDEX(装备突破!H$94:H$113,MATCH($B126*2-20,装备突破!$C$94:$C$113,0))="",M125,INDEX(装备突破!H$94:H$113,MATCH($B126*2-20,装备突破!$C$94:$C$113,0)))</f>
        <v>0.74</v>
      </c>
      <c r="N126" s="110" t="s">
        <v>397</v>
      </c>
      <c r="O126" s="110" t="s">
        <v>397</v>
      </c>
      <c r="P126" s="110">
        <v>80</v>
      </c>
      <c r="Q126" s="110">
        <v>100</v>
      </c>
      <c r="R126" s="110">
        <v>100</v>
      </c>
      <c r="S126" s="43">
        <f>IF(N126="",0,IF(N126&gt;MAX(装备突破!D$6:D$20),"溢出",IF(N126="","",IF(N126&lt;装备突破!D$6,0,IFERROR(MATCH(N126,装备突破!D$6:D$20,0)-1,MATCH(N126,装备突破!D$6:D$20,1))))))</f>
        <v>0</v>
      </c>
      <c r="T126" s="43">
        <f>IF(O126="",0,IF(O126&gt;MAX(装备突破!E$6:E$20),"溢出",IF(O126="","",IF(O126&lt;装备突破!E$6,0,IFERROR(MATCH(O126,装备突破!E$6:E$20,0)-1,MATCH(O126,装备突破!E$6:E$20,1))))))</f>
        <v>0</v>
      </c>
      <c r="U126" s="43">
        <f>IF(P126="",0,IF(P126&gt;MAX(装备突破!F$6:F$20),"溢出",IF(P126="","",IF(P126&lt;装备突破!F$6,0,IFERROR(MATCH(P126,装备突破!F$6:F$20,0)-1,MATCH(P126,装备突破!F$6:F$20,1))))))</f>
        <v>2</v>
      </c>
      <c r="V126" s="43">
        <f>IF(Q126="",0,IF(Q126&gt;MAX(装备突破!G$6:G$20),"溢出",IF(Q126="","",IF(Q126&lt;装备突破!G$6,0,IFERROR(MATCH(Q126,装备突破!G$6:G$20,0)-1,MATCH(Q126,装备突破!G$6:G$20,1))))))</f>
        <v>2</v>
      </c>
      <c r="W126" s="43">
        <f>IF(R126="",0,IF(R126&gt;MAX(装备突破!H$6:H$20),"溢出",IF(R126="","",IF(R126&lt;装备突破!H$6,0,IFERROR(MATCH(R126,装备突破!H$6:H$20,0)-1,MATCH(R126,装备突破!H$6:H$20,1))))))</f>
        <v>0</v>
      </c>
      <c r="X126" s="143"/>
      <c r="Y126" s="143"/>
      <c r="Z126" s="143"/>
      <c r="AA126" s="143"/>
      <c r="AB126" s="158">
        <v>0</v>
      </c>
    </row>
    <row r="127" spans="1:28" x14ac:dyDescent="0.15">
      <c r="A127" s="41">
        <v>9</v>
      </c>
      <c r="B127" s="45">
        <v>60</v>
      </c>
      <c r="C127" s="142">
        <f>INDEX(节奏总纲!$T$4:$T$163,$B127)</f>
        <v>18.276300000000003</v>
      </c>
      <c r="D127" s="134">
        <f>'[1]资源-装备'!H133</f>
        <v>0</v>
      </c>
      <c r="E127" s="134">
        <f>'[1]资源-装备'!I133</f>
        <v>0</v>
      </c>
      <c r="F127" s="134">
        <f>'[1]资源-装备'!J133</f>
        <v>0</v>
      </c>
      <c r="G127" s="134">
        <f>'[1]资源-装备'!K133</f>
        <v>12</v>
      </c>
      <c r="H127" s="134">
        <f>'[1]资源-装备'!L133</f>
        <v>6</v>
      </c>
      <c r="I127" s="29">
        <f>IF(INDEX(装备突破!D$94:D$113,MATCH($B127*2-20,装备突破!$C$94:$C$113,0))="",I126,INDEX(装备突破!D$94:D$113,MATCH($B127*2-20,装备突破!$C$94:$C$113,0)))</f>
        <v>0.9</v>
      </c>
      <c r="J127" s="29">
        <f>IF(INDEX(装备突破!E$94:E$113,MATCH($B127*2-20,装备突破!$C$94:$C$113,0))="",J126,INDEX(装备突破!E$94:E$113,MATCH($B127*2-20,装备突破!$C$94:$C$113,0)))</f>
        <v>1</v>
      </c>
      <c r="K127" s="29">
        <f>IF(INDEX(装备突破!F$94:F$113,MATCH($B127*2-20,装备突破!$C$94:$C$113,0))="",K126,INDEX(装备突破!F$94:F$113,MATCH($B127*2-20,装备突破!$C$94:$C$113,0)))</f>
        <v>1</v>
      </c>
      <c r="L127" s="29">
        <f>IF(INDEX(装备突破!G$94:G$113,MATCH($B127*2-20,装备突破!$C$94:$C$113,0))="",L126,INDEX(装备突破!G$94:G$113,MATCH($B127*2-20,装备突破!$C$94:$C$113,0)))</f>
        <v>0.92500000000000004</v>
      </c>
      <c r="M127" s="29">
        <f>IF(INDEX(装备突破!H$94:H$113,MATCH($B127*2-20,装备突破!$C$94:$C$113,0))="",M126,INDEX(装备突破!H$94:H$113,MATCH($B127*2-20,装备突破!$C$94:$C$113,0)))</f>
        <v>0.80500000000000005</v>
      </c>
      <c r="N127" s="110" t="s">
        <v>397</v>
      </c>
      <c r="O127" s="110" t="s">
        <v>397</v>
      </c>
      <c r="P127" s="110" t="s">
        <v>397</v>
      </c>
      <c r="Q127" s="110">
        <v>120</v>
      </c>
      <c r="R127" s="110">
        <v>120</v>
      </c>
      <c r="S127" s="43">
        <f>IF(N127="",0,IF(N127&gt;MAX(装备突破!D$6:D$20),"溢出",IF(N127="","",IF(N127&lt;装备突破!D$6,0,IFERROR(MATCH(N127,装备突破!D$6:D$20,0)-1,MATCH(N127,装备突破!D$6:D$20,1))))))</f>
        <v>0</v>
      </c>
      <c r="T127" s="43">
        <f>IF(O127="",0,IF(O127&gt;MAX(装备突破!E$6:E$20),"溢出",IF(O127="","",IF(O127&lt;装备突破!E$6,0,IFERROR(MATCH(O127,装备突破!E$6:E$20,0)-1,MATCH(O127,装备突破!E$6:E$20,1))))))</f>
        <v>0</v>
      </c>
      <c r="U127" s="43">
        <f>IF(P127="",0,IF(P127&gt;MAX(装备突破!F$6:F$20),"溢出",IF(P127="","",IF(P127&lt;装备突破!F$6,0,IFERROR(MATCH(P127,装备突破!F$6:F$20,0)-1,MATCH(P127,装备突破!F$6:F$20,1))))))</f>
        <v>0</v>
      </c>
      <c r="V127" s="43">
        <f>IF(Q127="",0,IF(Q127&gt;MAX(装备突破!G$6:G$20),"溢出",IF(Q127="","",IF(Q127&lt;装备突破!G$6,0,IFERROR(MATCH(Q127,装备突破!G$6:G$20,0)-1,MATCH(Q127,装备突破!G$6:G$20,1))))))</f>
        <v>3</v>
      </c>
      <c r="W127" s="43">
        <f>IF(R127="",0,IF(R127&gt;MAX(装备突破!H$6:H$20),"溢出",IF(R127="","",IF(R127&lt;装备突破!H$6,0,IFERROR(MATCH(R127,装备突破!H$6:H$20,0)-1,MATCH(R127,装备突破!H$6:H$20,1))))))</f>
        <v>1</v>
      </c>
      <c r="X127" s="143"/>
      <c r="Y127" s="143"/>
      <c r="Z127" s="143"/>
      <c r="AA127" s="143"/>
      <c r="AB127" s="158">
        <v>0</v>
      </c>
    </row>
    <row r="128" spans="1:28" x14ac:dyDescent="0.15">
      <c r="A128" s="41">
        <v>10</v>
      </c>
      <c r="B128" s="45">
        <v>70</v>
      </c>
      <c r="C128" s="142">
        <f>INDEX(节奏总纲!$T$4:$T$163,$B128)</f>
        <v>36.4998</v>
      </c>
      <c r="D128" s="134">
        <f>'[1]资源-装备'!H134</f>
        <v>0</v>
      </c>
      <c r="E128" s="134">
        <f>'[1]资源-装备'!I134</f>
        <v>0</v>
      </c>
      <c r="F128" s="134">
        <f>'[1]资源-装备'!J134</f>
        <v>0</v>
      </c>
      <c r="G128" s="134">
        <f>'[1]资源-装备'!K134</f>
        <v>6</v>
      </c>
      <c r="H128" s="134">
        <f>'[1]资源-装备'!L134</f>
        <v>12</v>
      </c>
      <c r="I128" s="29">
        <f>IF(INDEX(装备突破!D$94:D$113,MATCH($B128*2-20,装备突破!$C$94:$C$113,0))="",I127,INDEX(装备突破!D$94:D$113,MATCH($B128*2-20,装备突破!$C$94:$C$113,0)))</f>
        <v>0.9</v>
      </c>
      <c r="J128" s="29">
        <f>IF(INDEX(装备突破!E$94:E$113,MATCH($B128*2-20,装备突破!$C$94:$C$113,0))="",J127,INDEX(装备突破!E$94:E$113,MATCH($B128*2-20,装备突破!$C$94:$C$113,0)))</f>
        <v>1</v>
      </c>
      <c r="K128" s="29">
        <f>IF(INDEX(装备突破!F$94:F$113,MATCH($B128*2-20,装备突破!$C$94:$C$113,0))="",K127,INDEX(装备突破!F$94:F$113,MATCH($B128*2-20,装备突破!$C$94:$C$113,0)))</f>
        <v>1</v>
      </c>
      <c r="L128" s="29">
        <f>IF(INDEX(装备突破!G$94:G$113,MATCH($B128*2-20,装备突破!$C$94:$C$113,0))="",L127,INDEX(装备突破!G$94:G$113,MATCH($B128*2-20,装备突破!$C$94:$C$113,0)))</f>
        <v>1</v>
      </c>
      <c r="M128" s="29">
        <f>IF(INDEX(装备突破!H$94:H$113,MATCH($B128*2-20,装备突破!$C$94:$C$113,0))="",M127,INDEX(装备突破!H$94:H$113,MATCH($B128*2-20,装备突破!$C$94:$C$113,0)))</f>
        <v>0.87</v>
      </c>
      <c r="N128" s="110" t="s">
        <v>397</v>
      </c>
      <c r="O128" s="110" t="s">
        <v>397</v>
      </c>
      <c r="P128" s="110" t="s">
        <v>397</v>
      </c>
      <c r="Q128" s="110">
        <v>120</v>
      </c>
      <c r="R128" s="110">
        <v>140</v>
      </c>
      <c r="S128" s="43">
        <f>IF(N128="",0,IF(N128&gt;MAX(装备突破!D$6:D$20),"溢出",IF(N128="","",IF(N128&lt;装备突破!D$6,0,IFERROR(MATCH(N128,装备突破!D$6:D$20,0)-1,MATCH(N128,装备突破!D$6:D$20,1))))))</f>
        <v>0</v>
      </c>
      <c r="T128" s="43">
        <f>IF(O128="",0,IF(O128&gt;MAX(装备突破!E$6:E$20),"溢出",IF(O128="","",IF(O128&lt;装备突破!E$6,0,IFERROR(MATCH(O128,装备突破!E$6:E$20,0)-1,MATCH(O128,装备突破!E$6:E$20,1))))))</f>
        <v>0</v>
      </c>
      <c r="U128" s="43">
        <f>IF(P128="",0,IF(P128&gt;MAX(装备突破!F$6:F$20),"溢出",IF(P128="","",IF(P128&lt;装备突破!F$6,0,IFERROR(MATCH(P128,装备突破!F$6:F$20,0)-1,MATCH(P128,装备突破!F$6:F$20,1))))))</f>
        <v>0</v>
      </c>
      <c r="V128" s="43">
        <f>IF(Q128="",0,IF(Q128&gt;MAX(装备突破!G$6:G$20),"溢出",IF(Q128="","",IF(Q128&lt;装备突破!G$6,0,IFERROR(MATCH(Q128,装备突破!G$6:G$20,0)-1,MATCH(Q128,装备突破!G$6:G$20,1))))))</f>
        <v>3</v>
      </c>
      <c r="W128" s="43">
        <f>IF(R128="",0,IF(R128&gt;MAX(装备突破!H$6:H$20),"溢出",IF(R128="","",IF(R128&lt;装备突破!H$6,0,IFERROR(MATCH(R128,装备突破!H$6:H$20,0)-1,MATCH(R128,装备突破!H$6:H$20,1))))))</f>
        <v>2</v>
      </c>
      <c r="X128" s="143"/>
      <c r="Y128" s="143"/>
      <c r="Z128" s="143"/>
      <c r="AA128" s="143"/>
      <c r="AB128" s="158">
        <v>5</v>
      </c>
    </row>
    <row r="129" spans="1:28" x14ac:dyDescent="0.15">
      <c r="A129" s="41">
        <v>11</v>
      </c>
      <c r="B129" s="45">
        <v>80</v>
      </c>
      <c r="C129" s="142">
        <f>INDEX(节奏总纲!$T$4:$T$163,$B129)</f>
        <v>72.777000000000001</v>
      </c>
      <c r="D129" s="134">
        <f>'[1]资源-装备'!H135</f>
        <v>0</v>
      </c>
      <c r="E129" s="134">
        <f>'[1]资源-装备'!I135</f>
        <v>0</v>
      </c>
      <c r="F129" s="134">
        <f>'[1]资源-装备'!J135</f>
        <v>0</v>
      </c>
      <c r="G129" s="134">
        <f>'[1]资源-装备'!K135</f>
        <v>0</v>
      </c>
      <c r="H129" s="134">
        <f>'[1]资源-装备'!L135</f>
        <v>18</v>
      </c>
      <c r="I129" s="29">
        <f>IF(INDEX(装备突破!D$94:D$113,MATCH($B129*2-20,装备突破!$C$94:$C$113,0))="",I128,INDEX(装备突破!D$94:D$113,MATCH($B129*2-20,装备突破!$C$94:$C$113,0)))</f>
        <v>0.9</v>
      </c>
      <c r="J129" s="29">
        <f>IF(INDEX(装备突破!E$94:E$113,MATCH($B129*2-20,装备突破!$C$94:$C$113,0))="",J128,INDEX(装备突破!E$94:E$113,MATCH($B129*2-20,装备突破!$C$94:$C$113,0)))</f>
        <v>1</v>
      </c>
      <c r="K129" s="29">
        <f>IF(INDEX(装备突破!F$94:F$113,MATCH($B129*2-20,装备突破!$C$94:$C$113,0))="",K128,INDEX(装备突破!F$94:F$113,MATCH($B129*2-20,装备突破!$C$94:$C$113,0)))</f>
        <v>1</v>
      </c>
      <c r="L129" s="29">
        <f>IF(INDEX(装备突破!G$94:G$113,MATCH($B129*2-20,装备突破!$C$94:$C$113,0))="",L128,INDEX(装备突破!G$94:G$113,MATCH($B129*2-20,装备突破!$C$94:$C$113,0)))</f>
        <v>1</v>
      </c>
      <c r="M129" s="29">
        <f>IF(INDEX(装备突破!H$94:H$113,MATCH($B129*2-20,装备突破!$C$94:$C$113,0))="",M128,INDEX(装备突破!H$94:H$113,MATCH($B129*2-20,装备突破!$C$94:$C$113,0)))</f>
        <v>0.93500000000000005</v>
      </c>
      <c r="N129" s="110" t="s">
        <v>397</v>
      </c>
      <c r="O129" s="110" t="s">
        <v>397</v>
      </c>
      <c r="P129" s="110" t="s">
        <v>397</v>
      </c>
      <c r="Q129" s="110" t="s">
        <v>397</v>
      </c>
      <c r="R129" s="110">
        <v>160</v>
      </c>
      <c r="S129" s="43">
        <f>IF(N129="",0,IF(N129&gt;MAX(装备突破!D$6:D$20),"溢出",IF(N129="","",IF(N129&lt;装备突破!D$6,0,IFERROR(MATCH(N129,装备突破!D$6:D$20,0)-1,MATCH(N129,装备突破!D$6:D$20,1))))))</f>
        <v>0</v>
      </c>
      <c r="T129" s="43">
        <f>IF(O129="",0,IF(O129&gt;MAX(装备突破!E$6:E$20),"溢出",IF(O129="","",IF(O129&lt;装备突破!E$6,0,IFERROR(MATCH(O129,装备突破!E$6:E$20,0)-1,MATCH(O129,装备突破!E$6:E$20,1))))))</f>
        <v>0</v>
      </c>
      <c r="U129" s="43">
        <f>IF(P129="",0,IF(P129&gt;MAX(装备突破!F$6:F$20),"溢出",IF(P129="","",IF(P129&lt;装备突破!F$6,0,IFERROR(MATCH(P129,装备突破!F$6:F$20,0)-1,MATCH(P129,装备突破!F$6:F$20,1))))))</f>
        <v>0</v>
      </c>
      <c r="V129" s="43">
        <f>IF(Q129="",0,IF(Q129&gt;MAX(装备突破!G$6:G$20),"溢出",IF(Q129="","",IF(Q129&lt;装备突破!G$6,0,IFERROR(MATCH(Q129,装备突破!G$6:G$20,0)-1,MATCH(Q129,装备突破!G$6:G$20,1))))))</f>
        <v>0</v>
      </c>
      <c r="W129" s="43">
        <f>IF(R129="",0,IF(R129&gt;MAX(装备突破!H$6:H$20),"溢出",IF(R129="","",IF(R129&lt;装备突破!H$6,0,IFERROR(MATCH(R129,装备突破!H$6:H$20,0)-1,MATCH(R129,装备突破!H$6:H$20,1))))))</f>
        <v>3</v>
      </c>
      <c r="X129" s="143"/>
      <c r="Y129" s="143"/>
      <c r="Z129" s="143"/>
      <c r="AA129" s="143"/>
      <c r="AB129" s="158">
        <v>10</v>
      </c>
    </row>
    <row r="130" spans="1:28" x14ac:dyDescent="0.15">
      <c r="A130" s="41">
        <v>12</v>
      </c>
      <c r="B130" s="45">
        <v>90</v>
      </c>
      <c r="C130" s="142">
        <f>INDEX(节奏总纲!$T$4:$T$163,$B130)</f>
        <v>138.48100000000002</v>
      </c>
      <c r="D130" s="134">
        <f>'[1]资源-装备'!H136</f>
        <v>0</v>
      </c>
      <c r="E130" s="134">
        <f>'[1]资源-装备'!I136</f>
        <v>0</v>
      </c>
      <c r="F130" s="134">
        <f>'[1]资源-装备'!J136</f>
        <v>0</v>
      </c>
      <c r="G130" s="134">
        <f>'[1]资源-装备'!K136</f>
        <v>0</v>
      </c>
      <c r="H130" s="134">
        <f>'[1]资源-装备'!L136</f>
        <v>18</v>
      </c>
      <c r="I130" s="29">
        <f>IF(INDEX(装备突破!D$94:D$113,MATCH($B130*2-20,装备突破!$C$94:$C$113,0))="",I129,INDEX(装备突破!D$94:D$113,MATCH($B130*2-20,装备突破!$C$94:$C$113,0)))</f>
        <v>0.9</v>
      </c>
      <c r="J130" s="29">
        <f>IF(INDEX(装备突破!E$94:E$113,MATCH($B130*2-20,装备突破!$C$94:$C$113,0))="",J129,INDEX(装备突破!E$94:E$113,MATCH($B130*2-20,装备突破!$C$94:$C$113,0)))</f>
        <v>1</v>
      </c>
      <c r="K130" s="29">
        <f>IF(INDEX(装备突破!F$94:F$113,MATCH($B130*2-20,装备突破!$C$94:$C$113,0))="",K129,INDEX(装备突破!F$94:F$113,MATCH($B130*2-20,装备突破!$C$94:$C$113,0)))</f>
        <v>1</v>
      </c>
      <c r="L130" s="29">
        <f>IF(INDEX(装备突破!G$94:G$113,MATCH($B130*2-20,装备突破!$C$94:$C$113,0))="",L129,INDEX(装备突破!G$94:G$113,MATCH($B130*2-20,装备突破!$C$94:$C$113,0)))</f>
        <v>1</v>
      </c>
      <c r="M130" s="29">
        <f>IF(INDEX(装备突破!H$94:H$113,MATCH($B130*2-20,装备突破!$C$94:$C$113,0))="",M129,INDEX(装备突破!H$94:H$113,MATCH($B130*2-20,装备突破!$C$94:$C$113,0)))</f>
        <v>1</v>
      </c>
      <c r="N130" s="110" t="s">
        <v>397</v>
      </c>
      <c r="O130" s="110" t="s">
        <v>397</v>
      </c>
      <c r="P130" s="110" t="s">
        <v>397</v>
      </c>
      <c r="Q130" s="110" t="s">
        <v>397</v>
      </c>
      <c r="R130" s="110">
        <v>180</v>
      </c>
      <c r="S130" s="43">
        <f>IF(N130="",0,IF(N130&gt;MAX(装备突破!D$6:D$20),"溢出",IF(N130="","",IF(N130&lt;装备突破!D$6,0,IFERROR(MATCH(N130,装备突破!D$6:D$20,0)-1,MATCH(N130,装备突破!D$6:D$20,1))))))</f>
        <v>0</v>
      </c>
      <c r="T130" s="43">
        <f>IF(O130="",0,IF(O130&gt;MAX(装备突破!E$6:E$20),"溢出",IF(O130="","",IF(O130&lt;装备突破!E$6,0,IFERROR(MATCH(O130,装备突破!E$6:E$20,0)-1,MATCH(O130,装备突破!E$6:E$20,1))))))</f>
        <v>0</v>
      </c>
      <c r="U130" s="43">
        <f>IF(P130="",0,IF(P130&gt;MAX(装备突破!F$6:F$20),"溢出",IF(P130="","",IF(P130&lt;装备突破!F$6,0,IFERROR(MATCH(P130,装备突破!F$6:F$20,0)-1,MATCH(P130,装备突破!F$6:F$20,1))))))</f>
        <v>0</v>
      </c>
      <c r="V130" s="43">
        <f>IF(Q130="",0,IF(Q130&gt;MAX(装备突破!G$6:G$20),"溢出",IF(Q130="","",IF(Q130&lt;装备突破!G$6,0,IFERROR(MATCH(Q130,装备突破!G$6:G$20,0)-1,MATCH(Q130,装备突破!G$6:G$20,1))))))</f>
        <v>0</v>
      </c>
      <c r="W130" s="43">
        <f>IF(R130="",0,IF(R130&gt;MAX(装备突破!H$6:H$20),"溢出",IF(R130="","",IF(R130&lt;装备突破!H$6,0,IFERROR(MATCH(R130,装备突破!H$6:H$20,0)-1,MATCH(R130,装备突破!H$6:H$20,1))))))</f>
        <v>4</v>
      </c>
      <c r="X130" s="143"/>
      <c r="Y130" s="143"/>
      <c r="Z130" s="143"/>
      <c r="AA130" s="143"/>
      <c r="AB130" s="158">
        <v>20</v>
      </c>
    </row>
    <row r="131" spans="1:28" s="46" customFormat="1" x14ac:dyDescent="0.15">
      <c r="A131" s="41">
        <v>13</v>
      </c>
      <c r="B131" s="128">
        <v>100</v>
      </c>
      <c r="C131" s="142">
        <f>INDEX(节奏总纲!$T$4:$T$163,$B131)</f>
        <v>274.77780000000001</v>
      </c>
      <c r="D131" s="134">
        <f>'[1]资源-装备'!H137</f>
        <v>0</v>
      </c>
      <c r="E131" s="134">
        <f>'[1]资源-装备'!I137</f>
        <v>0</v>
      </c>
      <c r="F131" s="134">
        <f>'[1]资源-装备'!J137</f>
        <v>0</v>
      </c>
      <c r="G131" s="134">
        <f>'[1]资源-装备'!K137</f>
        <v>0</v>
      </c>
      <c r="H131" s="134">
        <f>'[1]资源-装备'!L137</f>
        <v>18</v>
      </c>
      <c r="I131" s="29">
        <f>IF(INDEX(装备突破!D$94:D$113,MATCH($B131*2-20,装备突破!$C$94:$C$113,0))="",I130,INDEX(装备突破!D$94:D$113,MATCH($B131*2-20,装备突破!$C$94:$C$113,0)))</f>
        <v>0.9</v>
      </c>
      <c r="J131" s="29">
        <f>IF(INDEX(装备突破!E$94:E$113,MATCH($B131*2-20,装备突破!$C$94:$C$113,0))="",J130,INDEX(装备突破!E$94:E$113,MATCH($B131*2-20,装备突破!$C$94:$C$113,0)))</f>
        <v>1</v>
      </c>
      <c r="K131" s="29">
        <f>IF(INDEX(装备突破!F$94:F$113,MATCH($B131*2-20,装备突破!$C$94:$C$113,0))="",K130,INDEX(装备突破!F$94:F$113,MATCH($B131*2-20,装备突破!$C$94:$C$113,0)))</f>
        <v>1</v>
      </c>
      <c r="L131" s="29">
        <f>IF(INDEX(装备突破!G$94:G$113,MATCH($B131*2-20,装备突破!$C$94:$C$113,0))="",L130,INDEX(装备突破!G$94:G$113,MATCH($B131*2-20,装备突破!$C$94:$C$113,0)))</f>
        <v>1</v>
      </c>
      <c r="M131" s="29">
        <f>IF(INDEX(装备突破!H$94:H$113,MATCH($B131*2-20,装备突破!$C$94:$C$113,0))="",M130,INDEX(装备突破!H$94:H$113,MATCH($B131*2-20,装备突破!$C$94:$C$113,0)))</f>
        <v>1</v>
      </c>
      <c r="N131" s="126" t="s">
        <v>397</v>
      </c>
      <c r="O131" s="126" t="s">
        <v>397</v>
      </c>
      <c r="P131" s="126" t="s">
        <v>397</v>
      </c>
      <c r="Q131" s="126" t="s">
        <v>397</v>
      </c>
      <c r="R131" s="126">
        <v>200</v>
      </c>
      <c r="S131" s="43">
        <f>IF(N131="",0,IF(N131&gt;MAX(装备突破!D$6:D$20),"溢出",IF(N131="","",IF(N131&lt;装备突破!D$6,0,IFERROR(MATCH(N131,装备突破!D$6:D$20,0)-1,MATCH(N131,装备突破!D$6:D$20,1))))))</f>
        <v>0</v>
      </c>
      <c r="T131" s="43">
        <f>IF(O131="",0,IF(O131&gt;MAX(装备突破!E$6:E$20),"溢出",IF(O131="","",IF(O131&lt;装备突破!E$6,0,IFERROR(MATCH(O131,装备突破!E$6:E$20,0)-1,MATCH(O131,装备突破!E$6:E$20,1))))))</f>
        <v>0</v>
      </c>
      <c r="U131" s="43">
        <f>IF(P131="",0,IF(P131&gt;MAX(装备突破!F$6:F$20),"溢出",IF(P131="","",IF(P131&lt;装备突破!F$6,0,IFERROR(MATCH(P131,装备突破!F$6:F$20,0)-1,MATCH(P131,装备突破!F$6:F$20,1))))))</f>
        <v>0</v>
      </c>
      <c r="V131" s="43">
        <f>IF(Q131="",0,IF(Q131&gt;MAX(装备突破!G$6:G$20),"溢出",IF(Q131="","",IF(Q131&lt;装备突破!G$6,0,IFERROR(MATCH(Q131,装备突破!G$6:G$20,0)-1,MATCH(Q131,装备突破!G$6:G$20,1))))))</f>
        <v>0</v>
      </c>
      <c r="W131" s="43">
        <f>IF(R131="",0,IF(R131&gt;MAX(装备突破!H$6:H$20),"溢出",IF(R131="","",IF(R131&lt;装备突破!H$6,0,IFERROR(MATCH(R131,装备突破!H$6:H$20,0)-1,MATCH(R131,装备突破!H$6:H$20,1))))))</f>
        <v>5</v>
      </c>
      <c r="X131" s="143"/>
      <c r="Y131" s="143"/>
      <c r="Z131" s="143"/>
      <c r="AA131" s="143"/>
      <c r="AB131" s="158">
        <v>25</v>
      </c>
    </row>
    <row r="132" spans="1:28" s="46" customFormat="1" x14ac:dyDescent="0.15">
      <c r="A132" s="41">
        <v>14</v>
      </c>
      <c r="B132" s="128">
        <v>110</v>
      </c>
      <c r="C132" s="142">
        <f>INDEX(节奏总纲!$T$4:$T$163,$B132)</f>
        <v>542.04559999999992</v>
      </c>
      <c r="D132" s="134">
        <f>'[1]资源-装备'!H138</f>
        <v>0</v>
      </c>
      <c r="E132" s="134">
        <f>'[1]资源-装备'!I138</f>
        <v>0</v>
      </c>
      <c r="F132" s="134">
        <f>'[1]资源-装备'!J138</f>
        <v>0</v>
      </c>
      <c r="G132" s="134">
        <f>'[1]资源-装备'!K138</f>
        <v>0</v>
      </c>
      <c r="H132" s="134">
        <f>'[1]资源-装备'!L138</f>
        <v>18</v>
      </c>
      <c r="I132" s="29">
        <f>IF(INDEX(装备突破!D$94:D$113,MATCH($B132*2-20,装备突破!$C$94:$C$113,0))="",I131,INDEX(装备突破!D$94:D$113,MATCH($B132*2-20,装备突破!$C$94:$C$113,0)))</f>
        <v>0.9</v>
      </c>
      <c r="J132" s="29">
        <f>IF(INDEX(装备突破!E$94:E$113,MATCH($B132*2-20,装备突破!$C$94:$C$113,0))="",J131,INDEX(装备突破!E$94:E$113,MATCH($B132*2-20,装备突破!$C$94:$C$113,0)))</f>
        <v>1</v>
      </c>
      <c r="K132" s="29">
        <f>IF(INDEX(装备突破!F$94:F$113,MATCH($B132*2-20,装备突破!$C$94:$C$113,0))="",K131,INDEX(装备突破!F$94:F$113,MATCH($B132*2-20,装备突破!$C$94:$C$113,0)))</f>
        <v>1</v>
      </c>
      <c r="L132" s="29">
        <f>IF(INDEX(装备突破!G$94:G$113,MATCH($B132*2-20,装备突破!$C$94:$C$113,0))="",L131,INDEX(装备突破!G$94:G$113,MATCH($B132*2-20,装备突破!$C$94:$C$113,0)))</f>
        <v>1</v>
      </c>
      <c r="M132" s="29">
        <f>IF(INDEX(装备突破!H$94:H$113,MATCH($B132*2-20,装备突破!$C$94:$C$113,0))="",M131,INDEX(装备突破!H$94:H$113,MATCH($B132*2-20,装备突破!$C$94:$C$113,0)))</f>
        <v>1</v>
      </c>
      <c r="N132" s="126" t="s">
        <v>397</v>
      </c>
      <c r="O132" s="126" t="s">
        <v>397</v>
      </c>
      <c r="P132" s="126" t="s">
        <v>397</v>
      </c>
      <c r="Q132" s="126" t="s">
        <v>397</v>
      </c>
      <c r="R132" s="126">
        <v>220</v>
      </c>
      <c r="S132" s="43">
        <f>IF(N132="",0,IF(N132&gt;MAX(装备突破!D$6:D$20),"溢出",IF(N132="","",IF(N132&lt;装备突破!D$6,0,IFERROR(MATCH(N132,装备突破!D$6:D$20,0)-1,MATCH(N132,装备突破!D$6:D$20,1))))))</f>
        <v>0</v>
      </c>
      <c r="T132" s="43">
        <f>IF(O132="",0,IF(O132&gt;MAX(装备突破!E$6:E$20),"溢出",IF(O132="","",IF(O132&lt;装备突破!E$6,0,IFERROR(MATCH(O132,装备突破!E$6:E$20,0)-1,MATCH(O132,装备突破!E$6:E$20,1))))))</f>
        <v>0</v>
      </c>
      <c r="U132" s="43">
        <f>IF(P132="",0,IF(P132&gt;MAX(装备突破!F$6:F$20),"溢出",IF(P132="","",IF(P132&lt;装备突破!F$6,0,IFERROR(MATCH(P132,装备突破!F$6:F$20,0)-1,MATCH(P132,装备突破!F$6:F$20,1))))))</f>
        <v>0</v>
      </c>
      <c r="V132" s="43">
        <f>IF(Q132="",0,IF(Q132&gt;MAX(装备突破!G$6:G$20),"溢出",IF(Q132="","",IF(Q132&lt;装备突破!G$6,0,IFERROR(MATCH(Q132,装备突破!G$6:G$20,0)-1,MATCH(Q132,装备突破!G$6:G$20,1))))))</f>
        <v>0</v>
      </c>
      <c r="W132" s="43">
        <f>IF(R132="",0,IF(R132&gt;MAX(装备突破!H$6:H$20),"溢出",IF(R132="","",IF(R132&lt;装备突破!H$6,0,IFERROR(MATCH(R132,装备突破!H$6:H$20,0)-1,MATCH(R132,装备突破!H$6:H$20,1))))))</f>
        <v>6</v>
      </c>
      <c r="X132" s="143"/>
      <c r="Y132" s="143"/>
      <c r="Z132" s="143"/>
      <c r="AA132" s="143"/>
      <c r="AB132" s="158">
        <v>25</v>
      </c>
    </row>
    <row r="133" spans="1:28" s="46" customFormat="1" x14ac:dyDescent="0.15">
      <c r="A133" s="41">
        <v>15</v>
      </c>
      <c r="B133" s="128">
        <v>120</v>
      </c>
      <c r="C133" s="142">
        <f>INDEX(节奏总纲!$T$4:$T$163,$B133)</f>
        <v>1067.9759999999999</v>
      </c>
      <c r="D133" s="134">
        <f>'[1]资源-装备'!H139</f>
        <v>0</v>
      </c>
      <c r="E133" s="134">
        <f>'[1]资源-装备'!I139</f>
        <v>0</v>
      </c>
      <c r="F133" s="134">
        <f>'[1]资源-装备'!J139</f>
        <v>0</v>
      </c>
      <c r="G133" s="134">
        <f>'[1]资源-装备'!K139</f>
        <v>0</v>
      </c>
      <c r="H133" s="134">
        <f>'[1]资源-装备'!L139</f>
        <v>18</v>
      </c>
      <c r="I133" s="29">
        <f>IF(INDEX(装备突破!D$94:D$113,MATCH($B133*2-20,装备突破!$C$94:$C$113,0))="",I132,INDEX(装备突破!D$94:D$113,MATCH($B133*2-20,装备突破!$C$94:$C$113,0)))</f>
        <v>0.9</v>
      </c>
      <c r="J133" s="29">
        <f>IF(INDEX(装备突破!E$94:E$113,MATCH($B133*2-20,装备突破!$C$94:$C$113,0))="",J132,INDEX(装备突破!E$94:E$113,MATCH($B133*2-20,装备突破!$C$94:$C$113,0)))</f>
        <v>1</v>
      </c>
      <c r="K133" s="29">
        <f>IF(INDEX(装备突破!F$94:F$113,MATCH($B133*2-20,装备突破!$C$94:$C$113,0))="",K132,INDEX(装备突破!F$94:F$113,MATCH($B133*2-20,装备突破!$C$94:$C$113,0)))</f>
        <v>1</v>
      </c>
      <c r="L133" s="29">
        <f>IF(INDEX(装备突破!G$94:G$113,MATCH($B133*2-20,装备突破!$C$94:$C$113,0))="",L132,INDEX(装备突破!G$94:G$113,MATCH($B133*2-20,装备突破!$C$94:$C$113,0)))</f>
        <v>1</v>
      </c>
      <c r="M133" s="29">
        <f>IF(INDEX(装备突破!H$94:H$113,MATCH($B133*2-20,装备突破!$C$94:$C$113,0))="",M132,INDEX(装备突破!H$94:H$113,MATCH($B133*2-20,装备突破!$C$94:$C$113,0)))</f>
        <v>1</v>
      </c>
      <c r="N133" s="126" t="s">
        <v>397</v>
      </c>
      <c r="O133" s="126" t="s">
        <v>397</v>
      </c>
      <c r="P133" s="126" t="s">
        <v>397</v>
      </c>
      <c r="Q133" s="126" t="s">
        <v>397</v>
      </c>
      <c r="R133" s="126">
        <v>240</v>
      </c>
      <c r="S133" s="43">
        <f>IF(N133="",0,IF(N133&gt;MAX(装备突破!D$6:D$20),"溢出",IF(N133="","",IF(N133&lt;装备突破!D$6,0,IFERROR(MATCH(N133,装备突破!D$6:D$20,0)-1,MATCH(N133,装备突破!D$6:D$20,1))))))</f>
        <v>0</v>
      </c>
      <c r="T133" s="43">
        <f>IF(O133="",0,IF(O133&gt;MAX(装备突破!E$6:E$20),"溢出",IF(O133="","",IF(O133&lt;装备突破!E$6,0,IFERROR(MATCH(O133,装备突破!E$6:E$20,0)-1,MATCH(O133,装备突破!E$6:E$20,1))))))</f>
        <v>0</v>
      </c>
      <c r="U133" s="43">
        <f>IF(P133="",0,IF(P133&gt;MAX(装备突破!F$6:F$20),"溢出",IF(P133="","",IF(P133&lt;装备突破!F$6,0,IFERROR(MATCH(P133,装备突破!F$6:F$20,0)-1,MATCH(P133,装备突破!F$6:F$20,1))))))</f>
        <v>0</v>
      </c>
      <c r="V133" s="43">
        <f>IF(Q133="",0,IF(Q133&gt;MAX(装备突破!G$6:G$20),"溢出",IF(Q133="","",IF(Q133&lt;装备突破!G$6,0,IFERROR(MATCH(Q133,装备突破!G$6:G$20,0)-1,MATCH(Q133,装备突破!G$6:G$20,1))))))</f>
        <v>0</v>
      </c>
      <c r="W133" s="43">
        <f>IF(R133="",0,IF(R133&gt;MAX(装备突破!H$6:H$20),"溢出",IF(R133="","",IF(R133&lt;装备突破!H$6,0,IFERROR(MATCH(R133,装备突破!H$6:H$20,0)-1,MATCH(R133,装备突破!H$6:H$20,1))))))</f>
        <v>7</v>
      </c>
      <c r="X133" s="143"/>
      <c r="Y133" s="143"/>
      <c r="Z133" s="143"/>
      <c r="AA133" s="143"/>
      <c r="AB133" s="158">
        <v>25</v>
      </c>
    </row>
    <row r="134" spans="1:28" s="46" customFormat="1" x14ac:dyDescent="0.15">
      <c r="A134" s="41">
        <v>16</v>
      </c>
      <c r="B134" s="128">
        <v>130</v>
      </c>
      <c r="C134" s="142">
        <f>INDEX(节奏总纲!$T$4:$T$163,$B134)</f>
        <v>2124.7454000000002</v>
      </c>
      <c r="D134" s="134">
        <f>'[1]资源-装备'!H140</f>
        <v>0</v>
      </c>
      <c r="E134" s="134">
        <f>'[1]资源-装备'!I140</f>
        <v>0</v>
      </c>
      <c r="F134" s="134">
        <f>'[1]资源-装备'!J140</f>
        <v>0</v>
      </c>
      <c r="G134" s="134">
        <f>'[1]资源-装备'!K140</f>
        <v>0</v>
      </c>
      <c r="H134" s="134">
        <f>'[1]资源-装备'!L140</f>
        <v>18</v>
      </c>
      <c r="I134" s="29">
        <f>IF(INDEX(装备突破!D$94:D$113,MATCH($B134*2-20,装备突破!$C$94:$C$113,0))="",I133,INDEX(装备突破!D$94:D$113,MATCH($B134*2-20,装备突破!$C$94:$C$113,0)))</f>
        <v>0.9</v>
      </c>
      <c r="J134" s="29">
        <f>IF(INDEX(装备突破!E$94:E$113,MATCH($B134*2-20,装备突破!$C$94:$C$113,0))="",J133,INDEX(装备突破!E$94:E$113,MATCH($B134*2-20,装备突破!$C$94:$C$113,0)))</f>
        <v>1</v>
      </c>
      <c r="K134" s="29">
        <f>IF(INDEX(装备突破!F$94:F$113,MATCH($B134*2-20,装备突破!$C$94:$C$113,0))="",K133,INDEX(装备突破!F$94:F$113,MATCH($B134*2-20,装备突破!$C$94:$C$113,0)))</f>
        <v>1</v>
      </c>
      <c r="L134" s="29">
        <f>IF(INDEX(装备突破!G$94:G$113,MATCH($B134*2-20,装备突破!$C$94:$C$113,0))="",L133,INDEX(装备突破!G$94:G$113,MATCH($B134*2-20,装备突破!$C$94:$C$113,0)))</f>
        <v>1</v>
      </c>
      <c r="M134" s="29">
        <f>IF(INDEX(装备突破!H$94:H$113,MATCH($B134*2-20,装备突破!$C$94:$C$113,0))="",M133,INDEX(装备突破!H$94:H$113,MATCH($B134*2-20,装备突破!$C$94:$C$113,0)))</f>
        <v>1</v>
      </c>
      <c r="N134" s="126" t="s">
        <v>397</v>
      </c>
      <c r="O134" s="126" t="s">
        <v>397</v>
      </c>
      <c r="P134" s="126" t="s">
        <v>397</v>
      </c>
      <c r="Q134" s="126" t="s">
        <v>397</v>
      </c>
      <c r="R134" s="126">
        <v>260</v>
      </c>
      <c r="S134" s="43">
        <f>IF(N134="",0,IF(N134&gt;MAX(装备突破!D$6:D$20),"溢出",IF(N134="","",IF(N134&lt;装备突破!D$6,0,IFERROR(MATCH(N134,装备突破!D$6:D$20,0)-1,MATCH(N134,装备突破!D$6:D$20,1))))))</f>
        <v>0</v>
      </c>
      <c r="T134" s="43">
        <f>IF(O134="",0,IF(O134&gt;MAX(装备突破!E$6:E$20),"溢出",IF(O134="","",IF(O134&lt;装备突破!E$6,0,IFERROR(MATCH(O134,装备突破!E$6:E$20,0)-1,MATCH(O134,装备突破!E$6:E$20,1))))))</f>
        <v>0</v>
      </c>
      <c r="U134" s="43">
        <f>IF(P134="",0,IF(P134&gt;MAX(装备突破!F$6:F$20),"溢出",IF(P134="","",IF(P134&lt;装备突破!F$6,0,IFERROR(MATCH(P134,装备突破!F$6:F$20,0)-1,MATCH(P134,装备突破!F$6:F$20,1))))))</f>
        <v>0</v>
      </c>
      <c r="V134" s="43">
        <f>IF(Q134="",0,IF(Q134&gt;MAX(装备突破!G$6:G$20),"溢出",IF(Q134="","",IF(Q134&lt;装备突破!G$6,0,IFERROR(MATCH(Q134,装备突破!G$6:G$20,0)-1,MATCH(Q134,装备突破!G$6:G$20,1))))))</f>
        <v>0</v>
      </c>
      <c r="W134" s="43">
        <f>IF(R134="",0,IF(R134&gt;MAX(装备突破!H$6:H$20),"溢出",IF(R134="","",IF(R134&lt;装备突破!H$6,0,IFERROR(MATCH(R134,装备突破!H$6:H$20,0)-1,MATCH(R134,装备突破!H$6:H$20,1))))))</f>
        <v>8</v>
      </c>
      <c r="X134" s="143"/>
      <c r="Y134" s="143"/>
      <c r="Z134" s="143"/>
      <c r="AA134" s="143"/>
      <c r="AB134" s="158">
        <v>25</v>
      </c>
    </row>
    <row r="135" spans="1:28" s="46" customFormat="1" x14ac:dyDescent="0.15">
      <c r="A135" s="41">
        <v>17</v>
      </c>
      <c r="B135" s="128">
        <v>140</v>
      </c>
      <c r="C135" s="142">
        <f>INDEX(节奏总纲!$T$4:$T$163,$B135)</f>
        <v>4192.4097000000002</v>
      </c>
      <c r="D135" s="134">
        <f>'[1]资源-装备'!H141</f>
        <v>0</v>
      </c>
      <c r="E135" s="134">
        <f>'[1]资源-装备'!I141</f>
        <v>0</v>
      </c>
      <c r="F135" s="134">
        <f>'[1]资源-装备'!J141</f>
        <v>0</v>
      </c>
      <c r="G135" s="134">
        <f>'[1]资源-装备'!K141</f>
        <v>0</v>
      </c>
      <c r="H135" s="134">
        <f>'[1]资源-装备'!L141</f>
        <v>18</v>
      </c>
      <c r="I135" s="29">
        <f>IF(INDEX(装备突破!D$94:D$113,MATCH($B135*2-20,装备突破!$C$94:$C$113,0))="",I134,INDEX(装备突破!D$94:D$113,MATCH($B135*2-20,装备突破!$C$94:$C$113,0)))</f>
        <v>0.9</v>
      </c>
      <c r="J135" s="29">
        <f>IF(INDEX(装备突破!E$94:E$113,MATCH($B135*2-20,装备突破!$C$94:$C$113,0))="",J134,INDEX(装备突破!E$94:E$113,MATCH($B135*2-20,装备突破!$C$94:$C$113,0)))</f>
        <v>1</v>
      </c>
      <c r="K135" s="29">
        <f>IF(INDEX(装备突破!F$94:F$113,MATCH($B135*2-20,装备突破!$C$94:$C$113,0))="",K134,INDEX(装备突破!F$94:F$113,MATCH($B135*2-20,装备突破!$C$94:$C$113,0)))</f>
        <v>1</v>
      </c>
      <c r="L135" s="29">
        <f>IF(INDEX(装备突破!G$94:G$113,MATCH($B135*2-20,装备突破!$C$94:$C$113,0))="",L134,INDEX(装备突破!G$94:G$113,MATCH($B135*2-20,装备突破!$C$94:$C$113,0)))</f>
        <v>1</v>
      </c>
      <c r="M135" s="29">
        <f>IF(INDEX(装备突破!H$94:H$113,MATCH($B135*2-20,装备突破!$C$94:$C$113,0))="",M134,INDEX(装备突破!H$94:H$113,MATCH($B135*2-20,装备突破!$C$94:$C$113,0)))</f>
        <v>1</v>
      </c>
      <c r="N135" s="126" t="s">
        <v>397</v>
      </c>
      <c r="O135" s="126" t="s">
        <v>397</v>
      </c>
      <c r="P135" s="126" t="s">
        <v>397</v>
      </c>
      <c r="Q135" s="126" t="s">
        <v>397</v>
      </c>
      <c r="R135" s="126">
        <v>280</v>
      </c>
      <c r="S135" s="43">
        <f>IF(N135="",0,IF(N135&gt;MAX(装备突破!D$6:D$20),"溢出",IF(N135="","",IF(N135&lt;装备突破!D$6,0,IFERROR(MATCH(N135,装备突破!D$6:D$20,0)-1,MATCH(N135,装备突破!D$6:D$20,1))))))</f>
        <v>0</v>
      </c>
      <c r="T135" s="43">
        <f>IF(O135="",0,IF(O135&gt;MAX(装备突破!E$6:E$20),"溢出",IF(O135="","",IF(O135&lt;装备突破!E$6,0,IFERROR(MATCH(O135,装备突破!E$6:E$20,0)-1,MATCH(O135,装备突破!E$6:E$20,1))))))</f>
        <v>0</v>
      </c>
      <c r="U135" s="43">
        <f>IF(P135="",0,IF(P135&gt;MAX(装备突破!F$6:F$20),"溢出",IF(P135="","",IF(P135&lt;装备突破!F$6,0,IFERROR(MATCH(P135,装备突破!F$6:F$20,0)-1,MATCH(P135,装备突破!F$6:F$20,1))))))</f>
        <v>0</v>
      </c>
      <c r="V135" s="43">
        <f>IF(Q135="",0,IF(Q135&gt;MAX(装备突破!G$6:G$20),"溢出",IF(Q135="","",IF(Q135&lt;装备突破!G$6,0,IFERROR(MATCH(Q135,装备突破!G$6:G$20,0)-1,MATCH(Q135,装备突破!G$6:G$20,1))))))</f>
        <v>0</v>
      </c>
      <c r="W135" s="43">
        <f>IF(R135="",0,IF(R135&gt;MAX(装备突破!H$6:H$20),"溢出",IF(R135="","",IF(R135&lt;装备突破!H$6,0,IFERROR(MATCH(R135,装备突破!H$6:H$20,0)-1,MATCH(R135,装备突破!H$6:H$20,1))))))</f>
        <v>9</v>
      </c>
      <c r="X135" s="143"/>
      <c r="Y135" s="143"/>
      <c r="Z135" s="143"/>
      <c r="AA135" s="143"/>
      <c r="AB135" s="158">
        <v>25</v>
      </c>
    </row>
    <row r="136" spans="1:28" s="46" customFormat="1" x14ac:dyDescent="0.15">
      <c r="A136" s="41">
        <v>18</v>
      </c>
      <c r="B136" s="128">
        <v>150</v>
      </c>
      <c r="C136" s="142">
        <f>INDEX(节奏总纲!$T$4:$T$163,$B136)</f>
        <v>8355.5850000000009</v>
      </c>
      <c r="D136" s="134">
        <f>'[1]资源-装备'!H142</f>
        <v>0</v>
      </c>
      <c r="E136" s="134">
        <f>'[1]资源-装备'!I142</f>
        <v>0</v>
      </c>
      <c r="F136" s="134">
        <f>'[1]资源-装备'!J142</f>
        <v>0</v>
      </c>
      <c r="G136" s="134">
        <f>'[1]资源-装备'!K142</f>
        <v>0</v>
      </c>
      <c r="H136" s="134">
        <f>'[1]资源-装备'!L142</f>
        <v>18</v>
      </c>
      <c r="I136" s="29">
        <f>IF(INDEX(装备突破!D$94:D$113,MATCH($B136*2-20,装备突破!$C$94:$C$113,0))="",I135,INDEX(装备突破!D$94:D$113,MATCH($B136*2-20,装备突破!$C$94:$C$113,0)))</f>
        <v>0.9</v>
      </c>
      <c r="J136" s="29">
        <f>IF(INDEX(装备突破!E$94:E$113,MATCH($B136*2-20,装备突破!$C$94:$C$113,0))="",J135,INDEX(装备突破!E$94:E$113,MATCH($B136*2-20,装备突破!$C$94:$C$113,0)))</f>
        <v>1</v>
      </c>
      <c r="K136" s="29">
        <f>IF(INDEX(装备突破!F$94:F$113,MATCH($B136*2-20,装备突破!$C$94:$C$113,0))="",K135,INDEX(装备突破!F$94:F$113,MATCH($B136*2-20,装备突破!$C$94:$C$113,0)))</f>
        <v>1</v>
      </c>
      <c r="L136" s="29">
        <f>IF(INDEX(装备突破!G$94:G$113,MATCH($B136*2-20,装备突破!$C$94:$C$113,0))="",L135,INDEX(装备突破!G$94:G$113,MATCH($B136*2-20,装备突破!$C$94:$C$113,0)))</f>
        <v>1</v>
      </c>
      <c r="M136" s="29">
        <f>IF(INDEX(装备突破!H$94:H$113,MATCH($B136*2-20,装备突破!$C$94:$C$113,0))="",M135,INDEX(装备突破!H$94:H$113,MATCH($B136*2-20,装备突破!$C$94:$C$113,0)))</f>
        <v>1</v>
      </c>
      <c r="N136" s="126" t="s">
        <v>397</v>
      </c>
      <c r="O136" s="126" t="s">
        <v>397</v>
      </c>
      <c r="P136" s="126" t="s">
        <v>397</v>
      </c>
      <c r="Q136" s="126" t="s">
        <v>397</v>
      </c>
      <c r="R136" s="126">
        <v>300</v>
      </c>
      <c r="S136" s="43">
        <f>IF(N136="",0,IF(N136&gt;MAX(装备突破!D$6:D$20),"溢出",IF(N136="","",IF(N136&lt;装备突破!D$6,0,IFERROR(MATCH(N136,装备突破!D$6:D$20,0)-1,MATCH(N136,装备突破!D$6:D$20,1))))))</f>
        <v>0</v>
      </c>
      <c r="T136" s="43">
        <f>IF(O136="",0,IF(O136&gt;MAX(装备突破!E$6:E$20),"溢出",IF(O136="","",IF(O136&lt;装备突破!E$6,0,IFERROR(MATCH(O136,装备突破!E$6:E$20,0)-1,MATCH(O136,装备突破!E$6:E$20,1))))))</f>
        <v>0</v>
      </c>
      <c r="U136" s="43">
        <f>IF(P136="",0,IF(P136&gt;MAX(装备突破!F$6:F$20),"溢出",IF(P136="","",IF(P136&lt;装备突破!F$6,0,IFERROR(MATCH(P136,装备突破!F$6:F$20,0)-1,MATCH(P136,装备突破!F$6:F$20,1))))))</f>
        <v>0</v>
      </c>
      <c r="V136" s="43">
        <f>IF(Q136="",0,IF(Q136&gt;MAX(装备突破!G$6:G$20),"溢出",IF(Q136="","",IF(Q136&lt;装备突破!G$6,0,IFERROR(MATCH(Q136,装备突破!G$6:G$20,0)-1,MATCH(Q136,装备突破!G$6:G$20,1))))))</f>
        <v>0</v>
      </c>
      <c r="W136" s="43">
        <f>IF(R136="",0,IF(R136&gt;MAX(装备突破!H$6:H$20),"溢出",IF(R136="","",IF(R136&lt;装备突破!H$6,0,IFERROR(MATCH(R136,装备突破!H$6:H$20,0)-1,MATCH(R136,装备突破!H$6:H$20,1))))))</f>
        <v>10</v>
      </c>
      <c r="X136" s="143"/>
      <c r="Y136" s="143"/>
      <c r="Z136" s="143"/>
      <c r="AA136" s="143"/>
      <c r="AB136" s="158">
        <v>25</v>
      </c>
    </row>
    <row r="137" spans="1:28" x14ac:dyDescent="0.15">
      <c r="A137" s="41">
        <v>19</v>
      </c>
      <c r="B137" s="128">
        <v>160</v>
      </c>
      <c r="C137" s="142">
        <f>INDEX(节奏总纲!$T$4:$T$163,$B137)</f>
        <v>66190.350000000006</v>
      </c>
      <c r="D137" s="134">
        <f>'[1]资源-装备'!H143</f>
        <v>0</v>
      </c>
      <c r="E137" s="134">
        <f>'[1]资源-装备'!I143</f>
        <v>0</v>
      </c>
      <c r="F137" s="134">
        <f>'[1]资源-装备'!J143</f>
        <v>0</v>
      </c>
      <c r="G137" s="134">
        <f>'[1]资源-装备'!K143</f>
        <v>0</v>
      </c>
      <c r="H137" s="134">
        <f>'[1]资源-装备'!L143</f>
        <v>18</v>
      </c>
      <c r="I137" s="29">
        <f>IF(INDEX(装备突破!D$94:D$113,MATCH($B137*2-20,装备突破!$C$94:$C$113,0))="",I136,INDEX(装备突破!D$94:D$113,MATCH($B137*2-20,装备突破!$C$94:$C$113,0)))</f>
        <v>0.9</v>
      </c>
      <c r="J137" s="29">
        <f>IF(INDEX(装备突破!E$94:E$113,MATCH($B137*2-20,装备突破!$C$94:$C$113,0))="",J136,INDEX(装备突破!E$94:E$113,MATCH($B137*2-20,装备突破!$C$94:$C$113,0)))</f>
        <v>1</v>
      </c>
      <c r="K137" s="29">
        <f>IF(INDEX(装备突破!F$94:F$113,MATCH($B137*2-20,装备突破!$C$94:$C$113,0))="",K136,INDEX(装备突破!F$94:F$113,MATCH($B137*2-20,装备突破!$C$94:$C$113,0)))</f>
        <v>1</v>
      </c>
      <c r="L137" s="29">
        <f>IF(INDEX(装备突破!G$94:G$113,MATCH($B137*2-20,装备突破!$C$94:$C$113,0))="",L136,INDEX(装备突破!G$94:G$113,MATCH($B137*2-20,装备突破!$C$94:$C$113,0)))</f>
        <v>1</v>
      </c>
      <c r="M137" s="29">
        <f>IF(INDEX(装备突破!H$94:H$113,MATCH($B137*2-20,装备突破!$C$94:$C$113,0))="",M136,INDEX(装备突破!H$94:H$113,MATCH($B137*2-20,装备突破!$C$94:$C$113,0)))</f>
        <v>1</v>
      </c>
      <c r="N137" s="126" t="s">
        <v>397</v>
      </c>
      <c r="O137" s="126" t="s">
        <v>397</v>
      </c>
      <c r="P137" s="126" t="s">
        <v>397</v>
      </c>
      <c r="Q137" s="126" t="s">
        <v>397</v>
      </c>
      <c r="R137" s="126">
        <v>320</v>
      </c>
      <c r="S137" s="43">
        <f>IF(N137="",0,IF(N137&gt;MAX(装备突破!D$6:D$20),"溢出",IF(N137="","",IF(N137&lt;装备突破!D$6,0,IFERROR(MATCH(N137,装备突破!D$6:D$20,0)-1,MATCH(N137,装备突破!D$6:D$20,1))))))</f>
        <v>0</v>
      </c>
      <c r="T137" s="43">
        <f>IF(O137="",0,IF(O137&gt;MAX(装备突破!E$6:E$20),"溢出",IF(O137="","",IF(O137&lt;装备突破!E$6,0,IFERROR(MATCH(O137,装备突破!E$6:E$20,0)-1,MATCH(O137,装备突破!E$6:E$20,1))))))</f>
        <v>0</v>
      </c>
      <c r="U137" s="43">
        <f>IF(P137="",0,IF(P137&gt;MAX(装备突破!F$6:F$20),"溢出",IF(P137="","",IF(P137&lt;装备突破!F$6,0,IFERROR(MATCH(P137,装备突破!F$6:F$20,0)-1,MATCH(P137,装备突破!F$6:F$20,1))))))</f>
        <v>0</v>
      </c>
      <c r="V137" s="43">
        <f>IF(Q137="",0,IF(Q137&gt;MAX(装备突破!G$6:G$20),"溢出",IF(Q137="","",IF(Q137&lt;装备突破!G$6,0,IFERROR(MATCH(Q137,装备突破!G$6:G$20,0)-1,MATCH(Q137,装备突破!G$6:G$20,1))))))</f>
        <v>0</v>
      </c>
      <c r="W137" s="43">
        <f>IF(R137="",0,IF(R137&gt;MAX(装备突破!H$6:H$20),"溢出",IF(R137="","",IF(R137&lt;装备突破!H$6,0,IFERROR(MATCH(R137,装备突破!H$6:H$20,0)-1,MATCH(R137,装备突破!H$6:H$20,1))))))</f>
        <v>11</v>
      </c>
      <c r="X137" s="143"/>
      <c r="Y137" s="143"/>
      <c r="Z137" s="143"/>
      <c r="AA137" s="143"/>
      <c r="AB137" s="158">
        <v>25</v>
      </c>
    </row>
    <row r="138" spans="1:28" x14ac:dyDescent="0.15">
      <c r="A138" s="41">
        <v>20</v>
      </c>
      <c r="B138" s="78"/>
      <c r="C138" s="78"/>
      <c r="D138" s="78"/>
      <c r="E138" s="78"/>
      <c r="F138" s="78"/>
      <c r="G138" s="78"/>
      <c r="H138" s="78"/>
      <c r="I138" s="29" t="str">
        <f t="shared" ref="I138:I139" si="0">IF(S138="","",IF(S138&lt;1,0,1))</f>
        <v/>
      </c>
      <c r="J138" s="29" t="str">
        <f t="shared" ref="J138:J139" si="1">IF(T138="","",IF(T138&lt;1,0,1))</f>
        <v/>
      </c>
      <c r="K138" s="29" t="str">
        <f t="shared" ref="K138:K139" si="2">IF(U138="","",IF(U138&lt;1,0,1))</f>
        <v/>
      </c>
      <c r="L138" s="29" t="str">
        <f t="shared" ref="L138:L139" si="3">IF(V138="","",IF(V138&lt;1,0,1))</f>
        <v/>
      </c>
      <c r="M138" s="29" t="str">
        <f t="shared" ref="M138:M139" si="4">IF(W138="","",IF(W138&lt;1,0,1))</f>
        <v/>
      </c>
      <c r="N138" s="78"/>
      <c r="O138" s="78"/>
      <c r="P138" s="78"/>
      <c r="Q138" s="78"/>
      <c r="R138" s="78"/>
      <c r="S138" s="78"/>
      <c r="T138" s="78"/>
      <c r="U138" s="78"/>
      <c r="V138" s="78"/>
      <c r="W138" s="78"/>
      <c r="X138" s="141"/>
      <c r="Y138" s="141"/>
      <c r="Z138" s="141"/>
      <c r="AA138" s="141"/>
      <c r="AB138" s="158"/>
    </row>
    <row r="139" spans="1:28" x14ac:dyDescent="0.15">
      <c r="A139" s="41">
        <v>21</v>
      </c>
      <c r="B139" s="78"/>
      <c r="C139" s="78"/>
      <c r="D139" s="78"/>
      <c r="E139" s="78"/>
      <c r="F139" s="78"/>
      <c r="G139" s="78"/>
      <c r="H139" s="78"/>
      <c r="I139" s="29" t="str">
        <f t="shared" si="0"/>
        <v/>
      </c>
      <c r="J139" s="29" t="str">
        <f t="shared" si="1"/>
        <v/>
      </c>
      <c r="K139" s="29" t="str">
        <f t="shared" si="2"/>
        <v/>
      </c>
      <c r="L139" s="29" t="str">
        <f t="shared" si="3"/>
        <v/>
      </c>
      <c r="M139" s="29" t="str">
        <f t="shared" si="4"/>
        <v/>
      </c>
      <c r="N139" s="78"/>
      <c r="O139" s="78"/>
      <c r="P139" s="78"/>
      <c r="Q139" s="78"/>
      <c r="R139" s="78"/>
      <c r="S139" s="78"/>
      <c r="T139" s="78"/>
      <c r="U139" s="78"/>
      <c r="V139" s="78"/>
      <c r="W139" s="78"/>
      <c r="X139" s="141"/>
      <c r="Y139" s="141"/>
      <c r="Z139" s="141"/>
      <c r="AA139" s="141"/>
      <c r="AB139" s="158"/>
    </row>
    <row r="140" spans="1:28" x14ac:dyDescent="0.15">
      <c r="A140" s="41">
        <v>22</v>
      </c>
    </row>
    <row r="141" spans="1:28" x14ac:dyDescent="0.15">
      <c r="A141" s="41">
        <v>23</v>
      </c>
    </row>
    <row r="142" spans="1:28" x14ac:dyDescent="0.15">
      <c r="A142" s="41">
        <v>24</v>
      </c>
    </row>
    <row r="143" spans="1:28" x14ac:dyDescent="0.15">
      <c r="A143" s="41">
        <v>25</v>
      </c>
    </row>
    <row r="144" spans="1:28" x14ac:dyDescent="0.15">
      <c r="A144" s="41">
        <v>26</v>
      </c>
    </row>
    <row r="145" spans="1:1" x14ac:dyDescent="0.15">
      <c r="A145" s="41">
        <v>27</v>
      </c>
    </row>
    <row r="146" spans="1:1" x14ac:dyDescent="0.15">
      <c r="A146" s="41">
        <v>28</v>
      </c>
    </row>
    <row r="147" spans="1:1" x14ac:dyDescent="0.15">
      <c r="A147" s="41">
        <v>29</v>
      </c>
    </row>
  </sheetData>
  <mergeCells count="30">
    <mergeCell ref="B119:W119"/>
    <mergeCell ref="D120:H120"/>
    <mergeCell ref="N120:R120"/>
    <mergeCell ref="S120:W120"/>
    <mergeCell ref="I91:M91"/>
    <mergeCell ref="I120:M120"/>
    <mergeCell ref="B61:W61"/>
    <mergeCell ref="D91:H91"/>
    <mergeCell ref="N91:R91"/>
    <mergeCell ref="S91:W91"/>
    <mergeCell ref="B90:W90"/>
    <mergeCell ref="D62:H62"/>
    <mergeCell ref="N62:R62"/>
    <mergeCell ref="S62:W62"/>
    <mergeCell ref="I62:M62"/>
    <mergeCell ref="B32:W32"/>
    <mergeCell ref="D33:H33"/>
    <mergeCell ref="N33:R33"/>
    <mergeCell ref="D4:H4"/>
    <mergeCell ref="B3:W3"/>
    <mergeCell ref="S4:W4"/>
    <mergeCell ref="N4:R4"/>
    <mergeCell ref="I4:M4"/>
    <mergeCell ref="S33:W33"/>
    <mergeCell ref="I33:M33"/>
    <mergeCell ref="X4:AB4"/>
    <mergeCell ref="X33:AB33"/>
    <mergeCell ref="X62:AB62"/>
    <mergeCell ref="X91:AB91"/>
    <mergeCell ref="X120:AB120"/>
  </mergeCells>
  <phoneticPr fontId="1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8"/>
  <dimension ref="B1:CR304"/>
  <sheetViews>
    <sheetView topLeftCell="BC1" workbookViewId="0">
      <selection activeCell="CB6" sqref="CB6"/>
    </sheetView>
  </sheetViews>
  <sheetFormatPr defaultColWidth="6.625" defaultRowHeight="11.25" x14ac:dyDescent="0.15"/>
  <cols>
    <col min="1" max="10" width="6.625" style="46"/>
    <col min="11" max="17" width="6.625" style="25"/>
    <col min="18" max="18" width="6.625" style="46"/>
    <col min="19" max="24" width="6.625" style="25"/>
    <col min="25" max="39" width="6.625" style="46"/>
    <col min="40" max="40" width="6.625" style="32"/>
    <col min="41" max="73" width="6.625" style="46"/>
    <col min="74" max="74" width="6.625" style="32"/>
    <col min="75" max="75" width="6.625" style="46"/>
    <col min="76" max="76" width="6.625" style="41"/>
    <col min="77" max="83" width="6.625" style="67"/>
    <col min="84" max="84" width="6.625" style="46"/>
    <col min="85" max="85" width="6.625" style="72"/>
    <col min="86" max="96" width="6.625" style="41"/>
    <col min="97" max="16384" width="6.625" style="46"/>
  </cols>
  <sheetData>
    <row r="1" spans="2:96" x14ac:dyDescent="0.15">
      <c r="K1" s="53"/>
      <c r="L1" s="90"/>
      <c r="M1" s="53">
        <v>1</v>
      </c>
      <c r="N1" s="53">
        <v>2</v>
      </c>
      <c r="O1" s="53">
        <v>4</v>
      </c>
      <c r="P1" s="53">
        <v>10</v>
      </c>
      <c r="Q1" s="53">
        <v>30</v>
      </c>
      <c r="S1" s="46"/>
      <c r="T1" s="46"/>
      <c r="U1" s="46"/>
      <c r="V1" s="46"/>
      <c r="W1" s="46"/>
      <c r="X1" s="46"/>
    </row>
    <row r="3" spans="2:96" x14ac:dyDescent="0.15">
      <c r="B3" s="184" t="s">
        <v>191</v>
      </c>
      <c r="C3" s="185"/>
      <c r="D3" s="53" t="s">
        <v>122</v>
      </c>
      <c r="E3" s="53" t="s">
        <v>123</v>
      </c>
      <c r="F3" s="53" t="s">
        <v>124</v>
      </c>
      <c r="G3" s="53" t="s">
        <v>125</v>
      </c>
      <c r="H3" s="53" t="s">
        <v>126</v>
      </c>
      <c r="I3" s="139" t="s">
        <v>405</v>
      </c>
      <c r="K3" s="53"/>
      <c r="L3" s="91"/>
      <c r="M3" s="187" t="s">
        <v>395</v>
      </c>
      <c r="N3" s="188"/>
      <c r="O3" s="188"/>
      <c r="P3" s="188"/>
      <c r="Q3" s="189"/>
      <c r="S3" s="53"/>
      <c r="T3" s="187" t="s">
        <v>394</v>
      </c>
      <c r="U3" s="188"/>
      <c r="V3" s="188"/>
      <c r="W3" s="188"/>
      <c r="X3" s="189"/>
      <c r="Z3" s="47"/>
      <c r="AA3" s="186" t="s">
        <v>131</v>
      </c>
      <c r="AB3" s="186"/>
      <c r="AC3" s="186"/>
      <c r="AD3" s="186"/>
      <c r="AE3" s="186"/>
      <c r="AG3" s="53"/>
      <c r="AH3" s="186" t="s">
        <v>154</v>
      </c>
      <c r="AI3" s="186"/>
      <c r="AJ3" s="186"/>
      <c r="AK3" s="186"/>
      <c r="AL3" s="186"/>
      <c r="AO3" s="46">
        <v>1</v>
      </c>
      <c r="AP3" s="186" t="s">
        <v>133</v>
      </c>
      <c r="AQ3" s="186"/>
      <c r="AR3" s="186"/>
      <c r="AS3" s="186"/>
      <c r="AT3" s="186"/>
      <c r="AU3" s="186"/>
      <c r="AV3" s="186"/>
      <c r="AW3" s="186"/>
      <c r="AX3" s="186"/>
      <c r="AY3" s="186"/>
      <c r="AZ3" s="186"/>
      <c r="BA3" s="186"/>
      <c r="BB3" s="186"/>
      <c r="BC3" s="186"/>
      <c r="BD3" s="186"/>
      <c r="BE3" s="186"/>
      <c r="BF3" s="186"/>
      <c r="BG3" s="186"/>
      <c r="BH3" s="186"/>
      <c r="BI3" s="186"/>
      <c r="BJ3" s="186"/>
      <c r="BK3" s="186"/>
      <c r="BL3" s="186"/>
      <c r="BM3" s="186"/>
      <c r="BN3" s="186"/>
      <c r="BO3" s="186"/>
      <c r="BP3" s="186"/>
      <c r="BQ3" s="186"/>
      <c r="BR3" s="186"/>
      <c r="BS3" s="186"/>
      <c r="BT3" s="186"/>
    </row>
    <row r="4" spans="2:96" x14ac:dyDescent="0.15">
      <c r="B4" s="186" t="s">
        <v>160</v>
      </c>
      <c r="C4" s="53" t="s">
        <v>127</v>
      </c>
      <c r="D4" s="79">
        <v>4</v>
      </c>
      <c r="E4" s="79">
        <v>8</v>
      </c>
      <c r="F4" s="47">
        <v>18</v>
      </c>
      <c r="G4" s="47">
        <v>34</v>
      </c>
      <c r="H4" s="47">
        <v>66</v>
      </c>
      <c r="I4" s="140">
        <f>INT(H4*1.1)</f>
        <v>72</v>
      </c>
      <c r="K4" s="53" t="s">
        <v>62</v>
      </c>
      <c r="L4" s="90" t="s">
        <v>393</v>
      </c>
      <c r="M4" s="53" t="s">
        <v>0</v>
      </c>
      <c r="N4" s="53" t="s">
        <v>1</v>
      </c>
      <c r="O4" s="53" t="s">
        <v>2</v>
      </c>
      <c r="P4" s="53" t="s">
        <v>3</v>
      </c>
      <c r="Q4" s="53" t="s">
        <v>4</v>
      </c>
      <c r="S4" s="53" t="s">
        <v>62</v>
      </c>
      <c r="T4" s="53" t="s">
        <v>0</v>
      </c>
      <c r="U4" s="53" t="s">
        <v>1</v>
      </c>
      <c r="V4" s="53" t="s">
        <v>2</v>
      </c>
      <c r="W4" s="53" t="s">
        <v>3</v>
      </c>
      <c r="X4" s="53" t="s">
        <v>4</v>
      </c>
      <c r="Z4" s="47" t="s">
        <v>129</v>
      </c>
      <c r="AA4" s="47" t="s">
        <v>0</v>
      </c>
      <c r="AB4" s="47" t="s">
        <v>1</v>
      </c>
      <c r="AC4" s="47" t="s">
        <v>2</v>
      </c>
      <c r="AD4" s="47" t="s">
        <v>130</v>
      </c>
      <c r="AE4" s="47" t="s">
        <v>5</v>
      </c>
      <c r="AG4" s="53" t="s">
        <v>129</v>
      </c>
      <c r="AH4" s="53" t="s">
        <v>0</v>
      </c>
      <c r="AI4" s="53" t="s">
        <v>1</v>
      </c>
      <c r="AJ4" s="53" t="s">
        <v>2</v>
      </c>
      <c r="AK4" s="53" t="s">
        <v>130</v>
      </c>
      <c r="AL4" s="53" t="s">
        <v>5</v>
      </c>
      <c r="AO4" s="46">
        <v>2</v>
      </c>
      <c r="AP4" s="68"/>
      <c r="AQ4" s="190" t="s">
        <v>139</v>
      </c>
      <c r="AR4" s="191"/>
      <c r="AS4" s="191"/>
      <c r="AT4" s="191"/>
      <c r="AU4" s="191"/>
      <c r="AV4" s="192"/>
      <c r="AW4" s="190" t="s">
        <v>149</v>
      </c>
      <c r="AX4" s="191"/>
      <c r="AY4" s="191"/>
      <c r="AZ4" s="191"/>
      <c r="BA4" s="191"/>
      <c r="BB4" s="192"/>
      <c r="BC4" s="190" t="s">
        <v>221</v>
      </c>
      <c r="BD4" s="191"/>
      <c r="BE4" s="191"/>
      <c r="BF4" s="191"/>
      <c r="BG4" s="191"/>
      <c r="BH4" s="192"/>
      <c r="BI4" s="190" t="s">
        <v>222</v>
      </c>
      <c r="BJ4" s="191"/>
      <c r="BK4" s="191"/>
      <c r="BL4" s="191"/>
      <c r="BM4" s="191"/>
      <c r="BN4" s="192"/>
      <c r="BO4" s="193" t="s">
        <v>366</v>
      </c>
      <c r="BP4" s="188"/>
      <c r="BQ4" s="188"/>
      <c r="BR4" s="188"/>
      <c r="BS4" s="188"/>
      <c r="BT4" s="194"/>
      <c r="BW4" s="25">
        <v>1</v>
      </c>
      <c r="BX4" s="54" t="s">
        <v>230</v>
      </c>
      <c r="BY4" s="195" t="s">
        <v>231</v>
      </c>
      <c r="BZ4" s="195"/>
      <c r="CA4" s="195"/>
      <c r="CB4" s="195" t="s">
        <v>232</v>
      </c>
      <c r="CC4" s="195"/>
      <c r="CD4" s="195"/>
      <c r="CE4" s="195"/>
      <c r="CI4" s="73" t="s">
        <v>348</v>
      </c>
      <c r="CJ4" s="183" t="s">
        <v>349</v>
      </c>
      <c r="CK4" s="183"/>
      <c r="CL4" s="183"/>
      <c r="CM4" s="183"/>
      <c r="CO4" s="70" t="s">
        <v>350</v>
      </c>
      <c r="CP4" s="184" t="s">
        <v>351</v>
      </c>
      <c r="CQ4" s="185"/>
      <c r="CR4" s="74"/>
    </row>
    <row r="5" spans="2:96" x14ac:dyDescent="0.15">
      <c r="B5" s="186"/>
      <c r="C5" s="53" t="s">
        <v>217</v>
      </c>
      <c r="D5" s="111">
        <v>80</v>
      </c>
      <c r="E5" s="112">
        <v>140</v>
      </c>
      <c r="F5" s="112">
        <v>260</v>
      </c>
      <c r="G5" s="112">
        <v>500</v>
      </c>
      <c r="H5" s="112">
        <v>980</v>
      </c>
      <c r="I5" s="140">
        <f t="shared" ref="I5:I9" si="0">INT(H5*1.1)</f>
        <v>1078</v>
      </c>
      <c r="J5" s="46">
        <f>INDEX('[1]资源-装备经验'!Y$6:Y$165,(K5+1)/2,1)</f>
        <v>0</v>
      </c>
      <c r="K5" s="53">
        <v>1</v>
      </c>
      <c r="L5" s="96">
        <v>5</v>
      </c>
      <c r="M5" s="97">
        <f>L5*$M$1</f>
        <v>5</v>
      </c>
      <c r="N5" s="97">
        <f>$M5*N$1</f>
        <v>10</v>
      </c>
      <c r="O5" s="120">
        <f t="shared" ref="O5:Q20" si="1">$M5*O$1</f>
        <v>20</v>
      </c>
      <c r="P5" s="120">
        <f t="shared" si="1"/>
        <v>50</v>
      </c>
      <c r="Q5" s="120">
        <f t="shared" si="1"/>
        <v>150</v>
      </c>
      <c r="S5" s="53">
        <v>1</v>
      </c>
      <c r="T5" s="53">
        <f>SUM(M$5:M5)</f>
        <v>5</v>
      </c>
      <c r="U5" s="53">
        <f>SUM(N$5:N5)</f>
        <v>10</v>
      </c>
      <c r="V5" s="53">
        <f>SUM(O$5:O5)</f>
        <v>20</v>
      </c>
      <c r="W5" s="53">
        <f>SUM(P$5:P5)</f>
        <v>50</v>
      </c>
      <c r="X5" s="53">
        <f>SUM(Q$5:Q5)</f>
        <v>150</v>
      </c>
      <c r="Z5" s="47">
        <v>1</v>
      </c>
      <c r="AA5" s="47">
        <f>M5*$D$16</f>
        <v>200</v>
      </c>
      <c r="AB5" s="47">
        <f t="shared" ref="AB5:AE5" si="2">N5*$D$16</f>
        <v>400</v>
      </c>
      <c r="AC5" s="47">
        <f t="shared" si="2"/>
        <v>800</v>
      </c>
      <c r="AD5" s="47">
        <f t="shared" si="2"/>
        <v>2000</v>
      </c>
      <c r="AE5" s="47">
        <f t="shared" si="2"/>
        <v>6000</v>
      </c>
      <c r="AG5" s="53">
        <v>1</v>
      </c>
      <c r="AH5" s="53">
        <f>SUM(AA$5:AA5)</f>
        <v>200</v>
      </c>
      <c r="AI5" s="53">
        <f>SUM(AB$5:AB5)</f>
        <v>400</v>
      </c>
      <c r="AJ5" s="53">
        <f>SUM(AC$5:AC5)</f>
        <v>800</v>
      </c>
      <c r="AK5" s="53">
        <f>SUM(AD$5:AD5)</f>
        <v>2000</v>
      </c>
      <c r="AL5" s="53">
        <f>SUM(AE$5:AE5)</f>
        <v>6000</v>
      </c>
      <c r="AO5" s="46">
        <v>3</v>
      </c>
      <c r="AP5" s="47" t="s">
        <v>398</v>
      </c>
      <c r="AQ5" s="13" t="s">
        <v>122</v>
      </c>
      <c r="AR5" s="53" t="s">
        <v>123</v>
      </c>
      <c r="AS5" s="53" t="s">
        <v>124</v>
      </c>
      <c r="AT5" s="53" t="s">
        <v>125</v>
      </c>
      <c r="AU5" s="53" t="s">
        <v>144</v>
      </c>
      <c r="AV5" s="14" t="s">
        <v>152</v>
      </c>
      <c r="AW5" s="13" t="s">
        <v>148</v>
      </c>
      <c r="AX5" s="53" t="s">
        <v>155</v>
      </c>
      <c r="AY5" s="53" t="s">
        <v>156</v>
      </c>
      <c r="AZ5" s="53" t="s">
        <v>157</v>
      </c>
      <c r="BA5" s="53" t="s">
        <v>159</v>
      </c>
      <c r="BB5" s="14" t="s">
        <v>158</v>
      </c>
      <c r="BC5" s="13" t="s">
        <v>148</v>
      </c>
      <c r="BD5" s="53" t="s">
        <v>155</v>
      </c>
      <c r="BE5" s="53" t="s">
        <v>156</v>
      </c>
      <c r="BF5" s="53" t="s">
        <v>157</v>
      </c>
      <c r="BG5" s="53" t="s">
        <v>162</v>
      </c>
      <c r="BH5" s="14" t="s">
        <v>163</v>
      </c>
      <c r="BI5" s="13" t="s">
        <v>148</v>
      </c>
      <c r="BJ5" s="53" t="s">
        <v>155</v>
      </c>
      <c r="BK5" s="53" t="s">
        <v>156</v>
      </c>
      <c r="BL5" s="53" t="s">
        <v>157</v>
      </c>
      <c r="BM5" s="53" t="s">
        <v>162</v>
      </c>
      <c r="BN5" s="14" t="s">
        <v>163</v>
      </c>
      <c r="BO5" s="13" t="s">
        <v>179</v>
      </c>
      <c r="BP5" s="53" t="s">
        <v>180</v>
      </c>
      <c r="BQ5" s="53" t="s">
        <v>181</v>
      </c>
      <c r="BR5" s="53" t="s">
        <v>182</v>
      </c>
      <c r="BS5" s="37" t="s">
        <v>144</v>
      </c>
      <c r="BT5" s="14" t="s">
        <v>241</v>
      </c>
      <c r="BW5" s="25">
        <v>2</v>
      </c>
      <c r="BX5" s="51" t="s">
        <v>398</v>
      </c>
      <c r="BY5" s="47" t="s">
        <v>233</v>
      </c>
      <c r="BZ5" s="47" t="s">
        <v>234</v>
      </c>
      <c r="CA5" s="47" t="s">
        <v>235</v>
      </c>
      <c r="CB5" s="47" t="s">
        <v>233</v>
      </c>
      <c r="CC5" s="47" t="s">
        <v>234</v>
      </c>
      <c r="CD5" s="47" t="s">
        <v>235</v>
      </c>
      <c r="CE5" s="51" t="s">
        <v>236</v>
      </c>
      <c r="CI5" s="51" t="s">
        <v>398</v>
      </c>
      <c r="CJ5" s="71" t="s">
        <v>362</v>
      </c>
      <c r="CK5" s="71" t="s">
        <v>364</v>
      </c>
      <c r="CL5" s="71" t="s">
        <v>363</v>
      </c>
      <c r="CM5" s="71" t="s">
        <v>352</v>
      </c>
      <c r="CN5" s="41" t="s">
        <v>371</v>
      </c>
      <c r="CO5" s="51" t="s">
        <v>398</v>
      </c>
      <c r="CP5" s="51" t="s">
        <v>365</v>
      </c>
      <c r="CQ5" s="71" t="s">
        <v>353</v>
      </c>
      <c r="CR5" s="71" t="s">
        <v>370</v>
      </c>
    </row>
    <row r="6" spans="2:96" x14ac:dyDescent="0.15">
      <c r="B6" s="186"/>
      <c r="C6" s="53" t="s">
        <v>218</v>
      </c>
      <c r="D6" s="47">
        <f>D5</f>
        <v>80</v>
      </c>
      <c r="E6" s="47">
        <f t="shared" ref="E6:H6" si="3">E5</f>
        <v>140</v>
      </c>
      <c r="F6" s="47">
        <f t="shared" si="3"/>
        <v>260</v>
      </c>
      <c r="G6" s="47">
        <f t="shared" si="3"/>
        <v>500</v>
      </c>
      <c r="H6" s="47">
        <f t="shared" si="3"/>
        <v>980</v>
      </c>
      <c r="I6" s="140">
        <f t="shared" si="0"/>
        <v>1078</v>
      </c>
      <c r="J6" s="46">
        <f>INDEX('[1]资源-装备经验'!Y$6:Y$165,(K6+1)/2,1)</f>
        <v>0</v>
      </c>
      <c r="K6" s="53">
        <v>2</v>
      </c>
      <c r="L6" s="113">
        <v>5</v>
      </c>
      <c r="M6" s="122">
        <f t="shared" ref="M6:M69" si="4">L6*$M$1</f>
        <v>5</v>
      </c>
      <c r="N6" s="120">
        <f t="shared" ref="N6:Q37" si="5">$M6*N$1</f>
        <v>10</v>
      </c>
      <c r="O6" s="120">
        <f t="shared" si="1"/>
        <v>20</v>
      </c>
      <c r="P6" s="120">
        <f t="shared" si="1"/>
        <v>50</v>
      </c>
      <c r="Q6" s="120">
        <f t="shared" si="1"/>
        <v>150</v>
      </c>
      <c r="S6" s="53">
        <v>2</v>
      </c>
      <c r="T6" s="53">
        <f>SUM(M$5:M6)</f>
        <v>10</v>
      </c>
      <c r="U6" s="53">
        <f>SUM(N$5:N6)</f>
        <v>20</v>
      </c>
      <c r="V6" s="53">
        <f>SUM(O$5:O6)</f>
        <v>40</v>
      </c>
      <c r="W6" s="53">
        <f>SUM(P$5:P6)</f>
        <v>100</v>
      </c>
      <c r="X6" s="53">
        <f>SUM(Q$5:Q6)</f>
        <v>300</v>
      </c>
      <c r="Z6" s="47">
        <v>2</v>
      </c>
      <c r="AA6" s="47">
        <f t="shared" ref="AA6:AA69" si="6">M6*$D$16</f>
        <v>200</v>
      </c>
      <c r="AB6" s="47">
        <f t="shared" ref="AB6:AB69" si="7">N6*$D$16</f>
        <v>400</v>
      </c>
      <c r="AC6" s="47">
        <f t="shared" ref="AC6:AC69" si="8">O6*$D$16</f>
        <v>800</v>
      </c>
      <c r="AD6" s="47">
        <f t="shared" ref="AD6:AD69" si="9">P6*$D$16</f>
        <v>2000</v>
      </c>
      <c r="AE6" s="47">
        <f t="shared" ref="AE6:AE69" si="10">Q6*$D$16</f>
        <v>6000</v>
      </c>
      <c r="AG6" s="53">
        <v>2</v>
      </c>
      <c r="AH6" s="53">
        <f>SUM(AA$5:AA6)</f>
        <v>400</v>
      </c>
      <c r="AI6" s="53">
        <f>SUM(AB$5:AB6)</f>
        <v>800</v>
      </c>
      <c r="AJ6" s="53">
        <f>SUM(AC$5:AC6)</f>
        <v>1600</v>
      </c>
      <c r="AK6" s="53">
        <f>SUM(AD$5:AD6)</f>
        <v>4000</v>
      </c>
      <c r="AL6" s="53">
        <f>SUM(AE$5:AE6)</f>
        <v>12000</v>
      </c>
      <c r="AO6" s="46">
        <v>4</v>
      </c>
      <c r="AP6" s="37">
        <f>节奏预期!B6</f>
        <v>10</v>
      </c>
      <c r="AQ6" s="114">
        <f>IFERROR(INDEX(AH$5:AH$304,MATCH(节奏预期!N6,$AG$5:$AG$304,0))*节奏预期!D6,0)</f>
        <v>24000</v>
      </c>
      <c r="AR6" s="114">
        <f>IFERROR(INDEX(AI$5:AI$304,MATCH(节奏预期!O6,$AG$5:$AG$304,0))*节奏预期!E6,0)</f>
        <v>24000</v>
      </c>
      <c r="AS6" s="114">
        <f>IFERROR(INDEX(AJ$5:AJ$304,MATCH(节奏预期!P6,$AG$5:$AG$304,0))*节奏预期!F6,0)</f>
        <v>0</v>
      </c>
      <c r="AT6" s="114">
        <f>IFERROR(INDEX(AK$5:AK$304,MATCH(节奏预期!Q6,$AG$5:$AG$304,0))*节奏预期!G6,0)</f>
        <v>0</v>
      </c>
      <c r="AU6" s="114">
        <f>IFERROR(INDEX(AL$5:AL$304,MATCH(节奏预期!R6,$AG$5:$AG$304,0))*节奏预期!H6,0)</f>
        <v>0</v>
      </c>
      <c r="AV6" s="137">
        <f>SUM(AQ6:AU6)</f>
        <v>48000</v>
      </c>
      <c r="AW6" s="114">
        <f>IFERROR(INDEX(T$5:T$304,MATCH(节奏预期!N6,$S$5:$S$304,0))*节奏预期!D6,0)</f>
        <v>600</v>
      </c>
      <c r="AX6" s="114">
        <f>IFERROR(INDEX(U$5:U$304,MATCH(节奏预期!O6,$S$5:$S$304,0))*节奏预期!E6,0)</f>
        <v>600</v>
      </c>
      <c r="AY6" s="114">
        <f>IFERROR(INDEX(V$5:V$304,MATCH(节奏预期!P6,$S$5:$S$304,0))*节奏预期!F6,0)</f>
        <v>0</v>
      </c>
      <c r="AZ6" s="114">
        <f>IFERROR(INDEX(W$5:W$304,MATCH(节奏预期!Q6,$S$5:$S$304,0))*节奏预期!G6,0)</f>
        <v>0</v>
      </c>
      <c r="BA6" s="114">
        <f>IFERROR(INDEX(X$5:X$304,MATCH(节奏预期!R6,$S$5:$S$304,0))*节奏预期!H6,0)</f>
        <v>0</v>
      </c>
      <c r="BB6" s="137">
        <f>SUM(AW6:BA6)</f>
        <v>1200</v>
      </c>
      <c r="BC6" s="96">
        <f>IF(节奏预期!N6="","",节奏预期!N6*装备强化!D$8+装备强化!D$5)</f>
        <v>110</v>
      </c>
      <c r="BD6" s="96">
        <f>IF(节奏预期!O6="","",节奏预期!O6*装备强化!E$8+装备强化!E$5)</f>
        <v>200</v>
      </c>
      <c r="BE6" s="96" t="str">
        <f>IF(节奏预期!P6="","",节奏预期!P6*装备强化!F$8+装备强化!F$5)</f>
        <v/>
      </c>
      <c r="BF6" s="96" t="str">
        <f>IF(节奏预期!Q6="","",节奏预期!Q6*装备强化!G$8+装备强化!G$5)</f>
        <v/>
      </c>
      <c r="BG6" s="96" t="str">
        <f>IF(节奏预期!R6="","",节奏预期!R6*装备强化!H$8+装备强化!H$5)</f>
        <v/>
      </c>
      <c r="BH6" s="14">
        <f>SUMPRODUCT(BC6:BG6,节奏预期!$D6:$H6)/SUM(节奏预期!$D6:$H6)</f>
        <v>140</v>
      </c>
      <c r="BI6" s="13">
        <f>IF(节奏预期!N6="","",节奏预期!N6*装备强化!D$9+装备强化!D$6)</f>
        <v>110</v>
      </c>
      <c r="BJ6" s="53">
        <f>IF(节奏预期!O6="","",节奏预期!O6*装备强化!E$9+装备强化!E$6)</f>
        <v>200</v>
      </c>
      <c r="BK6" s="96" t="str">
        <f>IF(节奏预期!P6="","",节奏预期!P6*装备强化!F$9+装备强化!F$6)</f>
        <v/>
      </c>
      <c r="BL6" s="96" t="str">
        <f>IF(节奏预期!Q6="","",节奏预期!Q6*装备强化!G$9+装备强化!G$6)</f>
        <v/>
      </c>
      <c r="BM6" s="96" t="str">
        <f>IF(节奏预期!R6="","",节奏预期!R6*装备强化!H$9+装备强化!H$6)</f>
        <v/>
      </c>
      <c r="BN6" s="14">
        <f>SUMPRODUCT(BI6:BM6,节奏预期!$D6:$H6)/SUM(节奏预期!$D6:$H6)</f>
        <v>140</v>
      </c>
      <c r="BO6" s="47">
        <f>IF(节奏预期!D6="","",IF(节奏预期!I6="",0,装备强化!D$4*节奏预期!I6))</f>
        <v>3.6</v>
      </c>
      <c r="BP6" s="94">
        <f>IF(节奏预期!E6="","",IF(节奏预期!J6="",0,装备强化!E$4*节奏预期!J6))</f>
        <v>5.6</v>
      </c>
      <c r="BQ6" s="94">
        <f>IF(节奏预期!F6="","",IF(节奏预期!K6="",0,装备强化!F$4*节奏预期!K6))</f>
        <v>10.799999999999999</v>
      </c>
      <c r="BR6" s="94">
        <f>IF(节奏预期!G6="","",IF(节奏预期!L6="",0,装备强化!G$4*节奏预期!L6))</f>
        <v>18.700000000000003</v>
      </c>
      <c r="BS6" s="94">
        <f>IF(节奏预期!H6="","",IF(节奏预期!M6="",0,装备强化!H$4*节奏预期!M6))</f>
        <v>31.68</v>
      </c>
      <c r="BT6" s="80">
        <f>SUMPRODUCT(BO6:BS6,节奏预期!D6:H6)/SUM(节奏预期!D6:H6)</f>
        <v>4.2666666666666666</v>
      </c>
      <c r="BW6" s="25">
        <v>3</v>
      </c>
      <c r="BX6" s="47">
        <v>10</v>
      </c>
      <c r="BY6" s="52">
        <f>BT6</f>
        <v>4.2666666666666666</v>
      </c>
      <c r="BZ6" s="52">
        <f>BH6</f>
        <v>140</v>
      </c>
      <c r="CA6" s="52">
        <f>BN6</f>
        <v>140</v>
      </c>
      <c r="CB6" s="77">
        <f>BY6*(INDEX([2]非r将兵属性验证!V$7:V$166,$BX6,1)+INDEX([2]非r将兵属性验证!$AP$7:$AP$166,$BX6,1))</f>
        <v>1314953.8522912385</v>
      </c>
      <c r="CC6" s="77">
        <f>BZ6*INDEX([2]非r将兵属性验证!W$7:W$166,$BX6,1)</f>
        <v>1114598.9939645142</v>
      </c>
      <c r="CD6" s="77">
        <f>CA6*INDEX([2]非r将兵属性验证!X$7:X$166,$BX6,1)</f>
        <v>1114598.9939645142</v>
      </c>
      <c r="CE6" s="52">
        <f>SUM(CB6:CD6)</f>
        <v>3544151.840220267</v>
      </c>
      <c r="CI6" s="71">
        <v>10</v>
      </c>
      <c r="CJ6" s="75">
        <f>$BB6</f>
        <v>1200</v>
      </c>
      <c r="CK6" s="76">
        <f>CJ6*INDEX('[1]功能-付费相关'!$BI$6:$BI$165,$CI6,1)</f>
        <v>480.18751016944702</v>
      </c>
      <c r="CL6" s="75">
        <f>$AV6</f>
        <v>48000</v>
      </c>
      <c r="CM6" s="76">
        <f>CL6*INDEX('[1]功能-付费相关'!$AQ$6:$AQ$165,$CI6,1)</f>
        <v>120</v>
      </c>
      <c r="CO6" s="71">
        <v>10</v>
      </c>
      <c r="CP6" s="71">
        <f>CK6</f>
        <v>480.18751016944702</v>
      </c>
      <c r="CQ6" s="71">
        <f t="shared" ref="CQ6" si="11">CM6</f>
        <v>120</v>
      </c>
      <c r="CR6" s="84">
        <f>SUM(CP6:CQ6)</f>
        <v>600.18751016944702</v>
      </c>
    </row>
    <row r="7" spans="2:96" x14ac:dyDescent="0.15">
      <c r="B7" s="186"/>
      <c r="C7" s="53"/>
      <c r="D7" s="53"/>
      <c r="E7" s="53"/>
      <c r="F7" s="53"/>
      <c r="G7" s="53"/>
      <c r="H7" s="53"/>
      <c r="I7" s="139"/>
      <c r="J7" s="46">
        <f>INDEX('[1]资源-装备经验'!Y$6:Y$165,(K7+1)/2,1)</f>
        <v>0</v>
      </c>
      <c r="K7" s="53">
        <v>3</v>
      </c>
      <c r="L7" s="113">
        <v>5</v>
      </c>
      <c r="M7" s="122">
        <f t="shared" si="4"/>
        <v>5</v>
      </c>
      <c r="N7" s="120">
        <f t="shared" si="5"/>
        <v>10</v>
      </c>
      <c r="O7" s="120">
        <f t="shared" si="1"/>
        <v>20</v>
      </c>
      <c r="P7" s="120">
        <f t="shared" si="1"/>
        <v>50</v>
      </c>
      <c r="Q7" s="120">
        <f t="shared" si="1"/>
        <v>150</v>
      </c>
      <c r="S7" s="53">
        <v>3</v>
      </c>
      <c r="T7" s="53">
        <f>SUM(M$5:M7)</f>
        <v>15</v>
      </c>
      <c r="U7" s="53">
        <f>SUM(N$5:N7)</f>
        <v>30</v>
      </c>
      <c r="V7" s="53">
        <f>SUM(O$5:O7)</f>
        <v>60</v>
      </c>
      <c r="W7" s="53">
        <f>SUM(P$5:P7)</f>
        <v>150</v>
      </c>
      <c r="X7" s="53">
        <f>SUM(Q$5:Q7)</f>
        <v>450</v>
      </c>
      <c r="Z7" s="47">
        <v>3</v>
      </c>
      <c r="AA7" s="47">
        <f t="shared" si="6"/>
        <v>200</v>
      </c>
      <c r="AB7" s="47">
        <f t="shared" si="7"/>
        <v>400</v>
      </c>
      <c r="AC7" s="47">
        <f t="shared" si="8"/>
        <v>800</v>
      </c>
      <c r="AD7" s="47">
        <f t="shared" si="9"/>
        <v>2000</v>
      </c>
      <c r="AE7" s="47">
        <f t="shared" si="10"/>
        <v>6000</v>
      </c>
      <c r="AG7" s="47">
        <v>3</v>
      </c>
      <c r="AH7" s="53">
        <f>SUM(AA$5:AA7)</f>
        <v>600</v>
      </c>
      <c r="AI7" s="53">
        <f>SUM(AB$5:AB7)</f>
        <v>1200</v>
      </c>
      <c r="AJ7" s="53">
        <f>SUM(AC$5:AC7)</f>
        <v>2400</v>
      </c>
      <c r="AK7" s="53">
        <f>SUM(AD$5:AD7)</f>
        <v>6000</v>
      </c>
      <c r="AL7" s="53">
        <f>SUM(AE$5:AE7)</f>
        <v>18000</v>
      </c>
      <c r="AO7" s="46">
        <v>5</v>
      </c>
      <c r="AP7" s="37">
        <f>节奏预期!B7</f>
        <v>20</v>
      </c>
      <c r="AQ7" s="134">
        <f>IFERROR(INDEX(AH$5:AH$304,MATCH(节奏预期!N7,$AG$5:$AG$304,0))*节奏预期!D7,0)</f>
        <v>0</v>
      </c>
      <c r="AR7" s="134">
        <f>IFERROR(INDEX(AI$5:AI$304,MATCH(节奏预期!O7,$AG$5:$AG$304,0))*节奏预期!E7,0)</f>
        <v>156000</v>
      </c>
      <c r="AS7" s="134">
        <f>IFERROR(INDEX(AJ$5:AJ$304,MATCH(节奏预期!P7,$AG$5:$AG$304,0))*节奏预期!F7,0)</f>
        <v>120000</v>
      </c>
      <c r="AT7" s="134">
        <f>IFERROR(INDEX(AK$5:AK$304,MATCH(节奏预期!Q7,$AG$5:$AG$304,0))*节奏预期!G7,0)</f>
        <v>0</v>
      </c>
      <c r="AU7" s="134">
        <f>IFERROR(INDEX(AL$5:AL$304,MATCH(节奏预期!R7,$AG$5:$AG$304,0))*节奏预期!H7,0)</f>
        <v>0</v>
      </c>
      <c r="AV7" s="135">
        <f>MAX(SUM(AQ7:AU7),AV6)</f>
        <v>276000</v>
      </c>
      <c r="AW7" s="134">
        <f>IFERROR(INDEX(T$5:T$304,MATCH(节奏预期!N7,$S$5:$S$304,0))*节奏预期!D7,0)</f>
        <v>0</v>
      </c>
      <c r="AX7" s="134">
        <f>IFERROR(INDEX(U$5:U$304,MATCH(节奏预期!O7,$S$5:$S$304,0))*节奏预期!E7,0)</f>
        <v>3900</v>
      </c>
      <c r="AY7" s="134">
        <f>IFERROR(INDEX(V$5:V$304,MATCH(节奏预期!P7,$S$5:$S$304,0))*节奏预期!F7,0)</f>
        <v>3000</v>
      </c>
      <c r="AZ7" s="134">
        <f>IFERROR(INDEX(W$5:W$304,MATCH(节奏预期!Q7,$S$5:$S$304,0))*节奏预期!G7,0)</f>
        <v>0</v>
      </c>
      <c r="BA7" s="134">
        <f>IFERROR(INDEX(X$5:X$304,MATCH(节奏预期!R7,$S$5:$S$304,0))*节奏预期!H7,0)</f>
        <v>0</v>
      </c>
      <c r="BB7" s="136">
        <f>MAX(SUM(AW7:BA7),BB6)</f>
        <v>6900</v>
      </c>
      <c r="BC7" s="96">
        <f>IF(节奏预期!N7="","",节奏预期!N7*装备强化!D$8+装备强化!D$5)</f>
        <v>140</v>
      </c>
      <c r="BD7" s="96">
        <f>IF(节奏预期!O7="","",节奏预期!O7*装备强化!E$8+装备强化!E$5)</f>
        <v>320</v>
      </c>
      <c r="BE7" s="96">
        <f>IF(节奏预期!P7="","",节奏预期!P7*装备强化!F$8+装备强化!F$5)</f>
        <v>620</v>
      </c>
      <c r="BF7" s="96" t="str">
        <f>IF(节奏预期!Q7="","",节奏预期!Q7*装备强化!G$8+装备强化!G$5)</f>
        <v/>
      </c>
      <c r="BG7" s="96" t="str">
        <f>IF(节奏预期!R7="","",节奏预期!R7*装备强化!H$8+装备强化!H$5)</f>
        <v/>
      </c>
      <c r="BH7" s="14">
        <f>SUMPRODUCT(BC7:BG7,节奏预期!$D7:$H7)/SUM(节奏预期!$D7:$H7)</f>
        <v>403.33333333333331</v>
      </c>
      <c r="BI7" s="13">
        <f>IF(节奏预期!N7="","",节奏预期!N7*装备强化!D$9+装备强化!D$6)</f>
        <v>140</v>
      </c>
      <c r="BJ7" s="96">
        <f>IF(节奏预期!O7="","",节奏预期!O7*装备强化!E$9+装备强化!E$6)</f>
        <v>320</v>
      </c>
      <c r="BK7" s="96">
        <f>IF(节奏预期!P7="","",节奏预期!P7*装备强化!F$9+装备强化!F$6)</f>
        <v>620</v>
      </c>
      <c r="BL7" s="96" t="str">
        <f>IF(节奏预期!Q7="","",节奏预期!Q7*装备强化!G$9+装备强化!G$6)</f>
        <v/>
      </c>
      <c r="BM7" s="96" t="str">
        <f>IF(节奏预期!R7="","",节奏预期!R7*装备强化!H$9+装备强化!H$6)</f>
        <v/>
      </c>
      <c r="BN7" s="14">
        <f>SUMPRODUCT(BI7:BM7,节奏预期!$D7:$H7)/SUM(节奏预期!$D7:$H7)</f>
        <v>403.33333333333331</v>
      </c>
      <c r="BO7" s="94">
        <f>IF(节奏预期!D7="","",IF(节奏预期!I7="",0,装备强化!D$4*节奏预期!I7))</f>
        <v>3.6</v>
      </c>
      <c r="BP7" s="94">
        <f>IF(节奏预期!E7="","",IF(节奏预期!J7="",0,装备强化!E$4*节奏预期!J7))</f>
        <v>6.8</v>
      </c>
      <c r="BQ7" s="94">
        <f>IF(节奏预期!F7="","",IF(节奏预期!K7="",0,装备强化!F$4*节奏预期!K7))</f>
        <v>12.6</v>
      </c>
      <c r="BR7" s="94">
        <f>IF(节奏预期!G7="","",IF(节奏预期!L7="",0,装备强化!G$4*节奏预期!L7))</f>
        <v>21.25</v>
      </c>
      <c r="BS7" s="94">
        <f>IF(节奏预期!H7="","",IF(节奏预期!M7="",0,装备强化!H$4*节奏预期!M7))</f>
        <v>35.970000000000006</v>
      </c>
      <c r="BT7" s="80">
        <f>SUMPRODUCT(BO7:BS7,节奏预期!D7:H7)/SUM(节奏预期!D7:H7)</f>
        <v>8.4111111111111097</v>
      </c>
      <c r="BW7" s="25">
        <v>4</v>
      </c>
      <c r="BX7" s="47">
        <v>20</v>
      </c>
      <c r="BY7" s="52">
        <f t="shared" ref="BY7:BY21" si="12">BT7</f>
        <v>8.4111111111111097</v>
      </c>
      <c r="BZ7" s="52">
        <f t="shared" ref="BZ7:BZ21" si="13">BH7</f>
        <v>403.33333333333331</v>
      </c>
      <c r="CA7" s="52">
        <f t="shared" ref="CA7:CA21" si="14">BN7</f>
        <v>403.33333333333331</v>
      </c>
      <c r="CB7" s="109">
        <f>(BY7-BY6)*(INDEX([2]非r将兵属性验证!V$7:V$166,$BX7,1)+INDEX([2]非r将兵属性验证!$AP$7:$AP$166,$BX7,1))+CB6</f>
        <v>6037385.145951597</v>
      </c>
      <c r="CC7" s="109">
        <f>(BZ7-BZ6)*INDEX([2]非r将兵属性验证!W$7:W$166,$BX7,1)+CC6</f>
        <v>7305674.538801793</v>
      </c>
      <c r="CD7" s="109">
        <f>(CA7-CA6)*INDEX([2]非r将兵属性验证!X$7:X$166,$BX7,1)+CD6</f>
        <v>7305674.538801793</v>
      </c>
      <c r="CE7" s="52">
        <f t="shared" ref="CE7:CE14" si="15">SUM(CB7:CD7)</f>
        <v>20648734.223555185</v>
      </c>
      <c r="CF7" s="151"/>
      <c r="CI7" s="71">
        <v>20</v>
      </c>
      <c r="CJ7" s="75">
        <f t="shared" ref="CJ7:CJ21" si="16">$BB7</f>
        <v>6900</v>
      </c>
      <c r="CK7" s="75">
        <f>(CJ7-CJ6)*INDEX('[1]功能-付费相关'!$BI$6:$BI$165,$CI7,1)+CK6</f>
        <v>1880.4565243888142</v>
      </c>
      <c r="CL7" s="75">
        <f t="shared" ref="CL7:CL21" si="17">$AV7</f>
        <v>276000</v>
      </c>
      <c r="CM7" s="75">
        <f>(CL7-CL6)*INDEX('[1]功能-付费相关'!$AQ$6:$AQ$165,$CI7,1)+CM6</f>
        <v>595</v>
      </c>
      <c r="CO7" s="71">
        <v>20</v>
      </c>
      <c r="CP7" s="138">
        <f t="shared" ref="CP7:CP21" si="18">CK7</f>
        <v>1880.4565243888142</v>
      </c>
      <c r="CQ7" s="138">
        <f t="shared" ref="CQ7:CQ21" si="19">CM7</f>
        <v>595</v>
      </c>
      <c r="CR7" s="84">
        <f t="shared" ref="CR7:CR21" si="20">SUM(CP7:CQ7)</f>
        <v>2475.4565243888142</v>
      </c>
    </row>
    <row r="8" spans="2:96" x14ac:dyDescent="0.15">
      <c r="B8" s="186" t="s">
        <v>161</v>
      </c>
      <c r="C8" s="53" t="s">
        <v>219</v>
      </c>
      <c r="D8" s="112">
        <v>3</v>
      </c>
      <c r="E8" s="112">
        <v>6</v>
      </c>
      <c r="F8" s="112">
        <v>12</v>
      </c>
      <c r="G8" s="112">
        <v>21</v>
      </c>
      <c r="H8" s="112">
        <v>33</v>
      </c>
      <c r="I8" s="140">
        <f t="shared" si="0"/>
        <v>36</v>
      </c>
      <c r="J8" s="46">
        <f>INDEX('[1]资源-装备经验'!Y$6:Y$165,(K8+1)/2,1)</f>
        <v>0</v>
      </c>
      <c r="K8" s="53">
        <v>4</v>
      </c>
      <c r="L8" s="113">
        <v>5</v>
      </c>
      <c r="M8" s="122">
        <f t="shared" si="4"/>
        <v>5</v>
      </c>
      <c r="N8" s="120">
        <f t="shared" si="5"/>
        <v>10</v>
      </c>
      <c r="O8" s="120">
        <f t="shared" si="1"/>
        <v>20</v>
      </c>
      <c r="P8" s="120">
        <f t="shared" si="1"/>
        <v>50</v>
      </c>
      <c r="Q8" s="120">
        <f t="shared" si="1"/>
        <v>150</v>
      </c>
      <c r="S8" s="53">
        <v>4</v>
      </c>
      <c r="T8" s="53">
        <f>SUM(M$5:M8)</f>
        <v>20</v>
      </c>
      <c r="U8" s="53">
        <f>SUM(N$5:N8)</f>
        <v>40</v>
      </c>
      <c r="V8" s="53">
        <f>SUM(O$5:O8)</f>
        <v>80</v>
      </c>
      <c r="W8" s="53">
        <f>SUM(P$5:P8)</f>
        <v>200</v>
      </c>
      <c r="X8" s="53">
        <f>SUM(Q$5:Q8)</f>
        <v>600</v>
      </c>
      <c r="Z8" s="47">
        <v>4</v>
      </c>
      <c r="AA8" s="47">
        <f t="shared" si="6"/>
        <v>200</v>
      </c>
      <c r="AB8" s="47">
        <f t="shared" si="7"/>
        <v>400</v>
      </c>
      <c r="AC8" s="47">
        <f t="shared" si="8"/>
        <v>800</v>
      </c>
      <c r="AD8" s="47">
        <f t="shared" si="9"/>
        <v>2000</v>
      </c>
      <c r="AE8" s="47">
        <f t="shared" si="10"/>
        <v>6000</v>
      </c>
      <c r="AG8" s="47">
        <v>4</v>
      </c>
      <c r="AH8" s="53">
        <f>SUM(AA$5:AA8)</f>
        <v>800</v>
      </c>
      <c r="AI8" s="53">
        <f>SUM(AB$5:AB8)</f>
        <v>1600</v>
      </c>
      <c r="AJ8" s="53">
        <f>SUM(AC$5:AC8)</f>
        <v>3200</v>
      </c>
      <c r="AK8" s="53">
        <f>SUM(AD$5:AD8)</f>
        <v>8000</v>
      </c>
      <c r="AL8" s="53">
        <f>SUM(AE$5:AE8)</f>
        <v>24000</v>
      </c>
      <c r="AO8" s="46">
        <v>6</v>
      </c>
      <c r="AP8" s="37">
        <f>节奏预期!B8</f>
        <v>30</v>
      </c>
      <c r="AQ8" s="134">
        <f>IFERROR(INDEX(AH$5:AH$304,MATCH(节奏预期!N8,$AG$5:$AG$304,0))*节奏预期!D8,0)</f>
        <v>0</v>
      </c>
      <c r="AR8" s="134">
        <f>IFERROR(INDEX(AI$5:AI$304,MATCH(节奏预期!O8,$AG$5:$AG$304,0))*节奏预期!E8,0)</f>
        <v>0</v>
      </c>
      <c r="AS8" s="134">
        <f>IFERROR(INDEX(AJ$5:AJ$304,MATCH(节奏预期!P8,$AG$5:$AG$304,0))*节奏预期!F8,0)</f>
        <v>908800</v>
      </c>
      <c r="AT8" s="134">
        <f>IFERROR(INDEX(AK$5:AK$304,MATCH(节奏预期!Q8,$AG$5:$AG$304,0))*节奏预期!G8,0)</f>
        <v>284000</v>
      </c>
      <c r="AU8" s="134">
        <f>IFERROR(INDEX(AL$5:AL$304,MATCH(节奏预期!R8,$AG$5:$AG$304,0))*节奏预期!H8,0)</f>
        <v>0</v>
      </c>
      <c r="AV8" s="136">
        <f t="shared" ref="AV8:AV21" si="21">MAX(SUM(AQ8:AU8),AV7)</f>
        <v>1192800</v>
      </c>
      <c r="AW8" s="134">
        <f>IFERROR(INDEX(T$5:T$304,MATCH(节奏预期!N8,$S$5:$S$304,0))*节奏预期!D8,0)</f>
        <v>0</v>
      </c>
      <c r="AX8" s="134">
        <f>IFERROR(INDEX(U$5:U$304,MATCH(节奏预期!O8,$S$5:$S$304,0))*节奏预期!E8,0)</f>
        <v>0</v>
      </c>
      <c r="AY8" s="134">
        <f>IFERROR(INDEX(V$5:V$304,MATCH(节奏预期!P8,$S$5:$S$304,0))*节奏预期!F8,0)</f>
        <v>22720</v>
      </c>
      <c r="AZ8" s="134">
        <f>IFERROR(INDEX(W$5:W$304,MATCH(节奏预期!Q8,$S$5:$S$304,0))*节奏预期!G8,0)</f>
        <v>7100</v>
      </c>
      <c r="BA8" s="134">
        <f>IFERROR(INDEX(X$5:X$304,MATCH(节奏预期!R8,$S$5:$S$304,0))*节奏预期!H8,0)</f>
        <v>0</v>
      </c>
      <c r="BB8" s="136">
        <f t="shared" ref="BB8:BB21" si="22">MAX(SUM(AW8:BA8),BB7)</f>
        <v>29820</v>
      </c>
      <c r="BC8" s="96" t="str">
        <f>IF(节奏预期!N8="","",节奏预期!N8*装备强化!D$8+装备强化!D$5)</f>
        <v/>
      </c>
      <c r="BD8" s="96">
        <f>IF(节奏预期!O8="","",节奏预期!O8*装备强化!E$8+装备强化!E$5)</f>
        <v>380</v>
      </c>
      <c r="BE8" s="96">
        <f>IF(节奏预期!P8="","",节奏预期!P8*装备强化!F$8+装备强化!F$5)</f>
        <v>980</v>
      </c>
      <c r="BF8" s="96">
        <f>IF(节奏预期!Q8="","",节奏预期!Q8*装备强化!G$8+装备强化!G$5)</f>
        <v>1760</v>
      </c>
      <c r="BG8" s="96" t="str">
        <f>IF(节奏预期!R8="","",节奏预期!R8*装备强化!H$8+装备强化!H$5)</f>
        <v/>
      </c>
      <c r="BH8" s="14">
        <f>SUMPRODUCT(BC8:BG8,节奏预期!$D8:$H8)/SUM(节奏预期!$D8:$H8)</f>
        <v>1066.6666666666667</v>
      </c>
      <c r="BI8" s="13" t="str">
        <f>IF(节奏预期!N8="","",节奏预期!N8*装备强化!D$9+装备强化!D$6)</f>
        <v/>
      </c>
      <c r="BJ8" s="96">
        <f>IF(节奏预期!O8="","",节奏预期!O8*装备强化!E$9+装备强化!E$6)</f>
        <v>380</v>
      </c>
      <c r="BK8" s="96">
        <f>IF(节奏预期!P8="","",节奏预期!P8*装备强化!F$9+装备强化!F$6)</f>
        <v>980</v>
      </c>
      <c r="BL8" s="96">
        <f>IF(节奏预期!Q8="","",节奏预期!Q8*装备强化!G$9+装备强化!G$6)</f>
        <v>1760</v>
      </c>
      <c r="BM8" s="96" t="str">
        <f>IF(节奏预期!R8="","",节奏预期!R8*装备强化!H$9+装备强化!H$6)</f>
        <v/>
      </c>
      <c r="BN8" s="14">
        <f>SUMPRODUCT(BI8:BM8,节奏预期!$D8:$H8)/SUM(节奏预期!$D8:$H8)</f>
        <v>1066.6666666666667</v>
      </c>
      <c r="BO8" s="94">
        <f>IF(节奏预期!D8="","",IF(节奏预期!I8="",0,装备强化!D$4*节奏预期!I8))</f>
        <v>3.6</v>
      </c>
      <c r="BP8" s="94">
        <f>IF(节奏预期!E8="","",IF(节奏预期!J8="",0,装备强化!E$4*节奏预期!J8))</f>
        <v>8</v>
      </c>
      <c r="BQ8" s="94">
        <f>IF(节奏预期!F8="","",IF(节奏预期!K8="",0,装备强化!F$4*节奏预期!K8))</f>
        <v>14.4</v>
      </c>
      <c r="BR8" s="94">
        <f>IF(节奏预期!G8="","",IF(节奏预期!L8="",0,装备强化!G$4*节奏预期!L8))</f>
        <v>23.799999999999997</v>
      </c>
      <c r="BS8" s="94">
        <f>IF(节奏预期!H8="","",IF(节奏预期!M8="",0,装备强化!H$4*节奏预期!M8))</f>
        <v>40.26</v>
      </c>
      <c r="BT8" s="80">
        <f>SUMPRODUCT(BO8:BS8,节奏预期!D8:H8)/SUM(节奏预期!D8:H8)</f>
        <v>15.444444444444445</v>
      </c>
      <c r="BW8" s="25">
        <v>5</v>
      </c>
      <c r="BX8" s="47">
        <v>30</v>
      </c>
      <c r="BY8" s="52">
        <f t="shared" si="12"/>
        <v>15.444444444444445</v>
      </c>
      <c r="BZ8" s="52">
        <f t="shared" si="13"/>
        <v>1066.6666666666667</v>
      </c>
      <c r="CA8" s="52">
        <f t="shared" si="14"/>
        <v>1066.6666666666667</v>
      </c>
      <c r="CB8" s="109">
        <f>(BY8-BY7)*(INDEX([2]非r将兵属性验证!V$7:V$166,$BX8,1)+INDEX([2]非r将兵属性验证!$AP$7:$AP$166,$BX8,1))+CB7</f>
        <v>26720555.366619781</v>
      </c>
      <c r="CC8" s="109">
        <f>(BZ8-BZ7)*INDEX([2]非r将兵属性验证!W$7:W$166,$BX8,1)+CC7</f>
        <v>38188487.384004965</v>
      </c>
      <c r="CD8" s="109">
        <f>(CA8-CA7)*INDEX([2]非r将兵属性验证!X$7:X$166,$BX8,1)+CD7</f>
        <v>38188487.384004965</v>
      </c>
      <c r="CE8" s="52">
        <f t="shared" si="15"/>
        <v>103097530.13462971</v>
      </c>
      <c r="CF8" s="151"/>
      <c r="CI8" s="71">
        <v>30</v>
      </c>
      <c r="CJ8" s="75">
        <f t="shared" si="16"/>
        <v>29820</v>
      </c>
      <c r="CK8" s="75">
        <f>(CJ8-CJ7)*INDEX('[1]功能-付费相关'!$BI$6:$BI$165,$CI8,1)+CK7</f>
        <v>5337.1291120346905</v>
      </c>
      <c r="CL8" s="75">
        <f t="shared" si="17"/>
        <v>1192800</v>
      </c>
      <c r="CM8" s="75">
        <f>(CL8-CL7)*INDEX('[1]功能-付费相关'!$AQ$6:$AQ$165,$CI8,1)+CM7</f>
        <v>2232.1428571428569</v>
      </c>
      <c r="CO8" s="71">
        <v>30</v>
      </c>
      <c r="CP8" s="138">
        <f t="shared" si="18"/>
        <v>5337.1291120346905</v>
      </c>
      <c r="CQ8" s="138">
        <f t="shared" si="19"/>
        <v>2232.1428571428569</v>
      </c>
      <c r="CR8" s="84">
        <f t="shared" si="20"/>
        <v>7569.2719691775474</v>
      </c>
    </row>
    <row r="9" spans="2:96" x14ac:dyDescent="0.15">
      <c r="B9" s="186"/>
      <c r="C9" s="53" t="s">
        <v>220</v>
      </c>
      <c r="D9" s="47">
        <f>D8</f>
        <v>3</v>
      </c>
      <c r="E9" s="47">
        <f t="shared" ref="E9:H9" si="23">E8</f>
        <v>6</v>
      </c>
      <c r="F9" s="124">
        <f t="shared" si="23"/>
        <v>12</v>
      </c>
      <c r="G9" s="47">
        <f t="shared" si="23"/>
        <v>21</v>
      </c>
      <c r="H9" s="47">
        <f t="shared" si="23"/>
        <v>33</v>
      </c>
      <c r="I9" s="140">
        <f t="shared" si="0"/>
        <v>36</v>
      </c>
      <c r="J9" s="46">
        <f>INDEX('[1]资源-装备经验'!Y$6:Y$165,(K9+1)/2,1)</f>
        <v>0</v>
      </c>
      <c r="K9" s="53">
        <v>5</v>
      </c>
      <c r="L9" s="113">
        <v>5</v>
      </c>
      <c r="M9" s="122">
        <f t="shared" si="4"/>
        <v>5</v>
      </c>
      <c r="N9" s="120">
        <f t="shared" si="5"/>
        <v>10</v>
      </c>
      <c r="O9" s="120">
        <f t="shared" si="1"/>
        <v>20</v>
      </c>
      <c r="P9" s="120">
        <f t="shared" si="1"/>
        <v>50</v>
      </c>
      <c r="Q9" s="120">
        <f t="shared" si="1"/>
        <v>150</v>
      </c>
      <c r="S9" s="53">
        <v>5</v>
      </c>
      <c r="T9" s="53">
        <f>SUM(M$5:M9)</f>
        <v>25</v>
      </c>
      <c r="U9" s="53">
        <f>SUM(N$5:N9)</f>
        <v>50</v>
      </c>
      <c r="V9" s="53">
        <f>SUM(O$5:O9)</f>
        <v>100</v>
      </c>
      <c r="W9" s="53">
        <f>SUM(P$5:P9)</f>
        <v>250</v>
      </c>
      <c r="X9" s="53">
        <f>SUM(Q$5:Q9)</f>
        <v>750</v>
      </c>
      <c r="Z9" s="47">
        <v>5</v>
      </c>
      <c r="AA9" s="47">
        <f t="shared" si="6"/>
        <v>200</v>
      </c>
      <c r="AB9" s="47">
        <f t="shared" si="7"/>
        <v>400</v>
      </c>
      <c r="AC9" s="47">
        <f t="shared" si="8"/>
        <v>800</v>
      </c>
      <c r="AD9" s="47">
        <f t="shared" si="9"/>
        <v>2000</v>
      </c>
      <c r="AE9" s="47">
        <f t="shared" si="10"/>
        <v>6000</v>
      </c>
      <c r="AG9" s="47">
        <v>5</v>
      </c>
      <c r="AH9" s="53">
        <f>SUM(AA$5:AA9)</f>
        <v>1000</v>
      </c>
      <c r="AI9" s="53">
        <f>SUM(AB$5:AB9)</f>
        <v>2000</v>
      </c>
      <c r="AJ9" s="53">
        <f>SUM(AC$5:AC9)</f>
        <v>4000</v>
      </c>
      <c r="AK9" s="53">
        <f>SUM(AD$5:AD9)</f>
        <v>10000</v>
      </c>
      <c r="AL9" s="53">
        <f>SUM(AE$5:AE9)</f>
        <v>30000</v>
      </c>
      <c r="AO9" s="46">
        <v>7</v>
      </c>
      <c r="AP9" s="37">
        <f>节奏预期!B9</f>
        <v>40</v>
      </c>
      <c r="AQ9" s="134">
        <f>IFERROR(INDEX(AH$5:AH$304,MATCH(节奏预期!N9,$AG$5:$AG$304,0))*节奏预期!D9,0)</f>
        <v>0</v>
      </c>
      <c r="AR9" s="134">
        <f>IFERROR(INDEX(AI$5:AI$304,MATCH(节奏预期!O9,$AG$5:$AG$304,0))*节奏预期!E9,0)</f>
        <v>0</v>
      </c>
      <c r="AS9" s="134">
        <f>IFERROR(INDEX(AJ$5:AJ$304,MATCH(节奏预期!P9,$AG$5:$AG$304,0))*节奏预期!F9,0)</f>
        <v>0</v>
      </c>
      <c r="AT9" s="134">
        <f>IFERROR(INDEX(AK$5:AK$304,MATCH(节奏预期!Q9,$AG$5:$AG$304,0))*节奏预期!G9,0)</f>
        <v>4320000</v>
      </c>
      <c r="AU9" s="134">
        <f>IFERROR(INDEX(AL$5:AL$304,MATCH(节奏预期!R9,$AG$5:$AG$304,0))*节奏预期!H9,0)</f>
        <v>0</v>
      </c>
      <c r="AV9" s="136">
        <f t="shared" si="21"/>
        <v>4320000</v>
      </c>
      <c r="AW9" s="134">
        <f>IFERROR(INDEX(T$5:T$304,MATCH(节奏预期!N9,$S$5:$S$304,0))*节奏预期!D9,0)</f>
        <v>0</v>
      </c>
      <c r="AX9" s="134">
        <f>IFERROR(INDEX(U$5:U$304,MATCH(节奏预期!O9,$S$5:$S$304,0))*节奏预期!E9,0)</f>
        <v>0</v>
      </c>
      <c r="AY9" s="134">
        <f>IFERROR(INDEX(V$5:V$304,MATCH(节奏预期!P9,$S$5:$S$304,0))*节奏预期!F9,0)</f>
        <v>0</v>
      </c>
      <c r="AZ9" s="134">
        <f>IFERROR(INDEX(W$5:W$304,MATCH(节奏预期!Q9,$S$5:$S$304,0))*节奏预期!G9,0)</f>
        <v>108000</v>
      </c>
      <c r="BA9" s="134">
        <f>IFERROR(INDEX(X$5:X$304,MATCH(节奏预期!R9,$S$5:$S$304,0))*节奏预期!H9,0)</f>
        <v>0</v>
      </c>
      <c r="BB9" s="136">
        <f t="shared" si="22"/>
        <v>108000</v>
      </c>
      <c r="BC9" s="96" t="str">
        <f>IF(节奏预期!N9="","",节奏预期!N9*装备强化!D$8+装备强化!D$5)</f>
        <v/>
      </c>
      <c r="BD9" s="96">
        <f>IF(节奏预期!O9="","",节奏预期!O9*装备强化!E$8+装备强化!E$5)</f>
        <v>380</v>
      </c>
      <c r="BE9" s="96">
        <f>IF(节奏预期!P9="","",节奏预期!P9*装备强化!F$8+装备强化!F$5)</f>
        <v>1220</v>
      </c>
      <c r="BF9" s="96">
        <f>IF(节奏预期!Q9="","",节奏预期!Q9*装备强化!G$8+装备强化!G$5)</f>
        <v>2180</v>
      </c>
      <c r="BG9" s="96" t="str">
        <f>IF(节奏预期!R9="","",节奏预期!R9*装备强化!H$8+装备强化!H$5)</f>
        <v/>
      </c>
      <c r="BH9" s="14">
        <f>SUMPRODUCT(BC9:BG9,节奏预期!$D9:$H9)/SUM(节奏预期!$D9:$H9)</f>
        <v>2180</v>
      </c>
      <c r="BI9" s="13" t="str">
        <f>IF(节奏预期!N9="","",节奏预期!N9*装备强化!D$9+装备强化!D$6)</f>
        <v/>
      </c>
      <c r="BJ9" s="96">
        <f>IF(节奏预期!O9="","",节奏预期!O9*装备强化!E$9+装备强化!E$6)</f>
        <v>380</v>
      </c>
      <c r="BK9" s="96">
        <f>IF(节奏预期!P9="","",节奏预期!P9*装备强化!F$9+装备强化!F$6)</f>
        <v>1220</v>
      </c>
      <c r="BL9" s="96">
        <f>IF(节奏预期!Q9="","",节奏预期!Q9*装备强化!G$9+装备强化!G$6)</f>
        <v>2180</v>
      </c>
      <c r="BM9" s="96" t="str">
        <f>IF(节奏预期!R9="","",节奏预期!R9*装备强化!H$9+装备强化!H$6)</f>
        <v/>
      </c>
      <c r="BN9" s="14">
        <f>SUMPRODUCT(BI9:BM9,节奏预期!$D9:$H9)/SUM(节奏预期!$D9:$H9)</f>
        <v>2180</v>
      </c>
      <c r="BO9" s="94">
        <f>IF(节奏预期!D9="","",IF(节奏预期!I9="",0,装备强化!D$4*节奏预期!I9))</f>
        <v>3.6</v>
      </c>
      <c r="BP9" s="94">
        <f>IF(节奏预期!E9="","",IF(节奏预期!J9="",0,装备强化!E$4*节奏预期!J9))</f>
        <v>8</v>
      </c>
      <c r="BQ9" s="94">
        <f>IF(节奏预期!F9="","",IF(节奏预期!K9="",0,装备强化!F$4*节奏预期!K9))</f>
        <v>16.2</v>
      </c>
      <c r="BR9" s="94">
        <f>IF(节奏预期!G9="","",IF(节奏预期!L9="",0,装备强化!G$4*节奏预期!L9))</f>
        <v>26.35</v>
      </c>
      <c r="BS9" s="94">
        <f>IF(节奏预期!H9="","",IF(节奏预期!M9="",0,装备强化!H$4*节奏预期!M9))</f>
        <v>44.550000000000004</v>
      </c>
      <c r="BT9" s="80">
        <f>SUMPRODUCT(BO9:BS9,节奏预期!D9:H9)/SUM(节奏预期!D9:H9)</f>
        <v>26.35</v>
      </c>
      <c r="BW9" s="25">
        <v>6</v>
      </c>
      <c r="BX9" s="47">
        <v>40</v>
      </c>
      <c r="BY9" s="52">
        <f t="shared" si="12"/>
        <v>26.35</v>
      </c>
      <c r="BZ9" s="52">
        <f t="shared" si="13"/>
        <v>2180</v>
      </c>
      <c r="CA9" s="52">
        <f t="shared" si="14"/>
        <v>2180</v>
      </c>
      <c r="CB9" s="109">
        <f>(BY9-BY8)*(INDEX([2]非r将兵属性验证!V$7:V$166,$BX9,1)+INDEX([2]非r将兵属性验证!$AP$7:$AP$166,$BX9,1))+CB8</f>
        <v>120512406.43100633</v>
      </c>
      <c r="CC9" s="109">
        <f>(BZ9-BZ8)*INDEX([2]非r将兵属性验证!W$7:W$166,$BX9,1)+CC8</f>
        <v>172796900.16399938</v>
      </c>
      <c r="CD9" s="109">
        <f>(CA9-CA8)*INDEX([2]非r将兵属性验证!X$7:X$166,$BX9,1)+CD8</f>
        <v>172796900.16399938</v>
      </c>
      <c r="CE9" s="52">
        <f t="shared" si="15"/>
        <v>466106206.75900507</v>
      </c>
      <c r="CF9" s="151"/>
      <c r="CI9" s="71">
        <v>40</v>
      </c>
      <c r="CJ9" s="75">
        <f t="shared" si="16"/>
        <v>108000</v>
      </c>
      <c r="CK9" s="75">
        <f>(CJ9-CJ8)*INDEX('[1]功能-付费相关'!$BI$6:$BI$165,$CI9,1)+CK8</f>
        <v>12575.591259843608</v>
      </c>
      <c r="CL9" s="75">
        <f t="shared" si="17"/>
        <v>4320000</v>
      </c>
      <c r="CM9" s="75">
        <f>(CL9-CL8)*INDEX('[1]功能-付费相关'!$AQ$6:$AQ$165,$CI9,1)+CM8</f>
        <v>7118.3928571428569</v>
      </c>
      <c r="CO9" s="71">
        <v>40</v>
      </c>
      <c r="CP9" s="138">
        <f t="shared" si="18"/>
        <v>12575.591259843608</v>
      </c>
      <c r="CQ9" s="138">
        <f t="shared" si="19"/>
        <v>7118.3928571428569</v>
      </c>
      <c r="CR9" s="84">
        <f t="shared" si="20"/>
        <v>19693.984116986467</v>
      </c>
    </row>
    <row r="10" spans="2:96" x14ac:dyDescent="0.15">
      <c r="B10" s="186"/>
      <c r="C10" s="53"/>
      <c r="D10" s="53"/>
      <c r="E10" s="53"/>
      <c r="F10" s="53"/>
      <c r="G10" s="53"/>
      <c r="H10" s="53"/>
      <c r="I10" s="139"/>
      <c r="J10" s="46">
        <f>INDEX('[1]资源-装备经验'!Y$6:Y$165,(K10+1)/2,1)</f>
        <v>0</v>
      </c>
      <c r="K10" s="53">
        <v>6</v>
      </c>
      <c r="L10" s="113">
        <v>5</v>
      </c>
      <c r="M10" s="122">
        <f t="shared" si="4"/>
        <v>5</v>
      </c>
      <c r="N10" s="120">
        <f t="shared" si="5"/>
        <v>10</v>
      </c>
      <c r="O10" s="120">
        <f t="shared" si="1"/>
        <v>20</v>
      </c>
      <c r="P10" s="120">
        <f t="shared" si="1"/>
        <v>50</v>
      </c>
      <c r="Q10" s="120">
        <f t="shared" si="1"/>
        <v>150</v>
      </c>
      <c r="S10" s="53">
        <v>6</v>
      </c>
      <c r="T10" s="53">
        <f>SUM(M$5:M10)</f>
        <v>30</v>
      </c>
      <c r="U10" s="53">
        <f>SUM(N$5:N10)</f>
        <v>60</v>
      </c>
      <c r="V10" s="53">
        <f>SUM(O$5:O10)</f>
        <v>120</v>
      </c>
      <c r="W10" s="53">
        <f>SUM(P$5:P10)</f>
        <v>300</v>
      </c>
      <c r="X10" s="53">
        <f>SUM(Q$5:Q10)</f>
        <v>900</v>
      </c>
      <c r="Z10" s="47">
        <v>6</v>
      </c>
      <c r="AA10" s="47">
        <f t="shared" si="6"/>
        <v>200</v>
      </c>
      <c r="AB10" s="47">
        <f t="shared" si="7"/>
        <v>400</v>
      </c>
      <c r="AC10" s="47">
        <f t="shared" si="8"/>
        <v>800</v>
      </c>
      <c r="AD10" s="47">
        <f t="shared" si="9"/>
        <v>2000</v>
      </c>
      <c r="AE10" s="47">
        <f t="shared" si="10"/>
        <v>6000</v>
      </c>
      <c r="AG10" s="47">
        <v>6</v>
      </c>
      <c r="AH10" s="53">
        <f>SUM(AA$5:AA10)</f>
        <v>1200</v>
      </c>
      <c r="AI10" s="53">
        <f>SUM(AB$5:AB10)</f>
        <v>2400</v>
      </c>
      <c r="AJ10" s="53">
        <f>SUM(AC$5:AC10)</f>
        <v>4800</v>
      </c>
      <c r="AK10" s="53">
        <f>SUM(AD$5:AD10)</f>
        <v>12000</v>
      </c>
      <c r="AL10" s="53">
        <f>SUM(AE$5:AE10)</f>
        <v>36000</v>
      </c>
      <c r="AO10" s="46">
        <v>8</v>
      </c>
      <c r="AP10" s="37">
        <f>节奏预期!B10</f>
        <v>50</v>
      </c>
      <c r="AQ10" s="134">
        <f>IFERROR(INDEX(AH$5:AH$304,MATCH(节奏预期!N10,$AG$5:$AG$304,0))*节奏预期!D10,0)</f>
        <v>0</v>
      </c>
      <c r="AR10" s="134">
        <f>IFERROR(INDEX(AI$5:AI$304,MATCH(节奏预期!O10,$AG$5:$AG$304,0))*节奏预期!E10,0)</f>
        <v>0</v>
      </c>
      <c r="AS10" s="134">
        <f>IFERROR(INDEX(AJ$5:AJ$304,MATCH(节奏预期!P10,$AG$5:$AG$304,0))*节奏预期!F10,0)</f>
        <v>0</v>
      </c>
      <c r="AT10" s="134">
        <f>IFERROR(INDEX(AK$5:AK$304,MATCH(节奏预期!Q10,$AG$5:$AG$304,0))*节奏预期!G10,0)</f>
        <v>7980000</v>
      </c>
      <c r="AU10" s="134">
        <f>IFERROR(INDEX(AL$5:AL$304,MATCH(节奏预期!R10,$AG$5:$AG$304,0))*节奏预期!H10,0)</f>
        <v>3420000</v>
      </c>
      <c r="AV10" s="136">
        <f t="shared" si="21"/>
        <v>11400000</v>
      </c>
      <c r="AW10" s="134">
        <f>IFERROR(INDEX(T$5:T$304,MATCH(节奏预期!N10,$S$5:$S$304,0))*节奏预期!D10,0)</f>
        <v>0</v>
      </c>
      <c r="AX10" s="134">
        <f>IFERROR(INDEX(U$5:U$304,MATCH(节奏预期!O10,$S$5:$S$304,0))*节奏预期!E10,0)</f>
        <v>0</v>
      </c>
      <c r="AY10" s="134">
        <f>IFERROR(INDEX(V$5:V$304,MATCH(节奏预期!P10,$S$5:$S$304,0))*节奏预期!F10,0)</f>
        <v>0</v>
      </c>
      <c r="AZ10" s="134">
        <f>IFERROR(INDEX(W$5:W$304,MATCH(节奏预期!Q10,$S$5:$S$304,0))*节奏预期!G10,0)</f>
        <v>199500</v>
      </c>
      <c r="BA10" s="134">
        <f>IFERROR(INDEX(X$5:X$304,MATCH(节奏预期!R10,$S$5:$S$304,0))*节奏预期!H10,0)</f>
        <v>85500</v>
      </c>
      <c r="BB10" s="136">
        <f t="shared" si="22"/>
        <v>285000</v>
      </c>
      <c r="BC10" s="96" t="str">
        <f>IF(节奏预期!N10="","",节奏预期!N10*装备强化!D$8+装备强化!D$5)</f>
        <v/>
      </c>
      <c r="BD10" s="96" t="str">
        <f>IF(节奏预期!O10="","",节奏预期!O10*装备强化!E$8+装备强化!E$5)</f>
        <v/>
      </c>
      <c r="BE10" s="96">
        <f>IF(节奏预期!P10="","",节奏预期!P10*装备强化!F$8+装备强化!F$5)</f>
        <v>1220</v>
      </c>
      <c r="BF10" s="96">
        <f>IF(节奏预期!Q10="","",节奏预期!Q10*装备强化!G$8+装备强化!G$5)</f>
        <v>2600</v>
      </c>
      <c r="BG10" s="96">
        <f>IF(节奏预期!R10="","",节奏预期!R10*装备强化!H$8+装备强化!H$5)</f>
        <v>4280</v>
      </c>
      <c r="BH10" s="14">
        <f>SUMPRODUCT(BC10:BG10,节奏预期!$D10:$H10)/SUM(节奏预期!$D10:$H10)</f>
        <v>2810</v>
      </c>
      <c r="BI10" s="13" t="str">
        <f>IF(节奏预期!N10="","",节奏预期!N10*装备强化!D$9+装备强化!D$6)</f>
        <v/>
      </c>
      <c r="BJ10" s="96" t="str">
        <f>IF(节奏预期!O10="","",节奏预期!O10*装备强化!E$9+装备强化!E$6)</f>
        <v/>
      </c>
      <c r="BK10" s="96">
        <f>IF(节奏预期!P10="","",节奏预期!P10*装备强化!F$9+装备强化!F$6)</f>
        <v>1220</v>
      </c>
      <c r="BL10" s="96">
        <f>IF(节奏预期!Q10="","",节奏预期!Q10*装备强化!G$9+装备强化!G$6)</f>
        <v>2600</v>
      </c>
      <c r="BM10" s="96">
        <f>IF(节奏预期!R10="","",节奏预期!R10*装备强化!H$9+装备强化!H$6)</f>
        <v>4280</v>
      </c>
      <c r="BN10" s="14">
        <f>SUMPRODUCT(BI10:BM10,节奏预期!$D10:$H10)/SUM(节奏预期!$D10:$H10)</f>
        <v>2810</v>
      </c>
      <c r="BO10" s="94">
        <f>IF(节奏预期!D10="","",IF(节奏预期!I10="",0,装备强化!D$4*节奏预期!I10))</f>
        <v>3.6</v>
      </c>
      <c r="BP10" s="94">
        <f>IF(节奏预期!E10="","",IF(节奏预期!J10="",0,装备强化!E$4*节奏预期!J10))</f>
        <v>8</v>
      </c>
      <c r="BQ10" s="94">
        <f>IF(节奏预期!F10="","",IF(节奏预期!K10="",0,装备强化!F$4*节奏预期!K10))</f>
        <v>18</v>
      </c>
      <c r="BR10" s="94">
        <f>IF(节奏预期!G10="","",IF(节奏预期!L10="",0,装备强化!G$4*节奏预期!L10))</f>
        <v>28.9</v>
      </c>
      <c r="BS10" s="94">
        <f>IF(节奏预期!H10="","",IF(节奏预期!M10="",0,装备强化!H$4*节奏预期!M10))</f>
        <v>48.839999999999996</v>
      </c>
      <c r="BT10" s="80">
        <f>SUMPRODUCT(BO10:BS10,节奏预期!D10:H10)/SUM(节奏预期!D10:H10)</f>
        <v>31.392499999999998</v>
      </c>
      <c r="BW10" s="25">
        <v>7</v>
      </c>
      <c r="BX10" s="47">
        <v>50</v>
      </c>
      <c r="BY10" s="52">
        <f t="shared" si="12"/>
        <v>31.392499999999998</v>
      </c>
      <c r="BZ10" s="52">
        <f t="shared" si="13"/>
        <v>2810</v>
      </c>
      <c r="CA10" s="52">
        <f t="shared" si="14"/>
        <v>2810</v>
      </c>
      <c r="CB10" s="109">
        <f>(BY10-BY9)*(INDEX([2]非r将兵属性验证!V$7:V$166,$BX10,1)+INDEX([2]非r将兵属性验证!$AP$7:$AP$166,$BX10,1))+CB9</f>
        <v>203016990.43835655</v>
      </c>
      <c r="CC10" s="109">
        <f>(BZ10-BZ9)*INDEX([2]非r将兵属性验证!W$7:W$166,$BX10,1)+CC9</f>
        <v>299996121.32877451</v>
      </c>
      <c r="CD10" s="109">
        <f>(CA10-CA9)*INDEX([2]非r将兵属性验证!X$7:X$166,$BX10,1)+CD9</f>
        <v>299996121.32877451</v>
      </c>
      <c r="CE10" s="52">
        <f t="shared" si="15"/>
        <v>803009233.09590554</v>
      </c>
      <c r="CF10" s="151"/>
      <c r="CI10" s="71">
        <v>50</v>
      </c>
      <c r="CJ10" s="75">
        <f t="shared" si="16"/>
        <v>285000</v>
      </c>
      <c r="CK10" s="75">
        <f>(CJ10-CJ9)*INDEX('[1]功能-付费相关'!$BI$6:$BI$165,$CI10,1)+CK9</f>
        <v>25632.848789910135</v>
      </c>
      <c r="CL10" s="75">
        <f t="shared" si="17"/>
        <v>11400000</v>
      </c>
      <c r="CM10" s="75">
        <f>(CL10-CL9)*INDEX('[1]功能-付费相关'!$AQ$6:$AQ$165,$CI10,1)+CM9</f>
        <v>16951.726190476191</v>
      </c>
      <c r="CO10" s="71">
        <v>50</v>
      </c>
      <c r="CP10" s="138">
        <f t="shared" si="18"/>
        <v>25632.848789910135</v>
      </c>
      <c r="CQ10" s="138">
        <f t="shared" si="19"/>
        <v>16951.726190476191</v>
      </c>
      <c r="CR10" s="84">
        <f t="shared" si="20"/>
        <v>42584.574980386329</v>
      </c>
    </row>
    <row r="11" spans="2:96" x14ac:dyDescent="0.15">
      <c r="B11" s="46" t="s">
        <v>406</v>
      </c>
      <c r="J11" s="46">
        <f>INDEX('[1]资源-装备经验'!Y$6:Y$165,(K11+1)/2,1)</f>
        <v>0</v>
      </c>
      <c r="K11" s="53">
        <v>7</v>
      </c>
      <c r="L11" s="113">
        <v>5</v>
      </c>
      <c r="M11" s="122">
        <f t="shared" si="4"/>
        <v>5</v>
      </c>
      <c r="N11" s="120">
        <f t="shared" si="5"/>
        <v>10</v>
      </c>
      <c r="O11" s="120">
        <f t="shared" si="1"/>
        <v>20</v>
      </c>
      <c r="P11" s="120">
        <f t="shared" si="1"/>
        <v>50</v>
      </c>
      <c r="Q11" s="120">
        <f t="shared" si="1"/>
        <v>150</v>
      </c>
      <c r="S11" s="53">
        <v>7</v>
      </c>
      <c r="T11" s="53">
        <f>SUM(M$5:M11)</f>
        <v>35</v>
      </c>
      <c r="U11" s="53">
        <f>SUM(N$5:N11)</f>
        <v>70</v>
      </c>
      <c r="V11" s="53">
        <f>SUM(O$5:O11)</f>
        <v>140</v>
      </c>
      <c r="W11" s="53">
        <f>SUM(P$5:P11)</f>
        <v>350</v>
      </c>
      <c r="X11" s="53">
        <f>SUM(Q$5:Q11)</f>
        <v>1050</v>
      </c>
      <c r="Z11" s="47">
        <v>7</v>
      </c>
      <c r="AA11" s="47">
        <f t="shared" si="6"/>
        <v>200</v>
      </c>
      <c r="AB11" s="47">
        <f t="shared" si="7"/>
        <v>400</v>
      </c>
      <c r="AC11" s="47">
        <f t="shared" si="8"/>
        <v>800</v>
      </c>
      <c r="AD11" s="47">
        <f t="shared" si="9"/>
        <v>2000</v>
      </c>
      <c r="AE11" s="47">
        <f t="shared" si="10"/>
        <v>6000</v>
      </c>
      <c r="AG11" s="47">
        <v>7</v>
      </c>
      <c r="AH11" s="53">
        <f>SUM(AA$5:AA11)</f>
        <v>1400</v>
      </c>
      <c r="AI11" s="53">
        <f>SUM(AB$5:AB11)</f>
        <v>2800</v>
      </c>
      <c r="AJ11" s="53">
        <f>SUM(AC$5:AC11)</f>
        <v>5600</v>
      </c>
      <c r="AK11" s="53">
        <f>SUM(AD$5:AD11)</f>
        <v>14000</v>
      </c>
      <c r="AL11" s="53">
        <f>SUM(AE$5:AE11)</f>
        <v>42000</v>
      </c>
      <c r="AO11" s="46">
        <v>9</v>
      </c>
      <c r="AP11" s="37">
        <f>节奏预期!B11</f>
        <v>60</v>
      </c>
      <c r="AQ11" s="134">
        <f>IFERROR(INDEX(AH$5:AH$304,MATCH(节奏预期!N11,$AG$5:$AG$304,0))*节奏预期!D11,0)</f>
        <v>0</v>
      </c>
      <c r="AR11" s="134">
        <f>IFERROR(INDEX(AI$5:AI$304,MATCH(节奏预期!O11,$AG$5:$AG$304,0))*节奏预期!E11,0)</f>
        <v>0</v>
      </c>
      <c r="AS11" s="134">
        <f>IFERROR(INDEX(AJ$5:AJ$304,MATCH(节奏预期!P11,$AG$5:$AG$304,0))*节奏预期!F11,0)</f>
        <v>0</v>
      </c>
      <c r="AT11" s="134">
        <f>IFERROR(INDEX(AK$5:AK$304,MATCH(节奏预期!Q11,$AG$5:$AG$304,0))*节奏预期!G11,0)</f>
        <v>14616000</v>
      </c>
      <c r="AU11" s="134">
        <f>IFERROR(INDEX(AL$5:AL$304,MATCH(节奏预期!R11,$AG$5:$AG$304,0))*节奏预期!H11,0)</f>
        <v>21924000</v>
      </c>
      <c r="AV11" s="136">
        <f t="shared" si="21"/>
        <v>36540000</v>
      </c>
      <c r="AW11" s="134">
        <f>IFERROR(INDEX(T$5:T$304,MATCH(节奏预期!N11,$S$5:$S$304,0))*节奏预期!D11,0)</f>
        <v>0</v>
      </c>
      <c r="AX11" s="134">
        <f>IFERROR(INDEX(U$5:U$304,MATCH(节奏预期!O11,$S$5:$S$304,0))*节奏预期!E11,0)</f>
        <v>0</v>
      </c>
      <c r="AY11" s="134">
        <f>IFERROR(INDEX(V$5:V$304,MATCH(节奏预期!P11,$S$5:$S$304,0))*节奏预期!F11,0)</f>
        <v>0</v>
      </c>
      <c r="AZ11" s="134">
        <f>IFERROR(INDEX(W$5:W$304,MATCH(节奏预期!Q11,$S$5:$S$304,0))*节奏预期!G11,0)</f>
        <v>365400</v>
      </c>
      <c r="BA11" s="134">
        <f>IFERROR(INDEX(X$5:X$304,MATCH(节奏预期!R11,$S$5:$S$304,0))*节奏预期!H11,0)</f>
        <v>548100</v>
      </c>
      <c r="BB11" s="136">
        <f t="shared" si="22"/>
        <v>913500</v>
      </c>
      <c r="BC11" s="96" t="str">
        <f>IF(节奏预期!N11="","",节奏预期!N11*装备强化!D$8+装备强化!D$5)</f>
        <v/>
      </c>
      <c r="BD11" s="96" t="str">
        <f>IF(节奏预期!O11="","",节奏预期!O11*装备强化!E$8+装备强化!E$5)</f>
        <v/>
      </c>
      <c r="BE11" s="96" t="str">
        <f>IF(节奏预期!P11="","",节奏预期!P11*装备强化!F$8+装备强化!F$5)</f>
        <v/>
      </c>
      <c r="BF11" s="96">
        <f>IF(节奏预期!Q11="","",节奏预期!Q11*装备强化!G$8+装备强化!G$5)</f>
        <v>3020</v>
      </c>
      <c r="BG11" s="96">
        <f>IF(节奏预期!R11="","",节奏预期!R11*装备强化!H$8+装备强化!H$5)</f>
        <v>4940</v>
      </c>
      <c r="BH11" s="14">
        <f>SUMPRODUCT(BC11:BG11,节奏预期!$D11:$H11)/SUM(节奏预期!$D11:$H11)</f>
        <v>3660</v>
      </c>
      <c r="BI11" s="13" t="str">
        <f>IF(节奏预期!N11="","",节奏预期!N11*装备强化!D$9+装备强化!D$6)</f>
        <v/>
      </c>
      <c r="BJ11" s="96" t="str">
        <f>IF(节奏预期!O11="","",节奏预期!O11*装备强化!E$9+装备强化!E$6)</f>
        <v/>
      </c>
      <c r="BK11" s="96" t="str">
        <f>IF(节奏预期!P11="","",节奏预期!P11*装备强化!F$9+装备强化!F$6)</f>
        <v/>
      </c>
      <c r="BL11" s="96">
        <f>IF(节奏预期!Q11="","",节奏预期!Q11*装备强化!G$9+装备强化!G$6)</f>
        <v>3020</v>
      </c>
      <c r="BM11" s="96">
        <f>IF(节奏预期!R11="","",节奏预期!R11*装备强化!H$9+装备强化!H$6)</f>
        <v>4940</v>
      </c>
      <c r="BN11" s="14">
        <f>SUMPRODUCT(BI11:BM11,节奏预期!$D11:$H11)/SUM(节奏预期!$D11:$H11)</f>
        <v>3660</v>
      </c>
      <c r="BO11" s="94">
        <f>IF(节奏预期!D11="","",IF(节奏预期!I11="",0,装备强化!D$4*节奏预期!I11))</f>
        <v>3.6</v>
      </c>
      <c r="BP11" s="94">
        <f>IF(节奏预期!E11="","",IF(节奏预期!J11="",0,装备强化!E$4*节奏预期!J11))</f>
        <v>8</v>
      </c>
      <c r="BQ11" s="94">
        <f>IF(节奏预期!F11="","",IF(节奏预期!K11="",0,装备强化!F$4*节奏预期!K11))</f>
        <v>18</v>
      </c>
      <c r="BR11" s="94">
        <f>IF(节奏预期!G11="","",IF(节奏预期!L11="",0,装备强化!G$4*节奏预期!L11))</f>
        <v>31.450000000000003</v>
      </c>
      <c r="BS11" s="94">
        <f>IF(节奏预期!H11="","",IF(节奏预期!M11="",0,装备强化!H$4*节奏预期!M11))</f>
        <v>53.13</v>
      </c>
      <c r="BT11" s="80">
        <f>SUMPRODUCT(BO11:BS11,节奏预期!D11:H11)/SUM(节奏预期!D11:H11)</f>
        <v>38.676666666666669</v>
      </c>
      <c r="BW11" s="25">
        <v>8</v>
      </c>
      <c r="BX11" s="47">
        <v>60</v>
      </c>
      <c r="BY11" s="52">
        <f t="shared" si="12"/>
        <v>38.676666666666669</v>
      </c>
      <c r="BZ11" s="52">
        <f t="shared" si="13"/>
        <v>3660</v>
      </c>
      <c r="CA11" s="52">
        <f t="shared" si="14"/>
        <v>3660</v>
      </c>
      <c r="CB11" s="109">
        <f>(BY11-BY10)*(INDEX([2]非r将兵属性验证!V$7:V$166,$BX11,1)+INDEX([2]非r将兵属性验证!$AP$7:$AP$166,$BX11,1))+CB10</f>
        <v>470356482.44373453</v>
      </c>
      <c r="CC11" s="109">
        <f>(BZ11-BZ10)*INDEX([2]非r将兵属性验证!W$7:W$166,$BX11,1)+CC10</f>
        <v>651278764.12952995</v>
      </c>
      <c r="CD11" s="109">
        <f>(CA11-CA10)*INDEX([2]非r将兵属性验证!X$7:X$166,$BX11,1)+CD10</f>
        <v>651278764.12952995</v>
      </c>
      <c r="CE11" s="52">
        <f t="shared" si="15"/>
        <v>1772914010.7027946</v>
      </c>
      <c r="CF11" s="151"/>
      <c r="CI11" s="71">
        <v>60</v>
      </c>
      <c r="CJ11" s="75">
        <f t="shared" si="16"/>
        <v>913500</v>
      </c>
      <c r="CK11" s="75">
        <f>(CJ11-CJ10)*INDEX('[1]功能-付费相关'!$BI$6:$BI$165,$CI11,1)+CK10</f>
        <v>63667.747837617571</v>
      </c>
      <c r="CL11" s="75">
        <f t="shared" si="17"/>
        <v>36540000</v>
      </c>
      <c r="CM11" s="75">
        <f>(CL11-CL10)*INDEX('[1]功能-付费相关'!$AQ$6:$AQ$165,$CI11,1)+CM10</f>
        <v>48376.726190476191</v>
      </c>
      <c r="CO11" s="71">
        <v>60</v>
      </c>
      <c r="CP11" s="138">
        <f t="shared" si="18"/>
        <v>63667.747837617571</v>
      </c>
      <c r="CQ11" s="138">
        <f t="shared" si="19"/>
        <v>48376.726190476191</v>
      </c>
      <c r="CR11" s="84">
        <f t="shared" si="20"/>
        <v>112044.47402809377</v>
      </c>
    </row>
    <row r="12" spans="2:96" x14ac:dyDescent="0.15">
      <c r="J12" s="46">
        <f>INDEX('[1]资源-装备经验'!Y$6:Y$165,(K12+1)/2,1)</f>
        <v>0</v>
      </c>
      <c r="K12" s="53">
        <v>8</v>
      </c>
      <c r="L12" s="113">
        <v>5</v>
      </c>
      <c r="M12" s="122">
        <f t="shared" si="4"/>
        <v>5</v>
      </c>
      <c r="N12" s="120">
        <f t="shared" si="5"/>
        <v>10</v>
      </c>
      <c r="O12" s="120">
        <f t="shared" si="1"/>
        <v>20</v>
      </c>
      <c r="P12" s="120">
        <f t="shared" si="1"/>
        <v>50</v>
      </c>
      <c r="Q12" s="120">
        <f t="shared" si="1"/>
        <v>150</v>
      </c>
      <c r="S12" s="53">
        <v>8</v>
      </c>
      <c r="T12" s="53">
        <f>SUM(M$5:M12)</f>
        <v>40</v>
      </c>
      <c r="U12" s="53">
        <f>SUM(N$5:N12)</f>
        <v>80</v>
      </c>
      <c r="V12" s="53">
        <f>SUM(O$5:O12)</f>
        <v>160</v>
      </c>
      <c r="W12" s="53">
        <f>SUM(P$5:P12)</f>
        <v>400</v>
      </c>
      <c r="X12" s="53">
        <f>SUM(Q$5:Q12)</f>
        <v>1200</v>
      </c>
      <c r="Z12" s="47">
        <v>8</v>
      </c>
      <c r="AA12" s="47">
        <f t="shared" si="6"/>
        <v>200</v>
      </c>
      <c r="AB12" s="47">
        <f t="shared" si="7"/>
        <v>400</v>
      </c>
      <c r="AC12" s="47">
        <f t="shared" si="8"/>
        <v>800</v>
      </c>
      <c r="AD12" s="47">
        <f t="shared" si="9"/>
        <v>2000</v>
      </c>
      <c r="AE12" s="47">
        <f t="shared" si="10"/>
        <v>6000</v>
      </c>
      <c r="AG12" s="47">
        <v>8</v>
      </c>
      <c r="AH12" s="53">
        <f>SUM(AA$5:AA12)</f>
        <v>1600</v>
      </c>
      <c r="AI12" s="53">
        <f>SUM(AB$5:AB12)</f>
        <v>3200</v>
      </c>
      <c r="AJ12" s="53">
        <f>SUM(AC$5:AC12)</f>
        <v>6400</v>
      </c>
      <c r="AK12" s="53">
        <f>SUM(AD$5:AD12)</f>
        <v>16000</v>
      </c>
      <c r="AL12" s="53">
        <f>SUM(AE$5:AE12)</f>
        <v>48000</v>
      </c>
      <c r="AO12" s="46">
        <v>10</v>
      </c>
      <c r="AP12" s="37">
        <f>节奏预期!B12</f>
        <v>70</v>
      </c>
      <c r="AQ12" s="134">
        <f>IFERROR(INDEX(AH$5:AH$304,MATCH(节奏预期!N12,$AG$5:$AG$304,0))*节奏预期!D12,0)</f>
        <v>0</v>
      </c>
      <c r="AR12" s="134">
        <f>IFERROR(INDEX(AI$5:AI$304,MATCH(节奏预期!O12,$AG$5:$AG$304,0))*节奏预期!E12,0)</f>
        <v>0</v>
      </c>
      <c r="AS12" s="134">
        <f>IFERROR(INDEX(AJ$5:AJ$304,MATCH(节奏预期!P12,$AG$5:$AG$304,0))*节奏预期!F12,0)</f>
        <v>0</v>
      </c>
      <c r="AT12" s="134">
        <f>IFERROR(INDEX(AK$5:AK$304,MATCH(节奏预期!Q12,$AG$5:$AG$304,0))*节奏预期!G12,0)</f>
        <v>7308000</v>
      </c>
      <c r="AU12" s="134">
        <f>IFERROR(INDEX(AL$5:AL$304,MATCH(节奏预期!R12,$AG$5:$AG$304,0))*节奏预期!H12,0)</f>
        <v>76680000</v>
      </c>
      <c r="AV12" s="136">
        <f t="shared" si="21"/>
        <v>83988000</v>
      </c>
      <c r="AW12" s="134">
        <f>IFERROR(INDEX(T$5:T$304,MATCH(节奏预期!N12,$S$5:$S$304,0))*节奏预期!D12,0)</f>
        <v>0</v>
      </c>
      <c r="AX12" s="134">
        <f>IFERROR(INDEX(U$5:U$304,MATCH(节奏预期!O12,$S$5:$S$304,0))*节奏预期!E12,0)</f>
        <v>0</v>
      </c>
      <c r="AY12" s="134">
        <f>IFERROR(INDEX(V$5:V$304,MATCH(节奏预期!P12,$S$5:$S$304,0))*节奏预期!F12,0)</f>
        <v>0</v>
      </c>
      <c r="AZ12" s="134">
        <f>IFERROR(INDEX(W$5:W$304,MATCH(节奏预期!Q12,$S$5:$S$304,0))*节奏预期!G12,0)</f>
        <v>182700</v>
      </c>
      <c r="BA12" s="134">
        <f>IFERROR(INDEX(X$5:X$304,MATCH(节奏预期!R12,$S$5:$S$304,0))*节奏预期!H12,0)</f>
        <v>1917000</v>
      </c>
      <c r="BB12" s="136">
        <f t="shared" si="22"/>
        <v>2099700</v>
      </c>
      <c r="BC12" s="96" t="str">
        <f>IF(节奏预期!N12="","",节奏预期!N12*装备强化!D$8+装备强化!D$5)</f>
        <v/>
      </c>
      <c r="BD12" s="96" t="str">
        <f>IF(节奏预期!O12="","",节奏预期!O12*装备强化!E$8+装备强化!E$5)</f>
        <v/>
      </c>
      <c r="BE12" s="96" t="str">
        <f>IF(节奏预期!P12="","",节奏预期!P12*装备强化!F$8+装备强化!F$5)</f>
        <v/>
      </c>
      <c r="BF12" s="96">
        <f>IF(节奏预期!Q12="","",节奏预期!Q12*装备强化!G$8+装备强化!G$5)</f>
        <v>3020</v>
      </c>
      <c r="BG12" s="96">
        <f>IF(节奏预期!R12="","",节奏预期!R12*装备强化!H$8+装备强化!H$5)</f>
        <v>5600</v>
      </c>
      <c r="BH12" s="14">
        <f>SUMPRODUCT(BC12:BG12,节奏预期!$D12:$H12)/SUM(节奏预期!$D12:$H12)</f>
        <v>4740</v>
      </c>
      <c r="BI12" s="13" t="str">
        <f>IF(节奏预期!N12="","",节奏预期!N12*装备强化!D$9+装备强化!D$6)</f>
        <v/>
      </c>
      <c r="BJ12" s="96" t="str">
        <f>IF(节奏预期!O12="","",节奏预期!O12*装备强化!E$9+装备强化!E$6)</f>
        <v/>
      </c>
      <c r="BK12" s="96" t="str">
        <f>IF(节奏预期!P12="","",节奏预期!P12*装备强化!F$9+装备强化!F$6)</f>
        <v/>
      </c>
      <c r="BL12" s="96">
        <f>IF(节奏预期!Q12="","",节奏预期!Q12*装备强化!G$9+装备强化!G$6)</f>
        <v>3020</v>
      </c>
      <c r="BM12" s="96">
        <f>IF(节奏预期!R12="","",节奏预期!R12*装备强化!H$9+装备强化!H$6)</f>
        <v>5600</v>
      </c>
      <c r="BN12" s="14">
        <f>SUMPRODUCT(BI12:BM12,节奏预期!$D12:$H12)/SUM(节奏预期!$D12:$H12)</f>
        <v>4740</v>
      </c>
      <c r="BO12" s="94">
        <f>IF(节奏预期!D12="","",IF(节奏预期!I12="",0,装备强化!D$4*节奏预期!I12))</f>
        <v>3.6</v>
      </c>
      <c r="BP12" s="94">
        <f>IF(节奏预期!E12="","",IF(节奏预期!J12="",0,装备强化!E$4*节奏预期!J12))</f>
        <v>8</v>
      </c>
      <c r="BQ12" s="94">
        <f>IF(节奏预期!F12="","",IF(节奏预期!K12="",0,装备强化!F$4*节奏预期!K12))</f>
        <v>18</v>
      </c>
      <c r="BR12" s="94">
        <f>IF(节奏预期!G12="","",IF(节奏预期!L12="",0,装备强化!G$4*节奏预期!L12))</f>
        <v>34</v>
      </c>
      <c r="BS12" s="94">
        <f>IF(节奏预期!H12="","",IF(节奏预期!M12="",0,装备强化!H$4*节奏预期!M12))</f>
        <v>57.42</v>
      </c>
      <c r="BT12" s="80">
        <f>SUMPRODUCT(BO12:BS12,节奏预期!D12:H12)/SUM(节奏预期!D12:H12)</f>
        <v>49.61333333333333</v>
      </c>
      <c r="BW12" s="25">
        <v>9</v>
      </c>
      <c r="BX12" s="47">
        <v>70</v>
      </c>
      <c r="BY12" s="52">
        <f t="shared" si="12"/>
        <v>49.61333333333333</v>
      </c>
      <c r="BZ12" s="52">
        <f t="shared" si="13"/>
        <v>4740</v>
      </c>
      <c r="CA12" s="52">
        <f t="shared" si="14"/>
        <v>4740</v>
      </c>
      <c r="CB12" s="109">
        <f>(BY12-BY11)*(INDEX([2]非r将兵属性验证!V$7:V$166,$BX12,1)+INDEX([2]非r将兵属性验证!$AP$7:$AP$166,$BX12,1))+CB11</f>
        <v>1512256266.7399902</v>
      </c>
      <c r="CC12" s="109">
        <f>(BZ12-BZ11)*INDEX([2]非r将兵属性验证!W$7:W$166,$BX12,1)+CC11</f>
        <v>1597267481.3919194</v>
      </c>
      <c r="CD12" s="109">
        <f>(CA12-CA11)*INDEX([2]非r将兵属性验证!X$7:X$166,$BX12,1)+CD11</f>
        <v>1597267481.3919194</v>
      </c>
      <c r="CE12" s="52">
        <f t="shared" si="15"/>
        <v>4706791229.5238285</v>
      </c>
      <c r="CF12" s="151"/>
      <c r="CI12" s="71">
        <v>70</v>
      </c>
      <c r="CJ12" s="75">
        <f t="shared" si="16"/>
        <v>2099700</v>
      </c>
      <c r="CK12" s="75">
        <f>(CJ12-CJ11)*INDEX('[1]功能-付费相关'!$BI$6:$BI$165,$CI12,1)+CK11</f>
        <v>122556.61337433985</v>
      </c>
      <c r="CL12" s="75">
        <f t="shared" si="17"/>
        <v>83988000</v>
      </c>
      <c r="CM12" s="75">
        <f>(CL12-CL11)*INDEX('[1]功能-付费相关'!$AQ$6:$AQ$165,$CI12,1)+CM11</f>
        <v>102294.90800865801</v>
      </c>
      <c r="CO12" s="71">
        <v>70</v>
      </c>
      <c r="CP12" s="138">
        <f t="shared" si="18"/>
        <v>122556.61337433985</v>
      </c>
      <c r="CQ12" s="138">
        <f t="shared" si="19"/>
        <v>102294.90800865801</v>
      </c>
      <c r="CR12" s="84">
        <f t="shared" si="20"/>
        <v>224851.52138299786</v>
      </c>
    </row>
    <row r="13" spans="2:96" x14ac:dyDescent="0.15">
      <c r="D13" s="47" t="s">
        <v>216</v>
      </c>
      <c r="E13" s="47" t="s">
        <v>123</v>
      </c>
      <c r="F13" s="47" t="s">
        <v>2</v>
      </c>
      <c r="G13" s="47" t="s">
        <v>125</v>
      </c>
      <c r="H13" s="47" t="s">
        <v>126</v>
      </c>
      <c r="I13" s="139" t="s">
        <v>405</v>
      </c>
      <c r="J13" s="46">
        <f>INDEX('[1]资源-装备经验'!Y$6:Y$165,(K13+1)/2,1)</f>
        <v>0</v>
      </c>
      <c r="K13" s="53">
        <v>9</v>
      </c>
      <c r="L13" s="113">
        <v>5</v>
      </c>
      <c r="M13" s="122">
        <f t="shared" si="4"/>
        <v>5</v>
      </c>
      <c r="N13" s="120">
        <f t="shared" si="5"/>
        <v>10</v>
      </c>
      <c r="O13" s="120">
        <f t="shared" si="1"/>
        <v>20</v>
      </c>
      <c r="P13" s="120">
        <f t="shared" si="1"/>
        <v>50</v>
      </c>
      <c r="Q13" s="120">
        <f t="shared" si="1"/>
        <v>150</v>
      </c>
      <c r="S13" s="53">
        <v>9</v>
      </c>
      <c r="T13" s="53">
        <f>SUM(M$5:M13)</f>
        <v>45</v>
      </c>
      <c r="U13" s="53">
        <f>SUM(N$5:N13)</f>
        <v>90</v>
      </c>
      <c r="V13" s="53">
        <f>SUM(O$5:O13)</f>
        <v>180</v>
      </c>
      <c r="W13" s="53">
        <f>SUM(P$5:P13)</f>
        <v>450</v>
      </c>
      <c r="X13" s="53">
        <f>SUM(Q$5:Q13)</f>
        <v>1350</v>
      </c>
      <c r="Z13" s="47">
        <v>9</v>
      </c>
      <c r="AA13" s="47">
        <f t="shared" si="6"/>
        <v>200</v>
      </c>
      <c r="AB13" s="47">
        <f t="shared" si="7"/>
        <v>400</v>
      </c>
      <c r="AC13" s="47">
        <f t="shared" si="8"/>
        <v>800</v>
      </c>
      <c r="AD13" s="47">
        <f t="shared" si="9"/>
        <v>2000</v>
      </c>
      <c r="AE13" s="47">
        <f t="shared" si="10"/>
        <v>6000</v>
      </c>
      <c r="AG13" s="47">
        <v>9</v>
      </c>
      <c r="AH13" s="53">
        <f>SUM(AA$5:AA13)</f>
        <v>1800</v>
      </c>
      <c r="AI13" s="53">
        <f>SUM(AB$5:AB13)</f>
        <v>3600</v>
      </c>
      <c r="AJ13" s="53">
        <f>SUM(AC$5:AC13)</f>
        <v>7200</v>
      </c>
      <c r="AK13" s="53">
        <f>SUM(AD$5:AD13)</f>
        <v>18000</v>
      </c>
      <c r="AL13" s="53">
        <f>SUM(AE$5:AE13)</f>
        <v>54000</v>
      </c>
      <c r="AO13" s="46">
        <v>11</v>
      </c>
      <c r="AP13" s="37">
        <f>节奏预期!B13</f>
        <v>80</v>
      </c>
      <c r="AQ13" s="134">
        <f>IFERROR(INDEX(AH$5:AH$304,MATCH(节奏预期!N13,$AG$5:$AG$304,0))*节奏预期!D13,0)</f>
        <v>0</v>
      </c>
      <c r="AR13" s="134">
        <f>IFERROR(INDEX(AI$5:AI$304,MATCH(节奏预期!O13,$AG$5:$AG$304,0))*节奏预期!E13,0)</f>
        <v>0</v>
      </c>
      <c r="AS13" s="134">
        <f>IFERROR(INDEX(AJ$5:AJ$304,MATCH(节奏预期!P13,$AG$5:$AG$304,0))*节奏预期!F13,0)</f>
        <v>0</v>
      </c>
      <c r="AT13" s="134">
        <f>IFERROR(INDEX(AK$5:AK$304,MATCH(节奏预期!Q13,$AG$5:$AG$304,0))*节奏预期!G13,0)</f>
        <v>0</v>
      </c>
      <c r="AU13" s="134">
        <f>IFERROR(INDEX(AL$5:AL$304,MATCH(节奏预期!R13,$AG$5:$AG$304,0))*节奏预期!H13,0)</f>
        <v>210492000</v>
      </c>
      <c r="AV13" s="136">
        <f t="shared" si="21"/>
        <v>210492000</v>
      </c>
      <c r="AW13" s="134">
        <f>IFERROR(INDEX(T$5:T$304,MATCH(节奏预期!N13,$S$5:$S$304,0))*节奏预期!D13,0)</f>
        <v>0</v>
      </c>
      <c r="AX13" s="134">
        <f>IFERROR(INDEX(U$5:U$304,MATCH(节奏预期!O13,$S$5:$S$304,0))*节奏预期!E13,0)</f>
        <v>0</v>
      </c>
      <c r="AY13" s="134">
        <f>IFERROR(INDEX(V$5:V$304,MATCH(节奏预期!P13,$S$5:$S$304,0))*节奏预期!F13,0)</f>
        <v>0</v>
      </c>
      <c r="AZ13" s="134">
        <f>IFERROR(INDEX(W$5:W$304,MATCH(节奏预期!Q13,$S$5:$S$304,0))*节奏预期!G13,0)</f>
        <v>0</v>
      </c>
      <c r="BA13" s="134">
        <f>IFERROR(INDEX(X$5:X$304,MATCH(节奏预期!R13,$S$5:$S$304,0))*节奏预期!H13,0)</f>
        <v>5262300</v>
      </c>
      <c r="BB13" s="136">
        <f t="shared" si="22"/>
        <v>5262300</v>
      </c>
      <c r="BC13" s="96" t="str">
        <f>IF(节奏预期!N13="","",节奏预期!N13*装备强化!D$8+装备强化!D$5)</f>
        <v/>
      </c>
      <c r="BD13" s="96" t="str">
        <f>IF(节奏预期!O13="","",节奏预期!O13*装备强化!E$8+装备强化!E$5)</f>
        <v/>
      </c>
      <c r="BE13" s="96" t="str">
        <f>IF(节奏预期!P13="","",节奏预期!P13*装备强化!F$8+装备强化!F$5)</f>
        <v/>
      </c>
      <c r="BF13" s="96" t="str">
        <f>IF(节奏预期!Q13="","",节奏预期!Q13*装备强化!G$8+装备强化!G$5)</f>
        <v/>
      </c>
      <c r="BG13" s="96">
        <f>IF(节奏预期!R13="","",节奏预期!R13*装备强化!H$8+装备强化!H$5)</f>
        <v>6260</v>
      </c>
      <c r="BH13" s="14">
        <f>SUMPRODUCT(BC13:BG13,节奏预期!$D13:$H13)/SUM(节奏预期!$D13:$H13)</f>
        <v>6260</v>
      </c>
      <c r="BI13" s="13" t="str">
        <f>IF(节奏预期!N13="","",节奏预期!N13*装备强化!D$9+装备强化!D$6)</f>
        <v/>
      </c>
      <c r="BJ13" s="96" t="str">
        <f>IF(节奏预期!O13="","",节奏预期!O13*装备强化!E$9+装备强化!E$6)</f>
        <v/>
      </c>
      <c r="BK13" s="96" t="str">
        <f>IF(节奏预期!P13="","",节奏预期!P13*装备强化!F$9+装备强化!F$6)</f>
        <v/>
      </c>
      <c r="BL13" s="96" t="str">
        <f>IF(节奏预期!Q13="","",节奏预期!Q13*装备强化!G$9+装备强化!G$6)</f>
        <v/>
      </c>
      <c r="BM13" s="96">
        <f>IF(节奏预期!R13="","",节奏预期!R13*装备强化!H$9+装备强化!H$6)</f>
        <v>6260</v>
      </c>
      <c r="BN13" s="14">
        <f>SUMPRODUCT(BI13:BM13,节奏预期!$D13:$H13)/SUM(节奏预期!$D13:$H13)</f>
        <v>6260</v>
      </c>
      <c r="BO13" s="94">
        <f>IF(节奏预期!D13="","",IF(节奏预期!I13="",0,装备强化!D$4*节奏预期!I13))</f>
        <v>3.6</v>
      </c>
      <c r="BP13" s="94">
        <f>IF(节奏预期!E13="","",IF(节奏预期!J13="",0,装备强化!E$4*节奏预期!J13))</f>
        <v>8</v>
      </c>
      <c r="BQ13" s="94">
        <f>IF(节奏预期!F13="","",IF(节奏预期!K13="",0,装备强化!F$4*节奏预期!K13))</f>
        <v>18</v>
      </c>
      <c r="BR13" s="94">
        <f>IF(节奏预期!G13="","",IF(节奏预期!L13="",0,装备强化!G$4*节奏预期!L13))</f>
        <v>34</v>
      </c>
      <c r="BS13" s="94">
        <f>IF(节奏预期!H13="","",IF(节奏预期!M13="",0,装备强化!H$4*节奏预期!M13))</f>
        <v>61.71</v>
      </c>
      <c r="BT13" s="80">
        <f>SUMPRODUCT(BO13:BS13,节奏预期!D13:H13)/SUM(节奏预期!D13:H13)</f>
        <v>61.71</v>
      </c>
      <c r="BW13" s="25">
        <v>10</v>
      </c>
      <c r="BX13" s="47">
        <v>80</v>
      </c>
      <c r="BY13" s="52">
        <f t="shared" si="12"/>
        <v>61.71</v>
      </c>
      <c r="BZ13" s="52">
        <f t="shared" si="13"/>
        <v>6260</v>
      </c>
      <c r="CA13" s="52">
        <f t="shared" si="14"/>
        <v>6260</v>
      </c>
      <c r="CB13" s="109">
        <f>(BY13-BY12)*(INDEX([2]非r将兵属性验证!V$7:V$166,$BX13,1)+INDEX([2]非r将兵属性验证!$AP$7:$AP$166,$BX13,1))+CB12</f>
        <v>4468074407.3978348</v>
      </c>
      <c r="CC13" s="109">
        <f>(BZ13-BZ12)*INDEX([2]非r将兵属性验证!W$7:W$166,$BX13,1)+CC12</f>
        <v>4305730931.3941221</v>
      </c>
      <c r="CD13" s="109">
        <f>(CA13-CA12)*INDEX([2]非r将兵属性验证!X$7:X$166,$BX13,1)+CD12</f>
        <v>4305730931.3941221</v>
      </c>
      <c r="CE13" s="52">
        <f t="shared" si="15"/>
        <v>13079536270.186081</v>
      </c>
      <c r="CF13" s="151"/>
      <c r="CI13" s="71">
        <v>80</v>
      </c>
      <c r="CJ13" s="75">
        <f t="shared" si="16"/>
        <v>5262300</v>
      </c>
      <c r="CK13" s="75">
        <f>(CJ13-CJ12)*INDEX('[1]功能-付费相关'!$BI$6:$BI$165,$CI13,1)+CK12</f>
        <v>251357.19293908821</v>
      </c>
      <c r="CL13" s="75">
        <f t="shared" si="17"/>
        <v>210492000</v>
      </c>
      <c r="CM13" s="75">
        <f>(CL13-CL12)*INDEX('[1]功能-付费相关'!$AQ$6:$AQ$165,$CI13,1)+CM12</f>
        <v>234069.90800865801</v>
      </c>
      <c r="CO13" s="71">
        <v>80</v>
      </c>
      <c r="CP13" s="138">
        <f t="shared" si="18"/>
        <v>251357.19293908821</v>
      </c>
      <c r="CQ13" s="138">
        <f t="shared" si="19"/>
        <v>234069.90800865801</v>
      </c>
      <c r="CR13" s="84">
        <f t="shared" si="20"/>
        <v>485427.10094774619</v>
      </c>
    </row>
    <row r="14" spans="2:96" x14ac:dyDescent="0.15">
      <c r="C14" s="47" t="s">
        <v>215</v>
      </c>
      <c r="D14" s="47">
        <v>20</v>
      </c>
      <c r="E14" s="92">
        <v>40</v>
      </c>
      <c r="F14" s="92">
        <v>80</v>
      </c>
      <c r="G14" s="92">
        <v>150</v>
      </c>
      <c r="H14" s="92">
        <v>300</v>
      </c>
      <c r="I14" s="140">
        <v>300</v>
      </c>
      <c r="J14" s="46">
        <f>INDEX('[1]资源-装备经验'!Y$6:Y$165,(K14+1)/2,1)</f>
        <v>0</v>
      </c>
      <c r="K14" s="53">
        <v>10</v>
      </c>
      <c r="L14" s="113">
        <v>5</v>
      </c>
      <c r="M14" s="122">
        <f t="shared" si="4"/>
        <v>5</v>
      </c>
      <c r="N14" s="120">
        <f t="shared" si="5"/>
        <v>10</v>
      </c>
      <c r="O14" s="120">
        <f t="shared" si="1"/>
        <v>20</v>
      </c>
      <c r="P14" s="120">
        <f t="shared" si="1"/>
        <v>50</v>
      </c>
      <c r="Q14" s="120">
        <f t="shared" si="1"/>
        <v>150</v>
      </c>
      <c r="S14" s="53">
        <v>10</v>
      </c>
      <c r="T14" s="53">
        <f>SUM(M$5:M14)</f>
        <v>50</v>
      </c>
      <c r="U14" s="53">
        <f>SUM(N$5:N14)</f>
        <v>100</v>
      </c>
      <c r="V14" s="53">
        <f>SUM(O$5:O14)</f>
        <v>200</v>
      </c>
      <c r="W14" s="53">
        <f>SUM(P$5:P14)</f>
        <v>500</v>
      </c>
      <c r="X14" s="53">
        <f>SUM(Q$5:Q14)</f>
        <v>1500</v>
      </c>
      <c r="Z14" s="47">
        <v>10</v>
      </c>
      <c r="AA14" s="47">
        <f t="shared" si="6"/>
        <v>200</v>
      </c>
      <c r="AB14" s="47">
        <f t="shared" si="7"/>
        <v>400</v>
      </c>
      <c r="AC14" s="47">
        <f t="shared" si="8"/>
        <v>800</v>
      </c>
      <c r="AD14" s="47">
        <f>P14*$D$16</f>
        <v>2000</v>
      </c>
      <c r="AE14" s="47">
        <f t="shared" si="10"/>
        <v>6000</v>
      </c>
      <c r="AG14" s="47">
        <v>10</v>
      </c>
      <c r="AH14" s="53">
        <f>SUM(AA$5:AA14)</f>
        <v>2000</v>
      </c>
      <c r="AI14" s="53">
        <f>SUM(AB$5:AB14)</f>
        <v>4000</v>
      </c>
      <c r="AJ14" s="53">
        <f>SUM(AC$5:AC14)</f>
        <v>8000</v>
      </c>
      <c r="AK14" s="53">
        <f>SUM(AD$5:AD14)</f>
        <v>20000</v>
      </c>
      <c r="AL14" s="53">
        <f>SUM(AE$5:AE14)</f>
        <v>60000</v>
      </c>
      <c r="AO14" s="46">
        <v>12</v>
      </c>
      <c r="AP14" s="37">
        <f>节奏预期!B14</f>
        <v>90</v>
      </c>
      <c r="AQ14" s="134">
        <f>IFERROR(INDEX(AH$5:AH$304,MATCH(节奏预期!N14,$AG$5:$AG$304,0))*节奏预期!D14,0)</f>
        <v>0</v>
      </c>
      <c r="AR14" s="134">
        <f>IFERROR(INDEX(AI$5:AI$304,MATCH(节奏预期!O14,$AG$5:$AG$304,0))*节奏预期!E14,0)</f>
        <v>0</v>
      </c>
      <c r="AS14" s="134">
        <f>IFERROR(INDEX(AJ$5:AJ$304,MATCH(节奏预期!P14,$AG$5:$AG$304,0))*节奏预期!F14,0)</f>
        <v>0</v>
      </c>
      <c r="AT14" s="134">
        <f>IFERROR(INDEX(AK$5:AK$304,MATCH(节奏预期!Q14,$AG$5:$AG$304,0))*节奏预期!G14,0)</f>
        <v>0</v>
      </c>
      <c r="AU14" s="134">
        <f>IFERROR(INDEX(AL$5:AL$304,MATCH(节奏预期!R14,$AG$5:$AG$304,0))*节奏预期!H14,0)</f>
        <v>486972000</v>
      </c>
      <c r="AV14" s="136">
        <f t="shared" si="21"/>
        <v>486972000</v>
      </c>
      <c r="AW14" s="134">
        <f>IFERROR(INDEX(T$5:T$304,MATCH(节奏预期!N14,$S$5:$S$304,0))*节奏预期!D14,0)</f>
        <v>0</v>
      </c>
      <c r="AX14" s="134">
        <f>IFERROR(INDEX(U$5:U$304,MATCH(节奏预期!O14,$S$5:$S$304,0))*节奏预期!E14,0)</f>
        <v>0</v>
      </c>
      <c r="AY14" s="134">
        <f>IFERROR(INDEX(V$5:V$304,MATCH(节奏预期!P14,$S$5:$S$304,0))*节奏预期!F14,0)</f>
        <v>0</v>
      </c>
      <c r="AZ14" s="134">
        <f>IFERROR(INDEX(W$5:W$304,MATCH(节奏预期!Q14,$S$5:$S$304,0))*节奏预期!G14,0)</f>
        <v>0</v>
      </c>
      <c r="BA14" s="134">
        <f>IFERROR(INDEX(X$5:X$304,MATCH(节奏预期!R14,$S$5:$S$304,0))*节奏预期!H14,0)</f>
        <v>12174300</v>
      </c>
      <c r="BB14" s="136">
        <f t="shared" si="22"/>
        <v>12174300</v>
      </c>
      <c r="BC14" s="96" t="str">
        <f>IF(节奏预期!N14="","",节奏预期!N14*装备强化!D$8+装备强化!D$5)</f>
        <v/>
      </c>
      <c r="BD14" s="96" t="str">
        <f>IF(节奏预期!O14="","",节奏预期!O14*装备强化!E$8+装备强化!E$5)</f>
        <v/>
      </c>
      <c r="BE14" s="96" t="str">
        <f>IF(节奏预期!P14="","",节奏预期!P14*装备强化!F$8+装备强化!F$5)</f>
        <v/>
      </c>
      <c r="BF14" s="96" t="str">
        <f>IF(节奏预期!Q14="","",节奏预期!Q14*装备强化!G$8+装备强化!G$5)</f>
        <v/>
      </c>
      <c r="BG14" s="96">
        <f>IF(节奏预期!R14="","",节奏预期!R14*装备强化!H$8+装备强化!H$5)</f>
        <v>6920</v>
      </c>
      <c r="BH14" s="14">
        <f>SUMPRODUCT(BC14:BG14,节奏预期!$D14:$H14)/SUM(节奏预期!$D14:$H14)</f>
        <v>6920</v>
      </c>
      <c r="BI14" s="13" t="str">
        <f>IF(节奏预期!N14="","",节奏预期!N14*装备强化!D$9+装备强化!D$6)</f>
        <v/>
      </c>
      <c r="BJ14" s="96" t="str">
        <f>IF(节奏预期!O14="","",节奏预期!O14*装备强化!E$9+装备强化!E$6)</f>
        <v/>
      </c>
      <c r="BK14" s="96" t="str">
        <f>IF(节奏预期!P14="","",节奏预期!P14*装备强化!F$9+装备强化!F$6)</f>
        <v/>
      </c>
      <c r="BL14" s="96" t="str">
        <f>IF(节奏预期!Q14="","",节奏预期!Q14*装备强化!G$9+装备强化!G$6)</f>
        <v/>
      </c>
      <c r="BM14" s="96">
        <f>IF(节奏预期!R14="","",节奏预期!R14*装备强化!H$9+装备强化!H$6)</f>
        <v>6920</v>
      </c>
      <c r="BN14" s="14">
        <f>SUMPRODUCT(BI14:BM14,节奏预期!$D14:$H14)/SUM(节奏预期!$D14:$H14)</f>
        <v>6920</v>
      </c>
      <c r="BO14" s="94">
        <f>IF(节奏预期!D14="","",IF(节奏预期!I14="",0,装备强化!D$4*节奏预期!I14))</f>
        <v>3.6</v>
      </c>
      <c r="BP14" s="94">
        <f>IF(节奏预期!E14="","",IF(节奏预期!J14="",0,装备强化!E$4*节奏预期!J14))</f>
        <v>8</v>
      </c>
      <c r="BQ14" s="94">
        <f>IF(节奏预期!F14="","",IF(节奏预期!K14="",0,装备强化!F$4*节奏预期!K14))</f>
        <v>18</v>
      </c>
      <c r="BR14" s="94">
        <f>IF(节奏预期!G14="","",IF(节奏预期!L14="",0,装备强化!G$4*节奏预期!L14))</f>
        <v>34</v>
      </c>
      <c r="BS14" s="94">
        <f>IF(节奏预期!H14="","",IF(节奏预期!M14="",0,装备强化!H$4*节奏预期!M14))</f>
        <v>66</v>
      </c>
      <c r="BT14" s="80">
        <f>SUMPRODUCT(BO14:BS14,节奏预期!D14:H14)/SUM(节奏预期!D14:H14)</f>
        <v>66</v>
      </c>
      <c r="BW14" s="25">
        <v>11</v>
      </c>
      <c r="BX14" s="47">
        <v>90</v>
      </c>
      <c r="BY14" s="52">
        <f t="shared" si="12"/>
        <v>66</v>
      </c>
      <c r="BZ14" s="52">
        <f t="shared" si="13"/>
        <v>6920</v>
      </c>
      <c r="CA14" s="52">
        <f t="shared" si="14"/>
        <v>6920</v>
      </c>
      <c r="CB14" s="109">
        <f>(BY14-BY13)*(INDEX([2]非r将兵属性验证!V$7:V$166,$BX14,1)+INDEX([2]非r将兵属性验证!$AP$7:$AP$166,$BX14,1))+CB13</f>
        <v>6722339644.7700577</v>
      </c>
      <c r="CC14" s="109">
        <f>(BZ14-BZ13)*INDEX([2]非r将兵属性验证!W$7:W$166,$BX14,1)+CC13</f>
        <v>6554770306.7500362</v>
      </c>
      <c r="CD14" s="109">
        <f>(CA14-CA13)*INDEX([2]非r将兵属性验证!X$7:X$166,$BX14,1)+CD13</f>
        <v>6554770306.7500362</v>
      </c>
      <c r="CE14" s="52">
        <f t="shared" si="15"/>
        <v>19831880258.27013</v>
      </c>
      <c r="CF14" s="151"/>
      <c r="CI14" s="71">
        <v>90</v>
      </c>
      <c r="CJ14" s="75">
        <f t="shared" si="16"/>
        <v>12174300</v>
      </c>
      <c r="CK14" s="75">
        <f>(CJ14-CJ13)*INDEX('[1]功能-付费相关'!$BI$6:$BI$165,$CI14,1)+CK13</f>
        <v>482284.64429963671</v>
      </c>
      <c r="CL14" s="75">
        <f t="shared" si="17"/>
        <v>486972000</v>
      </c>
      <c r="CM14" s="75">
        <f>(CL14-CL13)*INDEX('[1]功能-付费相关'!$AQ$6:$AQ$165,$CI14,1)+CM13</f>
        <v>499916.06185481185</v>
      </c>
      <c r="CO14" s="71">
        <v>90</v>
      </c>
      <c r="CP14" s="138">
        <f t="shared" si="18"/>
        <v>482284.64429963671</v>
      </c>
      <c r="CQ14" s="138">
        <f t="shared" si="19"/>
        <v>499916.06185481185</v>
      </c>
      <c r="CR14" s="84">
        <f t="shared" si="20"/>
        <v>982200.70615444856</v>
      </c>
    </row>
    <row r="15" spans="2:96" x14ac:dyDescent="0.15">
      <c r="J15" s="46">
        <f>INDEX('[1]资源-装备经验'!Y$6:Y$165,(K15+1)/2,1)</f>
        <v>0</v>
      </c>
      <c r="K15" s="53">
        <v>11</v>
      </c>
      <c r="L15" s="113">
        <v>5</v>
      </c>
      <c r="M15" s="122">
        <f t="shared" si="4"/>
        <v>5</v>
      </c>
      <c r="N15" s="120">
        <f t="shared" si="5"/>
        <v>10</v>
      </c>
      <c r="O15" s="120">
        <f t="shared" si="1"/>
        <v>20</v>
      </c>
      <c r="P15" s="120">
        <f t="shared" si="1"/>
        <v>50</v>
      </c>
      <c r="Q15" s="120">
        <f t="shared" si="1"/>
        <v>150</v>
      </c>
      <c r="S15" s="53">
        <v>11</v>
      </c>
      <c r="T15" s="53">
        <f>SUM(M$5:M15)</f>
        <v>55</v>
      </c>
      <c r="U15" s="53">
        <f>SUM(N$5:N15)</f>
        <v>110</v>
      </c>
      <c r="V15" s="53">
        <f>SUM(O$5:O15)</f>
        <v>220</v>
      </c>
      <c r="W15" s="53">
        <f>SUM(P$5:P15)</f>
        <v>550</v>
      </c>
      <c r="X15" s="53">
        <f>SUM(Q$5:Q15)</f>
        <v>1650</v>
      </c>
      <c r="Z15" s="47">
        <v>11</v>
      </c>
      <c r="AA15" s="47">
        <f t="shared" si="6"/>
        <v>200</v>
      </c>
      <c r="AB15" s="47">
        <f t="shared" si="7"/>
        <v>400</v>
      </c>
      <c r="AC15" s="47">
        <f t="shared" si="8"/>
        <v>800</v>
      </c>
      <c r="AD15" s="47">
        <f t="shared" si="9"/>
        <v>2000</v>
      </c>
      <c r="AE15" s="47">
        <f t="shared" si="10"/>
        <v>6000</v>
      </c>
      <c r="AG15" s="47">
        <v>11</v>
      </c>
      <c r="AH15" s="53">
        <f>SUM(AA$5:AA15)</f>
        <v>2200</v>
      </c>
      <c r="AI15" s="53">
        <f>SUM(AB$5:AB15)</f>
        <v>4400</v>
      </c>
      <c r="AJ15" s="53">
        <f>SUM(AC$5:AC15)</f>
        <v>8800</v>
      </c>
      <c r="AK15" s="53">
        <f>SUM(AD$5:AD15)</f>
        <v>22000</v>
      </c>
      <c r="AL15" s="53">
        <f>SUM(AE$5:AE15)</f>
        <v>66000</v>
      </c>
      <c r="AO15" s="46">
        <v>13</v>
      </c>
      <c r="AP15" s="129">
        <f>节奏预期!B15</f>
        <v>100</v>
      </c>
      <c r="AQ15" s="134">
        <f>IFERROR(INDEX(AH$5:AH$304,MATCH(节奏预期!N15,$AG$5:$AG$304,0))*节奏预期!D15,0)</f>
        <v>0</v>
      </c>
      <c r="AR15" s="134">
        <f>IFERROR(INDEX(AI$5:AI$304,MATCH(节奏预期!O15,$AG$5:$AG$304,0))*节奏预期!E15,0)</f>
        <v>0</v>
      </c>
      <c r="AS15" s="134">
        <f>IFERROR(INDEX(AJ$5:AJ$304,MATCH(节奏预期!P15,$AG$5:$AG$304,0))*节奏预期!F15,0)</f>
        <v>0</v>
      </c>
      <c r="AT15" s="134">
        <f>IFERROR(INDEX(AK$5:AK$304,MATCH(节奏预期!Q15,$AG$5:$AG$304,0))*节奏预期!G15,0)</f>
        <v>0</v>
      </c>
      <c r="AU15" s="134">
        <f>IFERROR(INDEX(AL$5:AL$304,MATCH(节奏预期!R15,$AG$5:$AG$304,0))*节奏预期!H15,0)</f>
        <v>1117692000</v>
      </c>
      <c r="AV15" s="136">
        <f t="shared" si="21"/>
        <v>1117692000</v>
      </c>
      <c r="AW15" s="134">
        <f>IFERROR(INDEX(T$5:T$304,MATCH(节奏预期!N15,$S$5:$S$304,0))*节奏预期!D15,0)</f>
        <v>0</v>
      </c>
      <c r="AX15" s="134">
        <f>IFERROR(INDEX(U$5:U$304,MATCH(节奏预期!O15,$S$5:$S$304,0))*节奏预期!E15,0)</f>
        <v>0</v>
      </c>
      <c r="AY15" s="134">
        <f>IFERROR(INDEX(V$5:V$304,MATCH(节奏预期!P15,$S$5:$S$304,0))*节奏预期!F15,0)</f>
        <v>0</v>
      </c>
      <c r="AZ15" s="134">
        <f>IFERROR(INDEX(W$5:W$304,MATCH(节奏预期!Q15,$S$5:$S$304,0))*节奏预期!G15,0)</f>
        <v>0</v>
      </c>
      <c r="BA15" s="134">
        <f>IFERROR(INDEX(X$5:X$304,MATCH(节奏预期!R15,$S$5:$S$304,0))*节奏预期!H15,0)</f>
        <v>27942300</v>
      </c>
      <c r="BB15" s="136">
        <f t="shared" si="22"/>
        <v>27942300</v>
      </c>
      <c r="BC15" s="126" t="str">
        <f>IF(节奏预期!N15="","",节奏预期!N15*装备强化!D$8+装备强化!D$5)</f>
        <v/>
      </c>
      <c r="BD15" s="126" t="str">
        <f>IF(节奏预期!O15="","",节奏预期!O15*装备强化!E$8+装备强化!E$5)</f>
        <v/>
      </c>
      <c r="BE15" s="126" t="str">
        <f>IF(节奏预期!P15="","",节奏预期!P15*装备强化!F$8+装备强化!F$5)</f>
        <v/>
      </c>
      <c r="BF15" s="126" t="str">
        <f>IF(节奏预期!Q15="","",节奏预期!Q15*装备强化!G$8+装备强化!G$5)</f>
        <v/>
      </c>
      <c r="BG15" s="126">
        <f>IF(节奏预期!R15="","",节奏预期!R15*装备强化!H$8+装备强化!H$5)</f>
        <v>7580</v>
      </c>
      <c r="BH15" s="14">
        <f>SUMPRODUCT(BC15:BG15,节奏预期!$D15:$H15)/SUM(节奏预期!$D15:$H15)</f>
        <v>7580</v>
      </c>
      <c r="BI15" s="13" t="str">
        <f>IF(节奏预期!N15="","",节奏预期!N15*装备强化!D$9+装备强化!D$6)</f>
        <v/>
      </c>
      <c r="BJ15" s="126" t="str">
        <f>IF(节奏预期!O15="","",节奏预期!O15*装备强化!E$9+装备强化!E$6)</f>
        <v/>
      </c>
      <c r="BK15" s="126" t="str">
        <f>IF(节奏预期!P15="","",节奏预期!P15*装备强化!F$9+装备强化!F$6)</f>
        <v/>
      </c>
      <c r="BL15" s="126" t="str">
        <f>IF(节奏预期!Q15="","",节奏预期!Q15*装备强化!G$9+装备强化!G$6)</f>
        <v/>
      </c>
      <c r="BM15" s="126">
        <f>IF(节奏预期!R15="","",节奏预期!R15*装备强化!H$9+装备强化!H$6)</f>
        <v>7580</v>
      </c>
      <c r="BN15" s="14">
        <f>SUMPRODUCT(BI15:BM15,节奏预期!$D15:$H15)/SUM(节奏预期!$D15:$H15)</f>
        <v>7580</v>
      </c>
      <c r="BO15" s="128">
        <f>IF(节奏预期!D15="","",IF(节奏预期!I15="",0,装备强化!D$4*节奏预期!I15))</f>
        <v>3.6</v>
      </c>
      <c r="BP15" s="128">
        <f>IF(节奏预期!E15="","",IF(节奏预期!J15="",0,装备强化!E$4*节奏预期!J15))</f>
        <v>8</v>
      </c>
      <c r="BQ15" s="128">
        <f>IF(节奏预期!F15="","",IF(节奏预期!K15="",0,装备强化!F$4*节奏预期!K15))</f>
        <v>18</v>
      </c>
      <c r="BR15" s="128">
        <f>IF(节奏预期!G15="","",IF(节奏预期!L15="",0,装备强化!G$4*节奏预期!L15))</f>
        <v>34</v>
      </c>
      <c r="BS15" s="128">
        <f>IF(节奏预期!H15="","",IF(节奏预期!M15="",0,装备强化!H$4*节奏预期!M15))</f>
        <v>66</v>
      </c>
      <c r="BT15" s="80">
        <f>SUMPRODUCT(BO15:BS15,节奏预期!D15:H15)/SUM(节奏预期!D15:H15)</f>
        <v>66</v>
      </c>
      <c r="BW15" s="25">
        <v>12</v>
      </c>
      <c r="BX15" s="128">
        <v>100</v>
      </c>
      <c r="BY15" s="52">
        <f t="shared" si="12"/>
        <v>66</v>
      </c>
      <c r="BZ15" s="52">
        <f t="shared" si="13"/>
        <v>7580</v>
      </c>
      <c r="CA15" s="52">
        <f t="shared" si="14"/>
        <v>7580</v>
      </c>
      <c r="CB15" s="109">
        <f>(BY15-BY14)*(INDEX([2]非r将兵属性验证!V$7:V$166,$BX15,1)+INDEX([2]非r将兵属性验证!$AP$7:$AP$166,$BX15,1))+CB14</f>
        <v>6722339644.7700577</v>
      </c>
      <c r="CC15" s="109">
        <f>(BZ15-BZ14)*INDEX([2]非r将兵属性验证!W$7:W$166,$BX15,1)+CC14</f>
        <v>10212961921.430752</v>
      </c>
      <c r="CD15" s="109">
        <f>(CA15-CA14)*INDEX([2]非r将兵属性验证!X$7:X$166,$BX15,1)+CD14</f>
        <v>10212961921.430752</v>
      </c>
      <c r="CE15" s="52">
        <f t="shared" ref="CE15:CE21" si="24">SUM(CB15:CD15)</f>
        <v>27148263487.631561</v>
      </c>
      <c r="CF15" s="151"/>
      <c r="CI15" s="128">
        <v>100</v>
      </c>
      <c r="CJ15" s="75">
        <f t="shared" si="16"/>
        <v>27942300</v>
      </c>
      <c r="CK15" s="75">
        <f>(CJ15-CJ14)*INDEX('[1]功能-付费相关'!$BI$6:$BI$165,$CI15,1)+CK14</f>
        <v>914446.79350661754</v>
      </c>
      <c r="CL15" s="75">
        <f t="shared" si="17"/>
        <v>1117692000</v>
      </c>
      <c r="CM15" s="75">
        <f>(CL15-CL14)*INDEX('[1]功能-付费相关'!$AQ$6:$AQ$165,$CI15,1)+CM14</f>
        <v>1063058.9189976691</v>
      </c>
      <c r="CO15" s="128">
        <v>100</v>
      </c>
      <c r="CP15" s="138">
        <f t="shared" si="18"/>
        <v>914446.79350661754</v>
      </c>
      <c r="CQ15" s="138">
        <f t="shared" si="19"/>
        <v>1063058.9189976691</v>
      </c>
      <c r="CR15" s="84">
        <f t="shared" si="20"/>
        <v>1977505.7125042868</v>
      </c>
    </row>
    <row r="16" spans="2:96" x14ac:dyDescent="0.15">
      <c r="C16" s="162" t="s">
        <v>229</v>
      </c>
      <c r="D16" s="47">
        <v>40</v>
      </c>
      <c r="J16" s="46">
        <f>INDEX('[1]资源-装备经验'!Y$6:Y$165,(K16+1)/2,1)</f>
        <v>0</v>
      </c>
      <c r="K16" s="53">
        <v>12</v>
      </c>
      <c r="L16" s="113">
        <v>5</v>
      </c>
      <c r="M16" s="122">
        <f t="shared" si="4"/>
        <v>5</v>
      </c>
      <c r="N16" s="120">
        <f t="shared" si="5"/>
        <v>10</v>
      </c>
      <c r="O16" s="120">
        <f t="shared" si="1"/>
        <v>20</v>
      </c>
      <c r="P16" s="120">
        <f t="shared" si="1"/>
        <v>50</v>
      </c>
      <c r="Q16" s="120">
        <f t="shared" si="1"/>
        <v>150</v>
      </c>
      <c r="S16" s="53">
        <v>12</v>
      </c>
      <c r="T16" s="53">
        <f>SUM(M$5:M16)</f>
        <v>60</v>
      </c>
      <c r="U16" s="53">
        <f>SUM(N$5:N16)</f>
        <v>120</v>
      </c>
      <c r="V16" s="53">
        <f>SUM(O$5:O16)</f>
        <v>240</v>
      </c>
      <c r="W16" s="53">
        <f>SUM(P$5:P16)</f>
        <v>600</v>
      </c>
      <c r="X16" s="53">
        <f>SUM(Q$5:Q16)</f>
        <v>1800</v>
      </c>
      <c r="Z16" s="47">
        <v>12</v>
      </c>
      <c r="AA16" s="47">
        <f t="shared" si="6"/>
        <v>200</v>
      </c>
      <c r="AB16" s="47">
        <f t="shared" si="7"/>
        <v>400</v>
      </c>
      <c r="AC16" s="47">
        <f t="shared" si="8"/>
        <v>800</v>
      </c>
      <c r="AD16" s="47">
        <f t="shared" si="9"/>
        <v>2000</v>
      </c>
      <c r="AE16" s="47">
        <f t="shared" si="10"/>
        <v>6000</v>
      </c>
      <c r="AG16" s="47">
        <v>12</v>
      </c>
      <c r="AH16" s="53">
        <f>SUM(AA$5:AA16)</f>
        <v>2400</v>
      </c>
      <c r="AI16" s="53">
        <f>SUM(AB$5:AB16)</f>
        <v>4800</v>
      </c>
      <c r="AJ16" s="53">
        <f>SUM(AC$5:AC16)</f>
        <v>9600</v>
      </c>
      <c r="AK16" s="53">
        <f>SUM(AD$5:AD16)</f>
        <v>24000</v>
      </c>
      <c r="AL16" s="53">
        <f>SUM(AE$5:AE16)</f>
        <v>72000</v>
      </c>
      <c r="AO16" s="46">
        <v>14</v>
      </c>
      <c r="AP16" s="129">
        <f>节奏预期!B16</f>
        <v>110</v>
      </c>
      <c r="AQ16" s="134">
        <f>IFERROR(INDEX(AH$5:AH$304,MATCH(节奏预期!N16,$AG$5:$AG$304,0))*节奏预期!D16,0)</f>
        <v>0</v>
      </c>
      <c r="AR16" s="134">
        <f>IFERROR(INDEX(AI$5:AI$304,MATCH(节奏预期!O16,$AG$5:$AG$304,0))*节奏预期!E16,0)</f>
        <v>0</v>
      </c>
      <c r="AS16" s="134">
        <f>IFERROR(INDEX(AJ$5:AJ$304,MATCH(节奏预期!P16,$AG$5:$AG$304,0))*节奏预期!F16,0)</f>
        <v>0</v>
      </c>
      <c r="AT16" s="134">
        <f>IFERROR(INDEX(AK$5:AK$304,MATCH(节奏预期!Q16,$AG$5:$AG$304,0))*节奏预期!G16,0)</f>
        <v>0</v>
      </c>
      <c r="AU16" s="134">
        <f>IFERROR(INDEX(AL$5:AL$304,MATCH(节奏预期!R16,$AG$5:$AG$304,0))*节奏预期!H16,0)</f>
        <v>2478492000</v>
      </c>
      <c r="AV16" s="136">
        <f t="shared" si="21"/>
        <v>2478492000</v>
      </c>
      <c r="AW16" s="134">
        <f>IFERROR(INDEX(T$5:T$304,MATCH(节奏预期!N16,$S$5:$S$304,0))*节奏预期!D16,0)</f>
        <v>0</v>
      </c>
      <c r="AX16" s="134">
        <f>IFERROR(INDEX(U$5:U$304,MATCH(节奏预期!O16,$S$5:$S$304,0))*节奏预期!E16,0)</f>
        <v>0</v>
      </c>
      <c r="AY16" s="134">
        <f>IFERROR(INDEX(V$5:V$304,MATCH(节奏预期!P16,$S$5:$S$304,0))*节奏预期!F16,0)</f>
        <v>0</v>
      </c>
      <c r="AZ16" s="134">
        <f>IFERROR(INDEX(W$5:W$304,MATCH(节奏预期!Q16,$S$5:$S$304,0))*节奏预期!G16,0)</f>
        <v>0</v>
      </c>
      <c r="BA16" s="134">
        <f>IFERROR(INDEX(X$5:X$304,MATCH(节奏预期!R16,$S$5:$S$304,0))*节奏预期!H16,0)</f>
        <v>61962300</v>
      </c>
      <c r="BB16" s="136">
        <f t="shared" si="22"/>
        <v>61962300</v>
      </c>
      <c r="BC16" s="126" t="str">
        <f>IF(节奏预期!N16="","",节奏预期!N16*装备强化!D$8+装备强化!D$5)</f>
        <v/>
      </c>
      <c r="BD16" s="126" t="str">
        <f>IF(节奏预期!O16="","",节奏预期!O16*装备强化!E$8+装备强化!E$5)</f>
        <v/>
      </c>
      <c r="BE16" s="126" t="str">
        <f>IF(节奏预期!P16="","",节奏预期!P16*装备强化!F$8+装备强化!F$5)</f>
        <v/>
      </c>
      <c r="BF16" s="126" t="str">
        <f>IF(节奏预期!Q16="","",节奏预期!Q16*装备强化!G$8+装备强化!G$5)</f>
        <v/>
      </c>
      <c r="BG16" s="126">
        <f>IF(节奏预期!R16="","",节奏预期!R16*装备强化!H$8+装备强化!H$5)</f>
        <v>8240</v>
      </c>
      <c r="BH16" s="14">
        <f>SUMPRODUCT(BC16:BG16,节奏预期!$D16:$H16)/SUM(节奏预期!$D16:$H16)</f>
        <v>8240</v>
      </c>
      <c r="BI16" s="13" t="str">
        <f>IF(节奏预期!N16="","",节奏预期!N16*装备强化!D$9+装备强化!D$6)</f>
        <v/>
      </c>
      <c r="BJ16" s="126" t="str">
        <f>IF(节奏预期!O16="","",节奏预期!O16*装备强化!E$9+装备强化!E$6)</f>
        <v/>
      </c>
      <c r="BK16" s="126" t="str">
        <f>IF(节奏预期!P16="","",节奏预期!P16*装备强化!F$9+装备强化!F$6)</f>
        <v/>
      </c>
      <c r="BL16" s="126" t="str">
        <f>IF(节奏预期!Q16="","",节奏预期!Q16*装备强化!G$9+装备强化!G$6)</f>
        <v/>
      </c>
      <c r="BM16" s="126">
        <f>IF(节奏预期!R16="","",节奏预期!R16*装备强化!H$9+装备强化!H$6)</f>
        <v>8240</v>
      </c>
      <c r="BN16" s="14">
        <f>SUMPRODUCT(BI16:BM16,节奏预期!$D16:$H16)/SUM(节奏预期!$D16:$H16)</f>
        <v>8240</v>
      </c>
      <c r="BO16" s="128">
        <f>IF(节奏预期!D16="","",IF(节奏预期!I16="",0,装备强化!D$4*节奏预期!I16))</f>
        <v>3.6</v>
      </c>
      <c r="BP16" s="128">
        <f>IF(节奏预期!E16="","",IF(节奏预期!J16="",0,装备强化!E$4*节奏预期!J16))</f>
        <v>8</v>
      </c>
      <c r="BQ16" s="128">
        <f>IF(节奏预期!F16="","",IF(节奏预期!K16="",0,装备强化!F$4*节奏预期!K16))</f>
        <v>18</v>
      </c>
      <c r="BR16" s="128">
        <f>IF(节奏预期!G16="","",IF(节奏预期!L16="",0,装备强化!G$4*节奏预期!L16))</f>
        <v>34</v>
      </c>
      <c r="BS16" s="128">
        <f>IF(节奏预期!H16="","",IF(节奏预期!M16="",0,装备强化!H$4*节奏预期!M16))</f>
        <v>66</v>
      </c>
      <c r="BT16" s="80">
        <f>SUMPRODUCT(BO16:BS16,节奏预期!D16:H16)/SUM(节奏预期!D16:H16)</f>
        <v>66</v>
      </c>
      <c r="BW16" s="25">
        <v>13</v>
      </c>
      <c r="BX16" s="128">
        <v>110</v>
      </c>
      <c r="BY16" s="52">
        <f t="shared" si="12"/>
        <v>66</v>
      </c>
      <c r="BZ16" s="52">
        <f t="shared" si="13"/>
        <v>8240</v>
      </c>
      <c r="CA16" s="52">
        <f t="shared" si="14"/>
        <v>8240</v>
      </c>
      <c r="CB16" s="109">
        <f>(BY16-BY15)*(INDEX([2]非r将兵属性验证!V$7:V$166,$BX16,1)+INDEX([2]非r将兵属性验证!$AP$7:$AP$166,$BX16,1))+CB15</f>
        <v>6722339644.7700577</v>
      </c>
      <c r="CC16" s="109">
        <f>(BZ16-BZ15)*INDEX([2]非r将兵属性验证!W$7:W$166,$BX16,1)+CC15</f>
        <v>15591062138.75065</v>
      </c>
      <c r="CD16" s="109">
        <f>(CA16-CA15)*INDEX([2]非r将兵属性验证!X$7:X$166,$BX16,1)+CD15</f>
        <v>15591062138.75065</v>
      </c>
      <c r="CE16" s="52">
        <f t="shared" si="24"/>
        <v>37904463922.271355</v>
      </c>
      <c r="CF16" s="151"/>
      <c r="CI16" s="128">
        <v>110</v>
      </c>
      <c r="CJ16" s="75">
        <f t="shared" si="16"/>
        <v>61962300</v>
      </c>
      <c r="CK16" s="75">
        <f>(CJ16-CJ15)*INDEX('[1]功能-付费相关'!$BI$6:$BI$165,$CI16,1)+CK15</f>
        <v>1679343.3522551591</v>
      </c>
      <c r="CL16" s="75">
        <f t="shared" si="17"/>
        <v>2478492000</v>
      </c>
      <c r="CM16" s="75">
        <f>(CL16-CL15)*INDEX('[1]功能-付费相关'!$AQ$6:$AQ$165,$CI16,1)+CM15</f>
        <v>2197058.9189976691</v>
      </c>
      <c r="CO16" s="128">
        <v>110</v>
      </c>
      <c r="CP16" s="138">
        <f t="shared" si="18"/>
        <v>1679343.3522551591</v>
      </c>
      <c r="CQ16" s="138">
        <f t="shared" si="19"/>
        <v>2197058.9189976691</v>
      </c>
      <c r="CR16" s="84">
        <f t="shared" si="20"/>
        <v>3876402.2712528282</v>
      </c>
    </row>
    <row r="17" spans="10:96" x14ac:dyDescent="0.15">
      <c r="J17" s="46">
        <f>INDEX('[1]资源-装备经验'!Y$6:Y$165,(K17+1)/2,1)</f>
        <v>0</v>
      </c>
      <c r="K17" s="53">
        <v>13</v>
      </c>
      <c r="L17" s="113">
        <v>5</v>
      </c>
      <c r="M17" s="122">
        <f t="shared" si="4"/>
        <v>5</v>
      </c>
      <c r="N17" s="120">
        <f t="shared" si="5"/>
        <v>10</v>
      </c>
      <c r="O17" s="120">
        <f t="shared" si="1"/>
        <v>20</v>
      </c>
      <c r="P17" s="120">
        <f t="shared" si="1"/>
        <v>50</v>
      </c>
      <c r="Q17" s="120">
        <f t="shared" si="1"/>
        <v>150</v>
      </c>
      <c r="S17" s="53">
        <v>13</v>
      </c>
      <c r="T17" s="53">
        <f>SUM(M$5:M17)</f>
        <v>65</v>
      </c>
      <c r="U17" s="53">
        <f>SUM(N$5:N17)</f>
        <v>130</v>
      </c>
      <c r="V17" s="53">
        <f>SUM(O$5:O17)</f>
        <v>260</v>
      </c>
      <c r="W17" s="53">
        <f>SUM(P$5:P17)</f>
        <v>650</v>
      </c>
      <c r="X17" s="53">
        <f>SUM(Q$5:Q17)</f>
        <v>1950</v>
      </c>
      <c r="Z17" s="47">
        <v>13</v>
      </c>
      <c r="AA17" s="47">
        <f t="shared" si="6"/>
        <v>200</v>
      </c>
      <c r="AB17" s="47">
        <f t="shared" si="7"/>
        <v>400</v>
      </c>
      <c r="AC17" s="47">
        <f t="shared" si="8"/>
        <v>800</v>
      </c>
      <c r="AD17" s="47">
        <f t="shared" si="9"/>
        <v>2000</v>
      </c>
      <c r="AE17" s="47">
        <f t="shared" si="10"/>
        <v>6000</v>
      </c>
      <c r="AG17" s="47">
        <v>13</v>
      </c>
      <c r="AH17" s="53">
        <f>SUM(AA$5:AA17)</f>
        <v>2600</v>
      </c>
      <c r="AI17" s="53">
        <f>SUM(AB$5:AB17)</f>
        <v>5200</v>
      </c>
      <c r="AJ17" s="53">
        <f>SUM(AC$5:AC17)</f>
        <v>10400</v>
      </c>
      <c r="AK17" s="53">
        <f>SUM(AD$5:AD17)</f>
        <v>26000</v>
      </c>
      <c r="AL17" s="53">
        <f>SUM(AE$5:AE17)</f>
        <v>78000</v>
      </c>
      <c r="AO17" s="46">
        <v>15</v>
      </c>
      <c r="AP17" s="129">
        <f>节奏预期!B17</f>
        <v>120</v>
      </c>
      <c r="AQ17" s="134">
        <f>IFERROR(INDEX(AH$5:AH$304,MATCH(节奏预期!N17,$AG$5:$AG$304,0))*节奏预期!D17,0)</f>
        <v>0</v>
      </c>
      <c r="AR17" s="134">
        <f>IFERROR(INDEX(AI$5:AI$304,MATCH(节奏预期!O17,$AG$5:$AG$304,0))*节奏预期!E17,0)</f>
        <v>0</v>
      </c>
      <c r="AS17" s="134">
        <f>IFERROR(INDEX(AJ$5:AJ$304,MATCH(节奏预期!P17,$AG$5:$AG$304,0))*节奏预期!F17,0)</f>
        <v>0</v>
      </c>
      <c r="AT17" s="134">
        <f>IFERROR(INDEX(AK$5:AK$304,MATCH(节奏预期!Q17,$AG$5:$AG$304,0))*节奏预期!G17,0)</f>
        <v>0</v>
      </c>
      <c r="AU17" s="134">
        <f>IFERROR(INDEX(AL$5:AL$304,MATCH(节奏预期!R17,$AG$5:$AG$304,0))*节奏预期!H17,0)</f>
        <v>5601852000</v>
      </c>
      <c r="AV17" s="136">
        <f t="shared" si="21"/>
        <v>5601852000</v>
      </c>
      <c r="AW17" s="134">
        <f>IFERROR(INDEX(T$5:T$304,MATCH(节奏预期!N17,$S$5:$S$304,0))*节奏预期!D17,0)</f>
        <v>0</v>
      </c>
      <c r="AX17" s="134">
        <f>IFERROR(INDEX(U$5:U$304,MATCH(节奏预期!O17,$S$5:$S$304,0))*节奏预期!E17,0)</f>
        <v>0</v>
      </c>
      <c r="AY17" s="134">
        <f>IFERROR(INDEX(V$5:V$304,MATCH(节奏预期!P17,$S$5:$S$304,0))*节奏预期!F17,0)</f>
        <v>0</v>
      </c>
      <c r="AZ17" s="134">
        <f>IFERROR(INDEX(W$5:W$304,MATCH(节奏预期!Q17,$S$5:$S$304,0))*节奏预期!G17,0)</f>
        <v>0</v>
      </c>
      <c r="BA17" s="134">
        <f>IFERROR(INDEX(X$5:X$304,MATCH(节奏预期!R17,$S$5:$S$304,0))*节奏预期!H17,0)</f>
        <v>140046300</v>
      </c>
      <c r="BB17" s="136">
        <f t="shared" si="22"/>
        <v>140046300</v>
      </c>
      <c r="BC17" s="126" t="str">
        <f>IF(节奏预期!N17="","",节奏预期!N17*装备强化!D$8+装备强化!D$5)</f>
        <v/>
      </c>
      <c r="BD17" s="126" t="str">
        <f>IF(节奏预期!O17="","",节奏预期!O17*装备强化!E$8+装备强化!E$5)</f>
        <v/>
      </c>
      <c r="BE17" s="126" t="str">
        <f>IF(节奏预期!P17="","",节奏预期!P17*装备强化!F$8+装备强化!F$5)</f>
        <v/>
      </c>
      <c r="BF17" s="126" t="str">
        <f>IF(节奏预期!Q17="","",节奏预期!Q17*装备强化!G$8+装备强化!G$5)</f>
        <v/>
      </c>
      <c r="BG17" s="126">
        <f>IF(节奏预期!R17="","",节奏预期!R17*装备强化!H$8+装备强化!H$5)</f>
        <v>8900</v>
      </c>
      <c r="BH17" s="14">
        <f>SUMPRODUCT(BC17:BG17,节奏预期!$D17:$H17)/SUM(节奏预期!$D17:$H17)</f>
        <v>8900</v>
      </c>
      <c r="BI17" s="13" t="str">
        <f>IF(节奏预期!N17="","",节奏预期!N17*装备强化!D$9+装备强化!D$6)</f>
        <v/>
      </c>
      <c r="BJ17" s="126" t="str">
        <f>IF(节奏预期!O17="","",节奏预期!O17*装备强化!E$9+装备强化!E$6)</f>
        <v/>
      </c>
      <c r="BK17" s="126" t="str">
        <f>IF(节奏预期!P17="","",节奏预期!P17*装备强化!F$9+装备强化!F$6)</f>
        <v/>
      </c>
      <c r="BL17" s="126" t="str">
        <f>IF(节奏预期!Q17="","",节奏预期!Q17*装备强化!G$9+装备强化!G$6)</f>
        <v/>
      </c>
      <c r="BM17" s="126">
        <f>IF(节奏预期!R17="","",节奏预期!R17*装备强化!H$9+装备强化!H$6)</f>
        <v>8900</v>
      </c>
      <c r="BN17" s="14">
        <f>SUMPRODUCT(BI17:BM17,节奏预期!$D17:$H17)/SUM(节奏预期!$D17:$H17)</f>
        <v>8900</v>
      </c>
      <c r="BO17" s="128">
        <f>IF(节奏预期!D17="","",IF(节奏预期!I17="",0,装备强化!D$4*节奏预期!I17))</f>
        <v>3.6</v>
      </c>
      <c r="BP17" s="128">
        <f>IF(节奏预期!E17="","",IF(节奏预期!J17="",0,装备强化!E$4*节奏预期!J17))</f>
        <v>8</v>
      </c>
      <c r="BQ17" s="128">
        <f>IF(节奏预期!F17="","",IF(节奏预期!K17="",0,装备强化!F$4*节奏预期!K17))</f>
        <v>18</v>
      </c>
      <c r="BR17" s="128">
        <f>IF(节奏预期!G17="","",IF(节奏预期!L17="",0,装备强化!G$4*节奏预期!L17))</f>
        <v>34</v>
      </c>
      <c r="BS17" s="128">
        <f>IF(节奏预期!H17="","",IF(节奏预期!M17="",0,装备强化!H$4*节奏预期!M17))</f>
        <v>66</v>
      </c>
      <c r="BT17" s="80">
        <f>SUMPRODUCT(BO17:BS17,节奏预期!D17:H17)/SUM(节奏预期!D17:H17)</f>
        <v>66</v>
      </c>
      <c r="BW17" s="25">
        <v>14</v>
      </c>
      <c r="BX17" s="128">
        <v>120</v>
      </c>
      <c r="BY17" s="52">
        <f t="shared" si="12"/>
        <v>66</v>
      </c>
      <c r="BZ17" s="52">
        <f t="shared" si="13"/>
        <v>8900</v>
      </c>
      <c r="CA17" s="52">
        <f t="shared" si="14"/>
        <v>8900</v>
      </c>
      <c r="CB17" s="109">
        <f>(BY17-BY16)*(INDEX([2]非r将兵属性验证!V$7:V$166,$BX17,1)+INDEX([2]非r将兵属性验证!$AP$7:$AP$166,$BX17,1))+CB16</f>
        <v>6722339644.7700577</v>
      </c>
      <c r="CC17" s="109">
        <f>(BZ17-BZ16)*INDEX([2]非r将兵属性验证!W$7:W$166,$BX17,1)+CC16</f>
        <v>23206238940.566086</v>
      </c>
      <c r="CD17" s="109">
        <f>(CA17-CA16)*INDEX([2]非r将兵属性验证!X$7:X$166,$BX17,1)+CD16</f>
        <v>23206238940.566086</v>
      </c>
      <c r="CE17" s="52">
        <f t="shared" si="24"/>
        <v>53134817525.902229</v>
      </c>
      <c r="CF17" s="151"/>
      <c r="CI17" s="128">
        <v>120</v>
      </c>
      <c r="CJ17" s="75">
        <f t="shared" si="16"/>
        <v>140046300</v>
      </c>
      <c r="CK17" s="75">
        <f>(CJ17-CJ16)*INDEX('[1]功能-付费相关'!$BI$6:$BI$165,$CI17,1)+CK16</f>
        <v>3119563.0052407132</v>
      </c>
      <c r="CL17" s="75">
        <f t="shared" si="17"/>
        <v>5601852000</v>
      </c>
      <c r="CM17" s="75">
        <f>(CL17-CL16)*INDEX('[1]功能-付费相关'!$AQ$6:$AQ$165,$CI17,1)+CM16</f>
        <v>4637183.9189976696</v>
      </c>
      <c r="CO17" s="128">
        <v>120</v>
      </c>
      <c r="CP17" s="138">
        <f t="shared" si="18"/>
        <v>3119563.0052407132</v>
      </c>
      <c r="CQ17" s="138">
        <f t="shared" si="19"/>
        <v>4637183.9189976696</v>
      </c>
      <c r="CR17" s="84">
        <f t="shared" si="20"/>
        <v>7756746.9242383828</v>
      </c>
    </row>
    <row r="18" spans="10:96" x14ac:dyDescent="0.15">
      <c r="J18" s="46">
        <f>INDEX('[1]资源-装备经验'!Y$6:Y$165,(K18+1)/2,1)</f>
        <v>0</v>
      </c>
      <c r="K18" s="53">
        <v>14</v>
      </c>
      <c r="L18" s="113">
        <v>5</v>
      </c>
      <c r="M18" s="122">
        <f t="shared" si="4"/>
        <v>5</v>
      </c>
      <c r="N18" s="120">
        <f t="shared" si="5"/>
        <v>10</v>
      </c>
      <c r="O18" s="120">
        <f t="shared" si="1"/>
        <v>20</v>
      </c>
      <c r="P18" s="120">
        <f t="shared" si="1"/>
        <v>50</v>
      </c>
      <c r="Q18" s="120">
        <f t="shared" si="1"/>
        <v>150</v>
      </c>
      <c r="S18" s="53">
        <v>14</v>
      </c>
      <c r="T18" s="53">
        <f>SUM(M$5:M18)</f>
        <v>70</v>
      </c>
      <c r="U18" s="53">
        <f>SUM(N$5:N18)</f>
        <v>140</v>
      </c>
      <c r="V18" s="53">
        <f>SUM(O$5:O18)</f>
        <v>280</v>
      </c>
      <c r="W18" s="53">
        <f>SUM(P$5:P18)</f>
        <v>700</v>
      </c>
      <c r="X18" s="53">
        <f>SUM(Q$5:Q18)</f>
        <v>2100</v>
      </c>
      <c r="Z18" s="47">
        <v>14</v>
      </c>
      <c r="AA18" s="47">
        <f t="shared" si="6"/>
        <v>200</v>
      </c>
      <c r="AB18" s="47">
        <f t="shared" si="7"/>
        <v>400</v>
      </c>
      <c r="AC18" s="47">
        <f t="shared" si="8"/>
        <v>800</v>
      </c>
      <c r="AD18" s="47">
        <f t="shared" si="9"/>
        <v>2000</v>
      </c>
      <c r="AE18" s="47">
        <f t="shared" si="10"/>
        <v>6000</v>
      </c>
      <c r="AG18" s="47">
        <v>14</v>
      </c>
      <c r="AH18" s="53">
        <f>SUM(AA$5:AA18)</f>
        <v>2800</v>
      </c>
      <c r="AI18" s="53">
        <f>SUM(AB$5:AB18)</f>
        <v>5600</v>
      </c>
      <c r="AJ18" s="53">
        <f>SUM(AC$5:AC18)</f>
        <v>11200</v>
      </c>
      <c r="AK18" s="53">
        <f>SUM(AD$5:AD18)</f>
        <v>28000</v>
      </c>
      <c r="AL18" s="53">
        <f>SUM(AE$5:AE18)</f>
        <v>84000</v>
      </c>
      <c r="AO18" s="46">
        <v>16</v>
      </c>
      <c r="AP18" s="129">
        <f>节奏预期!B18</f>
        <v>130</v>
      </c>
      <c r="AQ18" s="134">
        <f>IFERROR(INDEX(AH$5:AH$304,MATCH(节奏预期!N18,$AG$5:$AG$304,0))*节奏预期!D18,0)</f>
        <v>0</v>
      </c>
      <c r="AR18" s="134">
        <f>IFERROR(INDEX(AI$5:AI$304,MATCH(节奏预期!O18,$AG$5:$AG$304,0))*节奏预期!E18,0)</f>
        <v>0</v>
      </c>
      <c r="AS18" s="134">
        <f>IFERROR(INDEX(AJ$5:AJ$304,MATCH(节奏预期!P18,$AG$5:$AG$304,0))*节奏预期!F18,0)</f>
        <v>0</v>
      </c>
      <c r="AT18" s="134">
        <f>IFERROR(INDEX(AK$5:AK$304,MATCH(节奏预期!Q18,$AG$5:$AG$304,0))*节奏预期!G18,0)</f>
        <v>0</v>
      </c>
      <c r="AU18" s="134">
        <f>IFERROR(INDEX(AL$5:AL$304,MATCH(节奏预期!R18,$AG$5:$AG$304,0))*节奏预期!H18,0)</f>
        <v>12816252000</v>
      </c>
      <c r="AV18" s="136">
        <f t="shared" si="21"/>
        <v>12816252000</v>
      </c>
      <c r="AW18" s="134">
        <f>IFERROR(INDEX(T$5:T$304,MATCH(节奏预期!N18,$S$5:$S$304,0))*节奏预期!D18,0)</f>
        <v>0</v>
      </c>
      <c r="AX18" s="134">
        <f>IFERROR(INDEX(U$5:U$304,MATCH(节奏预期!O18,$S$5:$S$304,0))*节奏预期!E18,0)</f>
        <v>0</v>
      </c>
      <c r="AY18" s="134">
        <f>IFERROR(INDEX(V$5:V$304,MATCH(节奏预期!P18,$S$5:$S$304,0))*节奏预期!F18,0)</f>
        <v>0</v>
      </c>
      <c r="AZ18" s="134">
        <f>IFERROR(INDEX(W$5:W$304,MATCH(节奏预期!Q18,$S$5:$S$304,0))*节奏预期!G18,0)</f>
        <v>0</v>
      </c>
      <c r="BA18" s="134">
        <f>IFERROR(INDEX(X$5:X$304,MATCH(节奏预期!R18,$S$5:$S$304,0))*节奏预期!H18,0)</f>
        <v>320406300</v>
      </c>
      <c r="BB18" s="136">
        <f t="shared" si="22"/>
        <v>320406300</v>
      </c>
      <c r="BC18" s="126" t="str">
        <f>IF(节奏预期!N18="","",节奏预期!N18*装备强化!D$8+装备强化!D$5)</f>
        <v/>
      </c>
      <c r="BD18" s="126" t="str">
        <f>IF(节奏预期!O18="","",节奏预期!O18*装备强化!E$8+装备强化!E$5)</f>
        <v/>
      </c>
      <c r="BE18" s="126" t="str">
        <f>IF(节奏预期!P18="","",节奏预期!P18*装备强化!F$8+装备强化!F$5)</f>
        <v/>
      </c>
      <c r="BF18" s="126" t="str">
        <f>IF(节奏预期!Q18="","",节奏预期!Q18*装备强化!G$8+装备强化!G$5)</f>
        <v/>
      </c>
      <c r="BG18" s="126">
        <f>IF(节奏预期!R18="","",节奏预期!R18*装备强化!H$8+装备强化!H$5)</f>
        <v>9560</v>
      </c>
      <c r="BH18" s="14">
        <f>SUMPRODUCT(BC18:BG18,节奏预期!$D18:$H18)/SUM(节奏预期!$D18:$H18)</f>
        <v>9560</v>
      </c>
      <c r="BI18" s="13" t="str">
        <f>IF(节奏预期!N18="","",节奏预期!N18*装备强化!D$9+装备强化!D$6)</f>
        <v/>
      </c>
      <c r="BJ18" s="126" t="str">
        <f>IF(节奏预期!O18="","",节奏预期!O18*装备强化!E$9+装备强化!E$6)</f>
        <v/>
      </c>
      <c r="BK18" s="126" t="str">
        <f>IF(节奏预期!P18="","",节奏预期!P18*装备强化!F$9+装备强化!F$6)</f>
        <v/>
      </c>
      <c r="BL18" s="126" t="str">
        <f>IF(节奏预期!Q18="","",节奏预期!Q18*装备强化!G$9+装备强化!G$6)</f>
        <v/>
      </c>
      <c r="BM18" s="126">
        <f>IF(节奏预期!R18="","",节奏预期!R18*装备强化!H$9+装备强化!H$6)</f>
        <v>9560</v>
      </c>
      <c r="BN18" s="14">
        <f>SUMPRODUCT(BI18:BM18,节奏预期!$D18:$H18)/SUM(节奏预期!$D18:$H18)</f>
        <v>9560</v>
      </c>
      <c r="BO18" s="128">
        <f>IF(节奏预期!D18="","",IF(节奏预期!I18="",0,装备强化!D$4*节奏预期!I18))</f>
        <v>3.6</v>
      </c>
      <c r="BP18" s="128">
        <f>IF(节奏预期!E18="","",IF(节奏预期!J18="",0,装备强化!E$4*节奏预期!J18))</f>
        <v>8</v>
      </c>
      <c r="BQ18" s="128">
        <f>IF(节奏预期!F18="","",IF(节奏预期!K18="",0,装备强化!F$4*节奏预期!K18))</f>
        <v>18</v>
      </c>
      <c r="BR18" s="128">
        <f>IF(节奏预期!G18="","",IF(节奏预期!L18="",0,装备强化!G$4*节奏预期!L18))</f>
        <v>34</v>
      </c>
      <c r="BS18" s="128">
        <f>IF(节奏预期!H18="","",IF(节奏预期!M18="",0,装备强化!H$4*节奏预期!M18))</f>
        <v>66</v>
      </c>
      <c r="BT18" s="80">
        <f>SUMPRODUCT(BO18:BS18,节奏预期!D18:H18)/SUM(节奏预期!D18:H18)</f>
        <v>66</v>
      </c>
      <c r="BW18" s="25">
        <v>15</v>
      </c>
      <c r="BX18" s="128">
        <v>130</v>
      </c>
      <c r="BY18" s="52">
        <f t="shared" si="12"/>
        <v>66</v>
      </c>
      <c r="BZ18" s="52">
        <f t="shared" si="13"/>
        <v>9560</v>
      </c>
      <c r="CA18" s="52">
        <f t="shared" si="14"/>
        <v>9560</v>
      </c>
      <c r="CB18" s="109">
        <f>(BY18-BY17)*(INDEX([2]非r将兵属性验证!V$7:V$166,$BX18,1)+INDEX([2]非r将兵属性验证!$AP$7:$AP$166,$BX18,1))+CB17</f>
        <v>6722339644.7700577</v>
      </c>
      <c r="CC18" s="109">
        <f>(BZ18-BZ17)*INDEX([2]非r将兵属性验证!W$7:W$166,$BX18,1)+CC17</f>
        <v>33268024332.649368</v>
      </c>
      <c r="CD18" s="109">
        <f>(CA18-CA17)*INDEX([2]非r将兵属性验证!X$7:X$166,$BX18,1)+CD17</f>
        <v>33268024332.649368</v>
      </c>
      <c r="CE18" s="52">
        <f t="shared" si="24"/>
        <v>73258388310.068787</v>
      </c>
      <c r="CF18" s="151"/>
      <c r="CI18" s="128">
        <v>130</v>
      </c>
      <c r="CJ18" s="75">
        <f t="shared" si="16"/>
        <v>320406300</v>
      </c>
      <c r="CK18" s="75">
        <f>(CJ18-CJ17)*INDEX('[1]功能-付费相关'!$BI$6:$BI$165,$CI18,1)+CK17</f>
        <v>5848573.3954228982</v>
      </c>
      <c r="CL18" s="75">
        <f t="shared" si="17"/>
        <v>12816252000</v>
      </c>
      <c r="CM18" s="75">
        <f>(CL18-CL17)*INDEX('[1]功能-付费相关'!$AQ$6:$AQ$165,$CI18,1)+CM17</f>
        <v>9941889.8013506103</v>
      </c>
      <c r="CO18" s="128">
        <v>130</v>
      </c>
      <c r="CP18" s="138">
        <f t="shared" si="18"/>
        <v>5848573.3954228982</v>
      </c>
      <c r="CQ18" s="138">
        <f t="shared" si="19"/>
        <v>9941889.8013506103</v>
      </c>
      <c r="CR18" s="84">
        <f t="shared" si="20"/>
        <v>15790463.196773509</v>
      </c>
    </row>
    <row r="19" spans="10:96" x14ac:dyDescent="0.15">
      <c r="J19" s="46">
        <f>INDEX('[1]资源-装备经验'!Y$6:Y$165,(K19+1)/2,1)</f>
        <v>0</v>
      </c>
      <c r="K19" s="53">
        <v>15</v>
      </c>
      <c r="L19" s="113">
        <v>5</v>
      </c>
      <c r="M19" s="122">
        <f t="shared" si="4"/>
        <v>5</v>
      </c>
      <c r="N19" s="120">
        <f t="shared" si="5"/>
        <v>10</v>
      </c>
      <c r="O19" s="120">
        <f t="shared" si="1"/>
        <v>20</v>
      </c>
      <c r="P19" s="120">
        <f t="shared" si="1"/>
        <v>50</v>
      </c>
      <c r="Q19" s="120">
        <f t="shared" si="1"/>
        <v>150</v>
      </c>
      <c r="S19" s="53">
        <v>15</v>
      </c>
      <c r="T19" s="53">
        <f>SUM(M$5:M19)</f>
        <v>75</v>
      </c>
      <c r="U19" s="53">
        <f>SUM(N$5:N19)</f>
        <v>150</v>
      </c>
      <c r="V19" s="53">
        <f>SUM(O$5:O19)</f>
        <v>300</v>
      </c>
      <c r="W19" s="53">
        <f>SUM(P$5:P19)</f>
        <v>750</v>
      </c>
      <c r="X19" s="53">
        <f>SUM(Q$5:Q19)</f>
        <v>2250</v>
      </c>
      <c r="Z19" s="47">
        <v>15</v>
      </c>
      <c r="AA19" s="47">
        <f t="shared" si="6"/>
        <v>200</v>
      </c>
      <c r="AB19" s="47">
        <f t="shared" si="7"/>
        <v>400</v>
      </c>
      <c r="AC19" s="47">
        <f t="shared" si="8"/>
        <v>800</v>
      </c>
      <c r="AD19" s="47">
        <f t="shared" si="9"/>
        <v>2000</v>
      </c>
      <c r="AE19" s="47">
        <f t="shared" si="10"/>
        <v>6000</v>
      </c>
      <c r="AG19" s="47">
        <v>15</v>
      </c>
      <c r="AH19" s="53">
        <f>SUM(AA$5:AA19)</f>
        <v>3000</v>
      </c>
      <c r="AI19" s="53">
        <f>SUM(AB$5:AB19)</f>
        <v>6000</v>
      </c>
      <c r="AJ19" s="53">
        <f>SUM(AC$5:AC19)</f>
        <v>12000</v>
      </c>
      <c r="AK19" s="53">
        <f>SUM(AD$5:AD19)</f>
        <v>30000</v>
      </c>
      <c r="AL19" s="53">
        <f>SUM(AE$5:AE19)</f>
        <v>90000</v>
      </c>
      <c r="AO19" s="46">
        <v>17</v>
      </c>
      <c r="AP19" s="129">
        <f>节奏预期!B19</f>
        <v>140</v>
      </c>
      <c r="AQ19" s="134">
        <f>IFERROR(INDEX(AH$5:AH$304,MATCH(节奏预期!N19,$AG$5:$AG$304,0))*节奏预期!D19,0)</f>
        <v>0</v>
      </c>
      <c r="AR19" s="134">
        <f>IFERROR(INDEX(AI$5:AI$304,MATCH(节奏预期!O19,$AG$5:$AG$304,0))*节奏预期!E19,0)</f>
        <v>0</v>
      </c>
      <c r="AS19" s="134">
        <f>IFERROR(INDEX(AJ$5:AJ$304,MATCH(节奏预期!P19,$AG$5:$AG$304,0))*节奏预期!F19,0)</f>
        <v>0</v>
      </c>
      <c r="AT19" s="134">
        <f>IFERROR(INDEX(AK$5:AK$304,MATCH(节奏预期!Q19,$AG$5:$AG$304,0))*节奏预期!G19,0)</f>
        <v>0</v>
      </c>
      <c r="AU19" s="134">
        <f>IFERROR(INDEX(AL$5:AL$304,MATCH(节奏预期!R19,$AG$5:$AG$304,0))*节奏预期!H19,0)</f>
        <v>31176252000</v>
      </c>
      <c r="AV19" s="136">
        <f t="shared" si="21"/>
        <v>31176252000</v>
      </c>
      <c r="AW19" s="134">
        <f>IFERROR(INDEX(T$5:T$304,MATCH(节奏预期!N19,$S$5:$S$304,0))*节奏预期!D19,0)</f>
        <v>0</v>
      </c>
      <c r="AX19" s="134">
        <f>IFERROR(INDEX(U$5:U$304,MATCH(节奏预期!O19,$S$5:$S$304,0))*节奏预期!E19,0)</f>
        <v>0</v>
      </c>
      <c r="AY19" s="134">
        <f>IFERROR(INDEX(V$5:V$304,MATCH(节奏预期!P19,$S$5:$S$304,0))*节奏预期!F19,0)</f>
        <v>0</v>
      </c>
      <c r="AZ19" s="134">
        <f>IFERROR(INDEX(W$5:W$304,MATCH(节奏预期!Q19,$S$5:$S$304,0))*节奏预期!G19,0)</f>
        <v>0</v>
      </c>
      <c r="BA19" s="134">
        <f>IFERROR(INDEX(X$5:X$304,MATCH(节奏预期!R19,$S$5:$S$304,0))*节奏预期!H19,0)</f>
        <v>779406300</v>
      </c>
      <c r="BB19" s="136">
        <f t="shared" si="22"/>
        <v>779406300</v>
      </c>
      <c r="BC19" s="126" t="str">
        <f>IF(节奏预期!N19="","",节奏预期!N19*装备强化!D$8+装备强化!D$5)</f>
        <v/>
      </c>
      <c r="BD19" s="126" t="str">
        <f>IF(节奏预期!O19="","",节奏预期!O19*装备强化!E$8+装备强化!E$5)</f>
        <v/>
      </c>
      <c r="BE19" s="126" t="str">
        <f>IF(节奏预期!P19="","",节奏预期!P19*装备强化!F$8+装备强化!F$5)</f>
        <v/>
      </c>
      <c r="BF19" s="126" t="str">
        <f>IF(节奏预期!Q19="","",节奏预期!Q19*装备强化!G$8+装备强化!G$5)</f>
        <v/>
      </c>
      <c r="BG19" s="126">
        <f>IF(节奏预期!R19="","",节奏预期!R19*装备强化!H$8+装备强化!H$5)</f>
        <v>10220</v>
      </c>
      <c r="BH19" s="14">
        <f>SUMPRODUCT(BC19:BG19,节奏预期!$D19:$H19)/SUM(节奏预期!$D19:$H19)</f>
        <v>10220</v>
      </c>
      <c r="BI19" s="13" t="str">
        <f>IF(节奏预期!N19="","",节奏预期!N19*装备强化!D$9+装备强化!D$6)</f>
        <v/>
      </c>
      <c r="BJ19" s="126" t="str">
        <f>IF(节奏预期!O19="","",节奏预期!O19*装备强化!E$9+装备强化!E$6)</f>
        <v/>
      </c>
      <c r="BK19" s="126" t="str">
        <f>IF(节奏预期!P19="","",节奏预期!P19*装备强化!F$9+装备强化!F$6)</f>
        <v/>
      </c>
      <c r="BL19" s="126" t="str">
        <f>IF(节奏预期!Q19="","",节奏预期!Q19*装备强化!G$9+装备强化!G$6)</f>
        <v/>
      </c>
      <c r="BM19" s="126">
        <f>IF(节奏预期!R19="","",节奏预期!R19*装备强化!H$9+装备强化!H$6)</f>
        <v>10220</v>
      </c>
      <c r="BN19" s="14">
        <f>SUMPRODUCT(BI19:BM19,节奏预期!$D19:$H19)/SUM(节奏预期!$D19:$H19)</f>
        <v>10220</v>
      </c>
      <c r="BO19" s="128">
        <f>IF(节奏预期!D19="","",IF(节奏预期!I19="",0,装备强化!D$4*节奏预期!I19))</f>
        <v>3.6</v>
      </c>
      <c r="BP19" s="128">
        <f>IF(节奏预期!E19="","",IF(节奏预期!J19="",0,装备强化!E$4*节奏预期!J19))</f>
        <v>8</v>
      </c>
      <c r="BQ19" s="128">
        <f>IF(节奏预期!F19="","",IF(节奏预期!K19="",0,装备强化!F$4*节奏预期!K19))</f>
        <v>18</v>
      </c>
      <c r="BR19" s="128">
        <f>IF(节奏预期!G19="","",IF(节奏预期!L19="",0,装备强化!G$4*节奏预期!L19))</f>
        <v>34</v>
      </c>
      <c r="BS19" s="128">
        <f>IF(节奏预期!H19="","",IF(节奏预期!M19="",0,装备强化!H$4*节奏预期!M19))</f>
        <v>66</v>
      </c>
      <c r="BT19" s="80">
        <f>SUMPRODUCT(BO19:BS19,节奏预期!D19:H19)/SUM(节奏预期!D19:H19)</f>
        <v>66</v>
      </c>
      <c r="BW19" s="25">
        <v>16</v>
      </c>
      <c r="BX19" s="128">
        <v>140</v>
      </c>
      <c r="BY19" s="52">
        <f t="shared" si="12"/>
        <v>66</v>
      </c>
      <c r="BZ19" s="52">
        <f t="shared" si="13"/>
        <v>10220</v>
      </c>
      <c r="CA19" s="52">
        <f t="shared" si="14"/>
        <v>10220</v>
      </c>
      <c r="CB19" s="109">
        <f>(BY19-BY18)*(INDEX([2]非r将兵属性验证!V$7:V$166,$BX19,1)+INDEX([2]非r将兵属性验证!$AP$7:$AP$166,$BX19,1))+CB18</f>
        <v>6722339644.7700577</v>
      </c>
      <c r="CC19" s="109">
        <f>(BZ19-BZ18)*INDEX([2]非r将兵属性验证!W$7:W$166,$BX19,1)+CC18</f>
        <v>45882762937.602493</v>
      </c>
      <c r="CD19" s="109">
        <f>(CA19-CA18)*INDEX([2]非r将兵属性验证!X$7:X$166,$BX19,1)+CD18</f>
        <v>45882762937.602493</v>
      </c>
      <c r="CE19" s="52">
        <f t="shared" si="24"/>
        <v>98487865519.975037</v>
      </c>
      <c r="CF19" s="151"/>
      <c r="CI19" s="128">
        <v>140</v>
      </c>
      <c r="CJ19" s="75">
        <f t="shared" si="16"/>
        <v>779406300</v>
      </c>
      <c r="CK19" s="75">
        <f>(CJ19-CJ18)*INDEX('[1]功能-付费相关'!$BI$6:$BI$165,$CI19,1)+CK18</f>
        <v>11545963.152424246</v>
      </c>
      <c r="CL19" s="75">
        <f t="shared" si="17"/>
        <v>31176252000</v>
      </c>
      <c r="CM19" s="75">
        <f>(CL19-CL18)*INDEX('[1]功能-付费相关'!$AQ$6:$AQ$165,$CI19,1)+CM18</f>
        <v>22691889.801350608</v>
      </c>
      <c r="CO19" s="128">
        <v>140</v>
      </c>
      <c r="CP19" s="138">
        <f t="shared" si="18"/>
        <v>11545963.152424246</v>
      </c>
      <c r="CQ19" s="138">
        <f t="shared" si="19"/>
        <v>22691889.801350608</v>
      </c>
      <c r="CR19" s="84">
        <f t="shared" si="20"/>
        <v>34237852.953774855</v>
      </c>
    </row>
    <row r="20" spans="10:96" x14ac:dyDescent="0.15">
      <c r="J20" s="46">
        <f>INDEX('[1]资源-装备经验'!Y$6:Y$165,(K20+1)/2,1)</f>
        <v>0</v>
      </c>
      <c r="K20" s="53">
        <v>16</v>
      </c>
      <c r="L20" s="113">
        <v>5</v>
      </c>
      <c r="M20" s="122">
        <f t="shared" si="4"/>
        <v>5</v>
      </c>
      <c r="N20" s="120">
        <f t="shared" si="5"/>
        <v>10</v>
      </c>
      <c r="O20" s="120">
        <f t="shared" si="1"/>
        <v>20</v>
      </c>
      <c r="P20" s="120">
        <f t="shared" si="1"/>
        <v>50</v>
      </c>
      <c r="Q20" s="120">
        <f t="shared" si="1"/>
        <v>150</v>
      </c>
      <c r="S20" s="53">
        <v>16</v>
      </c>
      <c r="T20" s="53">
        <f>SUM(M$5:M20)</f>
        <v>80</v>
      </c>
      <c r="U20" s="53">
        <f>SUM(N$5:N20)</f>
        <v>160</v>
      </c>
      <c r="V20" s="53">
        <f>SUM(O$5:O20)</f>
        <v>320</v>
      </c>
      <c r="W20" s="53">
        <f>SUM(P$5:P20)</f>
        <v>800</v>
      </c>
      <c r="X20" s="53">
        <f>SUM(Q$5:Q20)</f>
        <v>2400</v>
      </c>
      <c r="Z20" s="47">
        <v>16</v>
      </c>
      <c r="AA20" s="47">
        <f t="shared" si="6"/>
        <v>200</v>
      </c>
      <c r="AB20" s="47">
        <f t="shared" si="7"/>
        <v>400</v>
      </c>
      <c r="AC20" s="47">
        <f t="shared" si="8"/>
        <v>800</v>
      </c>
      <c r="AD20" s="47">
        <f t="shared" si="9"/>
        <v>2000</v>
      </c>
      <c r="AE20" s="47">
        <f t="shared" si="10"/>
        <v>6000</v>
      </c>
      <c r="AG20" s="47">
        <v>16</v>
      </c>
      <c r="AH20" s="53">
        <f>SUM(AA$5:AA20)</f>
        <v>3200</v>
      </c>
      <c r="AI20" s="53">
        <f>SUM(AB$5:AB20)</f>
        <v>6400</v>
      </c>
      <c r="AJ20" s="53">
        <f>SUM(AC$5:AC20)</f>
        <v>12800</v>
      </c>
      <c r="AK20" s="53">
        <f>SUM(AD$5:AD20)</f>
        <v>32000</v>
      </c>
      <c r="AL20" s="53">
        <f>SUM(AE$5:AE20)</f>
        <v>96000</v>
      </c>
      <c r="AO20" s="46">
        <v>18</v>
      </c>
      <c r="AP20" s="129">
        <f>节奏预期!B20</f>
        <v>150</v>
      </c>
      <c r="AQ20" s="134">
        <f>IFERROR(INDEX(AH$5:AH$304,MATCH(节奏预期!N20,$AG$5:$AG$304,0))*节奏预期!D20,0)</f>
        <v>0</v>
      </c>
      <c r="AR20" s="134">
        <f>IFERROR(INDEX(AI$5:AI$304,MATCH(节奏预期!O20,$AG$5:$AG$304,0))*节奏预期!E20,0)</f>
        <v>0</v>
      </c>
      <c r="AS20" s="134">
        <f>IFERROR(INDEX(AJ$5:AJ$304,MATCH(节奏预期!P20,$AG$5:$AG$304,0))*节奏预期!F20,0)</f>
        <v>0</v>
      </c>
      <c r="AT20" s="134">
        <f>IFERROR(INDEX(AK$5:AK$304,MATCH(节奏预期!Q20,$AG$5:$AG$304,0))*节奏预期!G20,0)</f>
        <v>0</v>
      </c>
      <c r="AU20" s="134">
        <f>IFERROR(INDEX(AL$5:AL$304,MATCH(节奏预期!R20,$AG$5:$AG$304,0))*节奏预期!H20,0)</f>
        <v>75240252000</v>
      </c>
      <c r="AV20" s="136">
        <f t="shared" si="21"/>
        <v>75240252000</v>
      </c>
      <c r="AW20" s="134">
        <f>IFERROR(INDEX(T$5:T$304,MATCH(节奏预期!N20,$S$5:$S$304,0))*节奏预期!D20,0)</f>
        <v>0</v>
      </c>
      <c r="AX20" s="134">
        <f>IFERROR(INDEX(U$5:U$304,MATCH(节奏预期!O20,$S$5:$S$304,0))*节奏预期!E20,0)</f>
        <v>0</v>
      </c>
      <c r="AY20" s="134">
        <f>IFERROR(INDEX(V$5:V$304,MATCH(节奏预期!P20,$S$5:$S$304,0))*节奏预期!F20,0)</f>
        <v>0</v>
      </c>
      <c r="AZ20" s="134">
        <f>IFERROR(INDEX(W$5:W$304,MATCH(节奏预期!Q20,$S$5:$S$304,0))*节奏预期!G20,0)</f>
        <v>0</v>
      </c>
      <c r="BA20" s="134">
        <f>IFERROR(INDEX(X$5:X$304,MATCH(节奏预期!R20,$S$5:$S$304,0))*节奏预期!H20,0)</f>
        <v>1881006300</v>
      </c>
      <c r="BB20" s="136">
        <f t="shared" si="22"/>
        <v>1881006300</v>
      </c>
      <c r="BC20" s="126" t="str">
        <f>IF(节奏预期!N20="","",节奏预期!N20*装备强化!D$8+装备强化!D$5)</f>
        <v/>
      </c>
      <c r="BD20" s="126" t="str">
        <f>IF(节奏预期!O20="","",节奏预期!O20*装备强化!E$8+装备强化!E$5)</f>
        <v/>
      </c>
      <c r="BE20" s="126" t="str">
        <f>IF(节奏预期!P20="","",节奏预期!P20*装备强化!F$8+装备强化!F$5)</f>
        <v/>
      </c>
      <c r="BF20" s="126" t="str">
        <f>IF(节奏预期!Q20="","",节奏预期!Q20*装备强化!G$8+装备强化!G$5)</f>
        <v/>
      </c>
      <c r="BG20" s="126">
        <f>IF(节奏预期!R20="","",节奏预期!R20*装备强化!H$8+装备强化!H$5)</f>
        <v>10880</v>
      </c>
      <c r="BH20" s="14">
        <f>SUMPRODUCT(BC20:BG20,节奏预期!$D20:$H20)/SUM(节奏预期!$D20:$H20)</f>
        <v>10880</v>
      </c>
      <c r="BI20" s="13" t="str">
        <f>IF(节奏预期!N20="","",节奏预期!N20*装备强化!D$9+装备强化!D$6)</f>
        <v/>
      </c>
      <c r="BJ20" s="126" t="str">
        <f>IF(节奏预期!O20="","",节奏预期!O20*装备强化!E$9+装备强化!E$6)</f>
        <v/>
      </c>
      <c r="BK20" s="126" t="str">
        <f>IF(节奏预期!P20="","",节奏预期!P20*装备强化!F$9+装备强化!F$6)</f>
        <v/>
      </c>
      <c r="BL20" s="126" t="str">
        <f>IF(节奏预期!Q20="","",节奏预期!Q20*装备强化!G$9+装备强化!G$6)</f>
        <v/>
      </c>
      <c r="BM20" s="126">
        <f>IF(节奏预期!R20="","",节奏预期!R20*装备强化!H$9+装备强化!H$6)</f>
        <v>10880</v>
      </c>
      <c r="BN20" s="14">
        <f>SUMPRODUCT(BI20:BM20,节奏预期!$D20:$H20)/SUM(节奏预期!$D20:$H20)</f>
        <v>10880</v>
      </c>
      <c r="BO20" s="128">
        <f>IF(节奏预期!D20="","",IF(节奏预期!I20="",0,装备强化!D$4*节奏预期!I20))</f>
        <v>3.6</v>
      </c>
      <c r="BP20" s="128">
        <f>IF(节奏预期!E20="","",IF(节奏预期!J20="",0,装备强化!E$4*节奏预期!J20))</f>
        <v>8</v>
      </c>
      <c r="BQ20" s="128">
        <f>IF(节奏预期!F20="","",IF(节奏预期!K20="",0,装备强化!F$4*节奏预期!K20))</f>
        <v>18</v>
      </c>
      <c r="BR20" s="128">
        <f>IF(节奏预期!G20="","",IF(节奏预期!L20="",0,装备强化!G$4*节奏预期!L20))</f>
        <v>34</v>
      </c>
      <c r="BS20" s="128">
        <f>IF(节奏预期!H20="","",IF(节奏预期!M20="",0,装备强化!H$4*节奏预期!M20))</f>
        <v>66</v>
      </c>
      <c r="BT20" s="80">
        <f>SUMPRODUCT(BO20:BS20,节奏预期!D20:H20)/SUM(节奏预期!D20:H20)</f>
        <v>66</v>
      </c>
      <c r="BW20" s="25">
        <v>17</v>
      </c>
      <c r="BX20" s="128">
        <v>150</v>
      </c>
      <c r="BY20" s="52">
        <f t="shared" si="12"/>
        <v>66</v>
      </c>
      <c r="BZ20" s="52">
        <f t="shared" si="13"/>
        <v>10880</v>
      </c>
      <c r="CA20" s="52">
        <f t="shared" si="14"/>
        <v>10880</v>
      </c>
      <c r="CB20" s="109">
        <f>(BY20-BY19)*(INDEX([2]非r将兵属性验证!V$7:V$166,$BX20,1)+INDEX([2]非r将兵属性验证!$AP$7:$AP$166,$BX20,1))+CB19</f>
        <v>6722339644.7700577</v>
      </c>
      <c r="CC20" s="109">
        <f>(BZ20-BZ19)*INDEX([2]非r将兵属性验证!W$7:W$166,$BX20,1)+CC19</f>
        <v>61250284768.021255</v>
      </c>
      <c r="CD20" s="109">
        <f>(CA20-CA19)*INDEX([2]非r将兵属性验证!X$7:X$166,$BX20,1)+CD19</f>
        <v>61250284768.021255</v>
      </c>
      <c r="CE20" s="52">
        <f t="shared" si="24"/>
        <v>129222909180.81256</v>
      </c>
      <c r="CF20" s="151"/>
      <c r="CI20" s="128">
        <v>150</v>
      </c>
      <c r="CJ20" s="75">
        <f t="shared" si="16"/>
        <v>1881006300</v>
      </c>
      <c r="CK20" s="75">
        <f>(CJ20-CJ19)*INDEX('[1]功能-付费相关'!$BI$6:$BI$165,$CI20,1)+CK19</f>
        <v>22763188.754541479</v>
      </c>
      <c r="CL20" s="75">
        <f t="shared" si="17"/>
        <v>75240252000</v>
      </c>
      <c r="CM20" s="75">
        <f>(CL20-CL19)*INDEX('[1]功能-付费相关'!$AQ$6:$AQ$165,$CI20,1)+CM19</f>
        <v>51681363.485561132</v>
      </c>
      <c r="CO20" s="128">
        <v>150</v>
      </c>
      <c r="CP20" s="138">
        <f t="shared" si="18"/>
        <v>22763188.754541479</v>
      </c>
      <c r="CQ20" s="138">
        <f t="shared" si="19"/>
        <v>51681363.485561132</v>
      </c>
      <c r="CR20" s="84">
        <f t="shared" si="20"/>
        <v>74444552.240102619</v>
      </c>
    </row>
    <row r="21" spans="10:96" x14ac:dyDescent="0.15">
      <c r="J21" s="46">
        <f>INDEX('[1]资源-装备经验'!Y$6:Y$165,(K21+1)/2,1)</f>
        <v>0</v>
      </c>
      <c r="K21" s="53">
        <v>17</v>
      </c>
      <c r="L21" s="113">
        <v>5</v>
      </c>
      <c r="M21" s="122">
        <f t="shared" si="4"/>
        <v>5</v>
      </c>
      <c r="N21" s="120">
        <f t="shared" si="5"/>
        <v>10</v>
      </c>
      <c r="O21" s="120">
        <f t="shared" si="5"/>
        <v>20</v>
      </c>
      <c r="P21" s="120">
        <f t="shared" si="5"/>
        <v>50</v>
      </c>
      <c r="Q21" s="120">
        <f t="shared" si="5"/>
        <v>150</v>
      </c>
      <c r="S21" s="53">
        <v>17</v>
      </c>
      <c r="T21" s="53">
        <f>SUM(M$5:M21)</f>
        <v>85</v>
      </c>
      <c r="U21" s="53">
        <f>SUM(N$5:N21)</f>
        <v>170</v>
      </c>
      <c r="V21" s="53">
        <f>SUM(O$5:O21)</f>
        <v>340</v>
      </c>
      <c r="W21" s="53">
        <f>SUM(P$5:P21)</f>
        <v>850</v>
      </c>
      <c r="X21" s="53">
        <f>SUM(Q$5:Q21)</f>
        <v>2550</v>
      </c>
      <c r="Z21" s="47">
        <v>17</v>
      </c>
      <c r="AA21" s="47">
        <f t="shared" si="6"/>
        <v>200</v>
      </c>
      <c r="AB21" s="47">
        <f t="shared" si="7"/>
        <v>400</v>
      </c>
      <c r="AC21" s="47">
        <f t="shared" si="8"/>
        <v>800</v>
      </c>
      <c r="AD21" s="47">
        <f t="shared" si="9"/>
        <v>2000</v>
      </c>
      <c r="AE21" s="47">
        <f t="shared" si="10"/>
        <v>6000</v>
      </c>
      <c r="AG21" s="47">
        <v>17</v>
      </c>
      <c r="AH21" s="53">
        <f>SUM(AA$5:AA21)</f>
        <v>3400</v>
      </c>
      <c r="AI21" s="53">
        <f>SUM(AB$5:AB21)</f>
        <v>6800</v>
      </c>
      <c r="AJ21" s="53">
        <f>SUM(AC$5:AC21)</f>
        <v>13600</v>
      </c>
      <c r="AK21" s="53">
        <f>SUM(AD$5:AD21)</f>
        <v>34000</v>
      </c>
      <c r="AL21" s="53">
        <f>SUM(AE$5:AE21)</f>
        <v>102000</v>
      </c>
      <c r="AO21" s="46">
        <v>19</v>
      </c>
      <c r="AP21" s="129">
        <f>节奏预期!B21</f>
        <v>160</v>
      </c>
      <c r="AQ21" s="134">
        <f>IFERROR(INDEX(AH$5:AH$304,MATCH(节奏预期!N21,$AG$5:$AG$304,0))*节奏预期!D21,0)</f>
        <v>0</v>
      </c>
      <c r="AR21" s="134">
        <f>IFERROR(INDEX(AI$5:AI$304,MATCH(节奏预期!O21,$AG$5:$AG$304,0))*节奏预期!E21,0)</f>
        <v>0</v>
      </c>
      <c r="AS21" s="134">
        <f>IFERROR(INDEX(AJ$5:AJ$304,MATCH(节奏预期!P21,$AG$5:$AG$304,0))*节奏预期!F21,0)</f>
        <v>0</v>
      </c>
      <c r="AT21" s="134">
        <f>IFERROR(INDEX(AK$5:AK$304,MATCH(节奏预期!Q21,$AG$5:$AG$304,0))*节奏预期!G21,0)</f>
        <v>0</v>
      </c>
      <c r="AU21" s="134">
        <f>IFERROR(INDEX(AL$5:AL$304,MATCH(节奏预期!R21,$AG$5:$AG$304,0))*节奏预期!H21,0)</f>
        <v>0</v>
      </c>
      <c r="AV21" s="136">
        <f t="shared" si="21"/>
        <v>75240252000</v>
      </c>
      <c r="AW21" s="134">
        <f>IFERROR(INDEX(T$5:T$304,MATCH(节奏预期!N21,$S$5:$S$304,0))*节奏预期!D21,0)</f>
        <v>0</v>
      </c>
      <c r="AX21" s="134">
        <f>IFERROR(INDEX(U$5:U$304,MATCH(节奏预期!O21,$S$5:$S$304,0))*节奏预期!E21,0)</f>
        <v>0</v>
      </c>
      <c r="AY21" s="134">
        <f>IFERROR(INDEX(V$5:V$304,MATCH(节奏预期!P21,$S$5:$S$304,0))*节奏预期!F21,0)</f>
        <v>0</v>
      </c>
      <c r="AZ21" s="134">
        <f>IFERROR(INDEX(W$5:W$304,MATCH(节奏预期!Q21,$S$5:$S$304,0))*节奏预期!G21,0)</f>
        <v>0</v>
      </c>
      <c r="BA21" s="134">
        <f>IFERROR(INDEX(X$5:X$304,MATCH(节奏预期!R21,$S$5:$S$304,0))*节奏预期!H21,0)</f>
        <v>0</v>
      </c>
      <c r="BB21" s="136">
        <f t="shared" si="22"/>
        <v>1881006300</v>
      </c>
      <c r="BC21" s="126" t="str">
        <f>IF(节奏预期!N21="","",节奏预期!N21*装备强化!D$8+装备强化!D$5)</f>
        <v/>
      </c>
      <c r="BD21" s="126" t="str">
        <f>IF(节奏预期!O21="","",节奏预期!O21*装备强化!E$8+装备强化!E$5)</f>
        <v/>
      </c>
      <c r="BE21" s="126" t="str">
        <f>IF(节奏预期!P21="","",节奏预期!P21*装备强化!F$8+装备强化!F$5)</f>
        <v/>
      </c>
      <c r="BF21" s="126" t="str">
        <f>IF(节奏预期!Q21="","",节奏预期!Q21*装备强化!G$8+装备强化!G$5)</f>
        <v/>
      </c>
      <c r="BG21" s="126">
        <f>IF(节奏预期!R21="","",节奏预期!R21*装备强化!H$8+装备强化!H$5)</f>
        <v>11540</v>
      </c>
      <c r="BH21" s="14">
        <f>SUMPRODUCT(BC21:BG21,节奏预期!$D21:$H21)/SUM(节奏预期!$D21:$H21)</f>
        <v>11540</v>
      </c>
      <c r="BI21" s="13" t="str">
        <f>IF(节奏预期!N21="","",节奏预期!N21*装备强化!D$9+装备强化!D$6)</f>
        <v/>
      </c>
      <c r="BJ21" s="126" t="str">
        <f>IF(节奏预期!O21="","",节奏预期!O21*装备强化!E$9+装备强化!E$6)</f>
        <v/>
      </c>
      <c r="BK21" s="126" t="str">
        <f>IF(节奏预期!P21="","",节奏预期!P21*装备强化!F$9+装备强化!F$6)</f>
        <v/>
      </c>
      <c r="BL21" s="126" t="str">
        <f>IF(节奏预期!Q21="","",节奏预期!Q21*装备强化!G$9+装备强化!G$6)</f>
        <v/>
      </c>
      <c r="BM21" s="126">
        <f>IF(节奏预期!R21="","",节奏预期!R21*装备强化!H$9+装备强化!H$6)</f>
        <v>11540</v>
      </c>
      <c r="BN21" s="14">
        <f>SUMPRODUCT(BI21:BM21,节奏预期!$D21:$H21)/SUM(节奏预期!$D21:$H21)</f>
        <v>11540</v>
      </c>
      <c r="BO21" s="128">
        <f>IF(节奏预期!D21="","",IF(节奏预期!I21="",0,装备强化!D$4*节奏预期!I21))</f>
        <v>3.6</v>
      </c>
      <c r="BP21" s="128">
        <f>IF(节奏预期!E21="","",IF(节奏预期!J21="",0,装备强化!E$4*节奏预期!J21))</f>
        <v>8</v>
      </c>
      <c r="BQ21" s="128">
        <f>IF(节奏预期!F21="","",IF(节奏预期!K21="",0,装备强化!F$4*节奏预期!K21))</f>
        <v>18</v>
      </c>
      <c r="BR21" s="128">
        <f>IF(节奏预期!G21="","",IF(节奏预期!L21="",0,装备强化!G$4*节奏预期!L21))</f>
        <v>34</v>
      </c>
      <c r="BS21" s="128">
        <f>IF(节奏预期!H21="","",IF(节奏预期!M21="",0,装备强化!H$4*节奏预期!M21))</f>
        <v>66</v>
      </c>
      <c r="BT21" s="80">
        <f>SUMPRODUCT(BO21:BS21,节奏预期!D21:H21)/SUM(节奏预期!D21:H21)</f>
        <v>66</v>
      </c>
      <c r="BW21" s="25">
        <v>18</v>
      </c>
      <c r="BX21" s="128">
        <v>160</v>
      </c>
      <c r="BY21" s="52">
        <f t="shared" si="12"/>
        <v>66</v>
      </c>
      <c r="BZ21" s="52">
        <f t="shared" si="13"/>
        <v>11540</v>
      </c>
      <c r="CA21" s="52">
        <f t="shared" si="14"/>
        <v>11540</v>
      </c>
      <c r="CB21" s="109">
        <f>(BY21-BY20)*(INDEX([2]非r将兵属性验证!V$7:V$166,$BX21,1)+INDEX([2]非r将兵属性验证!$AP$7:$AP$166,$BX21,1))+CB20</f>
        <v>6722339644.7700577</v>
      </c>
      <c r="CC21" s="109">
        <f>(BZ21-BZ20)*INDEX([2]非r将兵属性验证!W$7:W$166,$BX21,1)+CC20</f>
        <v>79447883770.395355</v>
      </c>
      <c r="CD21" s="109">
        <f>(CA21-CA20)*INDEX([2]非r将兵属性验证!X$7:X$166,$BX21,1)+CD20</f>
        <v>79447883770.395355</v>
      </c>
      <c r="CE21" s="52">
        <f t="shared" si="24"/>
        <v>165618107185.56076</v>
      </c>
      <c r="CF21" s="151"/>
      <c r="CI21" s="128">
        <v>160</v>
      </c>
      <c r="CJ21" s="75">
        <f t="shared" si="16"/>
        <v>1881006300</v>
      </c>
      <c r="CK21" s="75">
        <f>(CJ21-CJ20)*INDEX('[1]功能-付费相关'!$BI$6:$BI$165,$CI21,1)+CK20</f>
        <v>22763188.754541479</v>
      </c>
      <c r="CL21" s="75">
        <f t="shared" si="17"/>
        <v>75240252000</v>
      </c>
      <c r="CM21" s="75">
        <f>(CL21-CL20)*INDEX('[1]功能-付费相关'!$AQ$6:$AQ$165,$CI21,1)+CM20</f>
        <v>51681363.485561132</v>
      </c>
      <c r="CO21" s="128">
        <v>160</v>
      </c>
      <c r="CP21" s="138">
        <f t="shared" si="18"/>
        <v>22763188.754541479</v>
      </c>
      <c r="CQ21" s="138">
        <f t="shared" si="19"/>
        <v>51681363.485561132</v>
      </c>
      <c r="CR21" s="84">
        <f t="shared" si="20"/>
        <v>74444552.240102619</v>
      </c>
    </row>
    <row r="22" spans="10:96" x14ac:dyDescent="0.15">
      <c r="J22" s="46">
        <f>INDEX('[1]资源-装备经验'!Y$6:Y$165,(K22+1)/2,1)</f>
        <v>0</v>
      </c>
      <c r="K22" s="53">
        <v>18</v>
      </c>
      <c r="L22" s="113">
        <v>5</v>
      </c>
      <c r="M22" s="122">
        <f t="shared" si="4"/>
        <v>5</v>
      </c>
      <c r="N22" s="120">
        <f t="shared" si="5"/>
        <v>10</v>
      </c>
      <c r="O22" s="120">
        <f t="shared" si="5"/>
        <v>20</v>
      </c>
      <c r="P22" s="120">
        <f t="shared" si="5"/>
        <v>50</v>
      </c>
      <c r="Q22" s="120">
        <f t="shared" si="5"/>
        <v>150</v>
      </c>
      <c r="S22" s="53">
        <v>18</v>
      </c>
      <c r="T22" s="53">
        <f>SUM(M$5:M22)</f>
        <v>90</v>
      </c>
      <c r="U22" s="53">
        <f>SUM(N$5:N22)</f>
        <v>180</v>
      </c>
      <c r="V22" s="53">
        <f>SUM(O$5:O22)</f>
        <v>360</v>
      </c>
      <c r="W22" s="53">
        <f>SUM(P$5:P22)</f>
        <v>900</v>
      </c>
      <c r="X22" s="53">
        <f>SUM(Q$5:Q22)</f>
        <v>2700</v>
      </c>
      <c r="Z22" s="47">
        <v>18</v>
      </c>
      <c r="AA22" s="47">
        <f t="shared" si="6"/>
        <v>200</v>
      </c>
      <c r="AB22" s="47">
        <f t="shared" si="7"/>
        <v>400</v>
      </c>
      <c r="AC22" s="47">
        <f t="shared" si="8"/>
        <v>800</v>
      </c>
      <c r="AD22" s="47">
        <f t="shared" si="9"/>
        <v>2000</v>
      </c>
      <c r="AE22" s="47">
        <f t="shared" si="10"/>
        <v>6000</v>
      </c>
      <c r="AG22" s="47">
        <v>18</v>
      </c>
      <c r="AH22" s="53">
        <f>SUM(AA$5:AA22)</f>
        <v>3600</v>
      </c>
      <c r="AI22" s="53">
        <f>SUM(AB$5:AB22)</f>
        <v>7200</v>
      </c>
      <c r="AJ22" s="53">
        <f>SUM(AC$5:AC22)</f>
        <v>14400</v>
      </c>
      <c r="AK22" s="53">
        <f>SUM(AD$5:AD22)</f>
        <v>36000</v>
      </c>
      <c r="AL22" s="53">
        <f>SUM(AE$5:AE22)</f>
        <v>108000</v>
      </c>
      <c r="AO22" s="46">
        <v>20</v>
      </c>
      <c r="AP22" s="69"/>
      <c r="AQ22" s="69"/>
      <c r="AR22" s="69"/>
      <c r="AS22" s="69"/>
      <c r="AT22" s="69"/>
      <c r="AU22" s="69"/>
      <c r="AV22" s="69"/>
      <c r="AW22" s="69"/>
      <c r="AX22" s="69"/>
      <c r="AY22" s="69"/>
      <c r="AZ22" s="69"/>
      <c r="BA22" s="69"/>
      <c r="BB22" s="69"/>
      <c r="BW22" s="25">
        <v>19</v>
      </c>
      <c r="CR22" s="74"/>
    </row>
    <row r="23" spans="10:96" x14ac:dyDescent="0.15">
      <c r="J23" s="46">
        <f>INDEX('[1]资源-装备经验'!Y$6:Y$165,(K23+1)/2,1)</f>
        <v>0</v>
      </c>
      <c r="K23" s="53">
        <v>19</v>
      </c>
      <c r="L23" s="113">
        <v>5</v>
      </c>
      <c r="M23" s="122">
        <f t="shared" si="4"/>
        <v>5</v>
      </c>
      <c r="N23" s="120">
        <f t="shared" si="5"/>
        <v>10</v>
      </c>
      <c r="O23" s="120">
        <f t="shared" si="5"/>
        <v>20</v>
      </c>
      <c r="P23" s="120">
        <f t="shared" si="5"/>
        <v>50</v>
      </c>
      <c r="Q23" s="120">
        <f t="shared" si="5"/>
        <v>150</v>
      </c>
      <c r="S23" s="53">
        <v>19</v>
      </c>
      <c r="T23" s="53">
        <f>SUM(M$5:M23)</f>
        <v>95</v>
      </c>
      <c r="U23" s="53">
        <f>SUM(N$5:N23)</f>
        <v>190</v>
      </c>
      <c r="V23" s="53">
        <f>SUM(O$5:O23)</f>
        <v>380</v>
      </c>
      <c r="W23" s="53">
        <f>SUM(P$5:P23)</f>
        <v>950</v>
      </c>
      <c r="X23" s="53">
        <f>SUM(Q$5:Q23)</f>
        <v>2850</v>
      </c>
      <c r="Z23" s="47">
        <v>19</v>
      </c>
      <c r="AA23" s="47">
        <f t="shared" si="6"/>
        <v>200</v>
      </c>
      <c r="AB23" s="47">
        <f t="shared" si="7"/>
        <v>400</v>
      </c>
      <c r="AC23" s="47">
        <f t="shared" si="8"/>
        <v>800</v>
      </c>
      <c r="AD23" s="47">
        <f t="shared" si="9"/>
        <v>2000</v>
      </c>
      <c r="AE23" s="47">
        <f t="shared" si="10"/>
        <v>6000</v>
      </c>
      <c r="AG23" s="47">
        <v>19</v>
      </c>
      <c r="AH23" s="53">
        <f>SUM(AA$5:AA23)</f>
        <v>3800</v>
      </c>
      <c r="AI23" s="53">
        <f>SUM(AB$5:AB23)</f>
        <v>7600</v>
      </c>
      <c r="AJ23" s="53">
        <f>SUM(AC$5:AC23)</f>
        <v>15200</v>
      </c>
      <c r="AK23" s="53">
        <f>SUM(AD$5:AD23)</f>
        <v>38000</v>
      </c>
      <c r="AL23" s="53">
        <f>SUM(AE$5:AE23)</f>
        <v>114000</v>
      </c>
      <c r="AO23" s="46">
        <v>21</v>
      </c>
      <c r="AP23" s="36"/>
      <c r="AQ23" s="36"/>
      <c r="AR23" s="36"/>
      <c r="AS23" s="36"/>
      <c r="AT23" s="36"/>
      <c r="AU23" s="36"/>
      <c r="AV23" s="36"/>
      <c r="AW23" s="36"/>
      <c r="AX23" s="36"/>
      <c r="AY23" s="36"/>
      <c r="AZ23" s="36"/>
      <c r="BA23" s="36"/>
      <c r="BB23" s="36"/>
      <c r="BW23" s="25">
        <v>20</v>
      </c>
      <c r="CR23" s="74"/>
    </row>
    <row r="24" spans="10:96" x14ac:dyDescent="0.15">
      <c r="J24" s="46">
        <f>INDEX('[1]资源-装备经验'!Y$6:Y$165,(K24+1)/2,1)</f>
        <v>0</v>
      </c>
      <c r="K24" s="53">
        <v>20</v>
      </c>
      <c r="L24" s="121">
        <v>5</v>
      </c>
      <c r="M24" s="122">
        <f t="shared" si="4"/>
        <v>5</v>
      </c>
      <c r="N24" s="120">
        <f t="shared" si="5"/>
        <v>10</v>
      </c>
      <c r="O24" s="120">
        <f t="shared" si="5"/>
        <v>20</v>
      </c>
      <c r="P24" s="120">
        <f t="shared" si="5"/>
        <v>50</v>
      </c>
      <c r="Q24" s="120">
        <f t="shared" si="5"/>
        <v>150</v>
      </c>
      <c r="S24" s="53">
        <v>20</v>
      </c>
      <c r="T24" s="53">
        <f>SUM(M$5:M24)</f>
        <v>100</v>
      </c>
      <c r="U24" s="53">
        <f>SUM(N$5:N24)</f>
        <v>200</v>
      </c>
      <c r="V24" s="53">
        <f>SUM(O$5:O24)</f>
        <v>400</v>
      </c>
      <c r="W24" s="53">
        <f>SUM(P$5:P24)</f>
        <v>1000</v>
      </c>
      <c r="X24" s="53">
        <f>SUM(Q$5:Q24)</f>
        <v>3000</v>
      </c>
      <c r="Z24" s="47">
        <v>20</v>
      </c>
      <c r="AA24" s="47">
        <f t="shared" si="6"/>
        <v>200</v>
      </c>
      <c r="AB24" s="47">
        <f t="shared" si="7"/>
        <v>400</v>
      </c>
      <c r="AC24" s="47">
        <f t="shared" si="8"/>
        <v>800</v>
      </c>
      <c r="AD24" s="47">
        <f t="shared" si="9"/>
        <v>2000</v>
      </c>
      <c r="AE24" s="47">
        <f t="shared" si="10"/>
        <v>6000</v>
      </c>
      <c r="AG24" s="47">
        <v>20</v>
      </c>
      <c r="AH24" s="53">
        <f>SUM(AA$5:AA24)</f>
        <v>4000</v>
      </c>
      <c r="AI24" s="53">
        <f>SUM(AB$5:AB24)</f>
        <v>8000</v>
      </c>
      <c r="AJ24" s="53">
        <f>SUM(AC$5:AC24)</f>
        <v>16000</v>
      </c>
      <c r="AK24" s="53">
        <f>SUM(AD$5:AD24)</f>
        <v>40000</v>
      </c>
      <c r="AL24" s="53">
        <f>SUM(AE$5:AE24)</f>
        <v>120000</v>
      </c>
      <c r="AO24" s="46">
        <v>22</v>
      </c>
      <c r="AP24" s="36"/>
      <c r="AQ24" s="36"/>
      <c r="AR24" s="36"/>
      <c r="AS24" s="36"/>
      <c r="AT24" s="36"/>
      <c r="AU24" s="36"/>
      <c r="AV24" s="36"/>
      <c r="AW24" s="36"/>
      <c r="AX24" s="36"/>
      <c r="AY24" s="36"/>
      <c r="AZ24" s="36"/>
      <c r="BA24" s="36"/>
      <c r="BB24" s="36"/>
      <c r="BW24" s="25">
        <v>21</v>
      </c>
      <c r="CR24" s="74"/>
    </row>
    <row r="25" spans="10:96" x14ac:dyDescent="0.15">
      <c r="J25" s="46">
        <f>INDEX('[1]资源-装备经验'!Y$6:Y$165,(K25+1)/2,1)</f>
        <v>0</v>
      </c>
      <c r="K25" s="53">
        <v>21</v>
      </c>
      <c r="L25" s="121">
        <v>5</v>
      </c>
      <c r="M25" s="122">
        <f t="shared" si="4"/>
        <v>5</v>
      </c>
      <c r="N25" s="120">
        <f t="shared" si="5"/>
        <v>10</v>
      </c>
      <c r="O25" s="120">
        <f t="shared" si="5"/>
        <v>20</v>
      </c>
      <c r="P25" s="120">
        <f t="shared" si="5"/>
        <v>50</v>
      </c>
      <c r="Q25" s="120">
        <f t="shared" si="5"/>
        <v>150</v>
      </c>
      <c r="S25" s="53">
        <v>21</v>
      </c>
      <c r="T25" s="53">
        <f>SUM(M$5:M25)</f>
        <v>105</v>
      </c>
      <c r="U25" s="53">
        <f>SUM(N$5:N25)</f>
        <v>210</v>
      </c>
      <c r="V25" s="53">
        <f>SUM(O$5:O25)</f>
        <v>420</v>
      </c>
      <c r="W25" s="53">
        <f>SUM(P$5:P25)</f>
        <v>1050</v>
      </c>
      <c r="X25" s="53">
        <f>SUM(Q$5:Q25)</f>
        <v>3150</v>
      </c>
      <c r="Z25" s="47">
        <v>21</v>
      </c>
      <c r="AA25" s="47">
        <f t="shared" si="6"/>
        <v>200</v>
      </c>
      <c r="AB25" s="47">
        <f t="shared" si="7"/>
        <v>400</v>
      </c>
      <c r="AC25" s="47">
        <f t="shared" si="8"/>
        <v>800</v>
      </c>
      <c r="AD25" s="47">
        <f t="shared" si="9"/>
        <v>2000</v>
      </c>
      <c r="AE25" s="47">
        <f t="shared" si="10"/>
        <v>6000</v>
      </c>
      <c r="AG25" s="47">
        <v>21</v>
      </c>
      <c r="AH25" s="53">
        <f>SUM(AA$5:AA25)</f>
        <v>4200</v>
      </c>
      <c r="AI25" s="53">
        <f>SUM(AB$5:AB25)</f>
        <v>8400</v>
      </c>
      <c r="AJ25" s="53">
        <f>SUM(AC$5:AC25)</f>
        <v>16800</v>
      </c>
      <c r="AK25" s="53">
        <f>SUM(AD$5:AD25)</f>
        <v>42000</v>
      </c>
      <c r="AL25" s="53">
        <f>SUM(AE$5:AE25)</f>
        <v>126000</v>
      </c>
      <c r="AO25" s="46">
        <v>23</v>
      </c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W25" s="25">
        <v>22</v>
      </c>
    </row>
    <row r="26" spans="10:96" x14ac:dyDescent="0.15">
      <c r="J26" s="46">
        <f>INDEX('[1]资源-装备经验'!Y$6:Y$165,(K26+1)/2,1)</f>
        <v>0</v>
      </c>
      <c r="K26" s="53">
        <v>22</v>
      </c>
      <c r="L26" s="121">
        <v>5</v>
      </c>
      <c r="M26" s="122">
        <f t="shared" si="4"/>
        <v>5</v>
      </c>
      <c r="N26" s="120">
        <f t="shared" si="5"/>
        <v>10</v>
      </c>
      <c r="O26" s="120">
        <f t="shared" si="5"/>
        <v>20</v>
      </c>
      <c r="P26" s="120">
        <f t="shared" si="5"/>
        <v>50</v>
      </c>
      <c r="Q26" s="120">
        <f t="shared" si="5"/>
        <v>150</v>
      </c>
      <c r="S26" s="53">
        <v>22</v>
      </c>
      <c r="T26" s="53">
        <f>SUM(M$5:M26)</f>
        <v>110</v>
      </c>
      <c r="U26" s="53">
        <f>SUM(N$5:N26)</f>
        <v>220</v>
      </c>
      <c r="V26" s="53">
        <f>SUM(O$5:O26)</f>
        <v>440</v>
      </c>
      <c r="W26" s="53">
        <f>SUM(P$5:P26)</f>
        <v>1100</v>
      </c>
      <c r="X26" s="53">
        <f>SUM(Q$5:Q26)</f>
        <v>3300</v>
      </c>
      <c r="Z26" s="47">
        <v>22</v>
      </c>
      <c r="AA26" s="47">
        <f t="shared" si="6"/>
        <v>200</v>
      </c>
      <c r="AB26" s="47">
        <f t="shared" si="7"/>
        <v>400</v>
      </c>
      <c r="AC26" s="47">
        <f t="shared" si="8"/>
        <v>800</v>
      </c>
      <c r="AD26" s="47">
        <f t="shared" si="9"/>
        <v>2000</v>
      </c>
      <c r="AE26" s="47">
        <f t="shared" si="10"/>
        <v>6000</v>
      </c>
      <c r="AG26" s="47">
        <v>22</v>
      </c>
      <c r="AH26" s="53">
        <f>SUM(AA$5:AA26)</f>
        <v>4400</v>
      </c>
      <c r="AI26" s="53">
        <f>SUM(AB$5:AB26)</f>
        <v>8800</v>
      </c>
      <c r="AJ26" s="53">
        <f>SUM(AC$5:AC26)</f>
        <v>17600</v>
      </c>
      <c r="AK26" s="53">
        <f>SUM(AD$5:AD26)</f>
        <v>44000</v>
      </c>
      <c r="AL26" s="53">
        <f>SUM(AE$5:AE26)</f>
        <v>132000</v>
      </c>
      <c r="AO26" s="46">
        <v>24</v>
      </c>
      <c r="AP26" s="36"/>
      <c r="AQ26" s="36"/>
      <c r="AR26" s="36"/>
      <c r="AS26" s="36"/>
      <c r="AT26" s="36"/>
      <c r="AU26" s="36"/>
      <c r="AV26" s="36"/>
      <c r="AW26" s="36"/>
      <c r="AX26" s="36"/>
      <c r="AY26" s="36"/>
      <c r="AZ26" s="36"/>
      <c r="BA26" s="36"/>
      <c r="BB26" s="36"/>
      <c r="BW26" s="25">
        <v>23</v>
      </c>
    </row>
    <row r="27" spans="10:96" x14ac:dyDescent="0.15">
      <c r="J27" s="46">
        <f>INDEX('[1]资源-装备经验'!Y$6:Y$165,(K27+1)/2,1)</f>
        <v>0</v>
      </c>
      <c r="K27" s="53">
        <v>23</v>
      </c>
      <c r="L27" s="121">
        <v>5</v>
      </c>
      <c r="M27" s="122">
        <f t="shared" si="4"/>
        <v>5</v>
      </c>
      <c r="N27" s="120">
        <f t="shared" si="5"/>
        <v>10</v>
      </c>
      <c r="O27" s="120">
        <f t="shared" si="5"/>
        <v>20</v>
      </c>
      <c r="P27" s="120">
        <f t="shared" si="5"/>
        <v>50</v>
      </c>
      <c r="Q27" s="120">
        <f t="shared" si="5"/>
        <v>150</v>
      </c>
      <c r="S27" s="53">
        <v>23</v>
      </c>
      <c r="T27" s="53">
        <f>SUM(M$5:M27)</f>
        <v>115</v>
      </c>
      <c r="U27" s="53">
        <f>SUM(N$5:N27)</f>
        <v>230</v>
      </c>
      <c r="V27" s="53">
        <f>SUM(O$5:O27)</f>
        <v>460</v>
      </c>
      <c r="W27" s="53">
        <f>SUM(P$5:P27)</f>
        <v>1150</v>
      </c>
      <c r="X27" s="53">
        <f>SUM(Q$5:Q27)</f>
        <v>3450</v>
      </c>
      <c r="Z27" s="47">
        <v>23</v>
      </c>
      <c r="AA27" s="47">
        <f t="shared" si="6"/>
        <v>200</v>
      </c>
      <c r="AB27" s="47">
        <f t="shared" si="7"/>
        <v>400</v>
      </c>
      <c r="AC27" s="47">
        <f t="shared" si="8"/>
        <v>800</v>
      </c>
      <c r="AD27" s="47">
        <f t="shared" si="9"/>
        <v>2000</v>
      </c>
      <c r="AE27" s="47">
        <f t="shared" si="10"/>
        <v>6000</v>
      </c>
      <c r="AG27" s="47">
        <v>23</v>
      </c>
      <c r="AH27" s="53">
        <f>SUM(AA$5:AA27)</f>
        <v>4600</v>
      </c>
      <c r="AI27" s="53">
        <f>SUM(AB$5:AB27)</f>
        <v>9200</v>
      </c>
      <c r="AJ27" s="53">
        <f>SUM(AC$5:AC27)</f>
        <v>18400</v>
      </c>
      <c r="AK27" s="53">
        <f>SUM(AD$5:AD27)</f>
        <v>46000</v>
      </c>
      <c r="AL27" s="53">
        <f>SUM(AE$5:AE27)</f>
        <v>138000</v>
      </c>
      <c r="AO27" s="46">
        <v>25</v>
      </c>
      <c r="AP27" s="36"/>
      <c r="AQ27" s="36"/>
      <c r="AR27" s="36"/>
      <c r="AS27" s="36"/>
      <c r="AT27" s="36"/>
      <c r="AU27" s="36"/>
      <c r="AV27" s="36"/>
      <c r="AW27" s="36"/>
      <c r="AX27" s="36"/>
      <c r="AY27" s="36"/>
      <c r="AZ27" s="36"/>
      <c r="BA27" s="36"/>
      <c r="BB27" s="36"/>
      <c r="BP27" s="98"/>
      <c r="BW27" s="25">
        <v>24</v>
      </c>
    </row>
    <row r="28" spans="10:96" x14ac:dyDescent="0.15">
      <c r="J28" s="46">
        <f>INDEX('[1]资源-装备经验'!Y$6:Y$165,(K28+1)/2,1)</f>
        <v>0</v>
      </c>
      <c r="K28" s="53">
        <v>24</v>
      </c>
      <c r="L28" s="121">
        <v>5</v>
      </c>
      <c r="M28" s="122">
        <f t="shared" si="4"/>
        <v>5</v>
      </c>
      <c r="N28" s="120">
        <f t="shared" si="5"/>
        <v>10</v>
      </c>
      <c r="O28" s="120">
        <f t="shared" si="5"/>
        <v>20</v>
      </c>
      <c r="P28" s="120">
        <f t="shared" si="5"/>
        <v>50</v>
      </c>
      <c r="Q28" s="120">
        <f t="shared" si="5"/>
        <v>150</v>
      </c>
      <c r="S28" s="53">
        <v>24</v>
      </c>
      <c r="T28" s="53">
        <f>SUM(M$5:M28)</f>
        <v>120</v>
      </c>
      <c r="U28" s="53">
        <f>SUM(N$5:N28)</f>
        <v>240</v>
      </c>
      <c r="V28" s="53">
        <f>SUM(O$5:O28)</f>
        <v>480</v>
      </c>
      <c r="W28" s="53">
        <f>SUM(P$5:P28)</f>
        <v>1200</v>
      </c>
      <c r="X28" s="53">
        <f>SUM(Q$5:Q28)</f>
        <v>3600</v>
      </c>
      <c r="Z28" s="47">
        <v>24</v>
      </c>
      <c r="AA28" s="47">
        <f t="shared" si="6"/>
        <v>200</v>
      </c>
      <c r="AB28" s="47">
        <f t="shared" si="7"/>
        <v>400</v>
      </c>
      <c r="AC28" s="47">
        <f t="shared" si="8"/>
        <v>800</v>
      </c>
      <c r="AD28" s="47">
        <f t="shared" si="9"/>
        <v>2000</v>
      </c>
      <c r="AE28" s="47">
        <f t="shared" si="10"/>
        <v>6000</v>
      </c>
      <c r="AG28" s="47">
        <v>24</v>
      </c>
      <c r="AH28" s="53">
        <f>SUM(AA$5:AA28)</f>
        <v>4800</v>
      </c>
      <c r="AI28" s="53">
        <f>SUM(AB$5:AB28)</f>
        <v>9600</v>
      </c>
      <c r="AJ28" s="53">
        <f>SUM(AC$5:AC28)</f>
        <v>19200</v>
      </c>
      <c r="AK28" s="53">
        <f>SUM(AD$5:AD28)</f>
        <v>48000</v>
      </c>
      <c r="AL28" s="53">
        <f>SUM(AE$5:AE28)</f>
        <v>144000</v>
      </c>
      <c r="AO28" s="46">
        <v>26</v>
      </c>
      <c r="AP28" s="36"/>
      <c r="AQ28" s="36"/>
      <c r="AR28" s="36"/>
      <c r="AS28" s="36"/>
      <c r="AT28" s="36"/>
      <c r="AU28" s="36"/>
      <c r="AV28" s="36"/>
      <c r="AW28" s="36"/>
      <c r="AX28" s="36"/>
      <c r="AY28" s="36"/>
      <c r="AZ28" s="36"/>
      <c r="BA28" s="36"/>
      <c r="BB28" s="36"/>
      <c r="BW28" s="25">
        <v>25</v>
      </c>
    </row>
    <row r="29" spans="10:96" x14ac:dyDescent="0.15">
      <c r="J29" s="46">
        <f>INDEX('[1]资源-装备经验'!Y$6:Y$165,(K29+1)/2,1)</f>
        <v>0</v>
      </c>
      <c r="K29" s="53">
        <v>25</v>
      </c>
      <c r="L29" s="121">
        <v>5</v>
      </c>
      <c r="M29" s="122">
        <f t="shared" si="4"/>
        <v>5</v>
      </c>
      <c r="N29" s="120">
        <f t="shared" si="5"/>
        <v>10</v>
      </c>
      <c r="O29" s="120">
        <f t="shared" si="5"/>
        <v>20</v>
      </c>
      <c r="P29" s="120">
        <f t="shared" si="5"/>
        <v>50</v>
      </c>
      <c r="Q29" s="120">
        <f t="shared" si="5"/>
        <v>150</v>
      </c>
      <c r="S29" s="53">
        <v>25</v>
      </c>
      <c r="T29" s="53">
        <f>SUM(M$5:M29)</f>
        <v>125</v>
      </c>
      <c r="U29" s="53">
        <f>SUM(N$5:N29)</f>
        <v>250</v>
      </c>
      <c r="V29" s="53">
        <f>SUM(O$5:O29)</f>
        <v>500</v>
      </c>
      <c r="W29" s="53">
        <f>SUM(P$5:P29)</f>
        <v>1250</v>
      </c>
      <c r="X29" s="53">
        <f>SUM(Q$5:Q29)</f>
        <v>3750</v>
      </c>
      <c r="Z29" s="47">
        <v>25</v>
      </c>
      <c r="AA29" s="47">
        <f t="shared" si="6"/>
        <v>200</v>
      </c>
      <c r="AB29" s="47">
        <f t="shared" si="7"/>
        <v>400</v>
      </c>
      <c r="AC29" s="47">
        <f t="shared" si="8"/>
        <v>800</v>
      </c>
      <c r="AD29" s="47">
        <f t="shared" si="9"/>
        <v>2000</v>
      </c>
      <c r="AE29" s="47">
        <f t="shared" si="10"/>
        <v>6000</v>
      </c>
      <c r="AG29" s="47">
        <v>25</v>
      </c>
      <c r="AH29" s="53">
        <f>SUM(AA$5:AA29)</f>
        <v>5000</v>
      </c>
      <c r="AI29" s="53">
        <f>SUM(AB$5:AB29)</f>
        <v>10000</v>
      </c>
      <c r="AJ29" s="53">
        <f>SUM(AC$5:AC29)</f>
        <v>20000</v>
      </c>
      <c r="AK29" s="53">
        <f>SUM(AD$5:AD29)</f>
        <v>50000</v>
      </c>
      <c r="AL29" s="53">
        <f>SUM(AE$5:AE29)</f>
        <v>150000</v>
      </c>
      <c r="AO29" s="46">
        <v>27</v>
      </c>
      <c r="AP29" s="36"/>
      <c r="AQ29" s="36"/>
      <c r="AR29" s="36"/>
      <c r="AS29" s="36"/>
      <c r="AT29" s="36"/>
      <c r="AU29" s="36"/>
      <c r="AV29" s="36"/>
      <c r="AW29" s="36"/>
      <c r="AX29" s="36"/>
      <c r="AY29" s="36"/>
      <c r="AZ29" s="36"/>
      <c r="BA29" s="36"/>
      <c r="BB29" s="36"/>
      <c r="BW29" s="25">
        <v>26</v>
      </c>
      <c r="CI29" s="36"/>
      <c r="CO29" s="36"/>
      <c r="CP29" s="36"/>
      <c r="CQ29" s="36"/>
    </row>
    <row r="30" spans="10:96" x14ac:dyDescent="0.15">
      <c r="J30" s="46">
        <f>INDEX('[1]资源-装备经验'!Y$6:Y$165,(K30+1)/2,1)</f>
        <v>0</v>
      </c>
      <c r="K30" s="53">
        <v>26</v>
      </c>
      <c r="L30" s="121">
        <v>5</v>
      </c>
      <c r="M30" s="122">
        <f t="shared" si="4"/>
        <v>5</v>
      </c>
      <c r="N30" s="120">
        <f t="shared" si="5"/>
        <v>10</v>
      </c>
      <c r="O30" s="120">
        <f t="shared" si="5"/>
        <v>20</v>
      </c>
      <c r="P30" s="120">
        <f t="shared" si="5"/>
        <v>50</v>
      </c>
      <c r="Q30" s="120">
        <f t="shared" si="5"/>
        <v>150</v>
      </c>
      <c r="S30" s="53">
        <v>26</v>
      </c>
      <c r="T30" s="53">
        <f>SUM(M$5:M30)</f>
        <v>130</v>
      </c>
      <c r="U30" s="53">
        <f>SUM(N$5:N30)</f>
        <v>260</v>
      </c>
      <c r="V30" s="53">
        <f>SUM(O$5:O30)</f>
        <v>520</v>
      </c>
      <c r="W30" s="53">
        <f>SUM(P$5:P30)</f>
        <v>1300</v>
      </c>
      <c r="X30" s="53">
        <f>SUM(Q$5:Q30)</f>
        <v>3900</v>
      </c>
      <c r="Z30" s="47">
        <v>26</v>
      </c>
      <c r="AA30" s="47">
        <f t="shared" si="6"/>
        <v>200</v>
      </c>
      <c r="AB30" s="47">
        <f t="shared" si="7"/>
        <v>400</v>
      </c>
      <c r="AC30" s="47">
        <f t="shared" si="8"/>
        <v>800</v>
      </c>
      <c r="AD30" s="47">
        <f t="shared" si="9"/>
        <v>2000</v>
      </c>
      <c r="AE30" s="47">
        <f t="shared" si="10"/>
        <v>6000</v>
      </c>
      <c r="AG30" s="47">
        <v>26</v>
      </c>
      <c r="AH30" s="53">
        <f>SUM(AA$5:AA30)</f>
        <v>5200</v>
      </c>
      <c r="AI30" s="53">
        <f>SUM(AB$5:AB30)</f>
        <v>10400</v>
      </c>
      <c r="AJ30" s="53">
        <f>SUM(AC$5:AC30)</f>
        <v>20800</v>
      </c>
      <c r="AK30" s="53">
        <f>SUM(AD$5:AD30)</f>
        <v>52000</v>
      </c>
      <c r="AL30" s="53">
        <f>SUM(AE$5:AE30)</f>
        <v>156000</v>
      </c>
      <c r="AO30" s="46">
        <v>28</v>
      </c>
      <c r="AP30" s="36"/>
      <c r="AQ30" s="36"/>
      <c r="AR30" s="36"/>
      <c r="AS30" s="36"/>
      <c r="AT30" s="36"/>
      <c r="AU30" s="36"/>
      <c r="AV30" s="36"/>
      <c r="AW30" s="36"/>
      <c r="AX30" s="36"/>
      <c r="AY30" s="36"/>
      <c r="AZ30" s="36"/>
      <c r="BA30" s="36"/>
      <c r="BB30" s="36"/>
      <c r="BW30" s="25">
        <v>27</v>
      </c>
      <c r="CI30" s="36"/>
      <c r="CO30" s="36"/>
      <c r="CP30" s="36"/>
      <c r="CQ30" s="36"/>
    </row>
    <row r="31" spans="10:96" x14ac:dyDescent="0.15">
      <c r="J31" s="46">
        <f>INDEX('[1]资源-装备经验'!Y$6:Y$165,(K31+1)/2,1)</f>
        <v>0</v>
      </c>
      <c r="K31" s="53">
        <v>27</v>
      </c>
      <c r="L31" s="121">
        <v>5</v>
      </c>
      <c r="M31" s="122">
        <f t="shared" si="4"/>
        <v>5</v>
      </c>
      <c r="N31" s="120">
        <f t="shared" si="5"/>
        <v>10</v>
      </c>
      <c r="O31" s="120">
        <f t="shared" si="5"/>
        <v>20</v>
      </c>
      <c r="P31" s="120">
        <f t="shared" si="5"/>
        <v>50</v>
      </c>
      <c r="Q31" s="120">
        <f t="shared" si="5"/>
        <v>150</v>
      </c>
      <c r="S31" s="53">
        <v>27</v>
      </c>
      <c r="T31" s="53">
        <f>SUM(M$5:M31)</f>
        <v>135</v>
      </c>
      <c r="U31" s="53">
        <f>SUM(N$5:N31)</f>
        <v>270</v>
      </c>
      <c r="V31" s="53">
        <f>SUM(O$5:O31)</f>
        <v>540</v>
      </c>
      <c r="W31" s="53">
        <f>SUM(P$5:P31)</f>
        <v>1350</v>
      </c>
      <c r="X31" s="53">
        <f>SUM(Q$5:Q31)</f>
        <v>4050</v>
      </c>
      <c r="Z31" s="47">
        <v>27</v>
      </c>
      <c r="AA31" s="47">
        <f t="shared" si="6"/>
        <v>200</v>
      </c>
      <c r="AB31" s="47">
        <f t="shared" si="7"/>
        <v>400</v>
      </c>
      <c r="AC31" s="47">
        <f t="shared" si="8"/>
        <v>800</v>
      </c>
      <c r="AD31" s="47">
        <f t="shared" si="9"/>
        <v>2000</v>
      </c>
      <c r="AE31" s="47">
        <f t="shared" si="10"/>
        <v>6000</v>
      </c>
      <c r="AG31" s="47">
        <v>27</v>
      </c>
      <c r="AH31" s="53">
        <f>SUM(AA$5:AA31)</f>
        <v>5400</v>
      </c>
      <c r="AI31" s="53">
        <f>SUM(AB$5:AB31)</f>
        <v>10800</v>
      </c>
      <c r="AJ31" s="53">
        <f>SUM(AC$5:AC31)</f>
        <v>21600</v>
      </c>
      <c r="AK31" s="53">
        <f>SUM(AD$5:AD31)</f>
        <v>54000</v>
      </c>
      <c r="AL31" s="53">
        <f>SUM(AE$5:AE31)</f>
        <v>162000</v>
      </c>
      <c r="AO31" s="46">
        <v>29</v>
      </c>
      <c r="AP31" s="36"/>
      <c r="AQ31" s="36"/>
      <c r="AR31" s="36"/>
      <c r="AS31" s="36"/>
      <c r="AT31" s="36"/>
      <c r="AU31" s="36"/>
      <c r="AV31" s="36"/>
      <c r="AW31" s="36"/>
      <c r="AX31" s="36"/>
      <c r="AY31" s="36"/>
      <c r="AZ31" s="36"/>
      <c r="BA31" s="36"/>
      <c r="BB31" s="36"/>
      <c r="BW31" s="25">
        <v>28</v>
      </c>
      <c r="CI31" s="36"/>
      <c r="CO31" s="36"/>
      <c r="CP31" s="36"/>
      <c r="CQ31" s="36"/>
    </row>
    <row r="32" spans="10:96" x14ac:dyDescent="0.15">
      <c r="J32" s="46">
        <f>INDEX('[1]资源-装备经验'!Y$6:Y$165,(K32+1)/2,1)</f>
        <v>0</v>
      </c>
      <c r="K32" s="53">
        <v>28</v>
      </c>
      <c r="L32" s="121">
        <v>5</v>
      </c>
      <c r="M32" s="122">
        <f t="shared" si="4"/>
        <v>5</v>
      </c>
      <c r="N32" s="120">
        <f t="shared" si="5"/>
        <v>10</v>
      </c>
      <c r="O32" s="120">
        <f t="shared" si="5"/>
        <v>20</v>
      </c>
      <c r="P32" s="120">
        <f t="shared" si="5"/>
        <v>50</v>
      </c>
      <c r="Q32" s="120">
        <f t="shared" si="5"/>
        <v>150</v>
      </c>
      <c r="S32" s="53">
        <v>28</v>
      </c>
      <c r="T32" s="53">
        <f>SUM(M$5:M32)</f>
        <v>140</v>
      </c>
      <c r="U32" s="53">
        <f>SUM(N$5:N32)</f>
        <v>280</v>
      </c>
      <c r="V32" s="53">
        <f>SUM(O$5:O32)</f>
        <v>560</v>
      </c>
      <c r="W32" s="53">
        <f>SUM(P$5:P32)</f>
        <v>1400</v>
      </c>
      <c r="X32" s="53">
        <f>SUM(Q$5:Q32)</f>
        <v>4200</v>
      </c>
      <c r="Z32" s="47">
        <v>28</v>
      </c>
      <c r="AA32" s="47">
        <f t="shared" si="6"/>
        <v>200</v>
      </c>
      <c r="AB32" s="47">
        <f t="shared" si="7"/>
        <v>400</v>
      </c>
      <c r="AC32" s="47">
        <f t="shared" si="8"/>
        <v>800</v>
      </c>
      <c r="AD32" s="47">
        <f t="shared" si="9"/>
        <v>2000</v>
      </c>
      <c r="AE32" s="47">
        <f t="shared" si="10"/>
        <v>6000</v>
      </c>
      <c r="AG32" s="47">
        <v>28</v>
      </c>
      <c r="AH32" s="53">
        <f>SUM(AA$5:AA32)</f>
        <v>5600</v>
      </c>
      <c r="AI32" s="53">
        <f>SUM(AB$5:AB32)</f>
        <v>11200</v>
      </c>
      <c r="AJ32" s="53">
        <f>SUM(AC$5:AC32)</f>
        <v>22400</v>
      </c>
      <c r="AK32" s="53">
        <f>SUM(AD$5:AD32)</f>
        <v>56000</v>
      </c>
      <c r="AL32" s="53">
        <f>SUM(AE$5:AE32)</f>
        <v>168000</v>
      </c>
      <c r="AO32" s="46">
        <v>1</v>
      </c>
      <c r="AP32" s="186" t="s">
        <v>186</v>
      </c>
      <c r="AQ32" s="186"/>
      <c r="AR32" s="186"/>
      <c r="AS32" s="186"/>
      <c r="AT32" s="186"/>
      <c r="AU32" s="186"/>
      <c r="AV32" s="186"/>
      <c r="AW32" s="186"/>
      <c r="AX32" s="186"/>
      <c r="AY32" s="186"/>
      <c r="AZ32" s="186"/>
      <c r="BA32" s="186"/>
      <c r="BB32" s="186"/>
      <c r="BC32" s="186"/>
      <c r="BD32" s="186"/>
      <c r="BE32" s="186"/>
      <c r="BF32" s="186"/>
      <c r="BG32" s="186"/>
      <c r="BH32" s="186"/>
      <c r="BI32" s="186"/>
      <c r="BJ32" s="186"/>
      <c r="BK32" s="186"/>
      <c r="BL32" s="186"/>
      <c r="BM32" s="186"/>
      <c r="BN32" s="186"/>
      <c r="BO32" s="186"/>
      <c r="BP32" s="186"/>
      <c r="BQ32" s="186"/>
      <c r="BR32" s="186"/>
      <c r="BS32" s="186"/>
      <c r="BT32" s="186"/>
      <c r="BW32" s="25">
        <v>29</v>
      </c>
    </row>
    <row r="33" spans="10:75" x14ac:dyDescent="0.15">
      <c r="J33" s="46">
        <f>INDEX('[1]资源-装备经验'!Y$6:Y$165,(K33+1)/2,1)</f>
        <v>0</v>
      </c>
      <c r="K33" s="53">
        <v>29</v>
      </c>
      <c r="L33" s="121">
        <v>5</v>
      </c>
      <c r="M33" s="122">
        <f t="shared" si="4"/>
        <v>5</v>
      </c>
      <c r="N33" s="120">
        <f t="shared" si="5"/>
        <v>10</v>
      </c>
      <c r="O33" s="120">
        <f t="shared" si="5"/>
        <v>20</v>
      </c>
      <c r="P33" s="120">
        <f t="shared" si="5"/>
        <v>50</v>
      </c>
      <c r="Q33" s="120">
        <f t="shared" si="5"/>
        <v>150</v>
      </c>
      <c r="S33" s="53">
        <v>29</v>
      </c>
      <c r="T33" s="53">
        <f>SUM(M$5:M33)</f>
        <v>145</v>
      </c>
      <c r="U33" s="53">
        <f>SUM(N$5:N33)</f>
        <v>290</v>
      </c>
      <c r="V33" s="53">
        <f>SUM(O$5:O33)</f>
        <v>580</v>
      </c>
      <c r="W33" s="53">
        <f>SUM(P$5:P33)</f>
        <v>1450</v>
      </c>
      <c r="X33" s="53">
        <f>SUM(Q$5:Q33)</f>
        <v>4350</v>
      </c>
      <c r="Z33" s="47">
        <v>29</v>
      </c>
      <c r="AA33" s="47">
        <f t="shared" si="6"/>
        <v>200</v>
      </c>
      <c r="AB33" s="47">
        <f t="shared" si="7"/>
        <v>400</v>
      </c>
      <c r="AC33" s="47">
        <f t="shared" si="8"/>
        <v>800</v>
      </c>
      <c r="AD33" s="47">
        <f t="shared" si="9"/>
        <v>2000</v>
      </c>
      <c r="AE33" s="47">
        <f t="shared" si="10"/>
        <v>6000</v>
      </c>
      <c r="AG33" s="47">
        <v>29</v>
      </c>
      <c r="AH33" s="53">
        <f>SUM(AA$5:AA33)</f>
        <v>5800</v>
      </c>
      <c r="AI33" s="53">
        <f>SUM(AB$5:AB33)</f>
        <v>11600</v>
      </c>
      <c r="AJ33" s="53">
        <f>SUM(AC$5:AC33)</f>
        <v>23200</v>
      </c>
      <c r="AK33" s="53">
        <f>SUM(AD$5:AD33)</f>
        <v>58000</v>
      </c>
      <c r="AL33" s="53">
        <f>SUM(AE$5:AE33)</f>
        <v>174000</v>
      </c>
      <c r="AO33" s="46">
        <v>2</v>
      </c>
      <c r="AP33" s="68"/>
      <c r="AQ33" s="190" t="s">
        <v>139</v>
      </c>
      <c r="AR33" s="191"/>
      <c r="AS33" s="191"/>
      <c r="AT33" s="191"/>
      <c r="AU33" s="191"/>
      <c r="AV33" s="192"/>
      <c r="AW33" s="190" t="s">
        <v>149</v>
      </c>
      <c r="AX33" s="191"/>
      <c r="AY33" s="191"/>
      <c r="AZ33" s="191"/>
      <c r="BA33" s="191"/>
      <c r="BB33" s="192"/>
      <c r="BC33" s="190" t="s">
        <v>221</v>
      </c>
      <c r="BD33" s="191"/>
      <c r="BE33" s="191"/>
      <c r="BF33" s="191"/>
      <c r="BG33" s="191"/>
      <c r="BH33" s="192"/>
      <c r="BI33" s="190" t="s">
        <v>222</v>
      </c>
      <c r="BJ33" s="191"/>
      <c r="BK33" s="191"/>
      <c r="BL33" s="191"/>
      <c r="BM33" s="191"/>
      <c r="BN33" s="192"/>
      <c r="BO33" s="193" t="s">
        <v>366</v>
      </c>
      <c r="BP33" s="188"/>
      <c r="BQ33" s="188"/>
      <c r="BR33" s="188"/>
      <c r="BS33" s="188"/>
      <c r="BT33" s="194"/>
      <c r="BW33" s="25">
        <v>30</v>
      </c>
    </row>
    <row r="34" spans="10:75" x14ac:dyDescent="0.15">
      <c r="J34" s="46">
        <f>INDEX('[1]资源-装备经验'!Y$6:Y$165,(K34+1)/2,1)</f>
        <v>0</v>
      </c>
      <c r="K34" s="53">
        <v>30</v>
      </c>
      <c r="L34" s="121">
        <v>5</v>
      </c>
      <c r="M34" s="122">
        <f t="shared" si="4"/>
        <v>5</v>
      </c>
      <c r="N34" s="120">
        <f t="shared" si="5"/>
        <v>10</v>
      </c>
      <c r="O34" s="120">
        <f t="shared" si="5"/>
        <v>20</v>
      </c>
      <c r="P34" s="120">
        <f t="shared" si="5"/>
        <v>50</v>
      </c>
      <c r="Q34" s="120">
        <f t="shared" si="5"/>
        <v>150</v>
      </c>
      <c r="S34" s="53">
        <v>30</v>
      </c>
      <c r="T34" s="53">
        <f>SUM(M$5:M34)</f>
        <v>150</v>
      </c>
      <c r="U34" s="53">
        <f>SUM(N$5:N34)</f>
        <v>300</v>
      </c>
      <c r="V34" s="53">
        <f>SUM(O$5:O34)</f>
        <v>600</v>
      </c>
      <c r="W34" s="53">
        <f>SUM(P$5:P34)</f>
        <v>1500</v>
      </c>
      <c r="X34" s="53">
        <f>SUM(Q$5:Q34)</f>
        <v>4500</v>
      </c>
      <c r="Z34" s="47">
        <v>30</v>
      </c>
      <c r="AA34" s="47">
        <f t="shared" si="6"/>
        <v>200</v>
      </c>
      <c r="AB34" s="47">
        <f t="shared" si="7"/>
        <v>400</v>
      </c>
      <c r="AC34" s="47">
        <f t="shared" si="8"/>
        <v>800</v>
      </c>
      <c r="AD34" s="47">
        <f t="shared" si="9"/>
        <v>2000</v>
      </c>
      <c r="AE34" s="47">
        <f t="shared" si="10"/>
        <v>6000</v>
      </c>
      <c r="AG34" s="47">
        <v>30</v>
      </c>
      <c r="AH34" s="53">
        <f>SUM(AA$5:AA34)</f>
        <v>6000</v>
      </c>
      <c r="AI34" s="53">
        <f>SUM(AB$5:AB34)</f>
        <v>12000</v>
      </c>
      <c r="AJ34" s="53">
        <f>SUM(AC$5:AC34)</f>
        <v>24000</v>
      </c>
      <c r="AK34" s="53">
        <f>SUM(AD$5:AD34)</f>
        <v>60000</v>
      </c>
      <c r="AL34" s="53">
        <f>SUM(AE$5:AE34)</f>
        <v>180000</v>
      </c>
      <c r="AO34" s="46">
        <v>3</v>
      </c>
      <c r="AP34" s="53" t="s">
        <v>398</v>
      </c>
      <c r="AQ34" s="13" t="s">
        <v>179</v>
      </c>
      <c r="AR34" s="53" t="s">
        <v>180</v>
      </c>
      <c r="AS34" s="53" t="s">
        <v>181</v>
      </c>
      <c r="AT34" s="53" t="s">
        <v>182</v>
      </c>
      <c r="AU34" s="53" t="s">
        <v>144</v>
      </c>
      <c r="AV34" s="14" t="s">
        <v>183</v>
      </c>
      <c r="AW34" s="13" t="s">
        <v>179</v>
      </c>
      <c r="AX34" s="53" t="s">
        <v>180</v>
      </c>
      <c r="AY34" s="53" t="s">
        <v>181</v>
      </c>
      <c r="AZ34" s="53" t="s">
        <v>182</v>
      </c>
      <c r="BA34" s="53" t="s">
        <v>187</v>
      </c>
      <c r="BB34" s="14" t="s">
        <v>183</v>
      </c>
      <c r="BC34" s="13" t="s">
        <v>44</v>
      </c>
      <c r="BD34" s="47" t="s">
        <v>45</v>
      </c>
      <c r="BE34" s="47" t="s">
        <v>52</v>
      </c>
      <c r="BF34" s="47" t="s">
        <v>53</v>
      </c>
      <c r="BG34" s="47" t="s">
        <v>126</v>
      </c>
      <c r="BH34" s="14" t="s">
        <v>128</v>
      </c>
      <c r="BI34" s="13" t="s">
        <v>44</v>
      </c>
      <c r="BJ34" s="47" t="s">
        <v>45</v>
      </c>
      <c r="BK34" s="47" t="s">
        <v>52</v>
      </c>
      <c r="BL34" s="47" t="s">
        <v>53</v>
      </c>
      <c r="BM34" s="47" t="s">
        <v>126</v>
      </c>
      <c r="BN34" s="14" t="s">
        <v>128</v>
      </c>
      <c r="BO34" s="13" t="s">
        <v>179</v>
      </c>
      <c r="BP34" s="47" t="s">
        <v>180</v>
      </c>
      <c r="BQ34" s="47" t="s">
        <v>181</v>
      </c>
      <c r="BR34" s="47" t="s">
        <v>182</v>
      </c>
      <c r="BS34" s="37" t="s">
        <v>144</v>
      </c>
      <c r="BT34" s="14" t="s">
        <v>241</v>
      </c>
      <c r="BW34" s="25">
        <v>31</v>
      </c>
    </row>
    <row r="35" spans="10:75" x14ac:dyDescent="0.15">
      <c r="J35" s="46">
        <f>INDEX('[1]资源-装备经验'!Y$6:Y$165,(K35+1)/2,1)</f>
        <v>0</v>
      </c>
      <c r="K35" s="53">
        <v>31</v>
      </c>
      <c r="L35" s="121">
        <v>5</v>
      </c>
      <c r="M35" s="122">
        <f t="shared" si="4"/>
        <v>5</v>
      </c>
      <c r="N35" s="120">
        <f t="shared" si="5"/>
        <v>10</v>
      </c>
      <c r="O35" s="120">
        <f t="shared" si="5"/>
        <v>20</v>
      </c>
      <c r="P35" s="120">
        <f t="shared" si="5"/>
        <v>50</v>
      </c>
      <c r="Q35" s="120">
        <f t="shared" si="5"/>
        <v>150</v>
      </c>
      <c r="S35" s="53">
        <v>31</v>
      </c>
      <c r="T35" s="53">
        <f>SUM(M$5:M35)</f>
        <v>155</v>
      </c>
      <c r="U35" s="53">
        <f>SUM(N$5:N35)</f>
        <v>310</v>
      </c>
      <c r="V35" s="53">
        <f>SUM(O$5:O35)</f>
        <v>620</v>
      </c>
      <c r="W35" s="53">
        <f>SUM(P$5:P35)</f>
        <v>1550</v>
      </c>
      <c r="X35" s="53">
        <f>SUM(Q$5:Q35)</f>
        <v>4650</v>
      </c>
      <c r="Z35" s="47">
        <v>31</v>
      </c>
      <c r="AA35" s="47">
        <f t="shared" si="6"/>
        <v>200</v>
      </c>
      <c r="AB35" s="47">
        <f t="shared" si="7"/>
        <v>400</v>
      </c>
      <c r="AC35" s="47">
        <f t="shared" si="8"/>
        <v>800</v>
      </c>
      <c r="AD35" s="47">
        <f t="shared" si="9"/>
        <v>2000</v>
      </c>
      <c r="AE35" s="47">
        <f t="shared" si="10"/>
        <v>6000</v>
      </c>
      <c r="AG35" s="47">
        <v>31</v>
      </c>
      <c r="AH35" s="53">
        <f>SUM(AA$5:AA35)</f>
        <v>6200</v>
      </c>
      <c r="AI35" s="53">
        <f>SUM(AB$5:AB35)</f>
        <v>12400</v>
      </c>
      <c r="AJ35" s="53">
        <f>SUM(AC$5:AC35)</f>
        <v>24800</v>
      </c>
      <c r="AK35" s="53">
        <f>SUM(AD$5:AD35)</f>
        <v>62000</v>
      </c>
      <c r="AL35" s="53">
        <f>SUM(AE$5:AE35)</f>
        <v>186000</v>
      </c>
      <c r="AO35" s="46">
        <v>4</v>
      </c>
      <c r="AP35" s="37">
        <f>节奏预期!B35</f>
        <v>10</v>
      </c>
      <c r="AQ35" s="114">
        <f>IFERROR(INDEX(AH$5:AH$304,MATCH(节奏预期!N35,$AG$5:$AG$304,0))*节奏预期!D35,0)</f>
        <v>24000</v>
      </c>
      <c r="AR35" s="114">
        <f>IFERROR(INDEX(AI$5:AI$304,MATCH(节奏预期!O35,$AG$5:$AG$304,0))*节奏预期!E35,0)</f>
        <v>24000</v>
      </c>
      <c r="AS35" s="114">
        <f>IFERROR(INDEX(AJ$5:AJ$304,MATCH(节奏预期!P35,$AG$5:$AG$304,0))*节奏预期!F35,0)</f>
        <v>0</v>
      </c>
      <c r="AT35" s="114">
        <f>IFERROR(INDEX(AK$5:AK$304,MATCH(节奏预期!Q35,$AG$5:$AG$304,0))*节奏预期!G35,0)</f>
        <v>0</v>
      </c>
      <c r="AU35" s="114">
        <f>IFERROR(INDEX(AL$5:AL$304,MATCH(节奏预期!R35,$AG$5:$AG$304,0))*节奏预期!H35,0)</f>
        <v>0</v>
      </c>
      <c r="AV35" s="137">
        <f>SUM(AQ35:AU35)</f>
        <v>48000</v>
      </c>
      <c r="AW35" s="114">
        <f>IFERROR(INDEX(T$5:T$304,MATCH(节奏预期!N35,$S$5:$S$304,0))*节奏预期!D35,0)</f>
        <v>600</v>
      </c>
      <c r="AX35" s="114">
        <f>IFERROR(INDEX(U$5:U$304,MATCH(节奏预期!O35,$S$5:$S$304,0))*节奏预期!E35,0)</f>
        <v>600</v>
      </c>
      <c r="AY35" s="114">
        <f>IFERROR(INDEX(V$5:V$304,MATCH(节奏预期!P35,$S$5:$S$304,0))*节奏预期!F35,0)</f>
        <v>0</v>
      </c>
      <c r="AZ35" s="114">
        <f>IFERROR(INDEX(W$5:W$304,MATCH(节奏预期!Q35,$S$5:$S$304,0))*节奏预期!G35,0)</f>
        <v>0</v>
      </c>
      <c r="BA35" s="114">
        <f>IFERROR(INDEX(X$5:X$304,MATCH(节奏预期!R35,$S$5:$S$304,0))*节奏预期!H35,0)</f>
        <v>0</v>
      </c>
      <c r="BB35" s="137">
        <f>SUM(AW35:BA35)</f>
        <v>1200</v>
      </c>
      <c r="BC35" s="100">
        <f>IF(节奏预期!N35="","",节奏预期!N35*装备强化!D$8+装备强化!D$5)</f>
        <v>110</v>
      </c>
      <c r="BD35" s="100">
        <f>IF(节奏预期!O35="","",节奏预期!O35*装备强化!E$8+装备强化!E$5)</f>
        <v>200</v>
      </c>
      <c r="BE35" s="100" t="str">
        <f>IF(节奏预期!P35="","",节奏预期!P35*装备强化!F$8+装备强化!F$5)</f>
        <v/>
      </c>
      <c r="BF35" s="100" t="str">
        <f>IF(节奏预期!Q35="","",节奏预期!Q35*装备强化!G$8+装备强化!G$5)</f>
        <v/>
      </c>
      <c r="BG35" s="100" t="str">
        <f>IF(节奏预期!R35="","",节奏预期!R35*装备强化!H$8+装备强化!H$5)</f>
        <v/>
      </c>
      <c r="BH35" s="14">
        <f>SUMPRODUCT(BC35:BG35,节奏预期!$D35:$H35)/SUM(节奏预期!$D35:$H35)</f>
        <v>140</v>
      </c>
      <c r="BI35" s="13">
        <f>IF(节奏预期!N35="","",节奏预期!N35*装备强化!D$9+装备强化!D$6)</f>
        <v>110</v>
      </c>
      <c r="BJ35" s="100">
        <f>IF(节奏预期!O35="","",节奏预期!O35*装备强化!E$9+装备强化!E$6)</f>
        <v>200</v>
      </c>
      <c r="BK35" s="100" t="str">
        <f>IF(节奏预期!P35="","",节奏预期!P35*装备强化!F$9+装备强化!F$6)</f>
        <v/>
      </c>
      <c r="BL35" s="100" t="str">
        <f>IF(节奏预期!Q35="","",节奏预期!Q35*装备强化!G$9+装备强化!G$6)</f>
        <v/>
      </c>
      <c r="BM35" s="100" t="str">
        <f>IF(节奏预期!R35="","",节奏预期!R35*装备强化!H$9+装备强化!H$6)</f>
        <v/>
      </c>
      <c r="BN35" s="14">
        <f>SUMPRODUCT(BI35:BM35,节奏预期!$D35:$H35)/SUM(节奏预期!$D35:$H35)</f>
        <v>140</v>
      </c>
      <c r="BO35" s="79">
        <f>IF(节奏预期!D35="","",IF(节奏预期!I35="",0,装备强化!D$4*节奏预期!I35))</f>
        <v>3.6</v>
      </c>
      <c r="BP35" s="94">
        <f>IF(节奏预期!E35="","",IF(节奏预期!J35="",0,装备强化!E$4*节奏预期!J35))</f>
        <v>5.6</v>
      </c>
      <c r="BQ35" s="94">
        <f>IF(节奏预期!F35="","",IF(节奏预期!K35="",0,装备强化!F$4*节奏预期!K35))</f>
        <v>10.799999999999999</v>
      </c>
      <c r="BR35" s="94">
        <f>IF(节奏预期!G35="","",IF(节奏预期!L35="",0,装备强化!G$4*节奏预期!L35))</f>
        <v>18.700000000000003</v>
      </c>
      <c r="BS35" s="94">
        <f>IF(节奏预期!H35="","",IF(节奏预期!M35="",0,装备强化!H$4*节奏预期!M35))</f>
        <v>31.68</v>
      </c>
      <c r="BT35" s="80">
        <f>SUMPRODUCT(BO35:BS35,节奏预期!D35:H35)/SUM(节奏预期!D35:H35)</f>
        <v>4.2666666666666666</v>
      </c>
      <c r="BW35" s="25">
        <v>32</v>
      </c>
    </row>
    <row r="36" spans="10:75" x14ac:dyDescent="0.15">
      <c r="J36" s="46">
        <f>INDEX('[1]资源-装备经验'!Y$6:Y$165,(K36+1)/2,1)</f>
        <v>0</v>
      </c>
      <c r="K36" s="53">
        <v>32</v>
      </c>
      <c r="L36" s="121">
        <v>5</v>
      </c>
      <c r="M36" s="122">
        <f t="shared" si="4"/>
        <v>5</v>
      </c>
      <c r="N36" s="120">
        <f t="shared" si="5"/>
        <v>10</v>
      </c>
      <c r="O36" s="120">
        <f t="shared" si="5"/>
        <v>20</v>
      </c>
      <c r="P36" s="120">
        <f t="shared" si="5"/>
        <v>50</v>
      </c>
      <c r="Q36" s="120">
        <f t="shared" si="5"/>
        <v>150</v>
      </c>
      <c r="S36" s="53">
        <v>32</v>
      </c>
      <c r="T36" s="53">
        <f>SUM(M$5:M36)</f>
        <v>160</v>
      </c>
      <c r="U36" s="53">
        <f>SUM(N$5:N36)</f>
        <v>320</v>
      </c>
      <c r="V36" s="53">
        <f>SUM(O$5:O36)</f>
        <v>640</v>
      </c>
      <c r="W36" s="53">
        <f>SUM(P$5:P36)</f>
        <v>1600</v>
      </c>
      <c r="X36" s="53">
        <f>SUM(Q$5:Q36)</f>
        <v>4800</v>
      </c>
      <c r="Z36" s="47">
        <v>32</v>
      </c>
      <c r="AA36" s="47">
        <f t="shared" si="6"/>
        <v>200</v>
      </c>
      <c r="AB36" s="47">
        <f t="shared" si="7"/>
        <v>400</v>
      </c>
      <c r="AC36" s="47">
        <f t="shared" si="8"/>
        <v>800</v>
      </c>
      <c r="AD36" s="47">
        <f t="shared" si="9"/>
        <v>2000</v>
      </c>
      <c r="AE36" s="47">
        <f t="shared" si="10"/>
        <v>6000</v>
      </c>
      <c r="AG36" s="47">
        <v>32</v>
      </c>
      <c r="AH36" s="53">
        <f>SUM(AA$5:AA36)</f>
        <v>6400</v>
      </c>
      <c r="AI36" s="53">
        <f>SUM(AB$5:AB36)</f>
        <v>12800</v>
      </c>
      <c r="AJ36" s="53">
        <f>SUM(AC$5:AC36)</f>
        <v>25600</v>
      </c>
      <c r="AK36" s="53">
        <f>SUM(AD$5:AD36)</f>
        <v>64000</v>
      </c>
      <c r="AL36" s="53">
        <f>SUM(AE$5:AE36)</f>
        <v>192000</v>
      </c>
      <c r="AO36" s="46">
        <v>5</v>
      </c>
      <c r="AP36" s="37">
        <f>节奏预期!B36</f>
        <v>20</v>
      </c>
      <c r="AQ36" s="114">
        <f>IFERROR(INDEX(AH$5:AH$304,MATCH(节奏预期!N36,$AG$5:$AG$304,0))*节奏预期!D36,0)</f>
        <v>0</v>
      </c>
      <c r="AR36" s="114">
        <f>IFERROR(INDEX(AI$5:AI$304,MATCH(节奏预期!O36,$AG$5:$AG$304,0))*节奏预期!E36,0)</f>
        <v>156000</v>
      </c>
      <c r="AS36" s="114">
        <f>IFERROR(INDEX(AJ$5:AJ$304,MATCH(节奏预期!P36,$AG$5:$AG$304,0))*节奏预期!F36,0)</f>
        <v>120000</v>
      </c>
      <c r="AT36" s="114">
        <f>IFERROR(INDEX(AK$5:AK$304,MATCH(节奏预期!Q36,$AG$5:$AG$304,0))*节奏预期!G36,0)</f>
        <v>0</v>
      </c>
      <c r="AU36" s="114">
        <f>IFERROR(INDEX(AL$5:AL$304,MATCH(节奏预期!R36,$AG$5:$AG$304,0))*节奏预期!H36,0)</f>
        <v>0</v>
      </c>
      <c r="AV36" s="136">
        <f>MAX(SUM(AQ36:AU36),AV35)</f>
        <v>276000</v>
      </c>
      <c r="AW36" s="114">
        <f>IFERROR(INDEX(T$5:T$304,MATCH(节奏预期!N36,$S$5:$S$304,0))*节奏预期!D36,0)</f>
        <v>0</v>
      </c>
      <c r="AX36" s="114">
        <f>IFERROR(INDEX(U$5:U$304,MATCH(节奏预期!O36,$S$5:$S$304,0))*节奏预期!E36,0)</f>
        <v>3900</v>
      </c>
      <c r="AY36" s="114">
        <f>IFERROR(INDEX(V$5:V$304,MATCH(节奏预期!P36,$S$5:$S$304,0))*节奏预期!F36,0)</f>
        <v>3000</v>
      </c>
      <c r="AZ36" s="114">
        <f>IFERROR(INDEX(W$5:W$304,MATCH(节奏预期!Q36,$S$5:$S$304,0))*节奏预期!G36,0)</f>
        <v>0</v>
      </c>
      <c r="BA36" s="114">
        <f>IFERROR(INDEX(X$5:X$304,MATCH(节奏预期!R36,$S$5:$S$304,0))*节奏预期!H36,0)</f>
        <v>0</v>
      </c>
      <c r="BB36" s="136">
        <f>MAX(SUM(AW36:BA36),BB35)</f>
        <v>6900</v>
      </c>
      <c r="BC36" s="100">
        <f>IF(节奏预期!N36="","",节奏预期!N36*装备强化!D$8+装备强化!D$5)</f>
        <v>140</v>
      </c>
      <c r="BD36" s="100">
        <f>IF(节奏预期!O36="","",节奏预期!O36*装备强化!E$8+装备强化!E$5)</f>
        <v>320</v>
      </c>
      <c r="BE36" s="100">
        <f>IF(节奏预期!P36="","",节奏预期!P36*装备强化!F$8+装备强化!F$5)</f>
        <v>620</v>
      </c>
      <c r="BF36" s="100" t="str">
        <f>IF(节奏预期!Q36="","",节奏预期!Q36*装备强化!G$8+装备强化!G$5)</f>
        <v/>
      </c>
      <c r="BG36" s="100" t="str">
        <f>IF(节奏预期!R36="","",节奏预期!R36*装备强化!H$8+装备强化!H$5)</f>
        <v/>
      </c>
      <c r="BH36" s="14">
        <f>SUMPRODUCT(BC36:BG36,节奏预期!$D36:$H36)/SUM(节奏预期!$D36:$H36)</f>
        <v>403.33333333333331</v>
      </c>
      <c r="BI36" s="13">
        <f>IF(节奏预期!N36="","",节奏预期!N36*装备强化!D$9+装备强化!D$6)</f>
        <v>140</v>
      </c>
      <c r="BJ36" s="100">
        <f>IF(节奏预期!O36="","",节奏预期!O36*装备强化!E$9+装备强化!E$6)</f>
        <v>320</v>
      </c>
      <c r="BK36" s="100">
        <f>IF(节奏预期!P36="","",节奏预期!P36*装备强化!F$9+装备强化!F$6)</f>
        <v>620</v>
      </c>
      <c r="BL36" s="100" t="str">
        <f>IF(节奏预期!Q36="","",节奏预期!Q36*装备强化!G$9+装备强化!G$6)</f>
        <v/>
      </c>
      <c r="BM36" s="100" t="str">
        <f>IF(节奏预期!R36="","",节奏预期!R36*装备强化!H$9+装备强化!H$6)</f>
        <v/>
      </c>
      <c r="BN36" s="14">
        <f>SUMPRODUCT(BI36:BM36,节奏预期!$D36:$H36)/SUM(节奏预期!$D36:$H36)</f>
        <v>403.33333333333331</v>
      </c>
      <c r="BO36" s="94">
        <f>IF(节奏预期!D36="","",IF(节奏预期!I36="",0,装备强化!D$4*节奏预期!I36))</f>
        <v>3.6</v>
      </c>
      <c r="BP36" s="94">
        <f>IF(节奏预期!E36="","",IF(节奏预期!J36="",0,装备强化!E$4*节奏预期!J36))</f>
        <v>6.8</v>
      </c>
      <c r="BQ36" s="94">
        <f>IF(节奏预期!F36="","",IF(节奏预期!K36="",0,装备强化!F$4*节奏预期!K36))</f>
        <v>12.6</v>
      </c>
      <c r="BR36" s="94">
        <f>IF(节奏预期!G36="","",IF(节奏预期!L36="",0,装备强化!G$4*节奏预期!L36))</f>
        <v>21.25</v>
      </c>
      <c r="BS36" s="94">
        <f>IF(节奏预期!H36="","",IF(节奏预期!M36="",0,装备强化!H$4*节奏预期!M36))</f>
        <v>35.970000000000006</v>
      </c>
      <c r="BT36" s="80">
        <f>SUMPRODUCT(BO36:BS36,节奏预期!D36:H36)/SUM(节奏预期!D36:H36)</f>
        <v>8.4111111111111097</v>
      </c>
      <c r="BW36" s="25">
        <v>33</v>
      </c>
    </row>
    <row r="37" spans="10:75" x14ac:dyDescent="0.15">
      <c r="J37" s="46">
        <f>INDEX('[1]资源-装备经验'!Y$6:Y$165,(K37+1)/2,1)</f>
        <v>0</v>
      </c>
      <c r="K37" s="53">
        <v>33</v>
      </c>
      <c r="L37" s="121">
        <v>5</v>
      </c>
      <c r="M37" s="122">
        <f t="shared" si="4"/>
        <v>5</v>
      </c>
      <c r="N37" s="120">
        <f t="shared" si="5"/>
        <v>10</v>
      </c>
      <c r="O37" s="120">
        <f t="shared" si="5"/>
        <v>20</v>
      </c>
      <c r="P37" s="120">
        <f t="shared" si="5"/>
        <v>50</v>
      </c>
      <c r="Q37" s="120">
        <f t="shared" si="5"/>
        <v>150</v>
      </c>
      <c r="S37" s="53">
        <v>33</v>
      </c>
      <c r="T37" s="53">
        <f>SUM(M$5:M37)</f>
        <v>165</v>
      </c>
      <c r="U37" s="53">
        <f>SUM(N$5:N37)</f>
        <v>330</v>
      </c>
      <c r="V37" s="53">
        <f>SUM(O$5:O37)</f>
        <v>660</v>
      </c>
      <c r="W37" s="53">
        <f>SUM(P$5:P37)</f>
        <v>1650</v>
      </c>
      <c r="X37" s="53">
        <f>SUM(Q$5:Q37)</f>
        <v>4950</v>
      </c>
      <c r="Z37" s="47">
        <v>33</v>
      </c>
      <c r="AA37" s="47">
        <f t="shared" si="6"/>
        <v>200</v>
      </c>
      <c r="AB37" s="47">
        <f t="shared" si="7"/>
        <v>400</v>
      </c>
      <c r="AC37" s="47">
        <f t="shared" si="8"/>
        <v>800</v>
      </c>
      <c r="AD37" s="47">
        <f t="shared" si="9"/>
        <v>2000</v>
      </c>
      <c r="AE37" s="47">
        <f t="shared" si="10"/>
        <v>6000</v>
      </c>
      <c r="AG37" s="47">
        <v>33</v>
      </c>
      <c r="AH37" s="53">
        <f>SUM(AA$5:AA37)</f>
        <v>6600</v>
      </c>
      <c r="AI37" s="53">
        <f>SUM(AB$5:AB37)</f>
        <v>13200</v>
      </c>
      <c r="AJ37" s="53">
        <f>SUM(AC$5:AC37)</f>
        <v>26400</v>
      </c>
      <c r="AK37" s="53">
        <f>SUM(AD$5:AD37)</f>
        <v>66000</v>
      </c>
      <c r="AL37" s="53">
        <f>SUM(AE$5:AE37)</f>
        <v>198000</v>
      </c>
      <c r="AO37" s="46">
        <v>6</v>
      </c>
      <c r="AP37" s="37">
        <f>节奏预期!B37</f>
        <v>30</v>
      </c>
      <c r="AQ37" s="114">
        <f>IFERROR(INDEX(AH$5:AH$304,MATCH(节奏预期!N37,$AG$5:$AG$304,0))*节奏预期!D37,0)</f>
        <v>0</v>
      </c>
      <c r="AR37" s="114">
        <f>IFERROR(INDEX(AI$5:AI$304,MATCH(节奏预期!O37,$AG$5:$AG$304,0))*节奏预期!E37,0)</f>
        <v>0</v>
      </c>
      <c r="AS37" s="114">
        <f>IFERROR(INDEX(AJ$5:AJ$304,MATCH(节奏预期!P37,$AG$5:$AG$304,0))*节奏预期!F37,0)</f>
        <v>908800</v>
      </c>
      <c r="AT37" s="114">
        <f>IFERROR(INDEX(AK$5:AK$304,MATCH(节奏预期!Q37,$AG$5:$AG$304,0))*节奏预期!G37,0)</f>
        <v>284000</v>
      </c>
      <c r="AU37" s="114">
        <f>IFERROR(INDEX(AL$5:AL$304,MATCH(节奏预期!R37,$AG$5:$AG$304,0))*节奏预期!H37,0)</f>
        <v>0</v>
      </c>
      <c r="AV37" s="136">
        <f t="shared" ref="AV37:AV50" si="25">MAX(SUM(AQ37:AU37),AV36)</f>
        <v>1192800</v>
      </c>
      <c r="AW37" s="114">
        <f>IFERROR(INDEX(T$5:T$304,MATCH(节奏预期!N37,$S$5:$S$304,0))*节奏预期!D37,0)</f>
        <v>0</v>
      </c>
      <c r="AX37" s="114">
        <f>IFERROR(INDEX(U$5:U$304,MATCH(节奏预期!O37,$S$5:$S$304,0))*节奏预期!E37,0)</f>
        <v>0</v>
      </c>
      <c r="AY37" s="114">
        <f>IFERROR(INDEX(V$5:V$304,MATCH(节奏预期!P37,$S$5:$S$304,0))*节奏预期!F37,0)</f>
        <v>22720</v>
      </c>
      <c r="AZ37" s="114">
        <f>IFERROR(INDEX(W$5:W$304,MATCH(节奏预期!Q37,$S$5:$S$304,0))*节奏预期!G37,0)</f>
        <v>7100</v>
      </c>
      <c r="BA37" s="114">
        <f>IFERROR(INDEX(X$5:X$304,MATCH(节奏预期!R37,$S$5:$S$304,0))*节奏预期!H37,0)</f>
        <v>0</v>
      </c>
      <c r="BB37" s="136">
        <f t="shared" ref="BB37:BB50" si="26">MAX(SUM(AW37:BA37),BB36)</f>
        <v>29820</v>
      </c>
      <c r="BC37" s="100" t="str">
        <f>IF(节奏预期!N37="","",节奏预期!N37*装备强化!D$8+装备强化!D$5)</f>
        <v/>
      </c>
      <c r="BD37" s="100">
        <f>IF(节奏预期!O37="","",节奏预期!O37*装备强化!E$8+装备强化!E$5)</f>
        <v>380</v>
      </c>
      <c r="BE37" s="100">
        <f>IF(节奏预期!P37="","",节奏预期!P37*装备强化!F$8+装备强化!F$5)</f>
        <v>980</v>
      </c>
      <c r="BF37" s="100">
        <f>IF(节奏预期!Q37="","",节奏预期!Q37*装备强化!G$8+装备强化!G$5)</f>
        <v>1760</v>
      </c>
      <c r="BG37" s="100" t="str">
        <f>IF(节奏预期!R37="","",节奏预期!R37*装备强化!H$8+装备强化!H$5)</f>
        <v/>
      </c>
      <c r="BH37" s="14">
        <f>SUMPRODUCT(BC37:BG37,节奏预期!$D37:$H37)/SUM(节奏预期!$D37:$H37)</f>
        <v>1066.6666666666667</v>
      </c>
      <c r="BI37" s="13" t="str">
        <f>IF(节奏预期!N37="","",节奏预期!N37*装备强化!D$9+装备强化!D$6)</f>
        <v/>
      </c>
      <c r="BJ37" s="100">
        <f>IF(节奏预期!O37="","",节奏预期!O37*装备强化!E$9+装备强化!E$6)</f>
        <v>380</v>
      </c>
      <c r="BK37" s="100">
        <f>IF(节奏预期!P37="","",节奏预期!P37*装备强化!F$9+装备强化!F$6)</f>
        <v>980</v>
      </c>
      <c r="BL37" s="100">
        <f>IF(节奏预期!Q37="","",节奏预期!Q37*装备强化!G$9+装备强化!G$6)</f>
        <v>1760</v>
      </c>
      <c r="BM37" s="100" t="str">
        <f>IF(节奏预期!R37="","",节奏预期!R37*装备强化!H$9+装备强化!H$6)</f>
        <v/>
      </c>
      <c r="BN37" s="14">
        <f>SUMPRODUCT(BI37:BM37,节奏预期!$D37:$H37)/SUM(节奏预期!$D37:$H37)</f>
        <v>1066.6666666666667</v>
      </c>
      <c r="BO37" s="94">
        <f>IF(节奏预期!D37="","",IF(节奏预期!I37="",0,装备强化!D$4*节奏预期!I37))</f>
        <v>3.6</v>
      </c>
      <c r="BP37" s="94">
        <f>IF(节奏预期!E37="","",IF(节奏预期!J37="",0,装备强化!E$4*节奏预期!J37))</f>
        <v>8</v>
      </c>
      <c r="BQ37" s="94">
        <f>IF(节奏预期!F37="","",IF(节奏预期!K37="",0,装备强化!F$4*节奏预期!K37))</f>
        <v>14.4</v>
      </c>
      <c r="BR37" s="94">
        <f>IF(节奏预期!G37="","",IF(节奏预期!L37="",0,装备强化!G$4*节奏预期!L37))</f>
        <v>23.799999999999997</v>
      </c>
      <c r="BS37" s="94">
        <f>IF(节奏预期!H37="","",IF(节奏预期!M37="",0,装备强化!H$4*节奏预期!M37))</f>
        <v>40.26</v>
      </c>
      <c r="BT37" s="80">
        <f>SUMPRODUCT(BO37:BS37,节奏预期!D37:H37)/SUM(节奏预期!D37:H37)</f>
        <v>15.444444444444445</v>
      </c>
      <c r="BW37" s="25">
        <v>34</v>
      </c>
    </row>
    <row r="38" spans="10:75" x14ac:dyDescent="0.15">
      <c r="J38" s="46">
        <f>INDEX('[1]资源-装备经验'!Y$6:Y$165,(K38+1)/2,1)</f>
        <v>0</v>
      </c>
      <c r="K38" s="53">
        <v>34</v>
      </c>
      <c r="L38" s="121">
        <v>5</v>
      </c>
      <c r="M38" s="122">
        <f t="shared" si="4"/>
        <v>5</v>
      </c>
      <c r="N38" s="120">
        <f t="shared" ref="N38:Q69" si="27">$M38*N$1</f>
        <v>10</v>
      </c>
      <c r="O38" s="120">
        <f t="shared" si="27"/>
        <v>20</v>
      </c>
      <c r="P38" s="120">
        <f t="shared" si="27"/>
        <v>50</v>
      </c>
      <c r="Q38" s="120">
        <f t="shared" si="27"/>
        <v>150</v>
      </c>
      <c r="S38" s="53">
        <v>34</v>
      </c>
      <c r="T38" s="53">
        <f>SUM(M$5:M38)</f>
        <v>170</v>
      </c>
      <c r="U38" s="53">
        <f>SUM(N$5:N38)</f>
        <v>340</v>
      </c>
      <c r="V38" s="53">
        <f>SUM(O$5:O38)</f>
        <v>680</v>
      </c>
      <c r="W38" s="53">
        <f>SUM(P$5:P38)</f>
        <v>1700</v>
      </c>
      <c r="X38" s="53">
        <f>SUM(Q$5:Q38)</f>
        <v>5100</v>
      </c>
      <c r="Z38" s="47">
        <v>34</v>
      </c>
      <c r="AA38" s="47">
        <f t="shared" si="6"/>
        <v>200</v>
      </c>
      <c r="AB38" s="47">
        <f t="shared" si="7"/>
        <v>400</v>
      </c>
      <c r="AC38" s="47">
        <f t="shared" si="8"/>
        <v>800</v>
      </c>
      <c r="AD38" s="47">
        <f t="shared" si="9"/>
        <v>2000</v>
      </c>
      <c r="AE38" s="47">
        <f t="shared" si="10"/>
        <v>6000</v>
      </c>
      <c r="AG38" s="47">
        <v>34</v>
      </c>
      <c r="AH38" s="53">
        <f>SUM(AA$5:AA38)</f>
        <v>6800</v>
      </c>
      <c r="AI38" s="53">
        <f>SUM(AB$5:AB38)</f>
        <v>13600</v>
      </c>
      <c r="AJ38" s="53">
        <f>SUM(AC$5:AC38)</f>
        <v>27200</v>
      </c>
      <c r="AK38" s="53">
        <f>SUM(AD$5:AD38)</f>
        <v>68000</v>
      </c>
      <c r="AL38" s="53">
        <f>SUM(AE$5:AE38)</f>
        <v>204000</v>
      </c>
      <c r="AO38" s="46">
        <v>7</v>
      </c>
      <c r="AP38" s="37">
        <f>节奏预期!B38</f>
        <v>40</v>
      </c>
      <c r="AQ38" s="114">
        <f>IFERROR(INDEX(AH$5:AH$304,MATCH(节奏预期!N38,$AG$5:$AG$304,0))*节奏预期!D38,0)</f>
        <v>0</v>
      </c>
      <c r="AR38" s="114">
        <f>IFERROR(INDEX(AI$5:AI$304,MATCH(节奏预期!O38,$AG$5:$AG$304,0))*节奏预期!E38,0)</f>
        <v>0</v>
      </c>
      <c r="AS38" s="114">
        <f>IFERROR(INDEX(AJ$5:AJ$304,MATCH(节奏预期!P38,$AG$5:$AG$304,0))*节奏预期!F38,0)</f>
        <v>0</v>
      </c>
      <c r="AT38" s="114">
        <f>IFERROR(INDEX(AK$5:AK$304,MATCH(节奏预期!Q38,$AG$5:$AG$304,0))*节奏预期!G38,0)</f>
        <v>4320000</v>
      </c>
      <c r="AU38" s="114">
        <f>IFERROR(INDEX(AL$5:AL$304,MATCH(节奏预期!R38,$AG$5:$AG$304,0))*节奏预期!H38,0)</f>
        <v>0</v>
      </c>
      <c r="AV38" s="136">
        <f t="shared" si="25"/>
        <v>4320000</v>
      </c>
      <c r="AW38" s="114">
        <f>IFERROR(INDEX(T$5:T$304,MATCH(节奏预期!N38,$S$5:$S$304,0))*节奏预期!D38,0)</f>
        <v>0</v>
      </c>
      <c r="AX38" s="114">
        <f>IFERROR(INDEX(U$5:U$304,MATCH(节奏预期!O38,$S$5:$S$304,0))*节奏预期!E38,0)</f>
        <v>0</v>
      </c>
      <c r="AY38" s="114">
        <f>IFERROR(INDEX(V$5:V$304,MATCH(节奏预期!P38,$S$5:$S$304,0))*节奏预期!F38,0)</f>
        <v>0</v>
      </c>
      <c r="AZ38" s="114">
        <f>IFERROR(INDEX(W$5:W$304,MATCH(节奏预期!Q38,$S$5:$S$304,0))*节奏预期!G38,0)</f>
        <v>108000</v>
      </c>
      <c r="BA38" s="114">
        <f>IFERROR(INDEX(X$5:X$304,MATCH(节奏预期!R38,$S$5:$S$304,0))*节奏预期!H38,0)</f>
        <v>0</v>
      </c>
      <c r="BB38" s="136">
        <f t="shared" si="26"/>
        <v>108000</v>
      </c>
      <c r="BC38" s="100" t="str">
        <f>IF(节奏预期!N38="","",节奏预期!N38*装备强化!D$8+装备强化!D$5)</f>
        <v/>
      </c>
      <c r="BD38" s="100">
        <f>IF(节奏预期!O38="","",节奏预期!O38*装备强化!E$8+装备强化!E$5)</f>
        <v>380</v>
      </c>
      <c r="BE38" s="100">
        <f>IF(节奏预期!P38="","",节奏预期!P38*装备强化!F$8+装备强化!F$5)</f>
        <v>1220</v>
      </c>
      <c r="BF38" s="100">
        <f>IF(节奏预期!Q38="","",节奏预期!Q38*装备强化!G$8+装备强化!G$5)</f>
        <v>2180</v>
      </c>
      <c r="BG38" s="100" t="str">
        <f>IF(节奏预期!R38="","",节奏预期!R38*装备强化!H$8+装备强化!H$5)</f>
        <v/>
      </c>
      <c r="BH38" s="14">
        <f>SUMPRODUCT(BC38:BG38,节奏预期!$D38:$H38)/SUM(节奏预期!$D38:$H38)</f>
        <v>2180</v>
      </c>
      <c r="BI38" s="13" t="str">
        <f>IF(节奏预期!N38="","",节奏预期!N38*装备强化!D$9+装备强化!D$6)</f>
        <v/>
      </c>
      <c r="BJ38" s="100">
        <f>IF(节奏预期!O38="","",节奏预期!O38*装备强化!E$9+装备强化!E$6)</f>
        <v>380</v>
      </c>
      <c r="BK38" s="100">
        <f>IF(节奏预期!P38="","",节奏预期!P38*装备强化!F$9+装备强化!F$6)</f>
        <v>1220</v>
      </c>
      <c r="BL38" s="100">
        <f>IF(节奏预期!Q38="","",节奏预期!Q38*装备强化!G$9+装备强化!G$6)</f>
        <v>2180</v>
      </c>
      <c r="BM38" s="100" t="str">
        <f>IF(节奏预期!R38="","",节奏预期!R38*装备强化!H$9+装备强化!H$6)</f>
        <v/>
      </c>
      <c r="BN38" s="14">
        <f>SUMPRODUCT(BI38:BM38,节奏预期!$D38:$H38)/SUM(节奏预期!$D38:$H38)</f>
        <v>2180</v>
      </c>
      <c r="BO38" s="94">
        <f>IF(节奏预期!D38="","",IF(节奏预期!I38="",0,装备强化!D$4*节奏预期!I38))</f>
        <v>3.6</v>
      </c>
      <c r="BP38" s="94">
        <f>IF(节奏预期!E38="","",IF(节奏预期!J38="",0,装备强化!E$4*节奏预期!J38))</f>
        <v>8</v>
      </c>
      <c r="BQ38" s="94">
        <f>IF(节奏预期!F38="","",IF(节奏预期!K38="",0,装备强化!F$4*节奏预期!K38))</f>
        <v>16.2</v>
      </c>
      <c r="BR38" s="94">
        <f>IF(节奏预期!G38="","",IF(节奏预期!L38="",0,装备强化!G$4*节奏预期!L38))</f>
        <v>26.35</v>
      </c>
      <c r="BS38" s="94">
        <f>IF(节奏预期!H38="","",IF(节奏预期!M38="",0,装备强化!H$4*节奏预期!M38))</f>
        <v>44.550000000000004</v>
      </c>
      <c r="BT38" s="80">
        <f>SUMPRODUCT(BO38:BS38,节奏预期!D38:H38)/SUM(节奏预期!D38:H38)</f>
        <v>26.35</v>
      </c>
      <c r="BW38" s="25">
        <v>35</v>
      </c>
    </row>
    <row r="39" spans="10:75" x14ac:dyDescent="0.15">
      <c r="J39" s="46">
        <f>INDEX('[1]资源-装备经验'!Y$6:Y$165,(K39+1)/2,1)</f>
        <v>0</v>
      </c>
      <c r="K39" s="53">
        <v>35</v>
      </c>
      <c r="L39" s="121">
        <v>5</v>
      </c>
      <c r="M39" s="122">
        <f t="shared" si="4"/>
        <v>5</v>
      </c>
      <c r="N39" s="120">
        <f t="shared" si="27"/>
        <v>10</v>
      </c>
      <c r="O39" s="120">
        <f t="shared" si="27"/>
        <v>20</v>
      </c>
      <c r="P39" s="120">
        <f t="shared" si="27"/>
        <v>50</v>
      </c>
      <c r="Q39" s="120">
        <f t="shared" si="27"/>
        <v>150</v>
      </c>
      <c r="S39" s="53">
        <v>35</v>
      </c>
      <c r="T39" s="53">
        <f>SUM(M$5:M39)</f>
        <v>175</v>
      </c>
      <c r="U39" s="53">
        <f>SUM(N$5:N39)</f>
        <v>350</v>
      </c>
      <c r="V39" s="53">
        <f>SUM(O$5:O39)</f>
        <v>700</v>
      </c>
      <c r="W39" s="53">
        <f>SUM(P$5:P39)</f>
        <v>1750</v>
      </c>
      <c r="X39" s="53">
        <f>SUM(Q$5:Q39)</f>
        <v>5250</v>
      </c>
      <c r="Z39" s="47">
        <v>35</v>
      </c>
      <c r="AA39" s="47">
        <f t="shared" si="6"/>
        <v>200</v>
      </c>
      <c r="AB39" s="47">
        <f t="shared" si="7"/>
        <v>400</v>
      </c>
      <c r="AC39" s="47">
        <f t="shared" si="8"/>
        <v>800</v>
      </c>
      <c r="AD39" s="47">
        <f t="shared" si="9"/>
        <v>2000</v>
      </c>
      <c r="AE39" s="47">
        <f t="shared" si="10"/>
        <v>6000</v>
      </c>
      <c r="AG39" s="47">
        <v>35</v>
      </c>
      <c r="AH39" s="53">
        <f>SUM(AA$5:AA39)</f>
        <v>7000</v>
      </c>
      <c r="AI39" s="53">
        <f>SUM(AB$5:AB39)</f>
        <v>14000</v>
      </c>
      <c r="AJ39" s="53">
        <f>SUM(AC$5:AC39)</f>
        <v>28000</v>
      </c>
      <c r="AK39" s="53">
        <f>SUM(AD$5:AD39)</f>
        <v>70000</v>
      </c>
      <c r="AL39" s="53">
        <f>SUM(AE$5:AE39)</f>
        <v>210000</v>
      </c>
      <c r="AO39" s="46">
        <v>8</v>
      </c>
      <c r="AP39" s="37">
        <f>节奏预期!B39</f>
        <v>50</v>
      </c>
      <c r="AQ39" s="114">
        <f>IFERROR(INDEX(AH$5:AH$304,MATCH(节奏预期!N39,$AG$5:$AG$304,0))*节奏预期!D39,0)</f>
        <v>0</v>
      </c>
      <c r="AR39" s="114">
        <f>IFERROR(INDEX(AI$5:AI$304,MATCH(节奏预期!O39,$AG$5:$AG$304,0))*节奏预期!E39,0)</f>
        <v>0</v>
      </c>
      <c r="AS39" s="114">
        <f>IFERROR(INDEX(AJ$5:AJ$304,MATCH(节奏预期!P39,$AG$5:$AG$304,0))*节奏预期!F39,0)</f>
        <v>0</v>
      </c>
      <c r="AT39" s="114">
        <f>IFERROR(INDEX(AK$5:AK$304,MATCH(节奏预期!Q39,$AG$5:$AG$304,0))*节奏预期!G39,0)</f>
        <v>7980000</v>
      </c>
      <c r="AU39" s="114">
        <f>IFERROR(INDEX(AL$5:AL$304,MATCH(节奏预期!R39,$AG$5:$AG$304,0))*节奏预期!H39,0)</f>
        <v>3420000</v>
      </c>
      <c r="AV39" s="136">
        <f t="shared" si="25"/>
        <v>11400000</v>
      </c>
      <c r="AW39" s="114">
        <f>IFERROR(INDEX(T$5:T$304,MATCH(节奏预期!N39,$S$5:$S$304,0))*节奏预期!D39,0)</f>
        <v>0</v>
      </c>
      <c r="AX39" s="114">
        <f>IFERROR(INDEX(U$5:U$304,MATCH(节奏预期!O39,$S$5:$S$304,0))*节奏预期!E39,0)</f>
        <v>0</v>
      </c>
      <c r="AY39" s="114">
        <f>IFERROR(INDEX(V$5:V$304,MATCH(节奏预期!P39,$S$5:$S$304,0))*节奏预期!F39,0)</f>
        <v>0</v>
      </c>
      <c r="AZ39" s="114">
        <f>IFERROR(INDEX(W$5:W$304,MATCH(节奏预期!Q39,$S$5:$S$304,0))*节奏预期!G39,0)</f>
        <v>199500</v>
      </c>
      <c r="BA39" s="114">
        <f>IFERROR(INDEX(X$5:X$304,MATCH(节奏预期!R39,$S$5:$S$304,0))*节奏预期!H39,0)</f>
        <v>85500</v>
      </c>
      <c r="BB39" s="136">
        <f t="shared" si="26"/>
        <v>285000</v>
      </c>
      <c r="BC39" s="100" t="str">
        <f>IF(节奏预期!N39="","",节奏预期!N39*装备强化!D$8+装备强化!D$5)</f>
        <v/>
      </c>
      <c r="BD39" s="100" t="str">
        <f>IF(节奏预期!O39="","",节奏预期!O39*装备强化!E$8+装备强化!E$5)</f>
        <v/>
      </c>
      <c r="BE39" s="100">
        <f>IF(节奏预期!P39="","",节奏预期!P39*装备强化!F$8+装备强化!F$5)</f>
        <v>1220</v>
      </c>
      <c r="BF39" s="100">
        <f>IF(节奏预期!Q39="","",节奏预期!Q39*装备强化!G$8+装备强化!G$5)</f>
        <v>2600</v>
      </c>
      <c r="BG39" s="100">
        <f>IF(节奏预期!R39="","",节奏预期!R39*装备强化!H$8+装备强化!H$5)</f>
        <v>4280</v>
      </c>
      <c r="BH39" s="14">
        <f>SUMPRODUCT(BC39:BG39,节奏预期!$D39:$H39)/SUM(节奏预期!$D39:$H39)</f>
        <v>2810</v>
      </c>
      <c r="BI39" s="13" t="str">
        <f>IF(节奏预期!N39="","",节奏预期!N39*装备强化!D$9+装备强化!D$6)</f>
        <v/>
      </c>
      <c r="BJ39" s="100" t="str">
        <f>IF(节奏预期!O39="","",节奏预期!O39*装备强化!E$9+装备强化!E$6)</f>
        <v/>
      </c>
      <c r="BK39" s="100">
        <f>IF(节奏预期!P39="","",节奏预期!P39*装备强化!F$9+装备强化!F$6)</f>
        <v>1220</v>
      </c>
      <c r="BL39" s="100">
        <f>IF(节奏预期!Q39="","",节奏预期!Q39*装备强化!G$9+装备强化!G$6)</f>
        <v>2600</v>
      </c>
      <c r="BM39" s="100">
        <f>IF(节奏预期!R39="","",节奏预期!R39*装备强化!H$9+装备强化!H$6)</f>
        <v>4280</v>
      </c>
      <c r="BN39" s="14">
        <f>SUMPRODUCT(BI39:BM39,节奏预期!$D39:$H39)/SUM(节奏预期!$D39:$H39)</f>
        <v>2810</v>
      </c>
      <c r="BO39" s="94">
        <f>IF(节奏预期!D39="","",IF(节奏预期!I39="",0,装备强化!D$4*节奏预期!I39))</f>
        <v>3.6</v>
      </c>
      <c r="BP39" s="94">
        <f>IF(节奏预期!E39="","",IF(节奏预期!J39="",0,装备强化!E$4*节奏预期!J39))</f>
        <v>8</v>
      </c>
      <c r="BQ39" s="94">
        <f>IF(节奏预期!F39="","",IF(节奏预期!K39="",0,装备强化!F$4*节奏预期!K39))</f>
        <v>18</v>
      </c>
      <c r="BR39" s="94">
        <f>IF(节奏预期!G39="","",IF(节奏预期!L39="",0,装备强化!G$4*节奏预期!L39))</f>
        <v>28.9</v>
      </c>
      <c r="BS39" s="94">
        <f>IF(节奏预期!H39="","",IF(节奏预期!M39="",0,装备强化!H$4*节奏预期!M39))</f>
        <v>48.839999999999996</v>
      </c>
      <c r="BT39" s="80">
        <f>SUMPRODUCT(BO39:BS39,节奏预期!D39:H39)/SUM(节奏预期!D39:H39)</f>
        <v>31.392499999999998</v>
      </c>
      <c r="BW39" s="25">
        <v>36</v>
      </c>
    </row>
    <row r="40" spans="10:75" x14ac:dyDescent="0.15">
      <c r="J40" s="46">
        <f>INDEX('[1]资源-装备经验'!Y$6:Y$165,(K40+1)/2,1)</f>
        <v>0</v>
      </c>
      <c r="K40" s="53">
        <v>36</v>
      </c>
      <c r="L40" s="121">
        <v>5</v>
      </c>
      <c r="M40" s="122">
        <f t="shared" si="4"/>
        <v>5</v>
      </c>
      <c r="N40" s="120">
        <f t="shared" si="27"/>
        <v>10</v>
      </c>
      <c r="O40" s="120">
        <f t="shared" si="27"/>
        <v>20</v>
      </c>
      <c r="P40" s="120">
        <f t="shared" si="27"/>
        <v>50</v>
      </c>
      <c r="Q40" s="120">
        <f t="shared" si="27"/>
        <v>150</v>
      </c>
      <c r="S40" s="53">
        <v>36</v>
      </c>
      <c r="T40" s="53">
        <f>SUM(M$5:M40)</f>
        <v>180</v>
      </c>
      <c r="U40" s="53">
        <f>SUM(N$5:N40)</f>
        <v>360</v>
      </c>
      <c r="V40" s="53">
        <f>SUM(O$5:O40)</f>
        <v>720</v>
      </c>
      <c r="W40" s="53">
        <f>SUM(P$5:P40)</f>
        <v>1800</v>
      </c>
      <c r="X40" s="53">
        <f>SUM(Q$5:Q40)</f>
        <v>5400</v>
      </c>
      <c r="Z40" s="47">
        <v>36</v>
      </c>
      <c r="AA40" s="47">
        <f t="shared" si="6"/>
        <v>200</v>
      </c>
      <c r="AB40" s="47">
        <f t="shared" si="7"/>
        <v>400</v>
      </c>
      <c r="AC40" s="47">
        <f t="shared" si="8"/>
        <v>800</v>
      </c>
      <c r="AD40" s="47">
        <f t="shared" si="9"/>
        <v>2000</v>
      </c>
      <c r="AE40" s="47">
        <f t="shared" si="10"/>
        <v>6000</v>
      </c>
      <c r="AG40" s="47">
        <v>36</v>
      </c>
      <c r="AH40" s="53">
        <f>SUM(AA$5:AA40)</f>
        <v>7200</v>
      </c>
      <c r="AI40" s="53">
        <f>SUM(AB$5:AB40)</f>
        <v>14400</v>
      </c>
      <c r="AJ40" s="53">
        <f>SUM(AC$5:AC40)</f>
        <v>28800</v>
      </c>
      <c r="AK40" s="53">
        <f>SUM(AD$5:AD40)</f>
        <v>72000</v>
      </c>
      <c r="AL40" s="53">
        <f>SUM(AE$5:AE40)</f>
        <v>216000</v>
      </c>
      <c r="AO40" s="46">
        <v>9</v>
      </c>
      <c r="AP40" s="37">
        <f>节奏预期!B40</f>
        <v>60</v>
      </c>
      <c r="AQ40" s="114">
        <f>IFERROR(INDEX(AH$5:AH$304,MATCH(节奏预期!N40,$AG$5:$AG$304,0))*节奏预期!D40,0)</f>
        <v>0</v>
      </c>
      <c r="AR40" s="114">
        <f>IFERROR(INDEX(AI$5:AI$304,MATCH(节奏预期!O40,$AG$5:$AG$304,0))*节奏预期!E40,0)</f>
        <v>0</v>
      </c>
      <c r="AS40" s="114">
        <f>IFERROR(INDEX(AJ$5:AJ$304,MATCH(节奏预期!P40,$AG$5:$AG$304,0))*节奏预期!F40,0)</f>
        <v>0</v>
      </c>
      <c r="AT40" s="114">
        <f>IFERROR(INDEX(AK$5:AK$304,MATCH(节奏预期!Q40,$AG$5:$AG$304,0))*节奏预期!G40,0)</f>
        <v>14616000</v>
      </c>
      <c r="AU40" s="114">
        <f>IFERROR(INDEX(AL$5:AL$304,MATCH(节奏预期!R40,$AG$5:$AG$304,0))*节奏预期!H40,0)</f>
        <v>21924000</v>
      </c>
      <c r="AV40" s="136">
        <f t="shared" si="25"/>
        <v>36540000</v>
      </c>
      <c r="AW40" s="114">
        <f>IFERROR(INDEX(T$5:T$304,MATCH(节奏预期!N40,$S$5:$S$304,0))*节奏预期!D40,0)</f>
        <v>0</v>
      </c>
      <c r="AX40" s="114">
        <f>IFERROR(INDEX(U$5:U$304,MATCH(节奏预期!O40,$S$5:$S$304,0))*节奏预期!E40,0)</f>
        <v>0</v>
      </c>
      <c r="AY40" s="114">
        <f>IFERROR(INDEX(V$5:V$304,MATCH(节奏预期!P40,$S$5:$S$304,0))*节奏预期!F40,0)</f>
        <v>0</v>
      </c>
      <c r="AZ40" s="114">
        <f>IFERROR(INDEX(W$5:W$304,MATCH(节奏预期!Q40,$S$5:$S$304,0))*节奏预期!G40,0)</f>
        <v>365400</v>
      </c>
      <c r="BA40" s="114">
        <f>IFERROR(INDEX(X$5:X$304,MATCH(节奏预期!R40,$S$5:$S$304,0))*节奏预期!H40,0)</f>
        <v>548100</v>
      </c>
      <c r="BB40" s="136">
        <f t="shared" si="26"/>
        <v>913500</v>
      </c>
      <c r="BC40" s="100" t="str">
        <f>IF(节奏预期!N40="","",节奏预期!N40*装备强化!D$8+装备强化!D$5)</f>
        <v/>
      </c>
      <c r="BD40" s="100" t="str">
        <f>IF(节奏预期!O40="","",节奏预期!O40*装备强化!E$8+装备强化!E$5)</f>
        <v/>
      </c>
      <c r="BE40" s="100" t="str">
        <f>IF(节奏预期!P40="","",节奏预期!P40*装备强化!F$8+装备强化!F$5)</f>
        <v/>
      </c>
      <c r="BF40" s="100">
        <f>IF(节奏预期!Q40="","",节奏预期!Q40*装备强化!G$8+装备强化!G$5)</f>
        <v>3020</v>
      </c>
      <c r="BG40" s="100">
        <f>IF(节奏预期!R40="","",节奏预期!R40*装备强化!H$8+装备强化!H$5)</f>
        <v>4940</v>
      </c>
      <c r="BH40" s="14">
        <f>SUMPRODUCT(BC40:BG40,节奏预期!$D40:$H40)/SUM(节奏预期!$D40:$H40)</f>
        <v>3660</v>
      </c>
      <c r="BI40" s="13" t="str">
        <f>IF(节奏预期!N40="","",节奏预期!N40*装备强化!D$9+装备强化!D$6)</f>
        <v/>
      </c>
      <c r="BJ40" s="100" t="str">
        <f>IF(节奏预期!O40="","",节奏预期!O40*装备强化!E$9+装备强化!E$6)</f>
        <v/>
      </c>
      <c r="BK40" s="100" t="str">
        <f>IF(节奏预期!P40="","",节奏预期!P40*装备强化!F$9+装备强化!F$6)</f>
        <v/>
      </c>
      <c r="BL40" s="100">
        <f>IF(节奏预期!Q40="","",节奏预期!Q40*装备强化!G$9+装备强化!G$6)</f>
        <v>3020</v>
      </c>
      <c r="BM40" s="100">
        <f>IF(节奏预期!R40="","",节奏预期!R40*装备强化!H$9+装备强化!H$6)</f>
        <v>4940</v>
      </c>
      <c r="BN40" s="14">
        <f>SUMPRODUCT(BI40:BM40,节奏预期!$D40:$H40)/SUM(节奏预期!$D40:$H40)</f>
        <v>3660</v>
      </c>
      <c r="BO40" s="94">
        <f>IF(节奏预期!D40="","",IF(节奏预期!I40="",0,装备强化!D$4*节奏预期!I40))</f>
        <v>3.6</v>
      </c>
      <c r="BP40" s="94">
        <f>IF(节奏预期!E40="","",IF(节奏预期!J40="",0,装备强化!E$4*节奏预期!J40))</f>
        <v>8</v>
      </c>
      <c r="BQ40" s="94">
        <f>IF(节奏预期!F40="","",IF(节奏预期!K40="",0,装备强化!F$4*节奏预期!K40))</f>
        <v>18</v>
      </c>
      <c r="BR40" s="94">
        <f>IF(节奏预期!G40="","",IF(节奏预期!L40="",0,装备强化!G$4*节奏预期!L40))</f>
        <v>31.450000000000003</v>
      </c>
      <c r="BS40" s="94">
        <f>IF(节奏预期!H40="","",IF(节奏预期!M40="",0,装备强化!H$4*节奏预期!M40))</f>
        <v>53.13</v>
      </c>
      <c r="BT40" s="80">
        <f>SUMPRODUCT(BO40:BS40,节奏预期!D40:H40)/SUM(节奏预期!D40:H40)</f>
        <v>38.676666666666669</v>
      </c>
      <c r="BW40" s="25">
        <v>37</v>
      </c>
    </row>
    <row r="41" spans="10:75" x14ac:dyDescent="0.15">
      <c r="J41" s="46">
        <f>INDEX('[1]资源-装备经验'!Y$6:Y$165,(K41+1)/2,1)</f>
        <v>0</v>
      </c>
      <c r="K41" s="53">
        <v>37</v>
      </c>
      <c r="L41" s="121">
        <v>5</v>
      </c>
      <c r="M41" s="122">
        <f t="shared" si="4"/>
        <v>5</v>
      </c>
      <c r="N41" s="120">
        <f t="shared" si="27"/>
        <v>10</v>
      </c>
      <c r="O41" s="120">
        <f t="shared" si="27"/>
        <v>20</v>
      </c>
      <c r="P41" s="120">
        <f t="shared" si="27"/>
        <v>50</v>
      </c>
      <c r="Q41" s="120">
        <f t="shared" si="27"/>
        <v>150</v>
      </c>
      <c r="S41" s="53">
        <v>37</v>
      </c>
      <c r="T41" s="53">
        <f>SUM(M$5:M41)</f>
        <v>185</v>
      </c>
      <c r="U41" s="53">
        <f>SUM(N$5:N41)</f>
        <v>370</v>
      </c>
      <c r="V41" s="53">
        <f>SUM(O$5:O41)</f>
        <v>740</v>
      </c>
      <c r="W41" s="53">
        <f>SUM(P$5:P41)</f>
        <v>1850</v>
      </c>
      <c r="X41" s="53">
        <f>SUM(Q$5:Q41)</f>
        <v>5550</v>
      </c>
      <c r="Z41" s="47">
        <v>37</v>
      </c>
      <c r="AA41" s="47">
        <f t="shared" si="6"/>
        <v>200</v>
      </c>
      <c r="AB41" s="47">
        <f t="shared" si="7"/>
        <v>400</v>
      </c>
      <c r="AC41" s="47">
        <f t="shared" si="8"/>
        <v>800</v>
      </c>
      <c r="AD41" s="47">
        <f t="shared" si="9"/>
        <v>2000</v>
      </c>
      <c r="AE41" s="47">
        <f t="shared" si="10"/>
        <v>6000</v>
      </c>
      <c r="AG41" s="47">
        <v>37</v>
      </c>
      <c r="AH41" s="53">
        <f>SUM(AA$5:AA41)</f>
        <v>7400</v>
      </c>
      <c r="AI41" s="53">
        <f>SUM(AB$5:AB41)</f>
        <v>14800</v>
      </c>
      <c r="AJ41" s="53">
        <f>SUM(AC$5:AC41)</f>
        <v>29600</v>
      </c>
      <c r="AK41" s="53">
        <f>SUM(AD$5:AD41)</f>
        <v>74000</v>
      </c>
      <c r="AL41" s="53">
        <f>SUM(AE$5:AE41)</f>
        <v>222000</v>
      </c>
      <c r="AO41" s="46">
        <v>10</v>
      </c>
      <c r="AP41" s="37">
        <f>节奏预期!B41</f>
        <v>70</v>
      </c>
      <c r="AQ41" s="114">
        <f>IFERROR(INDEX(AH$5:AH$304,MATCH(节奏预期!N41,$AG$5:$AG$304,0))*节奏预期!D41,0)</f>
        <v>0</v>
      </c>
      <c r="AR41" s="114">
        <f>IFERROR(INDEX(AI$5:AI$304,MATCH(节奏预期!O41,$AG$5:$AG$304,0))*节奏预期!E41,0)</f>
        <v>0</v>
      </c>
      <c r="AS41" s="114">
        <f>IFERROR(INDEX(AJ$5:AJ$304,MATCH(节奏预期!P41,$AG$5:$AG$304,0))*节奏预期!F41,0)</f>
        <v>0</v>
      </c>
      <c r="AT41" s="114">
        <f>IFERROR(INDEX(AK$5:AK$304,MATCH(节奏预期!Q41,$AG$5:$AG$304,0))*节奏预期!G41,0)</f>
        <v>7308000</v>
      </c>
      <c r="AU41" s="114">
        <f>IFERROR(INDEX(AL$5:AL$304,MATCH(节奏预期!R41,$AG$5:$AG$304,0))*节奏预期!H41,0)</f>
        <v>76680000</v>
      </c>
      <c r="AV41" s="136">
        <f t="shared" si="25"/>
        <v>83988000</v>
      </c>
      <c r="AW41" s="114">
        <f>IFERROR(INDEX(T$5:T$304,MATCH(节奏预期!N41,$S$5:$S$304,0))*节奏预期!D41,0)</f>
        <v>0</v>
      </c>
      <c r="AX41" s="114">
        <f>IFERROR(INDEX(U$5:U$304,MATCH(节奏预期!O41,$S$5:$S$304,0))*节奏预期!E41,0)</f>
        <v>0</v>
      </c>
      <c r="AY41" s="114">
        <f>IFERROR(INDEX(V$5:V$304,MATCH(节奏预期!P41,$S$5:$S$304,0))*节奏预期!F41,0)</f>
        <v>0</v>
      </c>
      <c r="AZ41" s="114">
        <f>IFERROR(INDEX(W$5:W$304,MATCH(节奏预期!Q41,$S$5:$S$304,0))*节奏预期!G41,0)</f>
        <v>182700</v>
      </c>
      <c r="BA41" s="114">
        <f>IFERROR(INDEX(X$5:X$304,MATCH(节奏预期!R41,$S$5:$S$304,0))*节奏预期!H41,0)</f>
        <v>1917000</v>
      </c>
      <c r="BB41" s="136">
        <f t="shared" si="26"/>
        <v>2099700</v>
      </c>
      <c r="BC41" s="100" t="str">
        <f>IF(节奏预期!N41="","",节奏预期!N41*装备强化!D$8+装备强化!D$5)</f>
        <v/>
      </c>
      <c r="BD41" s="100" t="str">
        <f>IF(节奏预期!O41="","",节奏预期!O41*装备强化!E$8+装备强化!E$5)</f>
        <v/>
      </c>
      <c r="BE41" s="100" t="str">
        <f>IF(节奏预期!P41="","",节奏预期!P41*装备强化!F$8+装备强化!F$5)</f>
        <v/>
      </c>
      <c r="BF41" s="100">
        <f>IF(节奏预期!Q41="","",节奏预期!Q41*装备强化!G$8+装备强化!G$5)</f>
        <v>3020</v>
      </c>
      <c r="BG41" s="100">
        <f>IF(节奏预期!R41="","",节奏预期!R41*装备强化!H$8+装备强化!H$5)</f>
        <v>5600</v>
      </c>
      <c r="BH41" s="14">
        <f>SUMPRODUCT(BC41:BG41,节奏预期!$D41:$H41)/SUM(节奏预期!$D41:$H41)</f>
        <v>4740</v>
      </c>
      <c r="BI41" s="13" t="str">
        <f>IF(节奏预期!N41="","",节奏预期!N41*装备强化!D$9+装备强化!D$6)</f>
        <v/>
      </c>
      <c r="BJ41" s="100" t="str">
        <f>IF(节奏预期!O41="","",节奏预期!O41*装备强化!E$9+装备强化!E$6)</f>
        <v/>
      </c>
      <c r="BK41" s="100" t="str">
        <f>IF(节奏预期!P41="","",节奏预期!P41*装备强化!F$9+装备强化!F$6)</f>
        <v/>
      </c>
      <c r="BL41" s="100">
        <f>IF(节奏预期!Q41="","",节奏预期!Q41*装备强化!G$9+装备强化!G$6)</f>
        <v>3020</v>
      </c>
      <c r="BM41" s="100">
        <f>IF(节奏预期!R41="","",节奏预期!R41*装备强化!H$9+装备强化!H$6)</f>
        <v>5600</v>
      </c>
      <c r="BN41" s="14">
        <f>SUMPRODUCT(BI41:BM41,节奏预期!$D41:$H41)/SUM(节奏预期!$D41:$H41)</f>
        <v>4740</v>
      </c>
      <c r="BO41" s="94">
        <f>IF(节奏预期!D41="","",IF(节奏预期!I41="",0,装备强化!D$4*节奏预期!I41))</f>
        <v>3.6</v>
      </c>
      <c r="BP41" s="94">
        <f>IF(节奏预期!E41="","",IF(节奏预期!J41="",0,装备强化!E$4*节奏预期!J41))</f>
        <v>8</v>
      </c>
      <c r="BQ41" s="94">
        <f>IF(节奏预期!F41="","",IF(节奏预期!K41="",0,装备强化!F$4*节奏预期!K41))</f>
        <v>18</v>
      </c>
      <c r="BR41" s="94">
        <f>IF(节奏预期!G41="","",IF(节奏预期!L41="",0,装备强化!G$4*节奏预期!L41))</f>
        <v>34</v>
      </c>
      <c r="BS41" s="94">
        <f>IF(节奏预期!H41="","",IF(节奏预期!M41="",0,装备强化!H$4*节奏预期!M41))</f>
        <v>57.42</v>
      </c>
      <c r="BT41" s="80">
        <f>SUMPRODUCT(BO41:BS41,节奏预期!D41:H41)/SUM(节奏预期!D41:H41)</f>
        <v>49.61333333333333</v>
      </c>
      <c r="BW41" s="25">
        <v>38</v>
      </c>
    </row>
    <row r="42" spans="10:75" x14ac:dyDescent="0.15">
      <c r="J42" s="46">
        <f>INDEX('[1]资源-装备经验'!Y$6:Y$165,(K42+1)/2,1)</f>
        <v>0</v>
      </c>
      <c r="K42" s="53">
        <v>38</v>
      </c>
      <c r="L42" s="121">
        <v>5</v>
      </c>
      <c r="M42" s="122">
        <f t="shared" si="4"/>
        <v>5</v>
      </c>
      <c r="N42" s="120">
        <f t="shared" si="27"/>
        <v>10</v>
      </c>
      <c r="O42" s="120">
        <f t="shared" si="27"/>
        <v>20</v>
      </c>
      <c r="P42" s="120">
        <f t="shared" si="27"/>
        <v>50</v>
      </c>
      <c r="Q42" s="120">
        <f t="shared" si="27"/>
        <v>150</v>
      </c>
      <c r="S42" s="53">
        <v>38</v>
      </c>
      <c r="T42" s="53">
        <f>SUM(M$5:M42)</f>
        <v>190</v>
      </c>
      <c r="U42" s="53">
        <f>SUM(N$5:N42)</f>
        <v>380</v>
      </c>
      <c r="V42" s="53">
        <f>SUM(O$5:O42)</f>
        <v>760</v>
      </c>
      <c r="W42" s="53">
        <f>SUM(P$5:P42)</f>
        <v>1900</v>
      </c>
      <c r="X42" s="53">
        <f>SUM(Q$5:Q42)</f>
        <v>5700</v>
      </c>
      <c r="Z42" s="47">
        <v>38</v>
      </c>
      <c r="AA42" s="47">
        <f t="shared" si="6"/>
        <v>200</v>
      </c>
      <c r="AB42" s="47">
        <f t="shared" si="7"/>
        <v>400</v>
      </c>
      <c r="AC42" s="47">
        <f t="shared" si="8"/>
        <v>800</v>
      </c>
      <c r="AD42" s="47">
        <f t="shared" si="9"/>
        <v>2000</v>
      </c>
      <c r="AE42" s="47">
        <f t="shared" si="10"/>
        <v>6000</v>
      </c>
      <c r="AG42" s="47">
        <v>38</v>
      </c>
      <c r="AH42" s="53">
        <f>SUM(AA$5:AA42)</f>
        <v>7600</v>
      </c>
      <c r="AI42" s="53">
        <f>SUM(AB$5:AB42)</f>
        <v>15200</v>
      </c>
      <c r="AJ42" s="53">
        <f>SUM(AC$5:AC42)</f>
        <v>30400</v>
      </c>
      <c r="AK42" s="53">
        <f>SUM(AD$5:AD42)</f>
        <v>76000</v>
      </c>
      <c r="AL42" s="53">
        <f>SUM(AE$5:AE42)</f>
        <v>228000</v>
      </c>
      <c r="AO42" s="46">
        <v>11</v>
      </c>
      <c r="AP42" s="37">
        <f>节奏预期!B42</f>
        <v>80</v>
      </c>
      <c r="AQ42" s="114">
        <f>IFERROR(INDEX(AH$5:AH$304,MATCH(节奏预期!N42,$AG$5:$AG$304,0))*节奏预期!D42,0)</f>
        <v>0</v>
      </c>
      <c r="AR42" s="114">
        <f>IFERROR(INDEX(AI$5:AI$304,MATCH(节奏预期!O42,$AG$5:$AG$304,0))*节奏预期!E42,0)</f>
        <v>0</v>
      </c>
      <c r="AS42" s="114">
        <f>IFERROR(INDEX(AJ$5:AJ$304,MATCH(节奏预期!P42,$AG$5:$AG$304,0))*节奏预期!F42,0)</f>
        <v>0</v>
      </c>
      <c r="AT42" s="114">
        <f>IFERROR(INDEX(AK$5:AK$304,MATCH(节奏预期!Q42,$AG$5:$AG$304,0))*节奏预期!G42,0)</f>
        <v>0</v>
      </c>
      <c r="AU42" s="114">
        <f>IFERROR(INDEX(AL$5:AL$304,MATCH(节奏预期!R42,$AG$5:$AG$304,0))*节奏预期!H42,0)</f>
        <v>210492000</v>
      </c>
      <c r="AV42" s="136">
        <f t="shared" si="25"/>
        <v>210492000</v>
      </c>
      <c r="AW42" s="114">
        <f>IFERROR(INDEX(T$5:T$304,MATCH(节奏预期!N42,$S$5:$S$304,0))*节奏预期!D42,0)</f>
        <v>0</v>
      </c>
      <c r="AX42" s="114">
        <f>IFERROR(INDEX(U$5:U$304,MATCH(节奏预期!O42,$S$5:$S$304,0))*节奏预期!E42,0)</f>
        <v>0</v>
      </c>
      <c r="AY42" s="114">
        <f>IFERROR(INDEX(V$5:V$304,MATCH(节奏预期!P42,$S$5:$S$304,0))*节奏预期!F42,0)</f>
        <v>0</v>
      </c>
      <c r="AZ42" s="114">
        <f>IFERROR(INDEX(W$5:W$304,MATCH(节奏预期!Q42,$S$5:$S$304,0))*节奏预期!G42,0)</f>
        <v>0</v>
      </c>
      <c r="BA42" s="114">
        <f>IFERROR(INDEX(X$5:X$304,MATCH(节奏预期!R42,$S$5:$S$304,0))*节奏预期!H42,0)</f>
        <v>5262300</v>
      </c>
      <c r="BB42" s="136">
        <f t="shared" si="26"/>
        <v>5262300</v>
      </c>
      <c r="BC42" s="100" t="str">
        <f>IF(节奏预期!N42="","",节奏预期!N42*装备强化!D$8+装备强化!D$5)</f>
        <v/>
      </c>
      <c r="BD42" s="100" t="str">
        <f>IF(节奏预期!O42="","",节奏预期!O42*装备强化!E$8+装备强化!E$5)</f>
        <v/>
      </c>
      <c r="BE42" s="100" t="str">
        <f>IF(节奏预期!P42="","",节奏预期!P42*装备强化!F$8+装备强化!F$5)</f>
        <v/>
      </c>
      <c r="BF42" s="100" t="str">
        <f>IF(节奏预期!Q42="","",节奏预期!Q42*装备强化!G$8+装备强化!G$5)</f>
        <v/>
      </c>
      <c r="BG42" s="100">
        <f>IF(节奏预期!R42="","",节奏预期!R42*装备强化!H$8+装备强化!H$5)</f>
        <v>6260</v>
      </c>
      <c r="BH42" s="14">
        <f>SUMPRODUCT(BC42:BG42,节奏预期!$D42:$H42)/SUM(节奏预期!$D42:$H42)</f>
        <v>6260</v>
      </c>
      <c r="BI42" s="13" t="str">
        <f>IF(节奏预期!N42="","",节奏预期!N42*装备强化!D$9+装备强化!D$6)</f>
        <v/>
      </c>
      <c r="BJ42" s="100" t="str">
        <f>IF(节奏预期!O42="","",节奏预期!O42*装备强化!E$9+装备强化!E$6)</f>
        <v/>
      </c>
      <c r="BK42" s="100" t="str">
        <f>IF(节奏预期!P42="","",节奏预期!P42*装备强化!F$9+装备强化!F$6)</f>
        <v/>
      </c>
      <c r="BL42" s="100" t="str">
        <f>IF(节奏预期!Q42="","",节奏预期!Q42*装备强化!G$9+装备强化!G$6)</f>
        <v/>
      </c>
      <c r="BM42" s="100">
        <f>IF(节奏预期!R42="","",节奏预期!R42*装备强化!H$9+装备强化!H$6)</f>
        <v>6260</v>
      </c>
      <c r="BN42" s="14">
        <f>SUMPRODUCT(BI42:BM42,节奏预期!$D42:$H42)/SUM(节奏预期!$D42:$H42)</f>
        <v>6260</v>
      </c>
      <c r="BO42" s="94">
        <f>IF(节奏预期!D42="","",IF(节奏预期!I42="",0,装备强化!D$4*节奏预期!I42))</f>
        <v>3.6</v>
      </c>
      <c r="BP42" s="94">
        <f>IF(节奏预期!E42="","",IF(节奏预期!J42="",0,装备强化!E$4*节奏预期!J42))</f>
        <v>8</v>
      </c>
      <c r="BQ42" s="94">
        <f>IF(节奏预期!F42="","",IF(节奏预期!K42="",0,装备强化!F$4*节奏预期!K42))</f>
        <v>18</v>
      </c>
      <c r="BR42" s="94">
        <f>IF(节奏预期!G42="","",IF(节奏预期!L42="",0,装备强化!G$4*节奏预期!L42))</f>
        <v>34</v>
      </c>
      <c r="BS42" s="94">
        <f>IF(节奏预期!H42="","",IF(节奏预期!M42="",0,装备强化!H$4*节奏预期!M42))</f>
        <v>61.71</v>
      </c>
      <c r="BT42" s="80">
        <f>SUMPRODUCT(BO42:BS42,节奏预期!D42:H42)/SUM(节奏预期!D42:H42)</f>
        <v>61.71</v>
      </c>
      <c r="BW42" s="25">
        <v>39</v>
      </c>
    </row>
    <row r="43" spans="10:75" x14ac:dyDescent="0.15">
      <c r="J43" s="46">
        <f>INDEX('[1]资源-装备经验'!Y$6:Y$165,(K43+1)/2,1)</f>
        <v>0</v>
      </c>
      <c r="K43" s="53">
        <v>39</v>
      </c>
      <c r="L43" s="121">
        <v>5</v>
      </c>
      <c r="M43" s="122">
        <f t="shared" si="4"/>
        <v>5</v>
      </c>
      <c r="N43" s="120">
        <f t="shared" si="27"/>
        <v>10</v>
      </c>
      <c r="O43" s="120">
        <f t="shared" si="27"/>
        <v>20</v>
      </c>
      <c r="P43" s="120">
        <f t="shared" si="27"/>
        <v>50</v>
      </c>
      <c r="Q43" s="120">
        <f t="shared" si="27"/>
        <v>150</v>
      </c>
      <c r="S43" s="53">
        <v>39</v>
      </c>
      <c r="T43" s="53">
        <f>SUM(M$5:M43)</f>
        <v>195</v>
      </c>
      <c r="U43" s="53">
        <f>SUM(N$5:N43)</f>
        <v>390</v>
      </c>
      <c r="V43" s="53">
        <f>SUM(O$5:O43)</f>
        <v>780</v>
      </c>
      <c r="W43" s="53">
        <f>SUM(P$5:P43)</f>
        <v>1950</v>
      </c>
      <c r="X43" s="53">
        <f>SUM(Q$5:Q43)</f>
        <v>5850</v>
      </c>
      <c r="Z43" s="47">
        <v>39</v>
      </c>
      <c r="AA43" s="47">
        <f t="shared" si="6"/>
        <v>200</v>
      </c>
      <c r="AB43" s="47">
        <f t="shared" si="7"/>
        <v>400</v>
      </c>
      <c r="AC43" s="47">
        <f t="shared" si="8"/>
        <v>800</v>
      </c>
      <c r="AD43" s="47">
        <f t="shared" si="9"/>
        <v>2000</v>
      </c>
      <c r="AE43" s="47">
        <f t="shared" si="10"/>
        <v>6000</v>
      </c>
      <c r="AG43" s="47">
        <v>39</v>
      </c>
      <c r="AH43" s="53">
        <f>SUM(AA$5:AA43)</f>
        <v>7800</v>
      </c>
      <c r="AI43" s="53">
        <f>SUM(AB$5:AB43)</f>
        <v>15600</v>
      </c>
      <c r="AJ43" s="53">
        <f>SUM(AC$5:AC43)</f>
        <v>31200</v>
      </c>
      <c r="AK43" s="53">
        <f>SUM(AD$5:AD43)</f>
        <v>78000</v>
      </c>
      <c r="AL43" s="53">
        <f>SUM(AE$5:AE43)</f>
        <v>234000</v>
      </c>
      <c r="AO43" s="46">
        <v>12</v>
      </c>
      <c r="AP43" s="37">
        <f>节奏预期!B43</f>
        <v>90</v>
      </c>
      <c r="AQ43" s="114">
        <f>IFERROR(INDEX(AH$5:AH$304,MATCH(节奏预期!N43,$AG$5:$AG$304,0))*节奏预期!D43,0)</f>
        <v>0</v>
      </c>
      <c r="AR43" s="114">
        <f>IFERROR(INDEX(AI$5:AI$304,MATCH(节奏预期!O43,$AG$5:$AG$304,0))*节奏预期!E43,0)</f>
        <v>0</v>
      </c>
      <c r="AS43" s="114">
        <f>IFERROR(INDEX(AJ$5:AJ$304,MATCH(节奏预期!P43,$AG$5:$AG$304,0))*节奏预期!F43,0)</f>
        <v>0</v>
      </c>
      <c r="AT43" s="114">
        <f>IFERROR(INDEX(AK$5:AK$304,MATCH(节奏预期!Q43,$AG$5:$AG$304,0))*节奏预期!G43,0)</f>
        <v>0</v>
      </c>
      <c r="AU43" s="114">
        <f>IFERROR(INDEX(AL$5:AL$304,MATCH(节奏预期!R43,$AG$5:$AG$304,0))*节奏预期!H43,0)</f>
        <v>486972000</v>
      </c>
      <c r="AV43" s="136">
        <f t="shared" si="25"/>
        <v>486972000</v>
      </c>
      <c r="AW43" s="114">
        <f>IFERROR(INDEX(T$5:T$304,MATCH(节奏预期!N43,$S$5:$S$304,0))*节奏预期!D43,0)</f>
        <v>0</v>
      </c>
      <c r="AX43" s="114">
        <f>IFERROR(INDEX(U$5:U$304,MATCH(节奏预期!O43,$S$5:$S$304,0))*节奏预期!E43,0)</f>
        <v>0</v>
      </c>
      <c r="AY43" s="114">
        <f>IFERROR(INDEX(V$5:V$304,MATCH(节奏预期!P43,$S$5:$S$304,0))*节奏预期!F43,0)</f>
        <v>0</v>
      </c>
      <c r="AZ43" s="114">
        <f>IFERROR(INDEX(W$5:W$304,MATCH(节奏预期!Q43,$S$5:$S$304,0))*节奏预期!G43,0)</f>
        <v>0</v>
      </c>
      <c r="BA43" s="114">
        <f>IFERROR(INDEX(X$5:X$304,MATCH(节奏预期!R43,$S$5:$S$304,0))*节奏预期!H43,0)</f>
        <v>12174300</v>
      </c>
      <c r="BB43" s="136">
        <f t="shared" si="26"/>
        <v>12174300</v>
      </c>
      <c r="BC43" s="100" t="str">
        <f>IF(节奏预期!N43="","",节奏预期!N43*装备强化!D$8+装备强化!D$5)</f>
        <v/>
      </c>
      <c r="BD43" s="100" t="str">
        <f>IF(节奏预期!O43="","",节奏预期!O43*装备强化!E$8+装备强化!E$5)</f>
        <v/>
      </c>
      <c r="BE43" s="100" t="str">
        <f>IF(节奏预期!P43="","",节奏预期!P43*装备强化!F$8+装备强化!F$5)</f>
        <v/>
      </c>
      <c r="BF43" s="100" t="str">
        <f>IF(节奏预期!Q43="","",节奏预期!Q43*装备强化!G$8+装备强化!G$5)</f>
        <v/>
      </c>
      <c r="BG43" s="100">
        <f>IF(节奏预期!R43="","",节奏预期!R43*装备强化!H$8+装备强化!H$5)</f>
        <v>6920</v>
      </c>
      <c r="BH43" s="14">
        <f>SUMPRODUCT(BC43:BG43,节奏预期!$D43:$H43)/SUM(节奏预期!$D43:$H43)</f>
        <v>6920</v>
      </c>
      <c r="BI43" s="13" t="str">
        <f>IF(节奏预期!N43="","",节奏预期!N43*装备强化!D$9+装备强化!D$6)</f>
        <v/>
      </c>
      <c r="BJ43" s="100" t="str">
        <f>IF(节奏预期!O43="","",节奏预期!O43*装备强化!E$9+装备强化!E$6)</f>
        <v/>
      </c>
      <c r="BK43" s="100" t="str">
        <f>IF(节奏预期!P43="","",节奏预期!P43*装备强化!F$9+装备强化!F$6)</f>
        <v/>
      </c>
      <c r="BL43" s="100" t="str">
        <f>IF(节奏预期!Q43="","",节奏预期!Q43*装备强化!G$9+装备强化!G$6)</f>
        <v/>
      </c>
      <c r="BM43" s="100">
        <f>IF(节奏预期!R43="","",节奏预期!R43*装备强化!H$9+装备强化!H$6)</f>
        <v>6920</v>
      </c>
      <c r="BN43" s="14">
        <f>SUMPRODUCT(BI43:BM43,节奏预期!$D43:$H43)/SUM(节奏预期!$D43:$H43)</f>
        <v>6920</v>
      </c>
      <c r="BO43" s="94">
        <f>IF(节奏预期!D43="","",IF(节奏预期!I43="",0,装备强化!D$4*节奏预期!I43))</f>
        <v>3.6</v>
      </c>
      <c r="BP43" s="94">
        <f>IF(节奏预期!E43="","",IF(节奏预期!J43="",0,装备强化!E$4*节奏预期!J43))</f>
        <v>8</v>
      </c>
      <c r="BQ43" s="94">
        <f>IF(节奏预期!F43="","",IF(节奏预期!K43="",0,装备强化!F$4*节奏预期!K43))</f>
        <v>18</v>
      </c>
      <c r="BR43" s="94">
        <f>IF(节奏预期!G43="","",IF(节奏预期!L43="",0,装备强化!G$4*节奏预期!L43))</f>
        <v>34</v>
      </c>
      <c r="BS43" s="94">
        <f>IF(节奏预期!H43="","",IF(节奏预期!M43="",0,装备强化!H$4*节奏预期!M43))</f>
        <v>66</v>
      </c>
      <c r="BT43" s="80">
        <f>SUMPRODUCT(BO43:BS43,节奏预期!D43:H43)/SUM(节奏预期!D43:H43)</f>
        <v>66</v>
      </c>
      <c r="BW43" s="25">
        <v>40</v>
      </c>
    </row>
    <row r="44" spans="10:75" x14ac:dyDescent="0.15">
      <c r="J44" s="46">
        <f>INDEX('[1]资源-装备经验'!Y$6:Y$165,(K44+1)/2,1)</f>
        <v>0</v>
      </c>
      <c r="K44" s="53">
        <v>40</v>
      </c>
      <c r="L44" s="121">
        <v>5</v>
      </c>
      <c r="M44" s="122">
        <f t="shared" si="4"/>
        <v>5</v>
      </c>
      <c r="N44" s="120">
        <f t="shared" si="27"/>
        <v>10</v>
      </c>
      <c r="O44" s="120">
        <f t="shared" si="27"/>
        <v>20</v>
      </c>
      <c r="P44" s="120">
        <f t="shared" si="27"/>
        <v>50</v>
      </c>
      <c r="Q44" s="120">
        <f t="shared" si="27"/>
        <v>150</v>
      </c>
      <c r="S44" s="53">
        <v>40</v>
      </c>
      <c r="T44" s="53">
        <f>SUM(M$5:M44)</f>
        <v>200</v>
      </c>
      <c r="U44" s="53">
        <f>SUM(N$5:N44)</f>
        <v>400</v>
      </c>
      <c r="V44" s="53">
        <f>SUM(O$5:O44)</f>
        <v>800</v>
      </c>
      <c r="W44" s="53">
        <f>SUM(P$5:P44)</f>
        <v>2000</v>
      </c>
      <c r="X44" s="53">
        <f>SUM(Q$5:Q44)</f>
        <v>6000</v>
      </c>
      <c r="Z44" s="47">
        <v>40</v>
      </c>
      <c r="AA44" s="47">
        <f t="shared" si="6"/>
        <v>200</v>
      </c>
      <c r="AB44" s="47">
        <f t="shared" si="7"/>
        <v>400</v>
      </c>
      <c r="AC44" s="47">
        <f t="shared" si="8"/>
        <v>800</v>
      </c>
      <c r="AD44" s="47">
        <f t="shared" si="9"/>
        <v>2000</v>
      </c>
      <c r="AE44" s="47">
        <f t="shared" si="10"/>
        <v>6000</v>
      </c>
      <c r="AG44" s="47">
        <v>40</v>
      </c>
      <c r="AH44" s="53">
        <f>SUM(AA$5:AA44)</f>
        <v>8000</v>
      </c>
      <c r="AI44" s="53">
        <f>SUM(AB$5:AB44)</f>
        <v>16000</v>
      </c>
      <c r="AJ44" s="53">
        <f>SUM(AC$5:AC44)</f>
        <v>32000</v>
      </c>
      <c r="AK44" s="53">
        <f>SUM(AD$5:AD44)</f>
        <v>80000</v>
      </c>
      <c r="AL44" s="53">
        <f>SUM(AE$5:AE44)</f>
        <v>240000</v>
      </c>
      <c r="AO44" s="46">
        <v>13</v>
      </c>
      <c r="AP44" s="129">
        <f>节奏预期!B44</f>
        <v>100</v>
      </c>
      <c r="AQ44" s="128">
        <f>IFERROR(INDEX(AH$5:AH$304,MATCH(节奏预期!N44,$AG$5:$AG$304,0))*节奏预期!D44,0)</f>
        <v>0</v>
      </c>
      <c r="AR44" s="128">
        <f>IFERROR(INDEX(AI$5:AI$304,MATCH(节奏预期!O44,$AG$5:$AG$304,0))*节奏预期!E44,0)</f>
        <v>0</v>
      </c>
      <c r="AS44" s="128">
        <f>IFERROR(INDEX(AJ$5:AJ$304,MATCH(节奏预期!P44,$AG$5:$AG$304,0))*节奏预期!F44,0)</f>
        <v>0</v>
      </c>
      <c r="AT44" s="128">
        <f>IFERROR(INDEX(AK$5:AK$304,MATCH(节奏预期!Q44,$AG$5:$AG$304,0))*节奏预期!G44,0)</f>
        <v>0</v>
      </c>
      <c r="AU44" s="128">
        <f>IFERROR(INDEX(AL$5:AL$304,MATCH(节奏预期!R44,$AG$5:$AG$304,0))*节奏预期!H44,0)</f>
        <v>1117692000</v>
      </c>
      <c r="AV44" s="136">
        <f t="shared" si="25"/>
        <v>1117692000</v>
      </c>
      <c r="AW44" s="128">
        <f>IFERROR(INDEX(T$5:T$304,MATCH(节奏预期!N44,$S$5:$S$304,0))*节奏预期!D44,0)</f>
        <v>0</v>
      </c>
      <c r="AX44" s="128">
        <f>IFERROR(INDEX(U$5:U$304,MATCH(节奏预期!O44,$S$5:$S$304,0))*节奏预期!E44,0)</f>
        <v>0</v>
      </c>
      <c r="AY44" s="128">
        <f>IFERROR(INDEX(V$5:V$304,MATCH(节奏预期!P44,$S$5:$S$304,0))*节奏预期!F44,0)</f>
        <v>0</v>
      </c>
      <c r="AZ44" s="128">
        <f>IFERROR(INDEX(W$5:W$304,MATCH(节奏预期!Q44,$S$5:$S$304,0))*节奏预期!G44,0)</f>
        <v>0</v>
      </c>
      <c r="BA44" s="128">
        <f>IFERROR(INDEX(X$5:X$304,MATCH(节奏预期!R44,$S$5:$S$304,0))*节奏预期!H44,0)</f>
        <v>27942300</v>
      </c>
      <c r="BB44" s="136">
        <f t="shared" si="26"/>
        <v>27942300</v>
      </c>
      <c r="BC44" s="126" t="str">
        <f>IF(节奏预期!N44="","",节奏预期!N44*装备强化!D$8+装备强化!D$5)</f>
        <v/>
      </c>
      <c r="BD44" s="126" t="str">
        <f>IF(节奏预期!O44="","",节奏预期!O44*装备强化!E$8+装备强化!E$5)</f>
        <v/>
      </c>
      <c r="BE44" s="126" t="str">
        <f>IF(节奏预期!P44="","",节奏预期!P44*装备强化!F$8+装备强化!F$5)</f>
        <v/>
      </c>
      <c r="BF44" s="126" t="str">
        <f>IF(节奏预期!Q44="","",节奏预期!Q44*装备强化!G$8+装备强化!G$5)</f>
        <v/>
      </c>
      <c r="BG44" s="126">
        <f>IF(节奏预期!R44="","",节奏预期!R44*装备强化!H$8+装备强化!H$5)</f>
        <v>7580</v>
      </c>
      <c r="BH44" s="14">
        <f>SUMPRODUCT(BC44:BG44,节奏预期!$D44:$H44)/SUM(节奏预期!$D44:$H44)</f>
        <v>7580</v>
      </c>
      <c r="BI44" s="13" t="str">
        <f>IF(节奏预期!N44="","",节奏预期!N44*装备强化!D$9+装备强化!D$6)</f>
        <v/>
      </c>
      <c r="BJ44" s="126" t="str">
        <f>IF(节奏预期!O44="","",节奏预期!O44*装备强化!E$9+装备强化!E$6)</f>
        <v/>
      </c>
      <c r="BK44" s="126" t="str">
        <f>IF(节奏预期!P44="","",节奏预期!P44*装备强化!F$9+装备强化!F$6)</f>
        <v/>
      </c>
      <c r="BL44" s="126" t="str">
        <f>IF(节奏预期!Q44="","",节奏预期!Q44*装备强化!G$9+装备强化!G$6)</f>
        <v/>
      </c>
      <c r="BM44" s="126">
        <f>IF(节奏预期!R44="","",节奏预期!R44*装备强化!H$9+装备强化!H$6)</f>
        <v>7580</v>
      </c>
      <c r="BN44" s="14">
        <f>SUMPRODUCT(BI44:BM44,节奏预期!$D44:$H44)/SUM(节奏预期!$D44:$H44)</f>
        <v>7580</v>
      </c>
      <c r="BO44" s="128">
        <f>IF(节奏预期!D44="","",IF(节奏预期!I44="",0,装备强化!D$4*节奏预期!I44))</f>
        <v>3.6</v>
      </c>
      <c r="BP44" s="128">
        <f>IF(节奏预期!E44="","",IF(节奏预期!J44="",0,装备强化!E$4*节奏预期!J44))</f>
        <v>8</v>
      </c>
      <c r="BQ44" s="128">
        <f>IF(节奏预期!F44="","",IF(节奏预期!K44="",0,装备强化!F$4*节奏预期!K44))</f>
        <v>18</v>
      </c>
      <c r="BR44" s="128">
        <f>IF(节奏预期!G44="","",IF(节奏预期!L44="",0,装备强化!G$4*节奏预期!L44))</f>
        <v>34</v>
      </c>
      <c r="BS44" s="128">
        <f>IF(节奏预期!H44="","",IF(节奏预期!M44="",0,装备强化!H$4*节奏预期!M44))</f>
        <v>66</v>
      </c>
      <c r="BT44" s="80">
        <f>SUMPRODUCT(BO44:BS44,节奏预期!D44:H44)/SUM(节奏预期!D44:H44)</f>
        <v>66</v>
      </c>
      <c r="BW44" s="25">
        <v>41</v>
      </c>
    </row>
    <row r="45" spans="10:75" x14ac:dyDescent="0.15">
      <c r="J45" s="46">
        <f>INDEX('[1]资源-装备经验'!Y$6:Y$165,(K45+1)/2,1)</f>
        <v>0</v>
      </c>
      <c r="K45" s="53">
        <v>41</v>
      </c>
      <c r="L45" s="121">
        <v>5</v>
      </c>
      <c r="M45" s="122">
        <f t="shared" si="4"/>
        <v>5</v>
      </c>
      <c r="N45" s="120">
        <f t="shared" si="27"/>
        <v>10</v>
      </c>
      <c r="O45" s="120">
        <f t="shared" si="27"/>
        <v>20</v>
      </c>
      <c r="P45" s="120">
        <f t="shared" si="27"/>
        <v>50</v>
      </c>
      <c r="Q45" s="120">
        <f t="shared" si="27"/>
        <v>150</v>
      </c>
      <c r="S45" s="53">
        <v>41</v>
      </c>
      <c r="T45" s="53">
        <f>SUM(M$5:M45)</f>
        <v>205</v>
      </c>
      <c r="U45" s="53">
        <f>SUM(N$5:N45)</f>
        <v>410</v>
      </c>
      <c r="V45" s="53">
        <f>SUM(O$5:O45)</f>
        <v>820</v>
      </c>
      <c r="W45" s="53">
        <f>SUM(P$5:P45)</f>
        <v>2050</v>
      </c>
      <c r="X45" s="53">
        <f>SUM(Q$5:Q45)</f>
        <v>6150</v>
      </c>
      <c r="Z45" s="47">
        <v>41</v>
      </c>
      <c r="AA45" s="47">
        <f t="shared" si="6"/>
        <v>200</v>
      </c>
      <c r="AB45" s="47">
        <f t="shared" si="7"/>
        <v>400</v>
      </c>
      <c r="AC45" s="47">
        <f t="shared" si="8"/>
        <v>800</v>
      </c>
      <c r="AD45" s="47">
        <f t="shared" si="9"/>
        <v>2000</v>
      </c>
      <c r="AE45" s="47">
        <f t="shared" si="10"/>
        <v>6000</v>
      </c>
      <c r="AG45" s="47">
        <v>41</v>
      </c>
      <c r="AH45" s="53">
        <f>SUM(AA$5:AA45)</f>
        <v>8200</v>
      </c>
      <c r="AI45" s="53">
        <f>SUM(AB$5:AB45)</f>
        <v>16400</v>
      </c>
      <c r="AJ45" s="53">
        <f>SUM(AC$5:AC45)</f>
        <v>32800</v>
      </c>
      <c r="AK45" s="53">
        <f>SUM(AD$5:AD45)</f>
        <v>82000</v>
      </c>
      <c r="AL45" s="53">
        <f>SUM(AE$5:AE45)</f>
        <v>246000</v>
      </c>
      <c r="AO45" s="46">
        <v>14</v>
      </c>
      <c r="AP45" s="129">
        <f>节奏预期!B45</f>
        <v>110</v>
      </c>
      <c r="AQ45" s="128">
        <f>IFERROR(INDEX(AH$5:AH$304,MATCH(节奏预期!N45,$AG$5:$AG$304,0))*节奏预期!D45,0)</f>
        <v>0</v>
      </c>
      <c r="AR45" s="128">
        <f>IFERROR(INDEX(AI$5:AI$304,MATCH(节奏预期!O45,$AG$5:$AG$304,0))*节奏预期!E45,0)</f>
        <v>0</v>
      </c>
      <c r="AS45" s="128">
        <f>IFERROR(INDEX(AJ$5:AJ$304,MATCH(节奏预期!P45,$AG$5:$AG$304,0))*节奏预期!F45,0)</f>
        <v>0</v>
      </c>
      <c r="AT45" s="128">
        <f>IFERROR(INDEX(AK$5:AK$304,MATCH(节奏预期!Q45,$AG$5:$AG$304,0))*节奏预期!G45,0)</f>
        <v>0</v>
      </c>
      <c r="AU45" s="128">
        <f>IFERROR(INDEX(AL$5:AL$304,MATCH(节奏预期!R45,$AG$5:$AG$304,0))*节奏预期!H45,0)</f>
        <v>2478492000</v>
      </c>
      <c r="AV45" s="136">
        <f t="shared" si="25"/>
        <v>2478492000</v>
      </c>
      <c r="AW45" s="128">
        <f>IFERROR(INDEX(T$5:T$304,MATCH(节奏预期!N45,$S$5:$S$304,0))*节奏预期!D45,0)</f>
        <v>0</v>
      </c>
      <c r="AX45" s="128">
        <f>IFERROR(INDEX(U$5:U$304,MATCH(节奏预期!O45,$S$5:$S$304,0))*节奏预期!E45,0)</f>
        <v>0</v>
      </c>
      <c r="AY45" s="128">
        <f>IFERROR(INDEX(V$5:V$304,MATCH(节奏预期!P45,$S$5:$S$304,0))*节奏预期!F45,0)</f>
        <v>0</v>
      </c>
      <c r="AZ45" s="128">
        <f>IFERROR(INDEX(W$5:W$304,MATCH(节奏预期!Q45,$S$5:$S$304,0))*节奏预期!G45,0)</f>
        <v>0</v>
      </c>
      <c r="BA45" s="128">
        <f>IFERROR(INDEX(X$5:X$304,MATCH(节奏预期!R45,$S$5:$S$304,0))*节奏预期!H45,0)</f>
        <v>61962300</v>
      </c>
      <c r="BB45" s="136">
        <f t="shared" si="26"/>
        <v>61962300</v>
      </c>
      <c r="BC45" s="126" t="str">
        <f>IF(节奏预期!N45="","",节奏预期!N45*装备强化!D$8+装备强化!D$5)</f>
        <v/>
      </c>
      <c r="BD45" s="126" t="str">
        <f>IF(节奏预期!O45="","",节奏预期!O45*装备强化!E$8+装备强化!E$5)</f>
        <v/>
      </c>
      <c r="BE45" s="126" t="str">
        <f>IF(节奏预期!P45="","",节奏预期!P45*装备强化!F$8+装备强化!F$5)</f>
        <v/>
      </c>
      <c r="BF45" s="126" t="str">
        <f>IF(节奏预期!Q45="","",节奏预期!Q45*装备强化!G$8+装备强化!G$5)</f>
        <v/>
      </c>
      <c r="BG45" s="126">
        <f>IF(节奏预期!R45="","",节奏预期!R45*装备强化!H$8+装备强化!H$5)</f>
        <v>8240</v>
      </c>
      <c r="BH45" s="14">
        <f>SUMPRODUCT(BC45:BG45,节奏预期!$D45:$H45)/SUM(节奏预期!$D45:$H45)</f>
        <v>8240</v>
      </c>
      <c r="BI45" s="13" t="str">
        <f>IF(节奏预期!N45="","",节奏预期!N45*装备强化!D$9+装备强化!D$6)</f>
        <v/>
      </c>
      <c r="BJ45" s="126" t="str">
        <f>IF(节奏预期!O45="","",节奏预期!O45*装备强化!E$9+装备强化!E$6)</f>
        <v/>
      </c>
      <c r="BK45" s="126" t="str">
        <f>IF(节奏预期!P45="","",节奏预期!P45*装备强化!F$9+装备强化!F$6)</f>
        <v/>
      </c>
      <c r="BL45" s="126" t="str">
        <f>IF(节奏预期!Q45="","",节奏预期!Q45*装备强化!G$9+装备强化!G$6)</f>
        <v/>
      </c>
      <c r="BM45" s="126">
        <f>IF(节奏预期!R45="","",节奏预期!R45*装备强化!H$9+装备强化!H$6)</f>
        <v>8240</v>
      </c>
      <c r="BN45" s="14">
        <f>SUMPRODUCT(BI45:BM45,节奏预期!$D45:$H45)/SUM(节奏预期!$D45:$H45)</f>
        <v>8240</v>
      </c>
      <c r="BO45" s="128">
        <f>IF(节奏预期!D45="","",IF(节奏预期!I45="",0,装备强化!D$4*节奏预期!I45))</f>
        <v>3.6</v>
      </c>
      <c r="BP45" s="128">
        <f>IF(节奏预期!E45="","",IF(节奏预期!J45="",0,装备强化!E$4*节奏预期!J45))</f>
        <v>8</v>
      </c>
      <c r="BQ45" s="128">
        <f>IF(节奏预期!F45="","",IF(节奏预期!K45="",0,装备强化!F$4*节奏预期!K45))</f>
        <v>18</v>
      </c>
      <c r="BR45" s="128">
        <f>IF(节奏预期!G45="","",IF(节奏预期!L45="",0,装备强化!G$4*节奏预期!L45))</f>
        <v>34</v>
      </c>
      <c r="BS45" s="128">
        <f>IF(节奏预期!H45="","",IF(节奏预期!M45="",0,装备强化!H$4*节奏预期!M45))</f>
        <v>66</v>
      </c>
      <c r="BT45" s="80">
        <f>SUMPRODUCT(BO45:BS45,节奏预期!D45:H45)/SUM(节奏预期!D45:H45)</f>
        <v>66</v>
      </c>
      <c r="BW45" s="25">
        <v>42</v>
      </c>
    </row>
    <row r="46" spans="10:75" x14ac:dyDescent="0.15">
      <c r="J46" s="46">
        <f>INDEX('[1]资源-装备经验'!Y$6:Y$165,(K46+1)/2,1)</f>
        <v>0</v>
      </c>
      <c r="K46" s="53">
        <v>42</v>
      </c>
      <c r="L46" s="121">
        <v>5</v>
      </c>
      <c r="M46" s="122">
        <f t="shared" si="4"/>
        <v>5</v>
      </c>
      <c r="N46" s="120">
        <f t="shared" si="27"/>
        <v>10</v>
      </c>
      <c r="O46" s="120">
        <f t="shared" si="27"/>
        <v>20</v>
      </c>
      <c r="P46" s="120">
        <f t="shared" si="27"/>
        <v>50</v>
      </c>
      <c r="Q46" s="120">
        <f t="shared" si="27"/>
        <v>150</v>
      </c>
      <c r="S46" s="53">
        <v>42</v>
      </c>
      <c r="T46" s="53">
        <f>SUM(M$5:M46)</f>
        <v>210</v>
      </c>
      <c r="U46" s="53">
        <f>SUM(N$5:N46)</f>
        <v>420</v>
      </c>
      <c r="V46" s="53">
        <f>SUM(O$5:O46)</f>
        <v>840</v>
      </c>
      <c r="W46" s="53">
        <f>SUM(P$5:P46)</f>
        <v>2100</v>
      </c>
      <c r="X46" s="53">
        <f>SUM(Q$5:Q46)</f>
        <v>6300</v>
      </c>
      <c r="Z46" s="47">
        <v>42</v>
      </c>
      <c r="AA46" s="47">
        <f t="shared" si="6"/>
        <v>200</v>
      </c>
      <c r="AB46" s="47">
        <f t="shared" si="7"/>
        <v>400</v>
      </c>
      <c r="AC46" s="47">
        <f t="shared" si="8"/>
        <v>800</v>
      </c>
      <c r="AD46" s="47">
        <f t="shared" si="9"/>
        <v>2000</v>
      </c>
      <c r="AE46" s="47">
        <f t="shared" si="10"/>
        <v>6000</v>
      </c>
      <c r="AG46" s="47">
        <v>42</v>
      </c>
      <c r="AH46" s="53">
        <f>SUM(AA$5:AA46)</f>
        <v>8400</v>
      </c>
      <c r="AI46" s="53">
        <f>SUM(AB$5:AB46)</f>
        <v>16800</v>
      </c>
      <c r="AJ46" s="53">
        <f>SUM(AC$5:AC46)</f>
        <v>33600</v>
      </c>
      <c r="AK46" s="53">
        <f>SUM(AD$5:AD46)</f>
        <v>84000</v>
      </c>
      <c r="AL46" s="53">
        <f>SUM(AE$5:AE46)</f>
        <v>252000</v>
      </c>
      <c r="AO46" s="46">
        <v>15</v>
      </c>
      <c r="AP46" s="129">
        <f>节奏预期!B46</f>
        <v>120</v>
      </c>
      <c r="AQ46" s="128">
        <f>IFERROR(INDEX(AH$5:AH$304,MATCH(节奏预期!N46,$AG$5:$AG$304,0))*节奏预期!D46,0)</f>
        <v>0</v>
      </c>
      <c r="AR46" s="128">
        <f>IFERROR(INDEX(AI$5:AI$304,MATCH(节奏预期!O46,$AG$5:$AG$304,0))*节奏预期!E46,0)</f>
        <v>0</v>
      </c>
      <c r="AS46" s="128">
        <f>IFERROR(INDEX(AJ$5:AJ$304,MATCH(节奏预期!P46,$AG$5:$AG$304,0))*节奏预期!F46,0)</f>
        <v>0</v>
      </c>
      <c r="AT46" s="128">
        <f>IFERROR(INDEX(AK$5:AK$304,MATCH(节奏预期!Q46,$AG$5:$AG$304,0))*节奏预期!G46,0)</f>
        <v>0</v>
      </c>
      <c r="AU46" s="128">
        <f>IFERROR(INDEX(AL$5:AL$304,MATCH(节奏预期!R46,$AG$5:$AG$304,0))*节奏预期!H46,0)</f>
        <v>5601852000</v>
      </c>
      <c r="AV46" s="136">
        <f t="shared" si="25"/>
        <v>5601852000</v>
      </c>
      <c r="AW46" s="128">
        <f>IFERROR(INDEX(T$5:T$304,MATCH(节奏预期!N46,$S$5:$S$304,0))*节奏预期!D46,0)</f>
        <v>0</v>
      </c>
      <c r="AX46" s="128">
        <f>IFERROR(INDEX(U$5:U$304,MATCH(节奏预期!O46,$S$5:$S$304,0))*节奏预期!E46,0)</f>
        <v>0</v>
      </c>
      <c r="AY46" s="128">
        <f>IFERROR(INDEX(V$5:V$304,MATCH(节奏预期!P46,$S$5:$S$304,0))*节奏预期!F46,0)</f>
        <v>0</v>
      </c>
      <c r="AZ46" s="128">
        <f>IFERROR(INDEX(W$5:W$304,MATCH(节奏预期!Q46,$S$5:$S$304,0))*节奏预期!G46,0)</f>
        <v>0</v>
      </c>
      <c r="BA46" s="128">
        <f>IFERROR(INDEX(X$5:X$304,MATCH(节奏预期!R46,$S$5:$S$304,0))*节奏预期!H46,0)</f>
        <v>140046300</v>
      </c>
      <c r="BB46" s="136">
        <f t="shared" si="26"/>
        <v>140046300</v>
      </c>
      <c r="BC46" s="126" t="str">
        <f>IF(节奏预期!N46="","",节奏预期!N46*装备强化!D$8+装备强化!D$5)</f>
        <v/>
      </c>
      <c r="BD46" s="126" t="str">
        <f>IF(节奏预期!O46="","",节奏预期!O46*装备强化!E$8+装备强化!E$5)</f>
        <v/>
      </c>
      <c r="BE46" s="126" t="str">
        <f>IF(节奏预期!P46="","",节奏预期!P46*装备强化!F$8+装备强化!F$5)</f>
        <v/>
      </c>
      <c r="BF46" s="126" t="str">
        <f>IF(节奏预期!Q46="","",节奏预期!Q46*装备强化!G$8+装备强化!G$5)</f>
        <v/>
      </c>
      <c r="BG46" s="126">
        <f>IF(节奏预期!R46="","",节奏预期!R46*装备强化!H$8+装备强化!H$5)</f>
        <v>8900</v>
      </c>
      <c r="BH46" s="14">
        <f>SUMPRODUCT(BC46:BG46,节奏预期!$D46:$H46)/SUM(节奏预期!$D46:$H46)</f>
        <v>8900</v>
      </c>
      <c r="BI46" s="13" t="str">
        <f>IF(节奏预期!N46="","",节奏预期!N46*装备强化!D$9+装备强化!D$6)</f>
        <v/>
      </c>
      <c r="BJ46" s="126" t="str">
        <f>IF(节奏预期!O46="","",节奏预期!O46*装备强化!E$9+装备强化!E$6)</f>
        <v/>
      </c>
      <c r="BK46" s="126" t="str">
        <f>IF(节奏预期!P46="","",节奏预期!P46*装备强化!F$9+装备强化!F$6)</f>
        <v/>
      </c>
      <c r="BL46" s="126" t="str">
        <f>IF(节奏预期!Q46="","",节奏预期!Q46*装备强化!G$9+装备强化!G$6)</f>
        <v/>
      </c>
      <c r="BM46" s="126">
        <f>IF(节奏预期!R46="","",节奏预期!R46*装备强化!H$9+装备强化!H$6)</f>
        <v>8900</v>
      </c>
      <c r="BN46" s="14">
        <f>SUMPRODUCT(BI46:BM46,节奏预期!$D46:$H46)/SUM(节奏预期!$D46:$H46)</f>
        <v>8900</v>
      </c>
      <c r="BO46" s="128">
        <f>IF(节奏预期!D46="","",IF(节奏预期!I46="",0,装备强化!D$4*节奏预期!I46))</f>
        <v>3.6</v>
      </c>
      <c r="BP46" s="128">
        <f>IF(节奏预期!E46="","",IF(节奏预期!J46="",0,装备强化!E$4*节奏预期!J46))</f>
        <v>8</v>
      </c>
      <c r="BQ46" s="128">
        <f>IF(节奏预期!F46="","",IF(节奏预期!K46="",0,装备强化!F$4*节奏预期!K46))</f>
        <v>18</v>
      </c>
      <c r="BR46" s="128">
        <f>IF(节奏预期!G46="","",IF(节奏预期!L46="",0,装备强化!G$4*节奏预期!L46))</f>
        <v>34</v>
      </c>
      <c r="BS46" s="128">
        <f>IF(节奏预期!H46="","",IF(节奏预期!M46="",0,装备强化!H$4*节奏预期!M46))</f>
        <v>66</v>
      </c>
      <c r="BT46" s="80">
        <f>SUMPRODUCT(BO46:BS46,节奏预期!D46:H46)/SUM(节奏预期!D46:H46)</f>
        <v>66</v>
      </c>
      <c r="BW46" s="25">
        <v>43</v>
      </c>
    </row>
    <row r="47" spans="10:75" x14ac:dyDescent="0.15">
      <c r="J47" s="46">
        <f>INDEX('[1]资源-装备经验'!Y$6:Y$165,(K47+1)/2,1)</f>
        <v>0</v>
      </c>
      <c r="K47" s="53">
        <v>43</v>
      </c>
      <c r="L47" s="121">
        <v>5</v>
      </c>
      <c r="M47" s="122">
        <f t="shared" si="4"/>
        <v>5</v>
      </c>
      <c r="N47" s="120">
        <f t="shared" si="27"/>
        <v>10</v>
      </c>
      <c r="O47" s="120">
        <f t="shared" si="27"/>
        <v>20</v>
      </c>
      <c r="P47" s="120">
        <f t="shared" si="27"/>
        <v>50</v>
      </c>
      <c r="Q47" s="120">
        <f t="shared" si="27"/>
        <v>150</v>
      </c>
      <c r="S47" s="53">
        <v>43</v>
      </c>
      <c r="T47" s="53">
        <f>SUM(M$5:M47)</f>
        <v>215</v>
      </c>
      <c r="U47" s="53">
        <f>SUM(N$5:N47)</f>
        <v>430</v>
      </c>
      <c r="V47" s="53">
        <f>SUM(O$5:O47)</f>
        <v>860</v>
      </c>
      <c r="W47" s="53">
        <f>SUM(P$5:P47)</f>
        <v>2150</v>
      </c>
      <c r="X47" s="53">
        <f>SUM(Q$5:Q47)</f>
        <v>6450</v>
      </c>
      <c r="Z47" s="47">
        <v>43</v>
      </c>
      <c r="AA47" s="47">
        <f t="shared" si="6"/>
        <v>200</v>
      </c>
      <c r="AB47" s="47">
        <f t="shared" si="7"/>
        <v>400</v>
      </c>
      <c r="AC47" s="47">
        <f t="shared" si="8"/>
        <v>800</v>
      </c>
      <c r="AD47" s="47">
        <f t="shared" si="9"/>
        <v>2000</v>
      </c>
      <c r="AE47" s="47">
        <f t="shared" si="10"/>
        <v>6000</v>
      </c>
      <c r="AG47" s="47">
        <v>43</v>
      </c>
      <c r="AH47" s="53">
        <f>SUM(AA$5:AA47)</f>
        <v>8600</v>
      </c>
      <c r="AI47" s="53">
        <f>SUM(AB$5:AB47)</f>
        <v>17200</v>
      </c>
      <c r="AJ47" s="53">
        <f>SUM(AC$5:AC47)</f>
        <v>34400</v>
      </c>
      <c r="AK47" s="53">
        <f>SUM(AD$5:AD47)</f>
        <v>86000</v>
      </c>
      <c r="AL47" s="53">
        <f>SUM(AE$5:AE47)</f>
        <v>258000</v>
      </c>
      <c r="AO47" s="46">
        <v>16</v>
      </c>
      <c r="AP47" s="129">
        <f>节奏预期!B47</f>
        <v>130</v>
      </c>
      <c r="AQ47" s="128">
        <f>IFERROR(INDEX(AH$5:AH$304,MATCH(节奏预期!N47,$AG$5:$AG$304,0))*节奏预期!D47,0)</f>
        <v>0</v>
      </c>
      <c r="AR47" s="128">
        <f>IFERROR(INDEX(AI$5:AI$304,MATCH(节奏预期!O47,$AG$5:$AG$304,0))*节奏预期!E47,0)</f>
        <v>0</v>
      </c>
      <c r="AS47" s="128">
        <f>IFERROR(INDEX(AJ$5:AJ$304,MATCH(节奏预期!P47,$AG$5:$AG$304,0))*节奏预期!F47,0)</f>
        <v>0</v>
      </c>
      <c r="AT47" s="128">
        <f>IFERROR(INDEX(AK$5:AK$304,MATCH(节奏预期!Q47,$AG$5:$AG$304,0))*节奏预期!G47,0)</f>
        <v>0</v>
      </c>
      <c r="AU47" s="128">
        <f>IFERROR(INDEX(AL$5:AL$304,MATCH(节奏预期!R47,$AG$5:$AG$304,0))*节奏预期!H47,0)</f>
        <v>12816252000</v>
      </c>
      <c r="AV47" s="136">
        <f t="shared" si="25"/>
        <v>12816252000</v>
      </c>
      <c r="AW47" s="128">
        <f>IFERROR(INDEX(T$5:T$304,MATCH(节奏预期!N47,$S$5:$S$304,0))*节奏预期!D47,0)</f>
        <v>0</v>
      </c>
      <c r="AX47" s="128">
        <f>IFERROR(INDEX(U$5:U$304,MATCH(节奏预期!O47,$S$5:$S$304,0))*节奏预期!E47,0)</f>
        <v>0</v>
      </c>
      <c r="AY47" s="128">
        <f>IFERROR(INDEX(V$5:V$304,MATCH(节奏预期!P47,$S$5:$S$304,0))*节奏预期!F47,0)</f>
        <v>0</v>
      </c>
      <c r="AZ47" s="128">
        <f>IFERROR(INDEX(W$5:W$304,MATCH(节奏预期!Q47,$S$5:$S$304,0))*节奏预期!G47,0)</f>
        <v>0</v>
      </c>
      <c r="BA47" s="128">
        <f>IFERROR(INDEX(X$5:X$304,MATCH(节奏预期!R47,$S$5:$S$304,0))*节奏预期!H47,0)</f>
        <v>320406300</v>
      </c>
      <c r="BB47" s="136">
        <f t="shared" si="26"/>
        <v>320406300</v>
      </c>
      <c r="BC47" s="126" t="str">
        <f>IF(节奏预期!N47="","",节奏预期!N47*装备强化!D$8+装备强化!D$5)</f>
        <v/>
      </c>
      <c r="BD47" s="126" t="str">
        <f>IF(节奏预期!O47="","",节奏预期!O47*装备强化!E$8+装备强化!E$5)</f>
        <v/>
      </c>
      <c r="BE47" s="126" t="str">
        <f>IF(节奏预期!P47="","",节奏预期!P47*装备强化!F$8+装备强化!F$5)</f>
        <v/>
      </c>
      <c r="BF47" s="126" t="str">
        <f>IF(节奏预期!Q47="","",节奏预期!Q47*装备强化!G$8+装备强化!G$5)</f>
        <v/>
      </c>
      <c r="BG47" s="126">
        <f>IF(节奏预期!R47="","",节奏预期!R47*装备强化!H$8+装备强化!H$5)</f>
        <v>9560</v>
      </c>
      <c r="BH47" s="14">
        <f>SUMPRODUCT(BC47:BG47,节奏预期!$D47:$H47)/SUM(节奏预期!$D47:$H47)</f>
        <v>9560</v>
      </c>
      <c r="BI47" s="13" t="str">
        <f>IF(节奏预期!N47="","",节奏预期!N47*装备强化!D$9+装备强化!D$6)</f>
        <v/>
      </c>
      <c r="BJ47" s="126" t="str">
        <f>IF(节奏预期!O47="","",节奏预期!O47*装备强化!E$9+装备强化!E$6)</f>
        <v/>
      </c>
      <c r="BK47" s="126" t="str">
        <f>IF(节奏预期!P47="","",节奏预期!P47*装备强化!F$9+装备强化!F$6)</f>
        <v/>
      </c>
      <c r="BL47" s="126" t="str">
        <f>IF(节奏预期!Q47="","",节奏预期!Q47*装备强化!G$9+装备强化!G$6)</f>
        <v/>
      </c>
      <c r="BM47" s="126">
        <f>IF(节奏预期!R47="","",节奏预期!R47*装备强化!H$9+装备强化!H$6)</f>
        <v>9560</v>
      </c>
      <c r="BN47" s="14">
        <f>SUMPRODUCT(BI47:BM47,节奏预期!$D47:$H47)/SUM(节奏预期!$D47:$H47)</f>
        <v>9560</v>
      </c>
      <c r="BO47" s="128">
        <f>IF(节奏预期!D47="","",IF(节奏预期!I47="",0,装备强化!D$4*节奏预期!I47))</f>
        <v>3.6</v>
      </c>
      <c r="BP47" s="128">
        <f>IF(节奏预期!E47="","",IF(节奏预期!J47="",0,装备强化!E$4*节奏预期!J47))</f>
        <v>8</v>
      </c>
      <c r="BQ47" s="128">
        <f>IF(节奏预期!F47="","",IF(节奏预期!K47="",0,装备强化!F$4*节奏预期!K47))</f>
        <v>18</v>
      </c>
      <c r="BR47" s="128">
        <f>IF(节奏预期!G47="","",IF(节奏预期!L47="",0,装备强化!G$4*节奏预期!L47))</f>
        <v>34</v>
      </c>
      <c r="BS47" s="128">
        <f>IF(节奏预期!H47="","",IF(节奏预期!M47="",0,装备强化!H$4*节奏预期!M47))</f>
        <v>66</v>
      </c>
      <c r="BT47" s="80">
        <f>SUMPRODUCT(BO47:BS47,节奏预期!D47:H47)/SUM(节奏预期!D47:H47)</f>
        <v>66</v>
      </c>
      <c r="BW47" s="25">
        <v>44</v>
      </c>
    </row>
    <row r="48" spans="10:75" x14ac:dyDescent="0.15">
      <c r="J48" s="46">
        <f>INDEX('[1]资源-装备经验'!Y$6:Y$165,(K48+1)/2,1)</f>
        <v>0</v>
      </c>
      <c r="K48" s="53">
        <v>44</v>
      </c>
      <c r="L48" s="121">
        <v>5</v>
      </c>
      <c r="M48" s="122">
        <f t="shared" si="4"/>
        <v>5</v>
      </c>
      <c r="N48" s="120">
        <f t="shared" si="27"/>
        <v>10</v>
      </c>
      <c r="O48" s="120">
        <f t="shared" si="27"/>
        <v>20</v>
      </c>
      <c r="P48" s="120">
        <f t="shared" si="27"/>
        <v>50</v>
      </c>
      <c r="Q48" s="120">
        <f t="shared" si="27"/>
        <v>150</v>
      </c>
      <c r="S48" s="53">
        <v>44</v>
      </c>
      <c r="T48" s="53">
        <f>SUM(M$5:M48)</f>
        <v>220</v>
      </c>
      <c r="U48" s="53">
        <f>SUM(N$5:N48)</f>
        <v>440</v>
      </c>
      <c r="V48" s="53">
        <f>SUM(O$5:O48)</f>
        <v>880</v>
      </c>
      <c r="W48" s="53">
        <f>SUM(P$5:P48)</f>
        <v>2200</v>
      </c>
      <c r="X48" s="53">
        <f>SUM(Q$5:Q48)</f>
        <v>6600</v>
      </c>
      <c r="Z48" s="47">
        <v>44</v>
      </c>
      <c r="AA48" s="47">
        <f t="shared" si="6"/>
        <v>200</v>
      </c>
      <c r="AB48" s="47">
        <f t="shared" si="7"/>
        <v>400</v>
      </c>
      <c r="AC48" s="47">
        <f t="shared" si="8"/>
        <v>800</v>
      </c>
      <c r="AD48" s="47">
        <f t="shared" si="9"/>
        <v>2000</v>
      </c>
      <c r="AE48" s="47">
        <f t="shared" si="10"/>
        <v>6000</v>
      </c>
      <c r="AG48" s="47">
        <v>44</v>
      </c>
      <c r="AH48" s="53">
        <f>SUM(AA$5:AA48)</f>
        <v>8800</v>
      </c>
      <c r="AI48" s="53">
        <f>SUM(AB$5:AB48)</f>
        <v>17600</v>
      </c>
      <c r="AJ48" s="53">
        <f>SUM(AC$5:AC48)</f>
        <v>35200</v>
      </c>
      <c r="AK48" s="53">
        <f>SUM(AD$5:AD48)</f>
        <v>88000</v>
      </c>
      <c r="AL48" s="53">
        <f>SUM(AE$5:AE48)</f>
        <v>264000</v>
      </c>
      <c r="AO48" s="46">
        <v>17</v>
      </c>
      <c r="AP48" s="129">
        <f>节奏预期!B48</f>
        <v>140</v>
      </c>
      <c r="AQ48" s="128">
        <f>IFERROR(INDEX(AH$5:AH$304,MATCH(节奏预期!N48,$AG$5:$AG$304,0))*节奏预期!D48,0)</f>
        <v>0</v>
      </c>
      <c r="AR48" s="128">
        <f>IFERROR(INDEX(AI$5:AI$304,MATCH(节奏预期!O48,$AG$5:$AG$304,0))*节奏预期!E48,0)</f>
        <v>0</v>
      </c>
      <c r="AS48" s="128">
        <f>IFERROR(INDEX(AJ$5:AJ$304,MATCH(节奏预期!P48,$AG$5:$AG$304,0))*节奏预期!F48,0)</f>
        <v>0</v>
      </c>
      <c r="AT48" s="128">
        <f>IFERROR(INDEX(AK$5:AK$304,MATCH(节奏预期!Q48,$AG$5:$AG$304,0))*节奏预期!G48,0)</f>
        <v>0</v>
      </c>
      <c r="AU48" s="128">
        <f>IFERROR(INDEX(AL$5:AL$304,MATCH(节奏预期!R48,$AG$5:$AG$304,0))*节奏预期!H48,0)</f>
        <v>31176252000</v>
      </c>
      <c r="AV48" s="136">
        <f t="shared" si="25"/>
        <v>31176252000</v>
      </c>
      <c r="AW48" s="128">
        <f>IFERROR(INDEX(T$5:T$304,MATCH(节奏预期!N48,$S$5:$S$304,0))*节奏预期!D48,0)</f>
        <v>0</v>
      </c>
      <c r="AX48" s="128">
        <f>IFERROR(INDEX(U$5:U$304,MATCH(节奏预期!O48,$S$5:$S$304,0))*节奏预期!E48,0)</f>
        <v>0</v>
      </c>
      <c r="AY48" s="128">
        <f>IFERROR(INDEX(V$5:V$304,MATCH(节奏预期!P48,$S$5:$S$304,0))*节奏预期!F48,0)</f>
        <v>0</v>
      </c>
      <c r="AZ48" s="128">
        <f>IFERROR(INDEX(W$5:W$304,MATCH(节奏预期!Q48,$S$5:$S$304,0))*节奏预期!G48,0)</f>
        <v>0</v>
      </c>
      <c r="BA48" s="128">
        <f>IFERROR(INDEX(X$5:X$304,MATCH(节奏预期!R48,$S$5:$S$304,0))*节奏预期!H48,0)</f>
        <v>779406300</v>
      </c>
      <c r="BB48" s="136">
        <f t="shared" si="26"/>
        <v>779406300</v>
      </c>
      <c r="BC48" s="126" t="str">
        <f>IF(节奏预期!N48="","",节奏预期!N48*装备强化!D$8+装备强化!D$5)</f>
        <v/>
      </c>
      <c r="BD48" s="126" t="str">
        <f>IF(节奏预期!O48="","",节奏预期!O48*装备强化!E$8+装备强化!E$5)</f>
        <v/>
      </c>
      <c r="BE48" s="126" t="str">
        <f>IF(节奏预期!P48="","",节奏预期!P48*装备强化!F$8+装备强化!F$5)</f>
        <v/>
      </c>
      <c r="BF48" s="126" t="str">
        <f>IF(节奏预期!Q48="","",节奏预期!Q48*装备强化!G$8+装备强化!G$5)</f>
        <v/>
      </c>
      <c r="BG48" s="126">
        <f>IF(节奏预期!R48="","",节奏预期!R48*装备强化!H$8+装备强化!H$5)</f>
        <v>10220</v>
      </c>
      <c r="BH48" s="14">
        <f>SUMPRODUCT(BC48:BG48,节奏预期!$D48:$H48)/SUM(节奏预期!$D48:$H48)</f>
        <v>10220</v>
      </c>
      <c r="BI48" s="13" t="str">
        <f>IF(节奏预期!N48="","",节奏预期!N48*装备强化!D$9+装备强化!D$6)</f>
        <v/>
      </c>
      <c r="BJ48" s="126" t="str">
        <f>IF(节奏预期!O48="","",节奏预期!O48*装备强化!E$9+装备强化!E$6)</f>
        <v/>
      </c>
      <c r="BK48" s="126" t="str">
        <f>IF(节奏预期!P48="","",节奏预期!P48*装备强化!F$9+装备强化!F$6)</f>
        <v/>
      </c>
      <c r="BL48" s="126" t="str">
        <f>IF(节奏预期!Q48="","",节奏预期!Q48*装备强化!G$9+装备强化!G$6)</f>
        <v/>
      </c>
      <c r="BM48" s="126">
        <f>IF(节奏预期!R48="","",节奏预期!R48*装备强化!H$9+装备强化!H$6)</f>
        <v>10220</v>
      </c>
      <c r="BN48" s="14">
        <f>SUMPRODUCT(BI48:BM48,节奏预期!$D48:$H48)/SUM(节奏预期!$D48:$H48)</f>
        <v>10220</v>
      </c>
      <c r="BO48" s="128">
        <f>IF(节奏预期!D48="","",IF(节奏预期!I48="",0,装备强化!D$4*节奏预期!I48))</f>
        <v>3.6</v>
      </c>
      <c r="BP48" s="128">
        <f>IF(节奏预期!E48="","",IF(节奏预期!J48="",0,装备强化!E$4*节奏预期!J48))</f>
        <v>8</v>
      </c>
      <c r="BQ48" s="128">
        <f>IF(节奏预期!F48="","",IF(节奏预期!K48="",0,装备强化!F$4*节奏预期!K48))</f>
        <v>18</v>
      </c>
      <c r="BR48" s="128">
        <f>IF(节奏预期!G48="","",IF(节奏预期!L48="",0,装备强化!G$4*节奏预期!L48))</f>
        <v>34</v>
      </c>
      <c r="BS48" s="128">
        <f>IF(节奏预期!H48="","",IF(节奏预期!M48="",0,装备强化!H$4*节奏预期!M48))</f>
        <v>66</v>
      </c>
      <c r="BT48" s="80">
        <f>SUMPRODUCT(BO48:BS48,节奏预期!D48:H48)/SUM(节奏预期!D48:H48)</f>
        <v>66</v>
      </c>
      <c r="BW48" s="25">
        <v>45</v>
      </c>
    </row>
    <row r="49" spans="10:96" x14ac:dyDescent="0.15">
      <c r="J49" s="46">
        <f>INDEX('[1]资源-装备经验'!Y$6:Y$165,(K49+1)/2,1)</f>
        <v>0</v>
      </c>
      <c r="K49" s="53">
        <v>45</v>
      </c>
      <c r="L49" s="121">
        <v>5</v>
      </c>
      <c r="M49" s="122">
        <f t="shared" si="4"/>
        <v>5</v>
      </c>
      <c r="N49" s="120">
        <f t="shared" si="27"/>
        <v>10</v>
      </c>
      <c r="O49" s="120">
        <f t="shared" si="27"/>
        <v>20</v>
      </c>
      <c r="P49" s="120">
        <f t="shared" si="27"/>
        <v>50</v>
      </c>
      <c r="Q49" s="120">
        <f t="shared" si="27"/>
        <v>150</v>
      </c>
      <c r="S49" s="53">
        <v>45</v>
      </c>
      <c r="T49" s="53">
        <f>SUM(M$5:M49)</f>
        <v>225</v>
      </c>
      <c r="U49" s="53">
        <f>SUM(N$5:N49)</f>
        <v>450</v>
      </c>
      <c r="V49" s="53">
        <f>SUM(O$5:O49)</f>
        <v>900</v>
      </c>
      <c r="W49" s="53">
        <f>SUM(P$5:P49)</f>
        <v>2250</v>
      </c>
      <c r="X49" s="53">
        <f>SUM(Q$5:Q49)</f>
        <v>6750</v>
      </c>
      <c r="Z49" s="47">
        <v>45</v>
      </c>
      <c r="AA49" s="47">
        <f t="shared" si="6"/>
        <v>200</v>
      </c>
      <c r="AB49" s="47">
        <f t="shared" si="7"/>
        <v>400</v>
      </c>
      <c r="AC49" s="47">
        <f t="shared" si="8"/>
        <v>800</v>
      </c>
      <c r="AD49" s="47">
        <f t="shared" si="9"/>
        <v>2000</v>
      </c>
      <c r="AE49" s="47">
        <f t="shared" si="10"/>
        <v>6000</v>
      </c>
      <c r="AG49" s="47">
        <v>45</v>
      </c>
      <c r="AH49" s="53">
        <f>SUM(AA$5:AA49)</f>
        <v>9000</v>
      </c>
      <c r="AI49" s="53">
        <f>SUM(AB$5:AB49)</f>
        <v>18000</v>
      </c>
      <c r="AJ49" s="53">
        <f>SUM(AC$5:AC49)</f>
        <v>36000</v>
      </c>
      <c r="AK49" s="53">
        <f>SUM(AD$5:AD49)</f>
        <v>90000</v>
      </c>
      <c r="AL49" s="53">
        <f>SUM(AE$5:AE49)</f>
        <v>270000</v>
      </c>
      <c r="AO49" s="46">
        <v>18</v>
      </c>
      <c r="AP49" s="129">
        <f>节奏预期!B49</f>
        <v>150</v>
      </c>
      <c r="AQ49" s="128">
        <f>IFERROR(INDEX(AH$5:AH$304,MATCH(节奏预期!N49,$AG$5:$AG$304,0))*节奏预期!D49,0)</f>
        <v>0</v>
      </c>
      <c r="AR49" s="128">
        <f>IFERROR(INDEX(AI$5:AI$304,MATCH(节奏预期!O49,$AG$5:$AG$304,0))*节奏预期!E49,0)</f>
        <v>0</v>
      </c>
      <c r="AS49" s="128">
        <f>IFERROR(INDEX(AJ$5:AJ$304,MATCH(节奏预期!P49,$AG$5:$AG$304,0))*节奏预期!F49,0)</f>
        <v>0</v>
      </c>
      <c r="AT49" s="128">
        <f>IFERROR(INDEX(AK$5:AK$304,MATCH(节奏预期!Q49,$AG$5:$AG$304,0))*节奏预期!G49,0)</f>
        <v>0</v>
      </c>
      <c r="AU49" s="128">
        <f>IFERROR(INDEX(AL$5:AL$304,MATCH(节奏预期!R49,$AG$5:$AG$304,0))*节奏预期!H49,0)</f>
        <v>75240252000</v>
      </c>
      <c r="AV49" s="136">
        <f t="shared" si="25"/>
        <v>75240252000</v>
      </c>
      <c r="AW49" s="128">
        <f>IFERROR(INDEX(T$5:T$304,MATCH(节奏预期!N49,$S$5:$S$304,0))*节奏预期!D49,0)</f>
        <v>0</v>
      </c>
      <c r="AX49" s="128">
        <f>IFERROR(INDEX(U$5:U$304,MATCH(节奏预期!O49,$S$5:$S$304,0))*节奏预期!E49,0)</f>
        <v>0</v>
      </c>
      <c r="AY49" s="128">
        <f>IFERROR(INDEX(V$5:V$304,MATCH(节奏预期!P49,$S$5:$S$304,0))*节奏预期!F49,0)</f>
        <v>0</v>
      </c>
      <c r="AZ49" s="128">
        <f>IFERROR(INDEX(W$5:W$304,MATCH(节奏预期!Q49,$S$5:$S$304,0))*节奏预期!G49,0)</f>
        <v>0</v>
      </c>
      <c r="BA49" s="128">
        <f>IFERROR(INDEX(X$5:X$304,MATCH(节奏预期!R49,$S$5:$S$304,0))*节奏预期!H49,0)</f>
        <v>1881006300</v>
      </c>
      <c r="BB49" s="136">
        <f t="shared" si="26"/>
        <v>1881006300</v>
      </c>
      <c r="BC49" s="126" t="str">
        <f>IF(节奏预期!N49="","",节奏预期!N49*装备强化!D$8+装备强化!D$5)</f>
        <v/>
      </c>
      <c r="BD49" s="126" t="str">
        <f>IF(节奏预期!O49="","",节奏预期!O49*装备强化!E$8+装备强化!E$5)</f>
        <v/>
      </c>
      <c r="BE49" s="126" t="str">
        <f>IF(节奏预期!P49="","",节奏预期!P49*装备强化!F$8+装备强化!F$5)</f>
        <v/>
      </c>
      <c r="BF49" s="126" t="str">
        <f>IF(节奏预期!Q49="","",节奏预期!Q49*装备强化!G$8+装备强化!G$5)</f>
        <v/>
      </c>
      <c r="BG49" s="126">
        <f>IF(节奏预期!R49="","",节奏预期!R49*装备强化!H$8+装备强化!H$5)</f>
        <v>10880</v>
      </c>
      <c r="BH49" s="14">
        <f>SUMPRODUCT(BC49:BG49,节奏预期!$D49:$H49)/SUM(节奏预期!$D49:$H49)</f>
        <v>10880</v>
      </c>
      <c r="BI49" s="13" t="str">
        <f>IF(节奏预期!N49="","",节奏预期!N49*装备强化!D$9+装备强化!D$6)</f>
        <v/>
      </c>
      <c r="BJ49" s="126" t="str">
        <f>IF(节奏预期!O49="","",节奏预期!O49*装备强化!E$9+装备强化!E$6)</f>
        <v/>
      </c>
      <c r="BK49" s="126" t="str">
        <f>IF(节奏预期!P49="","",节奏预期!P49*装备强化!F$9+装备强化!F$6)</f>
        <v/>
      </c>
      <c r="BL49" s="126" t="str">
        <f>IF(节奏预期!Q49="","",节奏预期!Q49*装备强化!G$9+装备强化!G$6)</f>
        <v/>
      </c>
      <c r="BM49" s="126">
        <f>IF(节奏预期!R49="","",节奏预期!R49*装备强化!H$9+装备强化!H$6)</f>
        <v>10880</v>
      </c>
      <c r="BN49" s="14">
        <f>SUMPRODUCT(BI49:BM49,节奏预期!$D49:$H49)/SUM(节奏预期!$D49:$H49)</f>
        <v>10880</v>
      </c>
      <c r="BO49" s="128">
        <f>IF(节奏预期!D49="","",IF(节奏预期!I49="",0,装备强化!D$4*节奏预期!I49))</f>
        <v>3.6</v>
      </c>
      <c r="BP49" s="128">
        <f>IF(节奏预期!E49="","",IF(节奏预期!J49="",0,装备强化!E$4*节奏预期!J49))</f>
        <v>8</v>
      </c>
      <c r="BQ49" s="128">
        <f>IF(节奏预期!F49="","",IF(节奏预期!K49="",0,装备强化!F$4*节奏预期!K49))</f>
        <v>18</v>
      </c>
      <c r="BR49" s="128">
        <f>IF(节奏预期!G49="","",IF(节奏预期!L49="",0,装备强化!G$4*节奏预期!L49))</f>
        <v>34</v>
      </c>
      <c r="BS49" s="128">
        <f>IF(节奏预期!H49="","",IF(节奏预期!M49="",0,装备强化!H$4*节奏预期!M49))</f>
        <v>66</v>
      </c>
      <c r="BT49" s="80">
        <f>SUMPRODUCT(BO49:BS49,节奏预期!D49:H49)/SUM(节奏预期!D49:H49)</f>
        <v>66</v>
      </c>
      <c r="BW49" s="25">
        <v>1</v>
      </c>
      <c r="BX49" s="54" t="s">
        <v>237</v>
      </c>
      <c r="BY49" s="195" t="s">
        <v>231</v>
      </c>
      <c r="BZ49" s="195"/>
      <c r="CA49" s="195"/>
      <c r="CB49" s="195" t="s">
        <v>232</v>
      </c>
      <c r="CC49" s="195"/>
      <c r="CD49" s="195"/>
      <c r="CE49" s="195"/>
      <c r="CI49" s="73" t="s">
        <v>354</v>
      </c>
      <c r="CJ49" s="183" t="s">
        <v>349</v>
      </c>
      <c r="CK49" s="183"/>
      <c r="CL49" s="183"/>
      <c r="CM49" s="183"/>
      <c r="CO49" s="70" t="s">
        <v>355</v>
      </c>
      <c r="CP49" s="184" t="s">
        <v>351</v>
      </c>
      <c r="CQ49" s="185"/>
    </row>
    <row r="50" spans="10:96" x14ac:dyDescent="0.15">
      <c r="J50" s="46">
        <f>INDEX('[1]资源-装备经验'!Y$6:Y$165,(K50+1)/2,1)</f>
        <v>0</v>
      </c>
      <c r="K50" s="53">
        <v>46</v>
      </c>
      <c r="L50" s="121">
        <v>5</v>
      </c>
      <c r="M50" s="122">
        <f t="shared" si="4"/>
        <v>5</v>
      </c>
      <c r="N50" s="120">
        <f t="shared" si="27"/>
        <v>10</v>
      </c>
      <c r="O50" s="120">
        <f t="shared" si="27"/>
        <v>20</v>
      </c>
      <c r="P50" s="120">
        <f t="shared" si="27"/>
        <v>50</v>
      </c>
      <c r="Q50" s="120">
        <f t="shared" si="27"/>
        <v>150</v>
      </c>
      <c r="S50" s="53">
        <v>46</v>
      </c>
      <c r="T50" s="53">
        <f>SUM(M$5:M50)</f>
        <v>230</v>
      </c>
      <c r="U50" s="53">
        <f>SUM(N$5:N50)</f>
        <v>460</v>
      </c>
      <c r="V50" s="53">
        <f>SUM(O$5:O50)</f>
        <v>920</v>
      </c>
      <c r="W50" s="53">
        <f>SUM(P$5:P50)</f>
        <v>2300</v>
      </c>
      <c r="X50" s="53">
        <f>SUM(Q$5:Q50)</f>
        <v>6900</v>
      </c>
      <c r="Z50" s="47">
        <v>46</v>
      </c>
      <c r="AA50" s="47">
        <f t="shared" si="6"/>
        <v>200</v>
      </c>
      <c r="AB50" s="47">
        <f t="shared" si="7"/>
        <v>400</v>
      </c>
      <c r="AC50" s="47">
        <f t="shared" si="8"/>
        <v>800</v>
      </c>
      <c r="AD50" s="47">
        <f t="shared" si="9"/>
        <v>2000</v>
      </c>
      <c r="AE50" s="47">
        <f t="shared" si="10"/>
        <v>6000</v>
      </c>
      <c r="AG50" s="47">
        <v>46</v>
      </c>
      <c r="AH50" s="53">
        <f>SUM(AA$5:AA50)</f>
        <v>9200</v>
      </c>
      <c r="AI50" s="53">
        <f>SUM(AB$5:AB50)</f>
        <v>18400</v>
      </c>
      <c r="AJ50" s="53">
        <f>SUM(AC$5:AC50)</f>
        <v>36800</v>
      </c>
      <c r="AK50" s="53">
        <f>SUM(AD$5:AD50)</f>
        <v>92000</v>
      </c>
      <c r="AL50" s="53">
        <f>SUM(AE$5:AE50)</f>
        <v>276000</v>
      </c>
      <c r="AO50" s="46">
        <v>19</v>
      </c>
      <c r="AP50" s="129">
        <f>节奏预期!B50</f>
        <v>160</v>
      </c>
      <c r="AQ50" s="128">
        <f>IFERROR(INDEX(AH$5:AH$304,MATCH(节奏预期!N50,$AG$5:$AG$304,0))*节奏预期!D50,0)</f>
        <v>0</v>
      </c>
      <c r="AR50" s="128">
        <f>IFERROR(INDEX(AI$5:AI$304,MATCH(节奏预期!O50,$AG$5:$AG$304,0))*节奏预期!E50,0)</f>
        <v>0</v>
      </c>
      <c r="AS50" s="128">
        <f>IFERROR(INDEX(AJ$5:AJ$304,MATCH(节奏预期!P50,$AG$5:$AG$304,0))*节奏预期!F50,0)</f>
        <v>0</v>
      </c>
      <c r="AT50" s="128">
        <f>IFERROR(INDEX(AK$5:AK$304,MATCH(节奏预期!Q50,$AG$5:$AG$304,0))*节奏预期!G50,0)</f>
        <v>0</v>
      </c>
      <c r="AU50" s="128">
        <f>IFERROR(INDEX(AL$5:AL$304,MATCH(节奏预期!R50,$AG$5:$AG$304,0))*节奏预期!H50,0)</f>
        <v>0</v>
      </c>
      <c r="AV50" s="136">
        <f t="shared" si="25"/>
        <v>75240252000</v>
      </c>
      <c r="AW50" s="128">
        <f>IFERROR(INDEX(T$5:T$304,MATCH(节奏预期!N50,$S$5:$S$304,0))*节奏预期!D50,0)</f>
        <v>0</v>
      </c>
      <c r="AX50" s="128">
        <f>IFERROR(INDEX(U$5:U$304,MATCH(节奏预期!O50,$S$5:$S$304,0))*节奏预期!E50,0)</f>
        <v>0</v>
      </c>
      <c r="AY50" s="128">
        <f>IFERROR(INDEX(V$5:V$304,MATCH(节奏预期!P50,$S$5:$S$304,0))*节奏预期!F50,0)</f>
        <v>0</v>
      </c>
      <c r="AZ50" s="128">
        <f>IFERROR(INDEX(W$5:W$304,MATCH(节奏预期!Q50,$S$5:$S$304,0))*节奏预期!G50,0)</f>
        <v>0</v>
      </c>
      <c r="BA50" s="128">
        <f>IFERROR(INDEX(X$5:X$304,MATCH(节奏预期!R50,$S$5:$S$304,0))*节奏预期!H50,0)</f>
        <v>0</v>
      </c>
      <c r="BB50" s="136">
        <f t="shared" si="26"/>
        <v>1881006300</v>
      </c>
      <c r="BC50" s="126" t="str">
        <f>IF(节奏预期!N50="","",节奏预期!N50*装备强化!D$8+装备强化!D$5)</f>
        <v/>
      </c>
      <c r="BD50" s="126" t="str">
        <f>IF(节奏预期!O50="","",节奏预期!O50*装备强化!E$8+装备强化!E$5)</f>
        <v/>
      </c>
      <c r="BE50" s="126" t="str">
        <f>IF(节奏预期!P50="","",节奏预期!P50*装备强化!F$8+装备强化!F$5)</f>
        <v/>
      </c>
      <c r="BF50" s="126" t="str">
        <f>IF(节奏预期!Q50="","",节奏预期!Q50*装备强化!G$8+装备强化!G$5)</f>
        <v/>
      </c>
      <c r="BG50" s="126">
        <f>IF(节奏预期!R50="","",节奏预期!R50*装备强化!H$8+装备强化!H$5)</f>
        <v>11540</v>
      </c>
      <c r="BH50" s="14">
        <f>SUMPRODUCT(BC50:BG50,节奏预期!$D50:$H50)/SUM(节奏预期!$D50:$H50)</f>
        <v>11540</v>
      </c>
      <c r="BI50" s="13" t="str">
        <f>IF(节奏预期!N50="","",节奏预期!N50*装备强化!D$9+装备强化!D$6)</f>
        <v/>
      </c>
      <c r="BJ50" s="126" t="str">
        <f>IF(节奏预期!O50="","",节奏预期!O50*装备强化!E$9+装备强化!E$6)</f>
        <v/>
      </c>
      <c r="BK50" s="126" t="str">
        <f>IF(节奏预期!P50="","",节奏预期!P50*装备强化!F$9+装备强化!F$6)</f>
        <v/>
      </c>
      <c r="BL50" s="126" t="str">
        <f>IF(节奏预期!Q50="","",节奏预期!Q50*装备强化!G$9+装备强化!G$6)</f>
        <v/>
      </c>
      <c r="BM50" s="126">
        <f>IF(节奏预期!R50="","",节奏预期!R50*装备强化!H$9+装备强化!H$6)</f>
        <v>11540</v>
      </c>
      <c r="BN50" s="14">
        <f>SUMPRODUCT(BI50:BM50,节奏预期!$D50:$H50)/SUM(节奏预期!$D50:$H50)</f>
        <v>11540</v>
      </c>
      <c r="BO50" s="128">
        <f>IF(节奏预期!D50="","",IF(节奏预期!I50="",0,装备强化!D$4*节奏预期!I50))</f>
        <v>3.6</v>
      </c>
      <c r="BP50" s="128">
        <f>IF(节奏预期!E50="","",IF(节奏预期!J50="",0,装备强化!E$4*节奏预期!J50))</f>
        <v>8</v>
      </c>
      <c r="BQ50" s="128">
        <f>IF(节奏预期!F50="","",IF(节奏预期!K50="",0,装备强化!F$4*节奏预期!K50))</f>
        <v>18</v>
      </c>
      <c r="BR50" s="128">
        <f>IF(节奏预期!G50="","",IF(节奏预期!L50="",0,装备强化!G$4*节奏预期!L50))</f>
        <v>34</v>
      </c>
      <c r="BS50" s="128">
        <f>IF(节奏预期!H50="","",IF(节奏预期!M50="",0,装备强化!H$4*节奏预期!M50))</f>
        <v>66</v>
      </c>
      <c r="BT50" s="80">
        <f>SUMPRODUCT(BO50:BS50,节奏预期!D50:H50)/SUM(节奏预期!D50:H50)</f>
        <v>66</v>
      </c>
      <c r="BW50" s="25">
        <v>2</v>
      </c>
      <c r="BX50" s="51" t="s">
        <v>398</v>
      </c>
      <c r="BY50" s="47" t="s">
        <v>233</v>
      </c>
      <c r="BZ50" s="47" t="s">
        <v>234</v>
      </c>
      <c r="CA50" s="47" t="s">
        <v>235</v>
      </c>
      <c r="CB50" s="47" t="s">
        <v>233</v>
      </c>
      <c r="CC50" s="47" t="s">
        <v>234</v>
      </c>
      <c r="CD50" s="47" t="s">
        <v>235</v>
      </c>
      <c r="CE50" s="51" t="s">
        <v>236</v>
      </c>
      <c r="CI50" s="51" t="s">
        <v>398</v>
      </c>
      <c r="CJ50" s="71" t="s">
        <v>362</v>
      </c>
      <c r="CK50" s="71" t="s">
        <v>364</v>
      </c>
      <c r="CL50" s="71" t="s">
        <v>363</v>
      </c>
      <c r="CM50" s="71" t="s">
        <v>352</v>
      </c>
      <c r="CO50" s="51" t="s">
        <v>398</v>
      </c>
      <c r="CP50" s="51" t="s">
        <v>365</v>
      </c>
      <c r="CQ50" s="71" t="s">
        <v>353</v>
      </c>
      <c r="CR50" s="71" t="s">
        <v>370</v>
      </c>
    </row>
    <row r="51" spans="10:96" x14ac:dyDescent="0.15">
      <c r="J51" s="46">
        <f>INDEX('[1]资源-装备经验'!Y$6:Y$165,(K51+1)/2,1)</f>
        <v>0</v>
      </c>
      <c r="K51" s="53">
        <v>47</v>
      </c>
      <c r="L51" s="121">
        <v>5</v>
      </c>
      <c r="M51" s="122">
        <f t="shared" si="4"/>
        <v>5</v>
      </c>
      <c r="N51" s="120">
        <f t="shared" si="27"/>
        <v>10</v>
      </c>
      <c r="O51" s="120">
        <f t="shared" si="27"/>
        <v>20</v>
      </c>
      <c r="P51" s="120">
        <f t="shared" si="27"/>
        <v>50</v>
      </c>
      <c r="Q51" s="120">
        <f t="shared" si="27"/>
        <v>150</v>
      </c>
      <c r="S51" s="53">
        <v>47</v>
      </c>
      <c r="T51" s="53">
        <f>SUM(M$5:M51)</f>
        <v>235</v>
      </c>
      <c r="U51" s="53">
        <f>SUM(N$5:N51)</f>
        <v>470</v>
      </c>
      <c r="V51" s="53">
        <f>SUM(O$5:O51)</f>
        <v>940</v>
      </c>
      <c r="W51" s="53">
        <f>SUM(P$5:P51)</f>
        <v>2350</v>
      </c>
      <c r="X51" s="53">
        <f>SUM(Q$5:Q51)</f>
        <v>7050</v>
      </c>
      <c r="Z51" s="47">
        <v>47</v>
      </c>
      <c r="AA51" s="47">
        <f t="shared" si="6"/>
        <v>200</v>
      </c>
      <c r="AB51" s="47">
        <f t="shared" si="7"/>
        <v>400</v>
      </c>
      <c r="AC51" s="47">
        <f t="shared" si="8"/>
        <v>800</v>
      </c>
      <c r="AD51" s="47">
        <f t="shared" si="9"/>
        <v>2000</v>
      </c>
      <c r="AE51" s="47">
        <f t="shared" si="10"/>
        <v>6000</v>
      </c>
      <c r="AG51" s="47">
        <v>47</v>
      </c>
      <c r="AH51" s="53">
        <f>SUM(AA$5:AA51)</f>
        <v>9400</v>
      </c>
      <c r="AI51" s="53">
        <f>SUM(AB$5:AB51)</f>
        <v>18800</v>
      </c>
      <c r="AJ51" s="53">
        <f>SUM(AC$5:AC51)</f>
        <v>37600</v>
      </c>
      <c r="AK51" s="53">
        <f>SUM(AD$5:AD51)</f>
        <v>94000</v>
      </c>
      <c r="AL51" s="53">
        <f>SUM(AE$5:AE51)</f>
        <v>282000</v>
      </c>
      <c r="AO51" s="46">
        <v>20</v>
      </c>
      <c r="BW51" s="25">
        <v>3</v>
      </c>
      <c r="BX51" s="47">
        <v>10</v>
      </c>
      <c r="BY51" s="52">
        <f t="shared" ref="BY51" si="28">BT35</f>
        <v>4.2666666666666666</v>
      </c>
      <c r="BZ51" s="52">
        <f t="shared" ref="BZ51" si="29">BH35</f>
        <v>140</v>
      </c>
      <c r="CA51" s="52">
        <f t="shared" ref="CA51" si="30">BN35</f>
        <v>140</v>
      </c>
      <c r="CB51" s="77">
        <f>BY51*(INDEX([2]小r将兵属性验证!V$7:V$166,$BX51,1)+INDEX([2]小r将兵属性验证!$AP$7:$AP$166,$BX51,1))</f>
        <v>1372632.5504986029</v>
      </c>
      <c r="CC51" s="77">
        <f>BZ51*INDEX([2]小r将兵属性验证!W$7:W$166,$BX51,1)</f>
        <v>1163186.6408522169</v>
      </c>
      <c r="CD51" s="77">
        <f>CA51*INDEX([2]小r将兵属性验证!X$7:X$166,$BX51,1)</f>
        <v>1163186.6408522169</v>
      </c>
      <c r="CE51" s="52">
        <f>SUM(CB51:CD51)</f>
        <v>3699005.8322030362</v>
      </c>
      <c r="CI51" s="71">
        <v>10</v>
      </c>
      <c r="CJ51" s="75">
        <f t="shared" ref="CJ51:CJ66" si="31">$BB35</f>
        <v>1200</v>
      </c>
      <c r="CK51" s="76">
        <f>CJ51*INDEX('[1]功能-付费相关'!$BJ$6:$BJ$165,$CI51,1)</f>
        <v>480.18751016944702</v>
      </c>
      <c r="CL51" s="75">
        <f t="shared" ref="CL51:CL66" si="32">$AV35</f>
        <v>48000</v>
      </c>
      <c r="CM51" s="76">
        <f>CL51*INDEX('[1]功能-付费相关'!$AR$6:$AR$165,$CI51,1)</f>
        <v>120</v>
      </c>
      <c r="CO51" s="71">
        <v>10</v>
      </c>
      <c r="CP51" s="71">
        <f>CK51</f>
        <v>480.18751016944702</v>
      </c>
      <c r="CQ51" s="71">
        <f t="shared" ref="CQ51" si="33">CM51</f>
        <v>120</v>
      </c>
      <c r="CR51" s="84">
        <f>SUM(CP51:CQ51)</f>
        <v>600.18751016944702</v>
      </c>
    </row>
    <row r="52" spans="10:96" x14ac:dyDescent="0.15">
      <c r="J52" s="46">
        <f>INDEX('[1]资源-装备经验'!Y$6:Y$165,(K52+1)/2,1)</f>
        <v>0</v>
      </c>
      <c r="K52" s="53">
        <v>48</v>
      </c>
      <c r="L52" s="121">
        <v>5</v>
      </c>
      <c r="M52" s="122">
        <f t="shared" si="4"/>
        <v>5</v>
      </c>
      <c r="N52" s="120">
        <f t="shared" si="27"/>
        <v>10</v>
      </c>
      <c r="O52" s="120">
        <f t="shared" si="27"/>
        <v>20</v>
      </c>
      <c r="P52" s="120">
        <f t="shared" si="27"/>
        <v>50</v>
      </c>
      <c r="Q52" s="120">
        <f t="shared" si="27"/>
        <v>150</v>
      </c>
      <c r="S52" s="53">
        <v>48</v>
      </c>
      <c r="T52" s="53">
        <f>SUM(M$5:M52)</f>
        <v>240</v>
      </c>
      <c r="U52" s="53">
        <f>SUM(N$5:N52)</f>
        <v>480</v>
      </c>
      <c r="V52" s="53">
        <f>SUM(O$5:O52)</f>
        <v>960</v>
      </c>
      <c r="W52" s="53">
        <f>SUM(P$5:P52)</f>
        <v>2400</v>
      </c>
      <c r="X52" s="53">
        <f>SUM(Q$5:Q52)</f>
        <v>7200</v>
      </c>
      <c r="Z52" s="47">
        <v>48</v>
      </c>
      <c r="AA52" s="47">
        <f t="shared" si="6"/>
        <v>200</v>
      </c>
      <c r="AB52" s="47">
        <f t="shared" si="7"/>
        <v>400</v>
      </c>
      <c r="AC52" s="47">
        <f t="shared" si="8"/>
        <v>800</v>
      </c>
      <c r="AD52" s="47">
        <f t="shared" si="9"/>
        <v>2000</v>
      </c>
      <c r="AE52" s="47">
        <f t="shared" si="10"/>
        <v>6000</v>
      </c>
      <c r="AG52" s="47">
        <v>48</v>
      </c>
      <c r="AH52" s="53">
        <f>SUM(AA$5:AA52)</f>
        <v>9600</v>
      </c>
      <c r="AI52" s="53">
        <f>SUM(AB$5:AB52)</f>
        <v>19200</v>
      </c>
      <c r="AJ52" s="53">
        <f>SUM(AC$5:AC52)</f>
        <v>38400</v>
      </c>
      <c r="AK52" s="53">
        <f>SUM(AD$5:AD52)</f>
        <v>96000</v>
      </c>
      <c r="AL52" s="53">
        <f>SUM(AE$5:AE52)</f>
        <v>288000</v>
      </c>
      <c r="AO52" s="46">
        <v>21</v>
      </c>
      <c r="BW52" s="25">
        <v>4</v>
      </c>
      <c r="BX52" s="47">
        <v>20</v>
      </c>
      <c r="BY52" s="52">
        <f t="shared" ref="BY52:BY66" si="34">BT36</f>
        <v>8.4111111111111097</v>
      </c>
      <c r="BZ52" s="52">
        <f t="shared" ref="BZ52:BZ66" si="35">BH36</f>
        <v>403.33333333333331</v>
      </c>
      <c r="CA52" s="52">
        <f t="shared" ref="CA52:CA66" si="36">BN36</f>
        <v>403.33333333333331</v>
      </c>
      <c r="CB52" s="109">
        <f>(BY52-BY51)*(INDEX([2]小r将兵属性验证!V$7:V$166,$BX52,1)+INDEX([2]小r将兵属性验证!$AP$7:$AP$166,$BX52,1))+CB51</f>
        <v>6303089.5395093495</v>
      </c>
      <c r="CC52" s="109">
        <f>(BZ52-BZ51)*INDEX([2]小r将兵属性验证!W$7:W$166,$BX52,1)+CC51</f>
        <v>7606534.062711196</v>
      </c>
      <c r="CD52" s="109">
        <f>(CA52-CA51)*INDEX([2]小r将兵属性验证!X$7:X$166,$BX52,1)+CD51</f>
        <v>7606534.062711196</v>
      </c>
      <c r="CE52" s="52">
        <f t="shared" ref="CE52:CE59" si="37">SUM(CB52:CD52)</f>
        <v>21516157.664931744</v>
      </c>
      <c r="CI52" s="71">
        <v>20</v>
      </c>
      <c r="CJ52" s="75">
        <f t="shared" si="31"/>
        <v>6900</v>
      </c>
      <c r="CK52" s="75">
        <f>(CJ52-CJ51)*INDEX('[1]功能-付费相关'!$BJ$6:$BJ$165,$CI52,1)+CK51</f>
        <v>1880.4565243888142</v>
      </c>
      <c r="CL52" s="75">
        <f t="shared" si="32"/>
        <v>276000</v>
      </c>
      <c r="CM52" s="75">
        <f>(CL52-CL51)*INDEX('[1]功能-付费相关'!$AR$6:$AR$165,$CI52,1)+CM51</f>
        <v>595</v>
      </c>
      <c r="CO52" s="71">
        <v>20</v>
      </c>
      <c r="CP52" s="138">
        <f t="shared" ref="CP52:CP66" si="38">CK52</f>
        <v>1880.4565243888142</v>
      </c>
      <c r="CQ52" s="138">
        <f t="shared" ref="CQ52:CQ66" si="39">CM52</f>
        <v>595</v>
      </c>
      <c r="CR52" s="84">
        <f t="shared" ref="CR52:CR66" si="40">SUM(CP52:CQ52)</f>
        <v>2475.4565243888142</v>
      </c>
    </row>
    <row r="53" spans="10:96" x14ac:dyDescent="0.15">
      <c r="J53" s="46">
        <f>INDEX('[1]资源-装备经验'!Y$6:Y$165,(K53+1)/2,1)</f>
        <v>0</v>
      </c>
      <c r="K53" s="53">
        <v>49</v>
      </c>
      <c r="L53" s="121">
        <v>5</v>
      </c>
      <c r="M53" s="122">
        <f t="shared" si="4"/>
        <v>5</v>
      </c>
      <c r="N53" s="120">
        <f t="shared" si="27"/>
        <v>10</v>
      </c>
      <c r="O53" s="120">
        <f t="shared" si="27"/>
        <v>20</v>
      </c>
      <c r="P53" s="120">
        <f t="shared" si="27"/>
        <v>50</v>
      </c>
      <c r="Q53" s="120">
        <f t="shared" si="27"/>
        <v>150</v>
      </c>
      <c r="S53" s="53">
        <v>49</v>
      </c>
      <c r="T53" s="53">
        <f>SUM(M$5:M53)</f>
        <v>245</v>
      </c>
      <c r="U53" s="53">
        <f>SUM(N$5:N53)</f>
        <v>490</v>
      </c>
      <c r="V53" s="53">
        <f>SUM(O$5:O53)</f>
        <v>980</v>
      </c>
      <c r="W53" s="53">
        <f>SUM(P$5:P53)</f>
        <v>2450</v>
      </c>
      <c r="X53" s="53">
        <f>SUM(Q$5:Q53)</f>
        <v>7350</v>
      </c>
      <c r="Z53" s="47">
        <v>49</v>
      </c>
      <c r="AA53" s="47">
        <f t="shared" si="6"/>
        <v>200</v>
      </c>
      <c r="AB53" s="47">
        <f t="shared" si="7"/>
        <v>400</v>
      </c>
      <c r="AC53" s="47">
        <f t="shared" si="8"/>
        <v>800</v>
      </c>
      <c r="AD53" s="47">
        <f t="shared" si="9"/>
        <v>2000</v>
      </c>
      <c r="AE53" s="47">
        <f t="shared" si="10"/>
        <v>6000</v>
      </c>
      <c r="AG53" s="47">
        <v>49</v>
      </c>
      <c r="AH53" s="53">
        <f>SUM(AA$5:AA53)</f>
        <v>9800</v>
      </c>
      <c r="AI53" s="53">
        <f>SUM(AB$5:AB53)</f>
        <v>19600</v>
      </c>
      <c r="AJ53" s="53">
        <f>SUM(AC$5:AC53)</f>
        <v>39200</v>
      </c>
      <c r="AK53" s="53">
        <f>SUM(AD$5:AD53)</f>
        <v>98000</v>
      </c>
      <c r="AL53" s="53">
        <f>SUM(AE$5:AE53)</f>
        <v>294000</v>
      </c>
      <c r="AO53" s="46">
        <v>22</v>
      </c>
      <c r="BW53" s="25">
        <v>5</v>
      </c>
      <c r="BX53" s="47">
        <v>30</v>
      </c>
      <c r="BY53" s="52">
        <f t="shared" si="34"/>
        <v>15.444444444444445</v>
      </c>
      <c r="BZ53" s="52">
        <f t="shared" si="35"/>
        <v>1066.6666666666667</v>
      </c>
      <c r="CA53" s="52">
        <f t="shared" si="36"/>
        <v>1066.6666666666667</v>
      </c>
      <c r="CB53" s="109">
        <f>(BY53-BY52)*(INDEX([2]小r将兵属性验证!V$7:V$166,$BX53,1)+INDEX([2]小r将兵属性验证!$AP$7:$AP$166,$BX53,1))+CB52</f>
        <v>28677209.664823566</v>
      </c>
      <c r="CC53" s="109">
        <f>(BZ53-BZ52)*INDEX([2]小r将兵属性验证!W$7:W$166,$BX53,1)+CC52</f>
        <v>41578435.253032342</v>
      </c>
      <c r="CD53" s="109">
        <f>(CA53-CA52)*INDEX([2]小r将兵属性验证!X$7:X$166,$BX53,1)+CD52</f>
        <v>41578435.253032342</v>
      </c>
      <c r="CE53" s="52">
        <f t="shared" si="37"/>
        <v>111834080.17088825</v>
      </c>
      <c r="CI53" s="71">
        <v>30</v>
      </c>
      <c r="CJ53" s="75">
        <f t="shared" si="31"/>
        <v>29820</v>
      </c>
      <c r="CK53" s="75">
        <f>(CJ53-CJ52)*INDEX('[1]功能-付费相关'!$BJ$6:$BJ$165,$CI53,1)+CK52</f>
        <v>5337.1291120346905</v>
      </c>
      <c r="CL53" s="75">
        <f t="shared" si="32"/>
        <v>1192800</v>
      </c>
      <c r="CM53" s="75">
        <f>(CL53-CL52)*INDEX('[1]功能-付费相关'!$AR$6:$AR$165,$CI53,1)+CM52</f>
        <v>2232.1428571428569</v>
      </c>
      <c r="CO53" s="71">
        <v>30</v>
      </c>
      <c r="CP53" s="138">
        <f t="shared" si="38"/>
        <v>5337.1291120346905</v>
      </c>
      <c r="CQ53" s="138">
        <f t="shared" si="39"/>
        <v>2232.1428571428569</v>
      </c>
      <c r="CR53" s="84">
        <f t="shared" si="40"/>
        <v>7569.2719691775474</v>
      </c>
    </row>
    <row r="54" spans="10:96" x14ac:dyDescent="0.15">
      <c r="J54" s="46">
        <f>INDEX('[1]资源-装备经验'!Y$6:Y$165,(K54+1)/2,1)</f>
        <v>0</v>
      </c>
      <c r="K54" s="53">
        <v>50</v>
      </c>
      <c r="L54" s="121">
        <v>10</v>
      </c>
      <c r="M54" s="122">
        <f t="shared" si="4"/>
        <v>10</v>
      </c>
      <c r="N54" s="120">
        <f t="shared" si="27"/>
        <v>20</v>
      </c>
      <c r="O54" s="120">
        <f t="shared" si="27"/>
        <v>40</v>
      </c>
      <c r="P54" s="120">
        <f t="shared" si="27"/>
        <v>100</v>
      </c>
      <c r="Q54" s="120">
        <f t="shared" si="27"/>
        <v>300</v>
      </c>
      <c r="S54" s="53">
        <v>50</v>
      </c>
      <c r="T54" s="53">
        <f>SUM(M$5:M54)</f>
        <v>255</v>
      </c>
      <c r="U54" s="53">
        <f>SUM(N$5:N54)</f>
        <v>510</v>
      </c>
      <c r="V54" s="53">
        <f>SUM(O$5:O54)</f>
        <v>1020</v>
      </c>
      <c r="W54" s="53">
        <f>SUM(P$5:P54)</f>
        <v>2550</v>
      </c>
      <c r="X54" s="53">
        <f>SUM(Q$5:Q54)</f>
        <v>7650</v>
      </c>
      <c r="Z54" s="47">
        <v>50</v>
      </c>
      <c r="AA54" s="47">
        <f t="shared" si="6"/>
        <v>400</v>
      </c>
      <c r="AB54" s="47">
        <f t="shared" si="7"/>
        <v>800</v>
      </c>
      <c r="AC54" s="47">
        <f t="shared" si="8"/>
        <v>1600</v>
      </c>
      <c r="AD54" s="47">
        <f t="shared" si="9"/>
        <v>4000</v>
      </c>
      <c r="AE54" s="47">
        <f t="shared" si="10"/>
        <v>12000</v>
      </c>
      <c r="AG54" s="47">
        <v>50</v>
      </c>
      <c r="AH54" s="53">
        <f>SUM(AA$5:AA54)</f>
        <v>10200</v>
      </c>
      <c r="AI54" s="53">
        <f>SUM(AB$5:AB54)</f>
        <v>20400</v>
      </c>
      <c r="AJ54" s="53">
        <f>SUM(AC$5:AC54)</f>
        <v>40800</v>
      </c>
      <c r="AK54" s="53">
        <f>SUM(AD$5:AD54)</f>
        <v>102000</v>
      </c>
      <c r="AL54" s="53">
        <f>SUM(AE$5:AE54)</f>
        <v>306000</v>
      </c>
      <c r="AO54" s="46">
        <v>23</v>
      </c>
      <c r="BW54" s="25">
        <v>6</v>
      </c>
      <c r="BX54" s="47">
        <v>40</v>
      </c>
      <c r="BY54" s="52">
        <f t="shared" si="34"/>
        <v>26.35</v>
      </c>
      <c r="BZ54" s="52">
        <f t="shared" si="35"/>
        <v>2180</v>
      </c>
      <c r="CA54" s="52">
        <f t="shared" si="36"/>
        <v>2180</v>
      </c>
      <c r="CB54" s="109">
        <f>(BY54-BY53)*(INDEX([2]小r将兵属性验证!V$7:V$166,$BX54,1)+INDEX([2]小r将兵属性验证!$AP$7:$AP$166,$BX54,1))+CB53</f>
        <v>127941937.95952235</v>
      </c>
      <c r="CC54" s="109">
        <f>(BZ54-BZ53)*INDEX([2]小r将兵属性验证!W$7:W$166,$BX54,1)+CC53</f>
        <v>186912183.09791166</v>
      </c>
      <c r="CD54" s="109">
        <f>(CA54-CA53)*INDEX([2]小r将兵属性验证!X$7:X$166,$BX54,1)+CD53</f>
        <v>186912183.09791166</v>
      </c>
      <c r="CE54" s="52">
        <f t="shared" si="37"/>
        <v>501766304.15534568</v>
      </c>
      <c r="CI54" s="71">
        <v>40</v>
      </c>
      <c r="CJ54" s="75">
        <f t="shared" si="31"/>
        <v>108000</v>
      </c>
      <c r="CK54" s="75">
        <f>(CJ54-CJ53)*INDEX('[1]功能-付费相关'!$BJ$6:$BJ$165,$CI54,1)+CK53</f>
        <v>12575.591259843608</v>
      </c>
      <c r="CL54" s="75">
        <f t="shared" si="32"/>
        <v>4320000</v>
      </c>
      <c r="CM54" s="75">
        <f>(CL54-CL53)*INDEX('[1]功能-付费相关'!$AR$6:$AR$165,$CI54,1)+CM53</f>
        <v>7118.3928571428569</v>
      </c>
      <c r="CO54" s="71">
        <v>40</v>
      </c>
      <c r="CP54" s="138">
        <f t="shared" si="38"/>
        <v>12575.591259843608</v>
      </c>
      <c r="CQ54" s="138">
        <f t="shared" si="39"/>
        <v>7118.3928571428569</v>
      </c>
      <c r="CR54" s="84">
        <f t="shared" si="40"/>
        <v>19693.984116986467</v>
      </c>
    </row>
    <row r="55" spans="10:96" x14ac:dyDescent="0.15">
      <c r="J55" s="46">
        <f>INDEX('[1]资源-装备经验'!Y$6:Y$165,(K55+1)/2,1)</f>
        <v>0</v>
      </c>
      <c r="K55" s="53">
        <v>51</v>
      </c>
      <c r="L55" s="121">
        <v>10</v>
      </c>
      <c r="M55" s="122">
        <f t="shared" si="4"/>
        <v>10</v>
      </c>
      <c r="N55" s="120">
        <f t="shared" si="27"/>
        <v>20</v>
      </c>
      <c r="O55" s="120">
        <f t="shared" si="27"/>
        <v>40</v>
      </c>
      <c r="P55" s="120">
        <f t="shared" si="27"/>
        <v>100</v>
      </c>
      <c r="Q55" s="120">
        <f t="shared" si="27"/>
        <v>300</v>
      </c>
      <c r="S55" s="53">
        <v>51</v>
      </c>
      <c r="T55" s="53">
        <f>SUM(M$5:M55)</f>
        <v>265</v>
      </c>
      <c r="U55" s="53">
        <f>SUM(N$5:N55)</f>
        <v>530</v>
      </c>
      <c r="V55" s="53">
        <f>SUM(O$5:O55)</f>
        <v>1060</v>
      </c>
      <c r="W55" s="53">
        <f>SUM(P$5:P55)</f>
        <v>2650</v>
      </c>
      <c r="X55" s="53">
        <f>SUM(Q$5:Q55)</f>
        <v>7950</v>
      </c>
      <c r="Z55" s="47">
        <v>51</v>
      </c>
      <c r="AA55" s="47">
        <f t="shared" si="6"/>
        <v>400</v>
      </c>
      <c r="AB55" s="47">
        <f t="shared" si="7"/>
        <v>800</v>
      </c>
      <c r="AC55" s="47">
        <f t="shared" si="8"/>
        <v>1600</v>
      </c>
      <c r="AD55" s="47">
        <f t="shared" si="9"/>
        <v>4000</v>
      </c>
      <c r="AE55" s="47">
        <f t="shared" si="10"/>
        <v>12000</v>
      </c>
      <c r="AG55" s="47">
        <v>51</v>
      </c>
      <c r="AH55" s="53">
        <f>SUM(AA$5:AA55)</f>
        <v>10600</v>
      </c>
      <c r="AI55" s="53">
        <f>SUM(AB$5:AB55)</f>
        <v>21200</v>
      </c>
      <c r="AJ55" s="53">
        <f>SUM(AC$5:AC55)</f>
        <v>42400</v>
      </c>
      <c r="AK55" s="53">
        <f>SUM(AD$5:AD55)</f>
        <v>106000</v>
      </c>
      <c r="AL55" s="53">
        <f>SUM(AE$5:AE55)</f>
        <v>318000</v>
      </c>
      <c r="AO55" s="46">
        <v>24</v>
      </c>
      <c r="BW55" s="25">
        <v>7</v>
      </c>
      <c r="BX55" s="47">
        <v>50</v>
      </c>
      <c r="BY55" s="52">
        <f t="shared" si="34"/>
        <v>31.392499999999998</v>
      </c>
      <c r="BZ55" s="52">
        <f t="shared" si="35"/>
        <v>2810</v>
      </c>
      <c r="CA55" s="52">
        <f t="shared" si="36"/>
        <v>2810</v>
      </c>
      <c r="CB55" s="109">
        <f>(BY55-BY54)*(INDEX([2]小r将兵属性验证!V$7:V$166,$BX55,1)+INDEX([2]小r将兵属性验证!$AP$7:$AP$166,$BX55,1))+CB54</f>
        <v>214877884.41272429</v>
      </c>
      <c r="CC55" s="109">
        <f>(BZ55-BZ54)*INDEX([2]小r将兵属性验证!W$7:W$166,$BX55,1)+CC54</f>
        <v>324048686.12868929</v>
      </c>
      <c r="CD55" s="109">
        <f>(CA55-CA54)*INDEX([2]小r将兵属性验证!X$7:X$166,$BX55,1)+CD54</f>
        <v>324048686.12868929</v>
      </c>
      <c r="CE55" s="52">
        <f t="shared" si="37"/>
        <v>862975256.67010283</v>
      </c>
      <c r="CI55" s="71">
        <v>50</v>
      </c>
      <c r="CJ55" s="75">
        <f t="shared" si="31"/>
        <v>285000</v>
      </c>
      <c r="CK55" s="75">
        <f>(CJ55-CJ54)*INDEX('[1]功能-付费相关'!$BJ$6:$BJ$165,$CI55,1)+CK54</f>
        <v>25632.848789910135</v>
      </c>
      <c r="CL55" s="75">
        <f t="shared" si="32"/>
        <v>11400000</v>
      </c>
      <c r="CM55" s="75">
        <f>(CL55-CL54)*INDEX('[1]功能-付费相关'!$AR$6:$AR$165,$CI55,1)+CM54</f>
        <v>16951.726190476191</v>
      </c>
      <c r="CO55" s="71">
        <v>50</v>
      </c>
      <c r="CP55" s="138">
        <f t="shared" si="38"/>
        <v>25632.848789910135</v>
      </c>
      <c r="CQ55" s="138">
        <f t="shared" si="39"/>
        <v>16951.726190476191</v>
      </c>
      <c r="CR55" s="84">
        <f t="shared" si="40"/>
        <v>42584.574980386329</v>
      </c>
    </row>
    <row r="56" spans="10:96" x14ac:dyDescent="0.15">
      <c r="J56" s="46">
        <f>INDEX('[1]资源-装备经验'!Y$6:Y$165,(K56+1)/2,1)</f>
        <v>0</v>
      </c>
      <c r="K56" s="53">
        <v>52</v>
      </c>
      <c r="L56" s="121">
        <v>10</v>
      </c>
      <c r="M56" s="122">
        <f t="shared" si="4"/>
        <v>10</v>
      </c>
      <c r="N56" s="120">
        <f t="shared" si="27"/>
        <v>20</v>
      </c>
      <c r="O56" s="120">
        <f t="shared" si="27"/>
        <v>40</v>
      </c>
      <c r="P56" s="120">
        <f t="shared" si="27"/>
        <v>100</v>
      </c>
      <c r="Q56" s="120">
        <f t="shared" si="27"/>
        <v>300</v>
      </c>
      <c r="S56" s="53">
        <v>52</v>
      </c>
      <c r="T56" s="53">
        <f>SUM(M$5:M56)</f>
        <v>275</v>
      </c>
      <c r="U56" s="53">
        <f>SUM(N$5:N56)</f>
        <v>550</v>
      </c>
      <c r="V56" s="53">
        <f>SUM(O$5:O56)</f>
        <v>1100</v>
      </c>
      <c r="W56" s="53">
        <f>SUM(P$5:P56)</f>
        <v>2750</v>
      </c>
      <c r="X56" s="53">
        <f>SUM(Q$5:Q56)</f>
        <v>8250</v>
      </c>
      <c r="Z56" s="47">
        <v>52</v>
      </c>
      <c r="AA56" s="47">
        <f t="shared" si="6"/>
        <v>400</v>
      </c>
      <c r="AB56" s="47">
        <f t="shared" si="7"/>
        <v>800</v>
      </c>
      <c r="AC56" s="47">
        <f t="shared" si="8"/>
        <v>1600</v>
      </c>
      <c r="AD56" s="47">
        <f t="shared" si="9"/>
        <v>4000</v>
      </c>
      <c r="AE56" s="47">
        <f t="shared" si="10"/>
        <v>12000</v>
      </c>
      <c r="AG56" s="47">
        <v>52</v>
      </c>
      <c r="AH56" s="53">
        <f>SUM(AA$5:AA56)</f>
        <v>11000</v>
      </c>
      <c r="AI56" s="53">
        <f>SUM(AB$5:AB56)</f>
        <v>22000</v>
      </c>
      <c r="AJ56" s="53">
        <f>SUM(AC$5:AC56)</f>
        <v>44000</v>
      </c>
      <c r="AK56" s="53">
        <f>SUM(AD$5:AD56)</f>
        <v>110000</v>
      </c>
      <c r="AL56" s="53">
        <f>SUM(AE$5:AE56)</f>
        <v>330000</v>
      </c>
      <c r="AO56" s="46">
        <v>25</v>
      </c>
      <c r="BW56" s="25">
        <v>8</v>
      </c>
      <c r="BX56" s="47">
        <v>60</v>
      </c>
      <c r="BY56" s="52">
        <f t="shared" si="34"/>
        <v>38.676666666666669</v>
      </c>
      <c r="BZ56" s="52">
        <f t="shared" si="35"/>
        <v>3660</v>
      </c>
      <c r="CA56" s="52">
        <f t="shared" si="36"/>
        <v>3660</v>
      </c>
      <c r="CB56" s="109">
        <f>(BY56-BY55)*(INDEX([2]小r将兵属性验证!V$7:V$166,$BX56,1)+INDEX([2]小r将兵属性验证!$AP$7:$AP$166,$BX56,1))+CB55</f>
        <v>508121012.52037311</v>
      </c>
      <c r="CC56" s="109">
        <f>(BZ56-BZ55)*INDEX([2]小r将兵属性验证!W$7:W$166,$BX56,1)+CC55</f>
        <v>708851937.21165419</v>
      </c>
      <c r="CD56" s="109">
        <f>(CA56-CA55)*INDEX([2]小r将兵属性验证!X$7:X$166,$BX56,1)+CD55</f>
        <v>708851937.21165419</v>
      </c>
      <c r="CE56" s="52">
        <f t="shared" si="37"/>
        <v>1925824886.9436815</v>
      </c>
      <c r="CI56" s="71">
        <v>60</v>
      </c>
      <c r="CJ56" s="75">
        <f t="shared" si="31"/>
        <v>913500</v>
      </c>
      <c r="CK56" s="75">
        <f>(CJ56-CJ55)*INDEX('[1]功能-付费相关'!$BJ$6:$BJ$165,$CI56,1)+CK55</f>
        <v>63667.747837617571</v>
      </c>
      <c r="CL56" s="75">
        <f t="shared" si="32"/>
        <v>36540000</v>
      </c>
      <c r="CM56" s="75">
        <f>(CL56-CL55)*INDEX('[1]功能-付费相关'!$AR$6:$AR$165,$CI56,1)+CM55</f>
        <v>48376.726190476191</v>
      </c>
      <c r="CO56" s="71">
        <v>60</v>
      </c>
      <c r="CP56" s="138">
        <f t="shared" si="38"/>
        <v>63667.747837617571</v>
      </c>
      <c r="CQ56" s="138">
        <f t="shared" si="39"/>
        <v>48376.726190476191</v>
      </c>
      <c r="CR56" s="84">
        <f t="shared" si="40"/>
        <v>112044.47402809377</v>
      </c>
    </row>
    <row r="57" spans="10:96" x14ac:dyDescent="0.15">
      <c r="J57" s="46">
        <f>INDEX('[1]资源-装备经验'!Y$6:Y$165,(K57+1)/2,1)</f>
        <v>0</v>
      </c>
      <c r="K57" s="53">
        <v>53</v>
      </c>
      <c r="L57" s="121">
        <v>10</v>
      </c>
      <c r="M57" s="122">
        <f t="shared" si="4"/>
        <v>10</v>
      </c>
      <c r="N57" s="120">
        <f t="shared" si="27"/>
        <v>20</v>
      </c>
      <c r="O57" s="120">
        <f t="shared" si="27"/>
        <v>40</v>
      </c>
      <c r="P57" s="120">
        <f t="shared" si="27"/>
        <v>100</v>
      </c>
      <c r="Q57" s="120">
        <f t="shared" si="27"/>
        <v>300</v>
      </c>
      <c r="S57" s="53">
        <v>53</v>
      </c>
      <c r="T57" s="53">
        <f>SUM(M$5:M57)</f>
        <v>285</v>
      </c>
      <c r="U57" s="53">
        <f>SUM(N$5:N57)</f>
        <v>570</v>
      </c>
      <c r="V57" s="53">
        <f>SUM(O$5:O57)</f>
        <v>1140</v>
      </c>
      <c r="W57" s="53">
        <f>SUM(P$5:P57)</f>
        <v>2850</v>
      </c>
      <c r="X57" s="53">
        <f>SUM(Q$5:Q57)</f>
        <v>8550</v>
      </c>
      <c r="Z57" s="47">
        <v>53</v>
      </c>
      <c r="AA57" s="47">
        <f t="shared" si="6"/>
        <v>400</v>
      </c>
      <c r="AB57" s="47">
        <f t="shared" si="7"/>
        <v>800</v>
      </c>
      <c r="AC57" s="47">
        <f t="shared" si="8"/>
        <v>1600</v>
      </c>
      <c r="AD57" s="47">
        <f t="shared" si="9"/>
        <v>4000</v>
      </c>
      <c r="AE57" s="47">
        <f t="shared" si="10"/>
        <v>12000</v>
      </c>
      <c r="AG57" s="47">
        <v>53</v>
      </c>
      <c r="AH57" s="53">
        <f>SUM(AA$5:AA57)</f>
        <v>11400</v>
      </c>
      <c r="AI57" s="53">
        <f>SUM(AB$5:AB57)</f>
        <v>22800</v>
      </c>
      <c r="AJ57" s="53">
        <f>SUM(AC$5:AC57)</f>
        <v>45600</v>
      </c>
      <c r="AK57" s="53">
        <f>SUM(AD$5:AD57)</f>
        <v>114000</v>
      </c>
      <c r="AL57" s="53">
        <f>SUM(AE$5:AE57)</f>
        <v>342000</v>
      </c>
      <c r="AO57" s="46">
        <v>26</v>
      </c>
      <c r="BW57" s="25">
        <v>9</v>
      </c>
      <c r="BX57" s="47">
        <v>70</v>
      </c>
      <c r="BY57" s="52">
        <f t="shared" si="34"/>
        <v>49.61333333333333</v>
      </c>
      <c r="BZ57" s="52">
        <f t="shared" si="35"/>
        <v>4740</v>
      </c>
      <c r="CA57" s="52">
        <f t="shared" si="36"/>
        <v>4740</v>
      </c>
      <c r="CB57" s="109">
        <f>(BY57-BY56)*(INDEX([2]小r将兵属性验证!V$7:V$166,$BX57,1)+INDEX([2]小r将兵属性验证!$AP$7:$AP$166,$BX57,1))+CB56</f>
        <v>1884515629.0480254</v>
      </c>
      <c r="CC57" s="109">
        <f>(BZ57-BZ56)*INDEX([2]小r将兵属性验证!W$7:W$166,$BX57,1)+CC56</f>
        <v>1837542259.9824104</v>
      </c>
      <c r="CD57" s="109">
        <f>(CA57-CA56)*INDEX([2]小r将兵属性验证!X$7:X$166,$BX57,1)+CD56</f>
        <v>1837542259.9824104</v>
      </c>
      <c r="CE57" s="52">
        <f t="shared" si="37"/>
        <v>5559600149.012846</v>
      </c>
      <c r="CI57" s="71">
        <v>70</v>
      </c>
      <c r="CJ57" s="75">
        <f t="shared" si="31"/>
        <v>2099700</v>
      </c>
      <c r="CK57" s="75">
        <f>(CJ57-CJ56)*INDEX('[1]功能-付费相关'!$BJ$6:$BJ$165,$CI57,1)+CK56</f>
        <v>122556.61337433985</v>
      </c>
      <c r="CL57" s="75">
        <f t="shared" si="32"/>
        <v>83988000</v>
      </c>
      <c r="CM57" s="75">
        <f>(CL57-CL56)*INDEX('[1]功能-付费相关'!$AR$6:$AR$165,$CI57,1)+CM56</f>
        <v>102294.90800865801</v>
      </c>
      <c r="CO57" s="71">
        <v>70</v>
      </c>
      <c r="CP57" s="138">
        <f t="shared" si="38"/>
        <v>122556.61337433985</v>
      </c>
      <c r="CQ57" s="138">
        <f t="shared" si="39"/>
        <v>102294.90800865801</v>
      </c>
      <c r="CR57" s="84">
        <f t="shared" si="40"/>
        <v>224851.52138299786</v>
      </c>
    </row>
    <row r="58" spans="10:96" x14ac:dyDescent="0.15">
      <c r="J58" s="46">
        <f>INDEX('[1]资源-装备经验'!Y$6:Y$165,(K58+1)/2,1)</f>
        <v>0</v>
      </c>
      <c r="K58" s="53">
        <v>54</v>
      </c>
      <c r="L58" s="121">
        <v>10</v>
      </c>
      <c r="M58" s="122">
        <f t="shared" si="4"/>
        <v>10</v>
      </c>
      <c r="N58" s="120">
        <f t="shared" si="27"/>
        <v>20</v>
      </c>
      <c r="O58" s="120">
        <f t="shared" si="27"/>
        <v>40</v>
      </c>
      <c r="P58" s="120">
        <f t="shared" si="27"/>
        <v>100</v>
      </c>
      <c r="Q58" s="120">
        <f t="shared" si="27"/>
        <v>300</v>
      </c>
      <c r="S58" s="53">
        <v>54</v>
      </c>
      <c r="T58" s="53">
        <f>SUM(M$5:M58)</f>
        <v>295</v>
      </c>
      <c r="U58" s="53">
        <f>SUM(N$5:N58)</f>
        <v>590</v>
      </c>
      <c r="V58" s="53">
        <f>SUM(O$5:O58)</f>
        <v>1180</v>
      </c>
      <c r="W58" s="53">
        <f>SUM(P$5:P58)</f>
        <v>2950</v>
      </c>
      <c r="X58" s="53">
        <f>SUM(Q$5:Q58)</f>
        <v>8850</v>
      </c>
      <c r="Z58" s="47">
        <v>54</v>
      </c>
      <c r="AA58" s="47">
        <f t="shared" si="6"/>
        <v>400</v>
      </c>
      <c r="AB58" s="47">
        <f t="shared" si="7"/>
        <v>800</v>
      </c>
      <c r="AC58" s="47">
        <f t="shared" si="8"/>
        <v>1600</v>
      </c>
      <c r="AD58" s="47">
        <f t="shared" si="9"/>
        <v>4000</v>
      </c>
      <c r="AE58" s="47">
        <f t="shared" si="10"/>
        <v>12000</v>
      </c>
      <c r="AG58" s="47">
        <v>54</v>
      </c>
      <c r="AH58" s="53">
        <f>SUM(AA$5:AA58)</f>
        <v>11800</v>
      </c>
      <c r="AI58" s="53">
        <f>SUM(AB$5:AB58)</f>
        <v>23600</v>
      </c>
      <c r="AJ58" s="53">
        <f>SUM(AC$5:AC58)</f>
        <v>47200</v>
      </c>
      <c r="AK58" s="53">
        <f>SUM(AD$5:AD58)</f>
        <v>118000</v>
      </c>
      <c r="AL58" s="53">
        <f>SUM(AE$5:AE58)</f>
        <v>354000</v>
      </c>
      <c r="AO58" s="46">
        <v>27</v>
      </c>
      <c r="BW58" s="25">
        <v>10</v>
      </c>
      <c r="BX58" s="47">
        <v>80</v>
      </c>
      <c r="BY58" s="52">
        <f t="shared" si="34"/>
        <v>61.71</v>
      </c>
      <c r="BZ58" s="52">
        <f t="shared" si="35"/>
        <v>6260</v>
      </c>
      <c r="CA58" s="52">
        <f t="shared" si="36"/>
        <v>6260</v>
      </c>
      <c r="CB58" s="109">
        <f>(BY58-BY57)*(INDEX([2]小r将兵属性验证!V$7:V$166,$BX58,1)+INDEX([2]小r将兵属性验证!$AP$7:$AP$166,$BX58,1))+CB57</f>
        <v>5745357044.5237226</v>
      </c>
      <c r="CC58" s="109">
        <f>(BZ58-BZ57)*INDEX([2]小r将兵属性验证!W$7:W$166,$BX58,1)+CC57</f>
        <v>5039227336.5617027</v>
      </c>
      <c r="CD58" s="109">
        <f>(CA58-CA57)*INDEX([2]小r将兵属性验证!X$7:X$166,$BX58,1)+CD57</f>
        <v>5039227336.5617027</v>
      </c>
      <c r="CE58" s="52">
        <f t="shared" si="37"/>
        <v>15823811717.647129</v>
      </c>
      <c r="CI58" s="71">
        <v>80</v>
      </c>
      <c r="CJ58" s="75">
        <f t="shared" si="31"/>
        <v>5262300</v>
      </c>
      <c r="CK58" s="75">
        <f>(CJ58-CJ57)*INDEX('[1]功能-付费相关'!$BJ$6:$BJ$165,$CI58,1)+CK57</f>
        <v>251357.19293908821</v>
      </c>
      <c r="CL58" s="75">
        <f t="shared" si="32"/>
        <v>210492000</v>
      </c>
      <c r="CM58" s="75">
        <f>(CL58-CL57)*INDEX('[1]功能-付费相关'!$AR$6:$AR$165,$CI58,1)+CM57</f>
        <v>234069.90800865801</v>
      </c>
      <c r="CO58" s="71">
        <v>80</v>
      </c>
      <c r="CP58" s="138">
        <f t="shared" si="38"/>
        <v>251357.19293908821</v>
      </c>
      <c r="CQ58" s="138">
        <f t="shared" si="39"/>
        <v>234069.90800865801</v>
      </c>
      <c r="CR58" s="84">
        <f t="shared" si="40"/>
        <v>485427.10094774619</v>
      </c>
    </row>
    <row r="59" spans="10:96" x14ac:dyDescent="0.15">
      <c r="J59" s="46">
        <f>INDEX('[1]资源-装备经验'!Y$6:Y$165,(K59+1)/2,1)</f>
        <v>0</v>
      </c>
      <c r="K59" s="53">
        <v>55</v>
      </c>
      <c r="L59" s="121">
        <v>10</v>
      </c>
      <c r="M59" s="122">
        <f t="shared" si="4"/>
        <v>10</v>
      </c>
      <c r="N59" s="120">
        <f t="shared" si="27"/>
        <v>20</v>
      </c>
      <c r="O59" s="120">
        <f t="shared" si="27"/>
        <v>40</v>
      </c>
      <c r="P59" s="120">
        <f t="shared" si="27"/>
        <v>100</v>
      </c>
      <c r="Q59" s="120">
        <f t="shared" si="27"/>
        <v>300</v>
      </c>
      <c r="S59" s="53">
        <v>55</v>
      </c>
      <c r="T59" s="53">
        <f>SUM(M$5:M59)</f>
        <v>305</v>
      </c>
      <c r="U59" s="53">
        <f>SUM(N$5:N59)</f>
        <v>610</v>
      </c>
      <c r="V59" s="53">
        <f>SUM(O$5:O59)</f>
        <v>1220</v>
      </c>
      <c r="W59" s="53">
        <f>SUM(P$5:P59)</f>
        <v>3050</v>
      </c>
      <c r="X59" s="53">
        <f>SUM(Q$5:Q59)</f>
        <v>9150</v>
      </c>
      <c r="Z59" s="47">
        <v>55</v>
      </c>
      <c r="AA59" s="47">
        <f t="shared" si="6"/>
        <v>400</v>
      </c>
      <c r="AB59" s="47">
        <f t="shared" si="7"/>
        <v>800</v>
      </c>
      <c r="AC59" s="47">
        <f t="shared" si="8"/>
        <v>1600</v>
      </c>
      <c r="AD59" s="47">
        <f t="shared" si="9"/>
        <v>4000</v>
      </c>
      <c r="AE59" s="47">
        <f t="shared" si="10"/>
        <v>12000</v>
      </c>
      <c r="AG59" s="47">
        <v>55</v>
      </c>
      <c r="AH59" s="53">
        <f>SUM(AA$5:AA59)</f>
        <v>12200</v>
      </c>
      <c r="AI59" s="53">
        <f>SUM(AB$5:AB59)</f>
        <v>24400</v>
      </c>
      <c r="AJ59" s="53">
        <f>SUM(AC$5:AC59)</f>
        <v>48800</v>
      </c>
      <c r="AK59" s="53">
        <f>SUM(AD$5:AD59)</f>
        <v>122000</v>
      </c>
      <c r="AL59" s="53">
        <f>SUM(AE$5:AE59)</f>
        <v>366000</v>
      </c>
      <c r="AO59" s="46">
        <v>28</v>
      </c>
      <c r="BW59" s="25">
        <v>11</v>
      </c>
      <c r="BX59" s="47">
        <v>90</v>
      </c>
      <c r="BY59" s="52">
        <f t="shared" si="34"/>
        <v>66</v>
      </c>
      <c r="BZ59" s="52">
        <f t="shared" si="35"/>
        <v>6920</v>
      </c>
      <c r="CA59" s="52">
        <f t="shared" si="36"/>
        <v>6920</v>
      </c>
      <c r="CB59" s="109">
        <f>(BY59-BY58)*(INDEX([2]小r将兵属性验证!V$7:V$166,$BX59,1)+INDEX([2]小r将兵属性验证!$AP$7:$AP$166,$BX59,1))+CB58</f>
        <v>8937788514.2547779</v>
      </c>
      <c r="CC59" s="109">
        <f>(BZ59-BZ58)*INDEX([2]小r将兵属性验证!W$7:W$166,$BX59,1)+CC58</f>
        <v>7926650020.0826893</v>
      </c>
      <c r="CD59" s="109">
        <f>(CA59-CA58)*INDEX([2]小r将兵属性验证!X$7:X$166,$BX59,1)+CD58</f>
        <v>7926650020.0826893</v>
      </c>
      <c r="CE59" s="52">
        <f t="shared" si="37"/>
        <v>24791088554.420158</v>
      </c>
      <c r="CI59" s="71">
        <v>90</v>
      </c>
      <c r="CJ59" s="75">
        <f t="shared" si="31"/>
        <v>12174300</v>
      </c>
      <c r="CK59" s="75">
        <f>(CJ59-CJ58)*INDEX('[1]功能-付费相关'!$BJ$6:$BJ$165,$CI59,1)+CK58</f>
        <v>482284.64429963671</v>
      </c>
      <c r="CL59" s="75">
        <f t="shared" si="32"/>
        <v>486972000</v>
      </c>
      <c r="CM59" s="75">
        <f>(CL59-CL58)*INDEX('[1]功能-付费相关'!$AR$6:$AR$165,$CI59,1)+CM58</f>
        <v>499916.06185481185</v>
      </c>
      <c r="CO59" s="71">
        <v>90</v>
      </c>
      <c r="CP59" s="138">
        <f t="shared" si="38"/>
        <v>482284.64429963671</v>
      </c>
      <c r="CQ59" s="138">
        <f t="shared" si="39"/>
        <v>499916.06185481185</v>
      </c>
      <c r="CR59" s="84">
        <f t="shared" si="40"/>
        <v>982200.70615444856</v>
      </c>
    </row>
    <row r="60" spans="10:96" x14ac:dyDescent="0.15">
      <c r="J60" s="46">
        <f>INDEX('[1]资源-装备经验'!Y$6:Y$165,(K60+1)/2,1)</f>
        <v>0</v>
      </c>
      <c r="K60" s="53">
        <v>56</v>
      </c>
      <c r="L60" s="121">
        <v>10</v>
      </c>
      <c r="M60" s="122">
        <f t="shared" si="4"/>
        <v>10</v>
      </c>
      <c r="N60" s="120">
        <f t="shared" si="27"/>
        <v>20</v>
      </c>
      <c r="O60" s="120">
        <f t="shared" si="27"/>
        <v>40</v>
      </c>
      <c r="P60" s="120">
        <f t="shared" si="27"/>
        <v>100</v>
      </c>
      <c r="Q60" s="120">
        <f t="shared" si="27"/>
        <v>300</v>
      </c>
      <c r="S60" s="53">
        <v>56</v>
      </c>
      <c r="T60" s="53">
        <f>SUM(M$5:M60)</f>
        <v>315</v>
      </c>
      <c r="U60" s="53">
        <f>SUM(N$5:N60)</f>
        <v>630</v>
      </c>
      <c r="V60" s="53">
        <f>SUM(O$5:O60)</f>
        <v>1260</v>
      </c>
      <c r="W60" s="53">
        <f>SUM(P$5:P60)</f>
        <v>3150</v>
      </c>
      <c r="X60" s="53">
        <f>SUM(Q$5:Q60)</f>
        <v>9450</v>
      </c>
      <c r="Z60" s="47">
        <v>56</v>
      </c>
      <c r="AA60" s="47">
        <f t="shared" si="6"/>
        <v>400</v>
      </c>
      <c r="AB60" s="47">
        <f t="shared" si="7"/>
        <v>800</v>
      </c>
      <c r="AC60" s="47">
        <f t="shared" si="8"/>
        <v>1600</v>
      </c>
      <c r="AD60" s="47">
        <f t="shared" si="9"/>
        <v>4000</v>
      </c>
      <c r="AE60" s="47">
        <f t="shared" si="10"/>
        <v>12000</v>
      </c>
      <c r="AG60" s="47">
        <v>56</v>
      </c>
      <c r="AH60" s="53">
        <f>SUM(AA$5:AA60)</f>
        <v>12600</v>
      </c>
      <c r="AI60" s="53">
        <f>SUM(AB$5:AB60)</f>
        <v>25200</v>
      </c>
      <c r="AJ60" s="53">
        <f>SUM(AC$5:AC60)</f>
        <v>50400</v>
      </c>
      <c r="AK60" s="53">
        <f>SUM(AD$5:AD60)</f>
        <v>126000</v>
      </c>
      <c r="AL60" s="53">
        <f>SUM(AE$5:AE60)</f>
        <v>378000</v>
      </c>
      <c r="AO60" s="46">
        <v>29</v>
      </c>
      <c r="BW60" s="25">
        <v>12</v>
      </c>
      <c r="BX60" s="128">
        <v>100</v>
      </c>
      <c r="BY60" s="52">
        <f t="shared" si="34"/>
        <v>66</v>
      </c>
      <c r="BZ60" s="52">
        <f t="shared" si="35"/>
        <v>7580</v>
      </c>
      <c r="CA60" s="52">
        <f t="shared" si="36"/>
        <v>7580</v>
      </c>
      <c r="CB60" s="109">
        <f>(BY60-BY59)*(INDEX([2]小r将兵属性验证!V$7:V$166,$BX60,1)+INDEX([2]小r将兵属性验证!$AP$7:$AP$166,$BX60,1))+CB59</f>
        <v>8937788514.2547779</v>
      </c>
      <c r="CC60" s="109">
        <f>(BZ60-BZ59)*INDEX([2]小r将兵属性验证!W$7:W$166,$BX60,1)+CC59</f>
        <v>12765421273.471888</v>
      </c>
      <c r="CD60" s="109">
        <f>(CA60-CA59)*INDEX([2]小r将兵属性验证!X$7:X$166,$BX60,1)+CD59</f>
        <v>12765421273.471888</v>
      </c>
      <c r="CE60" s="52">
        <f t="shared" ref="CE60:CE66" si="41">SUM(CB60:CD60)</f>
        <v>34468631061.198555</v>
      </c>
      <c r="CI60" s="128">
        <v>100</v>
      </c>
      <c r="CJ60" s="75">
        <f t="shared" si="31"/>
        <v>27942300</v>
      </c>
      <c r="CK60" s="75">
        <f>(CJ60-CJ59)*INDEX('[1]功能-付费相关'!$BJ$6:$BJ$165,$CI60,1)+CK59</f>
        <v>914446.79350661754</v>
      </c>
      <c r="CL60" s="75">
        <f t="shared" si="32"/>
        <v>1117692000</v>
      </c>
      <c r="CM60" s="75">
        <f>(CL60-CL59)*INDEX('[1]功能-付费相关'!$AR$6:$AR$165,$CI60,1)+CM59</f>
        <v>1063058.9189976691</v>
      </c>
      <c r="CO60" s="128">
        <v>100</v>
      </c>
      <c r="CP60" s="138">
        <f t="shared" si="38"/>
        <v>914446.79350661754</v>
      </c>
      <c r="CQ60" s="138">
        <f t="shared" si="39"/>
        <v>1063058.9189976691</v>
      </c>
      <c r="CR60" s="84">
        <f t="shared" si="40"/>
        <v>1977505.7125042868</v>
      </c>
    </row>
    <row r="61" spans="10:96" x14ac:dyDescent="0.15">
      <c r="J61" s="46">
        <f>INDEX('[1]资源-装备经验'!Y$6:Y$165,(K61+1)/2,1)</f>
        <v>0</v>
      </c>
      <c r="K61" s="53">
        <v>57</v>
      </c>
      <c r="L61" s="121">
        <v>10</v>
      </c>
      <c r="M61" s="122">
        <f t="shared" si="4"/>
        <v>10</v>
      </c>
      <c r="N61" s="120">
        <f t="shared" si="27"/>
        <v>20</v>
      </c>
      <c r="O61" s="120">
        <f t="shared" si="27"/>
        <v>40</v>
      </c>
      <c r="P61" s="120">
        <f t="shared" si="27"/>
        <v>100</v>
      </c>
      <c r="Q61" s="120">
        <f t="shared" si="27"/>
        <v>300</v>
      </c>
      <c r="S61" s="53">
        <v>57</v>
      </c>
      <c r="T61" s="53">
        <f>SUM(M$5:M61)</f>
        <v>325</v>
      </c>
      <c r="U61" s="53">
        <f>SUM(N$5:N61)</f>
        <v>650</v>
      </c>
      <c r="V61" s="53">
        <f>SUM(O$5:O61)</f>
        <v>1300</v>
      </c>
      <c r="W61" s="53">
        <f>SUM(P$5:P61)</f>
        <v>3250</v>
      </c>
      <c r="X61" s="53">
        <f>SUM(Q$5:Q61)</f>
        <v>9750</v>
      </c>
      <c r="Z61" s="47">
        <v>57</v>
      </c>
      <c r="AA61" s="47">
        <f t="shared" si="6"/>
        <v>400</v>
      </c>
      <c r="AB61" s="47">
        <f t="shared" si="7"/>
        <v>800</v>
      </c>
      <c r="AC61" s="47">
        <f t="shared" si="8"/>
        <v>1600</v>
      </c>
      <c r="AD61" s="47">
        <f t="shared" si="9"/>
        <v>4000</v>
      </c>
      <c r="AE61" s="47">
        <f t="shared" si="10"/>
        <v>12000</v>
      </c>
      <c r="AG61" s="47">
        <v>57</v>
      </c>
      <c r="AH61" s="53">
        <f>SUM(AA$5:AA61)</f>
        <v>13000</v>
      </c>
      <c r="AI61" s="53">
        <f>SUM(AB$5:AB61)</f>
        <v>26000</v>
      </c>
      <c r="AJ61" s="53">
        <f>SUM(AC$5:AC61)</f>
        <v>52000</v>
      </c>
      <c r="AK61" s="53">
        <f>SUM(AD$5:AD61)</f>
        <v>130000</v>
      </c>
      <c r="AL61" s="53">
        <f>SUM(AE$5:AE61)</f>
        <v>390000</v>
      </c>
      <c r="AO61" s="46">
        <v>1</v>
      </c>
      <c r="AP61" s="186" t="s">
        <v>188</v>
      </c>
      <c r="AQ61" s="186"/>
      <c r="AR61" s="186"/>
      <c r="AS61" s="186"/>
      <c r="AT61" s="186"/>
      <c r="AU61" s="186"/>
      <c r="AV61" s="186"/>
      <c r="AW61" s="186"/>
      <c r="AX61" s="186"/>
      <c r="AY61" s="186"/>
      <c r="AZ61" s="186"/>
      <c r="BA61" s="186"/>
      <c r="BB61" s="186"/>
      <c r="BC61" s="186"/>
      <c r="BD61" s="186"/>
      <c r="BE61" s="186"/>
      <c r="BF61" s="186"/>
      <c r="BG61" s="186"/>
      <c r="BH61" s="186"/>
      <c r="BI61" s="186"/>
      <c r="BJ61" s="186"/>
      <c r="BK61" s="186"/>
      <c r="BL61" s="186"/>
      <c r="BM61" s="186"/>
      <c r="BN61" s="186"/>
      <c r="BO61" s="186"/>
      <c r="BP61" s="186"/>
      <c r="BQ61" s="186"/>
      <c r="BR61" s="186"/>
      <c r="BS61" s="186"/>
      <c r="BT61" s="186"/>
      <c r="BW61" s="25">
        <v>13</v>
      </c>
      <c r="BX61" s="128">
        <v>110</v>
      </c>
      <c r="BY61" s="52">
        <f t="shared" si="34"/>
        <v>66</v>
      </c>
      <c r="BZ61" s="52">
        <f t="shared" si="35"/>
        <v>8240</v>
      </c>
      <c r="CA61" s="52">
        <f t="shared" si="36"/>
        <v>8240</v>
      </c>
      <c r="CB61" s="109">
        <f>(BY61-BY60)*(INDEX([2]小r将兵属性验证!V$7:V$166,$BX61,1)+INDEX([2]小r将兵属性验证!$AP$7:$AP$166,$BX61,1))+CB60</f>
        <v>8937788514.2547779</v>
      </c>
      <c r="CC61" s="109">
        <f>(BZ61-BZ60)*INDEX([2]小r将兵属性验证!W$7:W$166,$BX61,1)+CC60</f>
        <v>19775009242.698532</v>
      </c>
      <c r="CD61" s="109">
        <f>(CA61-CA60)*INDEX([2]小r将兵属性验证!X$7:X$166,$BX61,1)+CD60</f>
        <v>19775009242.698532</v>
      </c>
      <c r="CE61" s="52">
        <f t="shared" si="41"/>
        <v>48487806999.65184</v>
      </c>
      <c r="CI61" s="128">
        <v>110</v>
      </c>
      <c r="CJ61" s="75">
        <f t="shared" si="31"/>
        <v>61962300</v>
      </c>
      <c r="CK61" s="75">
        <f>(CJ61-CJ60)*INDEX('[1]功能-付费相关'!$BJ$6:$BJ$165,$CI61,1)+CK60</f>
        <v>1679343.3522551591</v>
      </c>
      <c r="CL61" s="75">
        <f t="shared" si="32"/>
        <v>2478492000</v>
      </c>
      <c r="CM61" s="75">
        <f>(CL61-CL60)*INDEX('[1]功能-付费相关'!$AR$6:$AR$165,$CI61,1)+CM60</f>
        <v>2197058.9189976691</v>
      </c>
      <c r="CO61" s="128">
        <v>110</v>
      </c>
      <c r="CP61" s="138">
        <f t="shared" si="38"/>
        <v>1679343.3522551591</v>
      </c>
      <c r="CQ61" s="138">
        <f t="shared" si="39"/>
        <v>2197058.9189976691</v>
      </c>
      <c r="CR61" s="84">
        <f t="shared" si="40"/>
        <v>3876402.2712528282</v>
      </c>
    </row>
    <row r="62" spans="10:96" x14ac:dyDescent="0.15">
      <c r="J62" s="46">
        <f>INDEX('[1]资源-装备经验'!Y$6:Y$165,(K62+1)/2,1)</f>
        <v>0</v>
      </c>
      <c r="K62" s="53">
        <v>58</v>
      </c>
      <c r="L62" s="121">
        <v>10</v>
      </c>
      <c r="M62" s="122">
        <f t="shared" si="4"/>
        <v>10</v>
      </c>
      <c r="N62" s="120">
        <f t="shared" si="27"/>
        <v>20</v>
      </c>
      <c r="O62" s="120">
        <f t="shared" si="27"/>
        <v>40</v>
      </c>
      <c r="P62" s="120">
        <f t="shared" si="27"/>
        <v>100</v>
      </c>
      <c r="Q62" s="120">
        <f t="shared" si="27"/>
        <v>300</v>
      </c>
      <c r="S62" s="53">
        <v>58</v>
      </c>
      <c r="T62" s="53">
        <f>SUM(M$5:M62)</f>
        <v>335</v>
      </c>
      <c r="U62" s="53">
        <f>SUM(N$5:N62)</f>
        <v>670</v>
      </c>
      <c r="V62" s="53">
        <f>SUM(O$5:O62)</f>
        <v>1340</v>
      </c>
      <c r="W62" s="53">
        <f>SUM(P$5:P62)</f>
        <v>3350</v>
      </c>
      <c r="X62" s="53">
        <f>SUM(Q$5:Q62)</f>
        <v>10050</v>
      </c>
      <c r="Z62" s="47">
        <v>58</v>
      </c>
      <c r="AA62" s="47">
        <f t="shared" si="6"/>
        <v>400</v>
      </c>
      <c r="AB62" s="47">
        <f t="shared" si="7"/>
        <v>800</v>
      </c>
      <c r="AC62" s="47">
        <f t="shared" si="8"/>
        <v>1600</v>
      </c>
      <c r="AD62" s="47">
        <f t="shared" si="9"/>
        <v>4000</v>
      </c>
      <c r="AE62" s="47">
        <f t="shared" si="10"/>
        <v>12000</v>
      </c>
      <c r="AG62" s="47">
        <v>58</v>
      </c>
      <c r="AH62" s="53">
        <f>SUM(AA$5:AA62)</f>
        <v>13400</v>
      </c>
      <c r="AI62" s="53">
        <f>SUM(AB$5:AB62)</f>
        <v>26800</v>
      </c>
      <c r="AJ62" s="53">
        <f>SUM(AC$5:AC62)</f>
        <v>53600</v>
      </c>
      <c r="AK62" s="53">
        <f>SUM(AD$5:AD62)</f>
        <v>134000</v>
      </c>
      <c r="AL62" s="53">
        <f>SUM(AE$5:AE62)</f>
        <v>402000</v>
      </c>
      <c r="AO62" s="46">
        <v>2</v>
      </c>
      <c r="AP62" s="68"/>
      <c r="AQ62" s="190" t="s">
        <v>139</v>
      </c>
      <c r="AR62" s="191"/>
      <c r="AS62" s="191"/>
      <c r="AT62" s="191"/>
      <c r="AU62" s="191"/>
      <c r="AV62" s="192"/>
      <c r="AW62" s="190" t="s">
        <v>149</v>
      </c>
      <c r="AX62" s="191"/>
      <c r="AY62" s="191"/>
      <c r="AZ62" s="191"/>
      <c r="BA62" s="191"/>
      <c r="BB62" s="192"/>
      <c r="BC62" s="190" t="s">
        <v>221</v>
      </c>
      <c r="BD62" s="191"/>
      <c r="BE62" s="191"/>
      <c r="BF62" s="191"/>
      <c r="BG62" s="191"/>
      <c r="BH62" s="192"/>
      <c r="BI62" s="190" t="s">
        <v>222</v>
      </c>
      <c r="BJ62" s="191"/>
      <c r="BK62" s="191"/>
      <c r="BL62" s="191"/>
      <c r="BM62" s="191"/>
      <c r="BN62" s="192"/>
      <c r="BO62" s="193" t="s">
        <v>366</v>
      </c>
      <c r="BP62" s="188"/>
      <c r="BQ62" s="188"/>
      <c r="BR62" s="188"/>
      <c r="BS62" s="188"/>
      <c r="BT62" s="194"/>
      <c r="BW62" s="25">
        <v>14</v>
      </c>
      <c r="BX62" s="128">
        <v>120</v>
      </c>
      <c r="BY62" s="52">
        <f t="shared" si="34"/>
        <v>66</v>
      </c>
      <c r="BZ62" s="52">
        <f t="shared" si="35"/>
        <v>8900</v>
      </c>
      <c r="CA62" s="52">
        <f t="shared" si="36"/>
        <v>8900</v>
      </c>
      <c r="CB62" s="109">
        <f>(BY62-BY61)*(INDEX([2]小r将兵属性验证!V$7:V$166,$BX62,1)+INDEX([2]小r将兵属性验证!$AP$7:$AP$166,$BX62,1))+CB61</f>
        <v>8937788514.2547779</v>
      </c>
      <c r="CC62" s="109">
        <f>(BZ62-BZ61)*INDEX([2]小r将兵属性验证!W$7:W$166,$BX62,1)+CC61</f>
        <v>29591673391.075272</v>
      </c>
      <c r="CD62" s="109">
        <f>(CA62-CA61)*INDEX([2]小r将兵属性验证!X$7:X$166,$BX62,1)+CD61</f>
        <v>29591673391.075272</v>
      </c>
      <c r="CE62" s="52">
        <f t="shared" si="41"/>
        <v>68121135296.405319</v>
      </c>
      <c r="CI62" s="128">
        <v>120</v>
      </c>
      <c r="CJ62" s="75">
        <f t="shared" si="31"/>
        <v>140046300</v>
      </c>
      <c r="CK62" s="75">
        <f>(CJ62-CJ61)*INDEX('[1]功能-付费相关'!$BJ$6:$BJ$165,$CI62,1)+CK61</f>
        <v>3119563.0052407132</v>
      </c>
      <c r="CL62" s="75">
        <f t="shared" si="32"/>
        <v>5601852000</v>
      </c>
      <c r="CM62" s="75">
        <f>(CL62-CL61)*INDEX('[1]功能-付费相关'!$AR$6:$AR$165,$CI62,1)+CM61</f>
        <v>4637183.9189976696</v>
      </c>
      <c r="CO62" s="128">
        <v>120</v>
      </c>
      <c r="CP62" s="138">
        <f t="shared" si="38"/>
        <v>3119563.0052407132</v>
      </c>
      <c r="CQ62" s="138">
        <f t="shared" si="39"/>
        <v>4637183.9189976696</v>
      </c>
      <c r="CR62" s="84">
        <f t="shared" si="40"/>
        <v>7756746.9242383828</v>
      </c>
    </row>
    <row r="63" spans="10:96" x14ac:dyDescent="0.15">
      <c r="J63" s="46">
        <f>INDEX('[1]资源-装备经验'!Y$6:Y$165,(K63+1)/2,1)</f>
        <v>0</v>
      </c>
      <c r="K63" s="53">
        <v>59</v>
      </c>
      <c r="L63" s="121">
        <v>10</v>
      </c>
      <c r="M63" s="122">
        <f t="shared" si="4"/>
        <v>10</v>
      </c>
      <c r="N63" s="120">
        <f t="shared" si="27"/>
        <v>20</v>
      </c>
      <c r="O63" s="120">
        <f t="shared" si="27"/>
        <v>40</v>
      </c>
      <c r="P63" s="120">
        <f t="shared" si="27"/>
        <v>100</v>
      </c>
      <c r="Q63" s="120">
        <f t="shared" si="27"/>
        <v>300</v>
      </c>
      <c r="S63" s="53">
        <v>59</v>
      </c>
      <c r="T63" s="53">
        <f>SUM(M$5:M63)</f>
        <v>345</v>
      </c>
      <c r="U63" s="53">
        <f>SUM(N$5:N63)</f>
        <v>690</v>
      </c>
      <c r="V63" s="53">
        <f>SUM(O$5:O63)</f>
        <v>1380</v>
      </c>
      <c r="W63" s="53">
        <f>SUM(P$5:P63)</f>
        <v>3450</v>
      </c>
      <c r="X63" s="53">
        <f>SUM(Q$5:Q63)</f>
        <v>10350</v>
      </c>
      <c r="Z63" s="47">
        <v>59</v>
      </c>
      <c r="AA63" s="47">
        <f t="shared" si="6"/>
        <v>400</v>
      </c>
      <c r="AB63" s="47">
        <f t="shared" si="7"/>
        <v>800</v>
      </c>
      <c r="AC63" s="47">
        <f t="shared" si="8"/>
        <v>1600</v>
      </c>
      <c r="AD63" s="47">
        <f t="shared" si="9"/>
        <v>4000</v>
      </c>
      <c r="AE63" s="47">
        <f t="shared" si="10"/>
        <v>12000</v>
      </c>
      <c r="AG63" s="47">
        <v>59</v>
      </c>
      <c r="AH63" s="53">
        <f>SUM(AA$5:AA63)</f>
        <v>13800</v>
      </c>
      <c r="AI63" s="53">
        <f>SUM(AB$5:AB63)</f>
        <v>27600</v>
      </c>
      <c r="AJ63" s="53">
        <f>SUM(AC$5:AC63)</f>
        <v>55200</v>
      </c>
      <c r="AK63" s="53">
        <f>SUM(AD$5:AD63)</f>
        <v>138000</v>
      </c>
      <c r="AL63" s="53">
        <f>SUM(AE$5:AE63)</f>
        <v>414000</v>
      </c>
      <c r="AO63" s="46">
        <v>3</v>
      </c>
      <c r="AP63" s="53" t="s">
        <v>398</v>
      </c>
      <c r="AQ63" s="13" t="s">
        <v>179</v>
      </c>
      <c r="AR63" s="53" t="s">
        <v>180</v>
      </c>
      <c r="AS63" s="53" t="s">
        <v>181</v>
      </c>
      <c r="AT63" s="53" t="s">
        <v>182</v>
      </c>
      <c r="AU63" s="53" t="s">
        <v>144</v>
      </c>
      <c r="AV63" s="14" t="s">
        <v>183</v>
      </c>
      <c r="AW63" s="13" t="s">
        <v>179</v>
      </c>
      <c r="AX63" s="53" t="s">
        <v>180</v>
      </c>
      <c r="AY63" s="53" t="s">
        <v>181</v>
      </c>
      <c r="AZ63" s="53" t="s">
        <v>182</v>
      </c>
      <c r="BA63" s="53" t="s">
        <v>187</v>
      </c>
      <c r="BB63" s="14" t="s">
        <v>183</v>
      </c>
      <c r="BC63" s="13" t="s">
        <v>44</v>
      </c>
      <c r="BD63" s="47" t="s">
        <v>45</v>
      </c>
      <c r="BE63" s="47" t="s">
        <v>52</v>
      </c>
      <c r="BF63" s="47" t="s">
        <v>53</v>
      </c>
      <c r="BG63" s="47" t="s">
        <v>126</v>
      </c>
      <c r="BH63" s="14" t="s">
        <v>128</v>
      </c>
      <c r="BI63" s="13" t="s">
        <v>44</v>
      </c>
      <c r="BJ63" s="47" t="s">
        <v>45</v>
      </c>
      <c r="BK63" s="47" t="s">
        <v>52</v>
      </c>
      <c r="BL63" s="47" t="s">
        <v>53</v>
      </c>
      <c r="BM63" s="47" t="s">
        <v>126</v>
      </c>
      <c r="BN63" s="14" t="s">
        <v>128</v>
      </c>
      <c r="BO63" s="13" t="s">
        <v>179</v>
      </c>
      <c r="BP63" s="47" t="s">
        <v>180</v>
      </c>
      <c r="BQ63" s="47" t="s">
        <v>181</v>
      </c>
      <c r="BR63" s="47" t="s">
        <v>182</v>
      </c>
      <c r="BS63" s="37" t="s">
        <v>144</v>
      </c>
      <c r="BT63" s="14" t="s">
        <v>241</v>
      </c>
      <c r="BW63" s="25">
        <v>15</v>
      </c>
      <c r="BX63" s="128">
        <v>130</v>
      </c>
      <c r="BY63" s="52">
        <f t="shared" si="34"/>
        <v>66</v>
      </c>
      <c r="BZ63" s="52">
        <f t="shared" si="35"/>
        <v>9560</v>
      </c>
      <c r="CA63" s="52">
        <f t="shared" si="36"/>
        <v>9560</v>
      </c>
      <c r="CB63" s="109">
        <f>(BY63-BY62)*(INDEX([2]小r将兵属性验证!V$7:V$166,$BX63,1)+INDEX([2]小r将兵属性验证!$AP$7:$AP$166,$BX63,1))+CB62</f>
        <v>8937788514.2547779</v>
      </c>
      <c r="CC63" s="109">
        <f>(BZ63-BZ62)*INDEX([2]小r将兵属性验证!W$7:W$166,$BX63,1)+CC62</f>
        <v>41705640724.201416</v>
      </c>
      <c r="CD63" s="109">
        <f>(CA63-CA62)*INDEX([2]小r将兵属性验证!X$7:X$166,$BX63,1)+CD62</f>
        <v>41705640724.201416</v>
      </c>
      <c r="CE63" s="52">
        <f t="shared" si="41"/>
        <v>92349069962.657608</v>
      </c>
      <c r="CI63" s="128">
        <v>130</v>
      </c>
      <c r="CJ63" s="75">
        <f t="shared" si="31"/>
        <v>320406300</v>
      </c>
      <c r="CK63" s="75">
        <f>(CJ63-CJ62)*INDEX('[1]功能-付费相关'!$BJ$6:$BJ$165,$CI63,1)+CK62</f>
        <v>5848573.3954228982</v>
      </c>
      <c r="CL63" s="75">
        <f t="shared" si="32"/>
        <v>12816252000</v>
      </c>
      <c r="CM63" s="75">
        <f>(CL63-CL62)*INDEX('[1]功能-付费相关'!$AR$6:$AR$165,$CI63,1)+CM62</f>
        <v>9941889.8013506103</v>
      </c>
      <c r="CO63" s="128">
        <v>130</v>
      </c>
      <c r="CP63" s="138">
        <f t="shared" si="38"/>
        <v>5848573.3954228982</v>
      </c>
      <c r="CQ63" s="138">
        <f t="shared" si="39"/>
        <v>9941889.8013506103</v>
      </c>
      <c r="CR63" s="84">
        <f t="shared" si="40"/>
        <v>15790463.196773509</v>
      </c>
    </row>
    <row r="64" spans="10:96" x14ac:dyDescent="0.15">
      <c r="J64" s="46">
        <f>INDEX('[1]资源-装备经验'!Y$6:Y$165,(K64+1)/2,1)</f>
        <v>0</v>
      </c>
      <c r="K64" s="53">
        <v>60</v>
      </c>
      <c r="L64" s="119">
        <v>10</v>
      </c>
      <c r="M64" s="122">
        <f t="shared" si="4"/>
        <v>10</v>
      </c>
      <c r="N64" s="120">
        <f t="shared" si="27"/>
        <v>20</v>
      </c>
      <c r="O64" s="120">
        <f t="shared" si="27"/>
        <v>40</v>
      </c>
      <c r="P64" s="120">
        <f t="shared" si="27"/>
        <v>100</v>
      </c>
      <c r="Q64" s="120">
        <f t="shared" si="27"/>
        <v>300</v>
      </c>
      <c r="S64" s="53">
        <v>60</v>
      </c>
      <c r="T64" s="53">
        <f>SUM(M$5:M64)</f>
        <v>355</v>
      </c>
      <c r="U64" s="53">
        <f>SUM(N$5:N64)</f>
        <v>710</v>
      </c>
      <c r="V64" s="53">
        <f>SUM(O$5:O64)</f>
        <v>1420</v>
      </c>
      <c r="W64" s="53">
        <f>SUM(P$5:P64)</f>
        <v>3550</v>
      </c>
      <c r="X64" s="53">
        <f>SUM(Q$5:Q64)</f>
        <v>10650</v>
      </c>
      <c r="Z64" s="47">
        <v>60</v>
      </c>
      <c r="AA64" s="47">
        <f t="shared" si="6"/>
        <v>400</v>
      </c>
      <c r="AB64" s="47">
        <f t="shared" si="7"/>
        <v>800</v>
      </c>
      <c r="AC64" s="47">
        <f t="shared" si="8"/>
        <v>1600</v>
      </c>
      <c r="AD64" s="47">
        <f t="shared" si="9"/>
        <v>4000</v>
      </c>
      <c r="AE64" s="47">
        <f t="shared" si="10"/>
        <v>12000</v>
      </c>
      <c r="AG64" s="47">
        <v>60</v>
      </c>
      <c r="AH64" s="53">
        <f>SUM(AA$5:AA64)</f>
        <v>14200</v>
      </c>
      <c r="AI64" s="53">
        <f>SUM(AB$5:AB64)</f>
        <v>28400</v>
      </c>
      <c r="AJ64" s="53">
        <f>SUM(AC$5:AC64)</f>
        <v>56800</v>
      </c>
      <c r="AK64" s="53">
        <f>SUM(AD$5:AD64)</f>
        <v>142000</v>
      </c>
      <c r="AL64" s="53">
        <f>SUM(AE$5:AE64)</f>
        <v>426000</v>
      </c>
      <c r="AO64" s="46">
        <v>4</v>
      </c>
      <c r="AP64" s="37">
        <f>节奏预期!B64</f>
        <v>10</v>
      </c>
      <c r="AQ64" s="114">
        <f>IFERROR(INDEX(AH$5:AH$304,MATCH(节奏预期!N64,$AG$5:$AG$304,0))*节奏预期!D64,0)</f>
        <v>24000</v>
      </c>
      <c r="AR64" s="114">
        <f>IFERROR(INDEX(AI$5:AI$304,MATCH(节奏预期!O64,$AG$5:$AG$304,0))*节奏预期!E64,0)</f>
        <v>24000</v>
      </c>
      <c r="AS64" s="114">
        <f>IFERROR(INDEX(AJ$5:AJ$304,MATCH(节奏预期!P64,$AG$5:$AG$304,0))*节奏预期!F64,0)</f>
        <v>0</v>
      </c>
      <c r="AT64" s="114">
        <f>IFERROR(INDEX(AK$5:AK$304,MATCH(节奏预期!Q64,$AG$5:$AG$304,0))*节奏预期!G64,0)</f>
        <v>0</v>
      </c>
      <c r="AU64" s="114">
        <f>IFERROR(INDEX(AL$5:AL$304,MATCH(节奏预期!R64,$AG$5:$AG$304,0))*节奏预期!H64,0)</f>
        <v>0</v>
      </c>
      <c r="AV64" s="137">
        <f>SUM(AQ64:AU64)</f>
        <v>48000</v>
      </c>
      <c r="AW64" s="114">
        <f>IFERROR(INDEX(T$5:T$304,MATCH(节奏预期!N64,$S$5:$S$304,0))*节奏预期!D64,0)</f>
        <v>600</v>
      </c>
      <c r="AX64" s="114">
        <f>IFERROR(INDEX(U$5:U$304,MATCH(节奏预期!O64,$S$5:$S$304,0))*节奏预期!E64,0)</f>
        <v>600</v>
      </c>
      <c r="AY64" s="114">
        <f>IFERROR(INDEX(V$5:V$304,MATCH(节奏预期!P64,$S$5:$S$304,0))*节奏预期!F64,0)</f>
        <v>0</v>
      </c>
      <c r="AZ64" s="114">
        <f>IFERROR(INDEX(W$5:W$304,MATCH(节奏预期!Q64,$S$5:$S$304,0))*节奏预期!G64,0)</f>
        <v>0</v>
      </c>
      <c r="BA64" s="114">
        <f>IFERROR(INDEX(X$5:X$304,MATCH(节奏预期!R64,$S$5:$S$304,0))*节奏预期!H64,0)</f>
        <v>0</v>
      </c>
      <c r="BB64" s="137">
        <f>SUM(AW64:BA64)</f>
        <v>1200</v>
      </c>
      <c r="BC64" s="100">
        <f>IF(节奏预期!N64="","",节奏预期!N64*装备强化!D$8+装备强化!D$5)</f>
        <v>110</v>
      </c>
      <c r="BD64" s="100">
        <f>IF(节奏预期!O64="","",节奏预期!O64*装备强化!E$8+装备强化!E$5)</f>
        <v>200</v>
      </c>
      <c r="BE64" s="100" t="str">
        <f>IF(节奏预期!P64="","",节奏预期!P64*装备强化!F$8+装备强化!F$5)</f>
        <v/>
      </c>
      <c r="BF64" s="100" t="str">
        <f>IF(节奏预期!Q64="","",节奏预期!Q64*装备强化!G$8+装备强化!G$5)</f>
        <v/>
      </c>
      <c r="BG64" s="100" t="str">
        <f>IF(节奏预期!R64="","",节奏预期!R64*装备强化!H$8+装备强化!H$5)</f>
        <v/>
      </c>
      <c r="BH64" s="14">
        <f>SUMPRODUCT(BC64:BG64,节奏预期!$D64:$H64)/SUM(节奏预期!$D64:$H64)</f>
        <v>140</v>
      </c>
      <c r="BI64" s="13">
        <f>IF(节奏预期!N64="","",节奏预期!N64*装备强化!D$9+装备强化!D$6)</f>
        <v>110</v>
      </c>
      <c r="BJ64" s="100">
        <f>IF(节奏预期!O64="","",节奏预期!O64*装备强化!E$9+装备强化!E$6)</f>
        <v>200</v>
      </c>
      <c r="BK64" s="100" t="str">
        <f>IF(节奏预期!P64="","",节奏预期!P64*装备强化!F$9+装备强化!F$6)</f>
        <v/>
      </c>
      <c r="BL64" s="100" t="str">
        <f>IF(节奏预期!Q64="","",节奏预期!Q64*装备强化!G$9+装备强化!G$6)</f>
        <v/>
      </c>
      <c r="BM64" s="100" t="str">
        <f>IF(节奏预期!R64="","",节奏预期!R64*装备强化!H$9+装备强化!H$6)</f>
        <v/>
      </c>
      <c r="BN64" s="14">
        <f>SUMPRODUCT(BI64:BM64,节奏预期!$D64:$H64)/SUM(节奏预期!$D64:$H64)</f>
        <v>140</v>
      </c>
      <c r="BO64" s="79">
        <f>IF(节奏预期!D64="","",IF(节奏预期!I64="",0,装备强化!D$4*节奏预期!I64))</f>
        <v>3.6</v>
      </c>
      <c r="BP64" s="94">
        <f>IF(节奏预期!E64="","",IF(节奏预期!J64="",0,装备强化!E$4*节奏预期!J64))</f>
        <v>5.6</v>
      </c>
      <c r="BQ64" s="94">
        <f>IF(节奏预期!F64="","",IF(节奏预期!K64="",0,装备强化!F$4*节奏预期!K64))</f>
        <v>10.799999999999999</v>
      </c>
      <c r="BR64" s="94">
        <f>IF(节奏预期!G64="","",IF(节奏预期!L64="",0,装备强化!G$4*节奏预期!L64))</f>
        <v>18.700000000000003</v>
      </c>
      <c r="BS64" s="94">
        <f>IF(节奏预期!H64="","",IF(节奏预期!M64="",0,装备强化!H$4*节奏预期!M64))</f>
        <v>31.68</v>
      </c>
      <c r="BT64" s="80">
        <f>SUMPRODUCT(BO64:BS64,节奏预期!D64:H64)/SUM(节奏预期!D64:H64)</f>
        <v>4.2666666666666666</v>
      </c>
      <c r="BW64" s="25">
        <v>16</v>
      </c>
      <c r="BX64" s="128">
        <v>140</v>
      </c>
      <c r="BY64" s="52">
        <f t="shared" si="34"/>
        <v>66</v>
      </c>
      <c r="BZ64" s="52">
        <f t="shared" si="35"/>
        <v>10220</v>
      </c>
      <c r="CA64" s="52">
        <f t="shared" si="36"/>
        <v>10220</v>
      </c>
      <c r="CB64" s="109">
        <f>(BY64-BY63)*(INDEX([2]小r将兵属性验证!V$7:V$166,$BX64,1)+INDEX([2]小r将兵属性验证!$AP$7:$AP$166,$BX64,1))+CB63</f>
        <v>8937788514.2547779</v>
      </c>
      <c r="CC64" s="109">
        <f>(BZ64-BZ63)*INDEX([2]小r将兵属性验证!W$7:W$166,$BX64,1)+CC63</f>
        <v>56358319047.837807</v>
      </c>
      <c r="CD64" s="109">
        <f>(CA64-CA63)*INDEX([2]小r将兵属性验证!X$7:X$166,$BX64,1)+CD63</f>
        <v>56358319047.837807</v>
      </c>
      <c r="CE64" s="52">
        <f t="shared" si="41"/>
        <v>121654426609.93039</v>
      </c>
      <c r="CI64" s="128">
        <v>140</v>
      </c>
      <c r="CJ64" s="75">
        <f t="shared" si="31"/>
        <v>779406300</v>
      </c>
      <c r="CK64" s="75">
        <f>(CJ64-CJ63)*INDEX('[1]功能-付费相关'!$BJ$6:$BJ$165,$CI64,1)+CK63</f>
        <v>11545963.152424246</v>
      </c>
      <c r="CL64" s="75">
        <f t="shared" si="32"/>
        <v>31176252000</v>
      </c>
      <c r="CM64" s="75">
        <f>(CL64-CL63)*INDEX('[1]功能-付费相关'!$AR$6:$AR$165,$CI64,1)+CM63</f>
        <v>22691889.801350608</v>
      </c>
      <c r="CO64" s="128">
        <v>140</v>
      </c>
      <c r="CP64" s="138">
        <f t="shared" si="38"/>
        <v>11545963.152424246</v>
      </c>
      <c r="CQ64" s="138">
        <f t="shared" si="39"/>
        <v>22691889.801350608</v>
      </c>
      <c r="CR64" s="84">
        <f t="shared" si="40"/>
        <v>34237852.953774855</v>
      </c>
    </row>
    <row r="65" spans="10:96" x14ac:dyDescent="0.15">
      <c r="J65" s="46">
        <f>INDEX('[1]资源-装备经验'!Y$6:Y$165,(K65+1)/2,1)</f>
        <v>0</v>
      </c>
      <c r="K65" s="53">
        <v>61</v>
      </c>
      <c r="L65" s="121">
        <v>10</v>
      </c>
      <c r="M65" s="122">
        <f t="shared" si="4"/>
        <v>10</v>
      </c>
      <c r="N65" s="120">
        <f t="shared" si="27"/>
        <v>20</v>
      </c>
      <c r="O65" s="120">
        <f t="shared" si="27"/>
        <v>40</v>
      </c>
      <c r="P65" s="120">
        <f t="shared" si="27"/>
        <v>100</v>
      </c>
      <c r="Q65" s="120">
        <f t="shared" si="27"/>
        <v>300</v>
      </c>
      <c r="S65" s="53">
        <v>61</v>
      </c>
      <c r="T65" s="53">
        <f>SUM(M$5:M65)</f>
        <v>365</v>
      </c>
      <c r="U65" s="53">
        <f>SUM(N$5:N65)</f>
        <v>730</v>
      </c>
      <c r="V65" s="53">
        <f>SUM(O$5:O65)</f>
        <v>1460</v>
      </c>
      <c r="W65" s="53">
        <f>SUM(P$5:P65)</f>
        <v>3650</v>
      </c>
      <c r="X65" s="53">
        <f>SUM(Q$5:Q65)</f>
        <v>10950</v>
      </c>
      <c r="Z65" s="47">
        <v>61</v>
      </c>
      <c r="AA65" s="47">
        <f t="shared" si="6"/>
        <v>400</v>
      </c>
      <c r="AB65" s="47">
        <f t="shared" si="7"/>
        <v>800</v>
      </c>
      <c r="AC65" s="47">
        <f t="shared" si="8"/>
        <v>1600</v>
      </c>
      <c r="AD65" s="47">
        <f t="shared" si="9"/>
        <v>4000</v>
      </c>
      <c r="AE65" s="47">
        <f t="shared" si="10"/>
        <v>12000</v>
      </c>
      <c r="AG65" s="47">
        <v>61</v>
      </c>
      <c r="AH65" s="53">
        <f>SUM(AA$5:AA65)</f>
        <v>14600</v>
      </c>
      <c r="AI65" s="53">
        <f>SUM(AB$5:AB65)</f>
        <v>29200</v>
      </c>
      <c r="AJ65" s="53">
        <f>SUM(AC$5:AC65)</f>
        <v>58400</v>
      </c>
      <c r="AK65" s="53">
        <f>SUM(AD$5:AD65)</f>
        <v>146000</v>
      </c>
      <c r="AL65" s="53">
        <f>SUM(AE$5:AE65)</f>
        <v>438000</v>
      </c>
      <c r="AO65" s="46">
        <v>5</v>
      </c>
      <c r="AP65" s="37">
        <f>节奏预期!B65</f>
        <v>20</v>
      </c>
      <c r="AQ65" s="114">
        <f>IFERROR(INDEX(AH$5:AH$304,MATCH(节奏预期!N65,$AG$5:$AG$304,0))*节奏预期!D65,0)</f>
        <v>0</v>
      </c>
      <c r="AR65" s="114">
        <f>IFERROR(INDEX(AI$5:AI$304,MATCH(节奏预期!O65,$AG$5:$AG$304,0))*节奏预期!E65,0)</f>
        <v>156000</v>
      </c>
      <c r="AS65" s="114">
        <f>IFERROR(INDEX(AJ$5:AJ$304,MATCH(节奏预期!P65,$AG$5:$AG$304,0))*节奏预期!F65,0)</f>
        <v>120000</v>
      </c>
      <c r="AT65" s="114">
        <f>IFERROR(INDEX(AK$5:AK$304,MATCH(节奏预期!Q65,$AG$5:$AG$304,0))*节奏预期!G65,0)</f>
        <v>0</v>
      </c>
      <c r="AU65" s="114">
        <f>IFERROR(INDEX(AL$5:AL$304,MATCH(节奏预期!R65,$AG$5:$AG$304,0))*节奏预期!H65,0)</f>
        <v>0</v>
      </c>
      <c r="AV65" s="136">
        <f>MAX(SUM(AQ65:AU65),AV64)</f>
        <v>276000</v>
      </c>
      <c r="AW65" s="114">
        <f>IFERROR(INDEX(T$5:T$304,MATCH(节奏预期!N65,$S$5:$S$304,0))*节奏预期!D65,0)</f>
        <v>0</v>
      </c>
      <c r="AX65" s="114">
        <f>IFERROR(INDEX(U$5:U$304,MATCH(节奏预期!O65,$S$5:$S$304,0))*节奏预期!E65,0)</f>
        <v>3900</v>
      </c>
      <c r="AY65" s="114">
        <f>IFERROR(INDEX(V$5:V$304,MATCH(节奏预期!P65,$S$5:$S$304,0))*节奏预期!F65,0)</f>
        <v>3000</v>
      </c>
      <c r="AZ65" s="114">
        <f>IFERROR(INDEX(W$5:W$304,MATCH(节奏预期!Q65,$S$5:$S$304,0))*节奏预期!G65,0)</f>
        <v>0</v>
      </c>
      <c r="BA65" s="114">
        <f>IFERROR(INDEX(X$5:X$304,MATCH(节奏预期!R65,$S$5:$S$304,0))*节奏预期!H65,0)</f>
        <v>0</v>
      </c>
      <c r="BB65" s="136">
        <f>MAX(SUM(AW65:BA65),BB64)</f>
        <v>6900</v>
      </c>
      <c r="BC65" s="100">
        <f>IF(节奏预期!N65="","",节奏预期!N65*装备强化!D$8+装备强化!D$5)</f>
        <v>140</v>
      </c>
      <c r="BD65" s="100">
        <f>IF(节奏预期!O65="","",节奏预期!O65*装备强化!E$8+装备强化!E$5)</f>
        <v>320</v>
      </c>
      <c r="BE65" s="100">
        <f>IF(节奏预期!P65="","",节奏预期!P65*装备强化!F$8+装备强化!F$5)</f>
        <v>620</v>
      </c>
      <c r="BF65" s="100" t="str">
        <f>IF(节奏预期!Q65="","",节奏预期!Q65*装备强化!G$8+装备强化!G$5)</f>
        <v/>
      </c>
      <c r="BG65" s="100" t="str">
        <f>IF(节奏预期!R65="","",节奏预期!R65*装备强化!H$8+装备强化!H$5)</f>
        <v/>
      </c>
      <c r="BH65" s="14">
        <f>SUMPRODUCT(BC65:BG65,节奏预期!$D65:$H65)/SUM(节奏预期!$D65:$H65)</f>
        <v>403.33333333333331</v>
      </c>
      <c r="BI65" s="13">
        <f>IF(节奏预期!N65="","",节奏预期!N65*装备强化!D$9+装备强化!D$6)</f>
        <v>140</v>
      </c>
      <c r="BJ65" s="100">
        <f>IF(节奏预期!O65="","",节奏预期!O65*装备强化!E$9+装备强化!E$6)</f>
        <v>320</v>
      </c>
      <c r="BK65" s="100">
        <f>IF(节奏预期!P65="","",节奏预期!P65*装备强化!F$9+装备强化!F$6)</f>
        <v>620</v>
      </c>
      <c r="BL65" s="100" t="str">
        <f>IF(节奏预期!Q65="","",节奏预期!Q65*装备强化!G$9+装备强化!G$6)</f>
        <v/>
      </c>
      <c r="BM65" s="100" t="str">
        <f>IF(节奏预期!R65="","",节奏预期!R65*装备强化!H$9+装备强化!H$6)</f>
        <v/>
      </c>
      <c r="BN65" s="14">
        <f>SUMPRODUCT(BI65:BM65,节奏预期!$D65:$H65)/SUM(节奏预期!$D65:$H65)</f>
        <v>403.33333333333331</v>
      </c>
      <c r="BO65" s="94">
        <f>IF(节奏预期!D65="","",IF(节奏预期!I65="",0,装备强化!D$4*节奏预期!I65))</f>
        <v>3.6</v>
      </c>
      <c r="BP65" s="94">
        <f>IF(节奏预期!E65="","",IF(节奏预期!J65="",0,装备强化!E$4*节奏预期!J65))</f>
        <v>6.8</v>
      </c>
      <c r="BQ65" s="94">
        <f>IF(节奏预期!F65="","",IF(节奏预期!K65="",0,装备强化!F$4*节奏预期!K65))</f>
        <v>12.6</v>
      </c>
      <c r="BR65" s="94">
        <f>IF(节奏预期!G65="","",IF(节奏预期!L65="",0,装备强化!G$4*节奏预期!L65))</f>
        <v>21.25</v>
      </c>
      <c r="BS65" s="94">
        <f>IF(节奏预期!H65="","",IF(节奏预期!M65="",0,装备强化!H$4*节奏预期!M65))</f>
        <v>35.970000000000006</v>
      </c>
      <c r="BT65" s="80">
        <f>SUMPRODUCT(BO65:BS65,节奏预期!D65:H65)/SUM(节奏预期!D65:H65)</f>
        <v>8.4111111111111097</v>
      </c>
      <c r="BW65" s="25">
        <v>17</v>
      </c>
      <c r="BX65" s="128">
        <v>150</v>
      </c>
      <c r="BY65" s="52">
        <f t="shared" si="34"/>
        <v>66</v>
      </c>
      <c r="BZ65" s="52">
        <f t="shared" si="35"/>
        <v>10880</v>
      </c>
      <c r="CA65" s="52">
        <f t="shared" si="36"/>
        <v>10880</v>
      </c>
      <c r="CB65" s="109">
        <f>(BY65-BY64)*(INDEX([2]小r将兵属性验证!V$7:V$166,$BX65,1)+INDEX([2]小r将兵属性验证!$AP$7:$AP$166,$BX65,1))+CB64</f>
        <v>8937788514.2547779</v>
      </c>
      <c r="CC65" s="109">
        <f>(BZ65-BZ64)*INDEX([2]小r将兵属性验证!W$7:W$166,$BX65,1)+CC64</f>
        <v>74756755673.789963</v>
      </c>
      <c r="CD65" s="109">
        <f>(CA65-CA64)*INDEX([2]小r将兵属性验证!X$7:X$166,$BX65,1)+CD64</f>
        <v>74756755673.789963</v>
      </c>
      <c r="CE65" s="52">
        <f t="shared" si="41"/>
        <v>158451299861.83472</v>
      </c>
      <c r="CI65" s="128">
        <v>150</v>
      </c>
      <c r="CJ65" s="75">
        <f t="shared" si="31"/>
        <v>1881006300</v>
      </c>
      <c r="CK65" s="75">
        <f>(CJ65-CJ64)*INDEX('[1]功能-付费相关'!$BJ$6:$BJ$165,$CI65,1)+CK64</f>
        <v>22763188.754541479</v>
      </c>
      <c r="CL65" s="75">
        <f t="shared" si="32"/>
        <v>75240252000</v>
      </c>
      <c r="CM65" s="75">
        <f>(CL65-CL64)*INDEX('[1]功能-付费相关'!$AR$6:$AR$165,$CI65,1)+CM64</f>
        <v>51681363.485561132</v>
      </c>
      <c r="CO65" s="128">
        <v>150</v>
      </c>
      <c r="CP65" s="138">
        <f t="shared" si="38"/>
        <v>22763188.754541479</v>
      </c>
      <c r="CQ65" s="138">
        <f t="shared" si="39"/>
        <v>51681363.485561132</v>
      </c>
      <c r="CR65" s="84">
        <f t="shared" si="40"/>
        <v>74444552.240102619</v>
      </c>
    </row>
    <row r="66" spans="10:96" x14ac:dyDescent="0.15">
      <c r="J66" s="46">
        <f>INDEX('[1]资源-装备经验'!Y$6:Y$165,(K66+1)/2,1)</f>
        <v>0</v>
      </c>
      <c r="K66" s="53">
        <v>62</v>
      </c>
      <c r="L66" s="121">
        <v>10</v>
      </c>
      <c r="M66" s="122">
        <f t="shared" si="4"/>
        <v>10</v>
      </c>
      <c r="N66" s="120">
        <f t="shared" si="27"/>
        <v>20</v>
      </c>
      <c r="O66" s="120">
        <f t="shared" si="27"/>
        <v>40</v>
      </c>
      <c r="P66" s="120">
        <f t="shared" si="27"/>
        <v>100</v>
      </c>
      <c r="Q66" s="120">
        <f t="shared" si="27"/>
        <v>300</v>
      </c>
      <c r="S66" s="53">
        <v>62</v>
      </c>
      <c r="T66" s="53">
        <f>SUM(M$5:M66)</f>
        <v>375</v>
      </c>
      <c r="U66" s="53">
        <f>SUM(N$5:N66)</f>
        <v>750</v>
      </c>
      <c r="V66" s="53">
        <f>SUM(O$5:O66)</f>
        <v>1500</v>
      </c>
      <c r="W66" s="53">
        <f>SUM(P$5:P66)</f>
        <v>3750</v>
      </c>
      <c r="X66" s="53">
        <f>SUM(Q$5:Q66)</f>
        <v>11250</v>
      </c>
      <c r="Z66" s="47">
        <v>62</v>
      </c>
      <c r="AA66" s="47">
        <f t="shared" si="6"/>
        <v>400</v>
      </c>
      <c r="AB66" s="47">
        <f t="shared" si="7"/>
        <v>800</v>
      </c>
      <c r="AC66" s="47">
        <f t="shared" si="8"/>
        <v>1600</v>
      </c>
      <c r="AD66" s="47">
        <f t="shared" si="9"/>
        <v>4000</v>
      </c>
      <c r="AE66" s="47">
        <f t="shared" si="10"/>
        <v>12000</v>
      </c>
      <c r="AG66" s="47">
        <v>62</v>
      </c>
      <c r="AH66" s="53">
        <f>SUM(AA$5:AA66)</f>
        <v>15000</v>
      </c>
      <c r="AI66" s="53">
        <f>SUM(AB$5:AB66)</f>
        <v>30000</v>
      </c>
      <c r="AJ66" s="53">
        <f>SUM(AC$5:AC66)</f>
        <v>60000</v>
      </c>
      <c r="AK66" s="53">
        <f>SUM(AD$5:AD66)</f>
        <v>150000</v>
      </c>
      <c r="AL66" s="53">
        <f>SUM(AE$5:AE66)</f>
        <v>450000</v>
      </c>
      <c r="AO66" s="46">
        <v>6</v>
      </c>
      <c r="AP66" s="37">
        <f>节奏预期!B66</f>
        <v>30</v>
      </c>
      <c r="AQ66" s="114">
        <f>IFERROR(INDEX(AH$5:AH$304,MATCH(节奏预期!N66,$AG$5:$AG$304,0))*节奏预期!D66,0)</f>
        <v>0</v>
      </c>
      <c r="AR66" s="114">
        <f>IFERROR(INDEX(AI$5:AI$304,MATCH(节奏预期!O66,$AG$5:$AG$304,0))*节奏预期!E66,0)</f>
        <v>0</v>
      </c>
      <c r="AS66" s="114">
        <f>IFERROR(INDEX(AJ$5:AJ$304,MATCH(节奏预期!P66,$AG$5:$AG$304,0))*节奏预期!F66,0)</f>
        <v>908800</v>
      </c>
      <c r="AT66" s="114">
        <f>IFERROR(INDEX(AK$5:AK$304,MATCH(节奏预期!Q66,$AG$5:$AG$304,0))*节奏预期!G66,0)</f>
        <v>284000</v>
      </c>
      <c r="AU66" s="114">
        <f>IFERROR(INDEX(AL$5:AL$304,MATCH(节奏预期!R66,$AG$5:$AG$304,0))*节奏预期!H66,0)</f>
        <v>0</v>
      </c>
      <c r="AV66" s="136">
        <f t="shared" ref="AV66:AV79" si="42">MAX(SUM(AQ66:AU66),AV65)</f>
        <v>1192800</v>
      </c>
      <c r="AW66" s="114">
        <f>IFERROR(INDEX(T$5:T$304,MATCH(节奏预期!N66,$S$5:$S$304,0))*节奏预期!D66,0)</f>
        <v>0</v>
      </c>
      <c r="AX66" s="114">
        <f>IFERROR(INDEX(U$5:U$304,MATCH(节奏预期!O66,$S$5:$S$304,0))*节奏预期!E66,0)</f>
        <v>0</v>
      </c>
      <c r="AY66" s="114">
        <f>IFERROR(INDEX(V$5:V$304,MATCH(节奏预期!P66,$S$5:$S$304,0))*节奏预期!F66,0)</f>
        <v>22720</v>
      </c>
      <c r="AZ66" s="114">
        <f>IFERROR(INDEX(W$5:W$304,MATCH(节奏预期!Q66,$S$5:$S$304,0))*节奏预期!G66,0)</f>
        <v>7100</v>
      </c>
      <c r="BA66" s="114">
        <f>IFERROR(INDEX(X$5:X$304,MATCH(节奏预期!R66,$S$5:$S$304,0))*节奏预期!H66,0)</f>
        <v>0</v>
      </c>
      <c r="BB66" s="136">
        <f t="shared" ref="BB66:BB79" si="43">MAX(SUM(AW66:BA66),BB65)</f>
        <v>29820</v>
      </c>
      <c r="BC66" s="100" t="str">
        <f>IF(节奏预期!N66="","",节奏预期!N66*装备强化!D$8+装备强化!D$5)</f>
        <v/>
      </c>
      <c r="BD66" s="100">
        <f>IF(节奏预期!O66="","",节奏预期!O66*装备强化!E$8+装备强化!E$5)</f>
        <v>380</v>
      </c>
      <c r="BE66" s="100">
        <f>IF(节奏预期!P66="","",节奏预期!P66*装备强化!F$8+装备强化!F$5)</f>
        <v>980</v>
      </c>
      <c r="BF66" s="100">
        <f>IF(节奏预期!Q66="","",节奏预期!Q66*装备强化!G$8+装备强化!G$5)</f>
        <v>1760</v>
      </c>
      <c r="BG66" s="100" t="str">
        <f>IF(节奏预期!R66="","",节奏预期!R66*装备强化!H$8+装备强化!H$5)</f>
        <v/>
      </c>
      <c r="BH66" s="14">
        <f>SUMPRODUCT(BC66:BG66,节奏预期!$D66:$H66)/SUM(节奏预期!$D66:$H66)</f>
        <v>1066.6666666666667</v>
      </c>
      <c r="BI66" s="13" t="str">
        <f>IF(节奏预期!N66="","",节奏预期!N66*装备强化!D$9+装备强化!D$6)</f>
        <v/>
      </c>
      <c r="BJ66" s="100">
        <f>IF(节奏预期!O66="","",节奏预期!O66*装备强化!E$9+装备强化!E$6)</f>
        <v>380</v>
      </c>
      <c r="BK66" s="100">
        <f>IF(节奏预期!P66="","",节奏预期!P66*装备强化!F$9+装备强化!F$6)</f>
        <v>980</v>
      </c>
      <c r="BL66" s="100">
        <f>IF(节奏预期!Q66="","",节奏预期!Q66*装备强化!G$9+装备强化!G$6)</f>
        <v>1760</v>
      </c>
      <c r="BM66" s="100" t="str">
        <f>IF(节奏预期!R66="","",节奏预期!R66*装备强化!H$9+装备强化!H$6)</f>
        <v/>
      </c>
      <c r="BN66" s="14">
        <f>SUMPRODUCT(BI66:BM66,节奏预期!$D66:$H66)/SUM(节奏预期!$D66:$H66)</f>
        <v>1066.6666666666667</v>
      </c>
      <c r="BO66" s="94">
        <f>IF(节奏预期!D66="","",IF(节奏预期!I66="",0,装备强化!D$4*节奏预期!I66))</f>
        <v>3.6</v>
      </c>
      <c r="BP66" s="94">
        <f>IF(节奏预期!E66="","",IF(节奏预期!J66="",0,装备强化!E$4*节奏预期!J66))</f>
        <v>8</v>
      </c>
      <c r="BQ66" s="94">
        <f>IF(节奏预期!F66="","",IF(节奏预期!K66="",0,装备强化!F$4*节奏预期!K66))</f>
        <v>14.4</v>
      </c>
      <c r="BR66" s="94">
        <f>IF(节奏预期!G66="","",IF(节奏预期!L66="",0,装备强化!G$4*节奏预期!L66))</f>
        <v>23.799999999999997</v>
      </c>
      <c r="BS66" s="94">
        <f>IF(节奏预期!H66="","",IF(节奏预期!M66="",0,装备强化!H$4*节奏预期!M66))</f>
        <v>40.26</v>
      </c>
      <c r="BT66" s="80">
        <f>SUMPRODUCT(BO66:BS66,节奏预期!D66:H66)/SUM(节奏预期!D66:H66)</f>
        <v>15.444444444444445</v>
      </c>
      <c r="BW66" s="25">
        <v>18</v>
      </c>
      <c r="BX66" s="128">
        <v>160</v>
      </c>
      <c r="BY66" s="52">
        <f t="shared" si="34"/>
        <v>66</v>
      </c>
      <c r="BZ66" s="52">
        <f t="shared" si="35"/>
        <v>11540</v>
      </c>
      <c r="CA66" s="52">
        <f t="shared" si="36"/>
        <v>11540</v>
      </c>
      <c r="CB66" s="109">
        <f>(BY66-BY65)*(INDEX([2]小r将兵属性验证!V$7:V$166,$BX66,1)+INDEX([2]小r将兵属性验证!$AP$7:$AP$166,$BX66,1))+CB65</f>
        <v>8937788514.2547779</v>
      </c>
      <c r="CC66" s="109">
        <f>(BZ66-BZ65)*INDEX([2]小r将兵属性验证!W$7:W$166,$BX66,1)+CC65</f>
        <v>95953666621.157318</v>
      </c>
      <c r="CD66" s="109">
        <f>(CA66-CA65)*INDEX([2]小r将兵属性验证!X$7:X$166,$BX66,1)+CD65</f>
        <v>95953666621.157318</v>
      </c>
      <c r="CE66" s="52">
        <f t="shared" si="41"/>
        <v>200845121756.5694</v>
      </c>
      <c r="CI66" s="128">
        <v>160</v>
      </c>
      <c r="CJ66" s="75">
        <f t="shared" si="31"/>
        <v>1881006300</v>
      </c>
      <c r="CK66" s="75">
        <f>(CJ66-CJ65)*INDEX('[1]功能-付费相关'!$BJ$6:$BJ$165,$CI66,1)+CK65</f>
        <v>22763188.754541479</v>
      </c>
      <c r="CL66" s="75">
        <f t="shared" si="32"/>
        <v>75240252000</v>
      </c>
      <c r="CM66" s="75">
        <f>(CL66-CL65)*INDEX('[1]功能-付费相关'!$AR$6:$AR$165,$CI66,1)+CM65</f>
        <v>51681363.485561132</v>
      </c>
      <c r="CO66" s="128">
        <v>160</v>
      </c>
      <c r="CP66" s="138">
        <f t="shared" si="38"/>
        <v>22763188.754541479</v>
      </c>
      <c r="CQ66" s="138">
        <f t="shared" si="39"/>
        <v>51681363.485561132</v>
      </c>
      <c r="CR66" s="84">
        <f t="shared" si="40"/>
        <v>74444552.240102619</v>
      </c>
    </row>
    <row r="67" spans="10:96" x14ac:dyDescent="0.15">
      <c r="J67" s="46">
        <f>INDEX('[1]资源-装备经验'!Y$6:Y$165,(K67+1)/2,1)</f>
        <v>0</v>
      </c>
      <c r="K67" s="53">
        <v>63</v>
      </c>
      <c r="L67" s="121">
        <v>10</v>
      </c>
      <c r="M67" s="122">
        <f t="shared" si="4"/>
        <v>10</v>
      </c>
      <c r="N67" s="120">
        <f t="shared" si="27"/>
        <v>20</v>
      </c>
      <c r="O67" s="120">
        <f t="shared" si="27"/>
        <v>40</v>
      </c>
      <c r="P67" s="120">
        <f t="shared" si="27"/>
        <v>100</v>
      </c>
      <c r="Q67" s="120">
        <f t="shared" si="27"/>
        <v>300</v>
      </c>
      <c r="S67" s="53">
        <v>63</v>
      </c>
      <c r="T67" s="53">
        <f>SUM(M$5:M67)</f>
        <v>385</v>
      </c>
      <c r="U67" s="53">
        <f>SUM(N$5:N67)</f>
        <v>770</v>
      </c>
      <c r="V67" s="53">
        <f>SUM(O$5:O67)</f>
        <v>1540</v>
      </c>
      <c r="W67" s="53">
        <f>SUM(P$5:P67)</f>
        <v>3850</v>
      </c>
      <c r="X67" s="53">
        <f>SUM(Q$5:Q67)</f>
        <v>11550</v>
      </c>
      <c r="Z67" s="47">
        <v>63</v>
      </c>
      <c r="AA67" s="47">
        <f t="shared" si="6"/>
        <v>400</v>
      </c>
      <c r="AB67" s="47">
        <f t="shared" si="7"/>
        <v>800</v>
      </c>
      <c r="AC67" s="47">
        <f t="shared" si="8"/>
        <v>1600</v>
      </c>
      <c r="AD67" s="47">
        <f t="shared" si="9"/>
        <v>4000</v>
      </c>
      <c r="AE67" s="47">
        <f t="shared" si="10"/>
        <v>12000</v>
      </c>
      <c r="AG67" s="47">
        <v>63</v>
      </c>
      <c r="AH67" s="53">
        <f>SUM(AA$5:AA67)</f>
        <v>15400</v>
      </c>
      <c r="AI67" s="53">
        <f>SUM(AB$5:AB67)</f>
        <v>30800</v>
      </c>
      <c r="AJ67" s="53">
        <f>SUM(AC$5:AC67)</f>
        <v>61600</v>
      </c>
      <c r="AK67" s="53">
        <f>SUM(AD$5:AD67)</f>
        <v>154000</v>
      </c>
      <c r="AL67" s="53">
        <f>SUM(AE$5:AE67)</f>
        <v>462000</v>
      </c>
      <c r="AO67" s="46">
        <v>7</v>
      </c>
      <c r="AP67" s="37">
        <f>节奏预期!B67</f>
        <v>40</v>
      </c>
      <c r="AQ67" s="114">
        <f>IFERROR(INDEX(AH$5:AH$304,MATCH(节奏预期!N67,$AG$5:$AG$304,0))*节奏预期!D67,0)</f>
        <v>0</v>
      </c>
      <c r="AR67" s="114">
        <f>IFERROR(INDEX(AI$5:AI$304,MATCH(节奏预期!O67,$AG$5:$AG$304,0))*节奏预期!E67,0)</f>
        <v>0</v>
      </c>
      <c r="AS67" s="114">
        <f>IFERROR(INDEX(AJ$5:AJ$304,MATCH(节奏预期!P67,$AG$5:$AG$304,0))*节奏预期!F67,0)</f>
        <v>0</v>
      </c>
      <c r="AT67" s="114">
        <f>IFERROR(INDEX(AK$5:AK$304,MATCH(节奏预期!Q67,$AG$5:$AG$304,0))*节奏预期!G67,0)</f>
        <v>4320000</v>
      </c>
      <c r="AU67" s="114">
        <f>IFERROR(INDEX(AL$5:AL$304,MATCH(节奏预期!R67,$AG$5:$AG$304,0))*节奏预期!H67,0)</f>
        <v>0</v>
      </c>
      <c r="AV67" s="136">
        <f t="shared" si="42"/>
        <v>4320000</v>
      </c>
      <c r="AW67" s="114">
        <f>IFERROR(INDEX(T$5:T$304,MATCH(节奏预期!N67,$S$5:$S$304,0))*节奏预期!D67,0)</f>
        <v>0</v>
      </c>
      <c r="AX67" s="114">
        <f>IFERROR(INDEX(U$5:U$304,MATCH(节奏预期!O67,$S$5:$S$304,0))*节奏预期!E67,0)</f>
        <v>0</v>
      </c>
      <c r="AY67" s="114">
        <f>IFERROR(INDEX(V$5:V$304,MATCH(节奏预期!P67,$S$5:$S$304,0))*节奏预期!F67,0)</f>
        <v>0</v>
      </c>
      <c r="AZ67" s="114">
        <f>IFERROR(INDEX(W$5:W$304,MATCH(节奏预期!Q67,$S$5:$S$304,0))*节奏预期!G67,0)</f>
        <v>108000</v>
      </c>
      <c r="BA67" s="114">
        <f>IFERROR(INDEX(X$5:X$304,MATCH(节奏预期!R67,$S$5:$S$304,0))*节奏预期!H67,0)</f>
        <v>0</v>
      </c>
      <c r="BB67" s="136">
        <f t="shared" si="43"/>
        <v>108000</v>
      </c>
      <c r="BC67" s="100" t="str">
        <f>IF(节奏预期!N67="","",节奏预期!N67*装备强化!D$8+装备强化!D$5)</f>
        <v/>
      </c>
      <c r="BD67" s="100">
        <f>IF(节奏预期!O67="","",节奏预期!O67*装备强化!E$8+装备强化!E$5)</f>
        <v>380</v>
      </c>
      <c r="BE67" s="100">
        <f>IF(节奏预期!P67="","",节奏预期!P67*装备强化!F$8+装备强化!F$5)</f>
        <v>1220</v>
      </c>
      <c r="BF67" s="100">
        <f>IF(节奏预期!Q67="","",节奏预期!Q67*装备强化!G$8+装备强化!G$5)</f>
        <v>2180</v>
      </c>
      <c r="BG67" s="100" t="str">
        <f>IF(节奏预期!R67="","",节奏预期!R67*装备强化!H$8+装备强化!H$5)</f>
        <v/>
      </c>
      <c r="BH67" s="14">
        <f>SUMPRODUCT(BC67:BG67,节奏预期!$D67:$H67)/SUM(节奏预期!$D67:$H67)</f>
        <v>2180</v>
      </c>
      <c r="BI67" s="13" t="str">
        <f>IF(节奏预期!N67="","",节奏预期!N67*装备强化!D$9+装备强化!D$6)</f>
        <v/>
      </c>
      <c r="BJ67" s="100">
        <f>IF(节奏预期!O67="","",节奏预期!O67*装备强化!E$9+装备强化!E$6)</f>
        <v>380</v>
      </c>
      <c r="BK67" s="100">
        <f>IF(节奏预期!P67="","",节奏预期!P67*装备强化!F$9+装备强化!F$6)</f>
        <v>1220</v>
      </c>
      <c r="BL67" s="100">
        <f>IF(节奏预期!Q67="","",节奏预期!Q67*装备强化!G$9+装备强化!G$6)</f>
        <v>2180</v>
      </c>
      <c r="BM67" s="100" t="str">
        <f>IF(节奏预期!R67="","",节奏预期!R67*装备强化!H$9+装备强化!H$6)</f>
        <v/>
      </c>
      <c r="BN67" s="14">
        <f>SUMPRODUCT(BI67:BM67,节奏预期!$D67:$H67)/SUM(节奏预期!$D67:$H67)</f>
        <v>2180</v>
      </c>
      <c r="BO67" s="94">
        <f>IF(节奏预期!D67="","",IF(节奏预期!I67="",0,装备强化!D$4*节奏预期!I67))</f>
        <v>3.6</v>
      </c>
      <c r="BP67" s="94">
        <f>IF(节奏预期!E67="","",IF(节奏预期!J67="",0,装备强化!E$4*节奏预期!J67))</f>
        <v>8</v>
      </c>
      <c r="BQ67" s="94">
        <f>IF(节奏预期!F67="","",IF(节奏预期!K67="",0,装备强化!F$4*节奏预期!K67))</f>
        <v>16.2</v>
      </c>
      <c r="BR67" s="94">
        <f>IF(节奏预期!G67="","",IF(节奏预期!L67="",0,装备强化!G$4*节奏预期!L67))</f>
        <v>26.35</v>
      </c>
      <c r="BS67" s="94">
        <f>IF(节奏预期!H67="","",IF(节奏预期!M67="",0,装备强化!H$4*节奏预期!M67))</f>
        <v>44.550000000000004</v>
      </c>
      <c r="BT67" s="80">
        <f>SUMPRODUCT(BO67:BS67,节奏预期!D67:H67)/SUM(节奏预期!D67:H67)</f>
        <v>26.35</v>
      </c>
      <c r="BW67" s="25">
        <v>19</v>
      </c>
    </row>
    <row r="68" spans="10:96" x14ac:dyDescent="0.15">
      <c r="J68" s="46">
        <f>INDEX('[1]资源-装备经验'!Y$6:Y$165,(K68+1)/2,1)</f>
        <v>0</v>
      </c>
      <c r="K68" s="53">
        <v>64</v>
      </c>
      <c r="L68" s="121">
        <v>10</v>
      </c>
      <c r="M68" s="122">
        <f t="shared" si="4"/>
        <v>10</v>
      </c>
      <c r="N68" s="120">
        <f t="shared" si="27"/>
        <v>20</v>
      </c>
      <c r="O68" s="120">
        <f t="shared" si="27"/>
        <v>40</v>
      </c>
      <c r="P68" s="120">
        <f t="shared" si="27"/>
        <v>100</v>
      </c>
      <c r="Q68" s="120">
        <f t="shared" si="27"/>
        <v>300</v>
      </c>
      <c r="S68" s="53">
        <v>64</v>
      </c>
      <c r="T68" s="53">
        <f>SUM(M$5:M68)</f>
        <v>395</v>
      </c>
      <c r="U68" s="53">
        <f>SUM(N$5:N68)</f>
        <v>790</v>
      </c>
      <c r="V68" s="53">
        <f>SUM(O$5:O68)</f>
        <v>1580</v>
      </c>
      <c r="W68" s="53">
        <f>SUM(P$5:P68)</f>
        <v>3950</v>
      </c>
      <c r="X68" s="53">
        <f>SUM(Q$5:Q68)</f>
        <v>11850</v>
      </c>
      <c r="Z68" s="47">
        <v>64</v>
      </c>
      <c r="AA68" s="47">
        <f t="shared" si="6"/>
        <v>400</v>
      </c>
      <c r="AB68" s="47">
        <f t="shared" si="7"/>
        <v>800</v>
      </c>
      <c r="AC68" s="47">
        <f t="shared" si="8"/>
        <v>1600</v>
      </c>
      <c r="AD68" s="47">
        <f t="shared" si="9"/>
        <v>4000</v>
      </c>
      <c r="AE68" s="47">
        <f t="shared" si="10"/>
        <v>12000</v>
      </c>
      <c r="AG68" s="47">
        <v>64</v>
      </c>
      <c r="AH68" s="53">
        <f>SUM(AA$5:AA68)</f>
        <v>15800</v>
      </c>
      <c r="AI68" s="53">
        <f>SUM(AB$5:AB68)</f>
        <v>31600</v>
      </c>
      <c r="AJ68" s="53">
        <f>SUM(AC$5:AC68)</f>
        <v>63200</v>
      </c>
      <c r="AK68" s="53">
        <f>SUM(AD$5:AD68)</f>
        <v>158000</v>
      </c>
      <c r="AL68" s="53">
        <f>SUM(AE$5:AE68)</f>
        <v>474000</v>
      </c>
      <c r="AO68" s="46">
        <v>8</v>
      </c>
      <c r="AP68" s="37">
        <f>节奏预期!B68</f>
        <v>50</v>
      </c>
      <c r="AQ68" s="114">
        <f>IFERROR(INDEX(AH$5:AH$304,MATCH(节奏预期!N68,$AG$5:$AG$304,0))*节奏预期!D68,0)</f>
        <v>0</v>
      </c>
      <c r="AR68" s="114">
        <f>IFERROR(INDEX(AI$5:AI$304,MATCH(节奏预期!O68,$AG$5:$AG$304,0))*节奏预期!E68,0)</f>
        <v>0</v>
      </c>
      <c r="AS68" s="114">
        <f>IFERROR(INDEX(AJ$5:AJ$304,MATCH(节奏预期!P68,$AG$5:$AG$304,0))*节奏预期!F68,0)</f>
        <v>0</v>
      </c>
      <c r="AT68" s="114">
        <f>IFERROR(INDEX(AK$5:AK$304,MATCH(节奏预期!Q68,$AG$5:$AG$304,0))*节奏预期!G68,0)</f>
        <v>7980000</v>
      </c>
      <c r="AU68" s="114">
        <f>IFERROR(INDEX(AL$5:AL$304,MATCH(节奏预期!R68,$AG$5:$AG$304,0))*节奏预期!H68,0)</f>
        <v>3420000</v>
      </c>
      <c r="AV68" s="136">
        <f t="shared" si="42"/>
        <v>11400000</v>
      </c>
      <c r="AW68" s="114">
        <f>IFERROR(INDEX(T$5:T$304,MATCH(节奏预期!N68,$S$5:$S$304,0))*节奏预期!D68,0)</f>
        <v>0</v>
      </c>
      <c r="AX68" s="114">
        <f>IFERROR(INDEX(U$5:U$304,MATCH(节奏预期!O68,$S$5:$S$304,0))*节奏预期!E68,0)</f>
        <v>0</v>
      </c>
      <c r="AY68" s="114">
        <f>IFERROR(INDEX(V$5:V$304,MATCH(节奏预期!P68,$S$5:$S$304,0))*节奏预期!F68,0)</f>
        <v>0</v>
      </c>
      <c r="AZ68" s="114">
        <f>IFERROR(INDEX(W$5:W$304,MATCH(节奏预期!Q68,$S$5:$S$304,0))*节奏预期!G68,0)</f>
        <v>199500</v>
      </c>
      <c r="BA68" s="114">
        <f>IFERROR(INDEX(X$5:X$304,MATCH(节奏预期!R68,$S$5:$S$304,0))*节奏预期!H68,0)</f>
        <v>85500</v>
      </c>
      <c r="BB68" s="136">
        <f t="shared" si="43"/>
        <v>285000</v>
      </c>
      <c r="BC68" s="100" t="str">
        <f>IF(节奏预期!N68="","",节奏预期!N68*装备强化!D$8+装备强化!D$5)</f>
        <v/>
      </c>
      <c r="BD68" s="100" t="str">
        <f>IF(节奏预期!O68="","",节奏预期!O68*装备强化!E$8+装备强化!E$5)</f>
        <v/>
      </c>
      <c r="BE68" s="100">
        <f>IF(节奏预期!P68="","",节奏预期!P68*装备强化!F$8+装备强化!F$5)</f>
        <v>1220</v>
      </c>
      <c r="BF68" s="100">
        <f>IF(节奏预期!Q68="","",节奏预期!Q68*装备强化!G$8+装备强化!G$5)</f>
        <v>2600</v>
      </c>
      <c r="BG68" s="100">
        <f>IF(节奏预期!R68="","",节奏预期!R68*装备强化!H$8+装备强化!H$5)</f>
        <v>4280</v>
      </c>
      <c r="BH68" s="14">
        <f>SUMPRODUCT(BC68:BG68,节奏预期!$D68:$H68)/SUM(节奏预期!$D68:$H68)</f>
        <v>2810</v>
      </c>
      <c r="BI68" s="13" t="str">
        <f>IF(节奏预期!N68="","",节奏预期!N68*装备强化!D$9+装备强化!D$6)</f>
        <v/>
      </c>
      <c r="BJ68" s="100" t="str">
        <f>IF(节奏预期!O68="","",节奏预期!O68*装备强化!E$9+装备强化!E$6)</f>
        <v/>
      </c>
      <c r="BK68" s="100">
        <f>IF(节奏预期!P68="","",节奏预期!P68*装备强化!F$9+装备强化!F$6)</f>
        <v>1220</v>
      </c>
      <c r="BL68" s="100">
        <f>IF(节奏预期!Q68="","",节奏预期!Q68*装备强化!G$9+装备强化!G$6)</f>
        <v>2600</v>
      </c>
      <c r="BM68" s="100">
        <f>IF(节奏预期!R68="","",节奏预期!R68*装备强化!H$9+装备强化!H$6)</f>
        <v>4280</v>
      </c>
      <c r="BN68" s="14">
        <f>SUMPRODUCT(BI68:BM68,节奏预期!$D68:$H68)/SUM(节奏预期!$D68:$H68)</f>
        <v>2810</v>
      </c>
      <c r="BO68" s="94">
        <f>IF(节奏预期!D68="","",IF(节奏预期!I68="",0,装备强化!D$4*节奏预期!I68))</f>
        <v>3.6</v>
      </c>
      <c r="BP68" s="94">
        <f>IF(节奏预期!E68="","",IF(节奏预期!J68="",0,装备强化!E$4*节奏预期!J68))</f>
        <v>8</v>
      </c>
      <c r="BQ68" s="94">
        <f>IF(节奏预期!F68="","",IF(节奏预期!K68="",0,装备强化!F$4*节奏预期!K68))</f>
        <v>18</v>
      </c>
      <c r="BR68" s="94">
        <f>IF(节奏预期!G68="","",IF(节奏预期!L68="",0,装备强化!G$4*节奏预期!L68))</f>
        <v>28.9</v>
      </c>
      <c r="BS68" s="94">
        <f>IF(节奏预期!H68="","",IF(节奏预期!M68="",0,装备强化!H$4*节奏预期!M68))</f>
        <v>48.839999999999996</v>
      </c>
      <c r="BT68" s="80">
        <f>SUMPRODUCT(BO68:BS68,节奏预期!D68:H68)/SUM(节奏预期!D68:H68)</f>
        <v>31.392499999999998</v>
      </c>
      <c r="BW68" s="25">
        <v>20</v>
      </c>
    </row>
    <row r="69" spans="10:96" x14ac:dyDescent="0.15">
      <c r="J69" s="46">
        <f>INDEX('[1]资源-装备经验'!Y$6:Y$165,(K69+1)/2,1)</f>
        <v>0</v>
      </c>
      <c r="K69" s="53">
        <v>65</v>
      </c>
      <c r="L69" s="121">
        <v>10</v>
      </c>
      <c r="M69" s="122">
        <f t="shared" si="4"/>
        <v>10</v>
      </c>
      <c r="N69" s="120">
        <f t="shared" si="27"/>
        <v>20</v>
      </c>
      <c r="O69" s="120">
        <f t="shared" si="27"/>
        <v>40</v>
      </c>
      <c r="P69" s="120">
        <f t="shared" si="27"/>
        <v>100</v>
      </c>
      <c r="Q69" s="120">
        <f t="shared" si="27"/>
        <v>300</v>
      </c>
      <c r="S69" s="53">
        <v>65</v>
      </c>
      <c r="T69" s="53">
        <f>SUM(M$5:M69)</f>
        <v>405</v>
      </c>
      <c r="U69" s="53">
        <f>SUM(N$5:N69)</f>
        <v>810</v>
      </c>
      <c r="V69" s="53">
        <f>SUM(O$5:O69)</f>
        <v>1620</v>
      </c>
      <c r="W69" s="53">
        <f>SUM(P$5:P69)</f>
        <v>4050</v>
      </c>
      <c r="X69" s="53">
        <f>SUM(Q$5:Q69)</f>
        <v>12150</v>
      </c>
      <c r="Z69" s="47">
        <v>65</v>
      </c>
      <c r="AA69" s="47">
        <f t="shared" si="6"/>
        <v>400</v>
      </c>
      <c r="AB69" s="47">
        <f t="shared" si="7"/>
        <v>800</v>
      </c>
      <c r="AC69" s="47">
        <f t="shared" si="8"/>
        <v>1600</v>
      </c>
      <c r="AD69" s="47">
        <f t="shared" si="9"/>
        <v>4000</v>
      </c>
      <c r="AE69" s="47">
        <f t="shared" si="10"/>
        <v>12000</v>
      </c>
      <c r="AG69" s="47">
        <v>65</v>
      </c>
      <c r="AH69" s="53">
        <f>SUM(AA$5:AA69)</f>
        <v>16200</v>
      </c>
      <c r="AI69" s="53">
        <f>SUM(AB$5:AB69)</f>
        <v>32400</v>
      </c>
      <c r="AJ69" s="53">
        <f>SUM(AC$5:AC69)</f>
        <v>64800</v>
      </c>
      <c r="AK69" s="53">
        <f>SUM(AD$5:AD69)</f>
        <v>162000</v>
      </c>
      <c r="AL69" s="53">
        <f>SUM(AE$5:AE69)</f>
        <v>486000</v>
      </c>
      <c r="AO69" s="46">
        <v>9</v>
      </c>
      <c r="AP69" s="37">
        <f>节奏预期!B69</f>
        <v>60</v>
      </c>
      <c r="AQ69" s="114">
        <f>IFERROR(INDEX(AH$5:AH$304,MATCH(节奏预期!N69,$AG$5:$AG$304,0))*节奏预期!D69,0)</f>
        <v>0</v>
      </c>
      <c r="AR69" s="114">
        <f>IFERROR(INDEX(AI$5:AI$304,MATCH(节奏预期!O69,$AG$5:$AG$304,0))*节奏预期!E69,0)</f>
        <v>0</v>
      </c>
      <c r="AS69" s="114">
        <f>IFERROR(INDEX(AJ$5:AJ$304,MATCH(节奏预期!P69,$AG$5:$AG$304,0))*节奏预期!F69,0)</f>
        <v>0</v>
      </c>
      <c r="AT69" s="114">
        <f>IFERROR(INDEX(AK$5:AK$304,MATCH(节奏预期!Q69,$AG$5:$AG$304,0))*节奏预期!G69,0)</f>
        <v>14616000</v>
      </c>
      <c r="AU69" s="114">
        <f>IFERROR(INDEX(AL$5:AL$304,MATCH(节奏预期!R69,$AG$5:$AG$304,0))*节奏预期!H69,0)</f>
        <v>21924000</v>
      </c>
      <c r="AV69" s="136">
        <f t="shared" si="42"/>
        <v>36540000</v>
      </c>
      <c r="AW69" s="114">
        <f>IFERROR(INDEX(T$5:T$304,MATCH(节奏预期!N69,$S$5:$S$304,0))*节奏预期!D69,0)</f>
        <v>0</v>
      </c>
      <c r="AX69" s="114">
        <f>IFERROR(INDEX(U$5:U$304,MATCH(节奏预期!O69,$S$5:$S$304,0))*节奏预期!E69,0)</f>
        <v>0</v>
      </c>
      <c r="AY69" s="114">
        <f>IFERROR(INDEX(V$5:V$304,MATCH(节奏预期!P69,$S$5:$S$304,0))*节奏预期!F69,0)</f>
        <v>0</v>
      </c>
      <c r="AZ69" s="114">
        <f>IFERROR(INDEX(W$5:W$304,MATCH(节奏预期!Q69,$S$5:$S$304,0))*节奏预期!G69,0)</f>
        <v>365400</v>
      </c>
      <c r="BA69" s="114">
        <f>IFERROR(INDEX(X$5:X$304,MATCH(节奏预期!R69,$S$5:$S$304,0))*节奏预期!H69,0)</f>
        <v>548100</v>
      </c>
      <c r="BB69" s="136">
        <f t="shared" si="43"/>
        <v>913500</v>
      </c>
      <c r="BC69" s="100" t="str">
        <f>IF(节奏预期!N69="","",节奏预期!N69*装备强化!D$8+装备强化!D$5)</f>
        <v/>
      </c>
      <c r="BD69" s="100" t="str">
        <f>IF(节奏预期!O69="","",节奏预期!O69*装备强化!E$8+装备强化!E$5)</f>
        <v/>
      </c>
      <c r="BE69" s="100" t="str">
        <f>IF(节奏预期!P69="","",节奏预期!P69*装备强化!F$8+装备强化!F$5)</f>
        <v/>
      </c>
      <c r="BF69" s="100">
        <f>IF(节奏预期!Q69="","",节奏预期!Q69*装备强化!G$8+装备强化!G$5)</f>
        <v>3020</v>
      </c>
      <c r="BG69" s="100">
        <f>IF(节奏预期!R69="","",节奏预期!R69*装备强化!H$8+装备强化!H$5)</f>
        <v>4940</v>
      </c>
      <c r="BH69" s="14">
        <f>SUMPRODUCT(BC69:BG69,节奏预期!$D69:$H69)/SUM(节奏预期!$D69:$H69)</f>
        <v>3660</v>
      </c>
      <c r="BI69" s="13" t="str">
        <f>IF(节奏预期!N69="","",节奏预期!N69*装备强化!D$9+装备强化!D$6)</f>
        <v/>
      </c>
      <c r="BJ69" s="100" t="str">
        <f>IF(节奏预期!O69="","",节奏预期!O69*装备强化!E$9+装备强化!E$6)</f>
        <v/>
      </c>
      <c r="BK69" s="100" t="str">
        <f>IF(节奏预期!P69="","",节奏预期!P69*装备强化!F$9+装备强化!F$6)</f>
        <v/>
      </c>
      <c r="BL69" s="100">
        <f>IF(节奏预期!Q69="","",节奏预期!Q69*装备强化!G$9+装备强化!G$6)</f>
        <v>3020</v>
      </c>
      <c r="BM69" s="100">
        <f>IF(节奏预期!R69="","",节奏预期!R69*装备强化!H$9+装备强化!H$6)</f>
        <v>4940</v>
      </c>
      <c r="BN69" s="14">
        <f>SUMPRODUCT(BI69:BM69,节奏预期!$D69:$H69)/SUM(节奏预期!$D69:$H69)</f>
        <v>3660</v>
      </c>
      <c r="BO69" s="94">
        <f>IF(节奏预期!D69="","",IF(节奏预期!I69="",0,装备强化!D$4*节奏预期!I69))</f>
        <v>3.6</v>
      </c>
      <c r="BP69" s="94">
        <f>IF(节奏预期!E69="","",IF(节奏预期!J69="",0,装备强化!E$4*节奏预期!J69))</f>
        <v>8</v>
      </c>
      <c r="BQ69" s="94">
        <f>IF(节奏预期!F69="","",IF(节奏预期!K69="",0,装备强化!F$4*节奏预期!K69))</f>
        <v>18</v>
      </c>
      <c r="BR69" s="94">
        <f>IF(节奏预期!G69="","",IF(节奏预期!L69="",0,装备强化!G$4*节奏预期!L69))</f>
        <v>31.450000000000003</v>
      </c>
      <c r="BS69" s="94">
        <f>IF(节奏预期!H69="","",IF(节奏预期!M69="",0,装备强化!H$4*节奏预期!M69))</f>
        <v>53.13</v>
      </c>
      <c r="BT69" s="80">
        <f>SUMPRODUCT(BO69:BS69,节奏预期!D69:H69)/SUM(节奏预期!D69:H69)</f>
        <v>38.676666666666669</v>
      </c>
      <c r="BW69" s="25">
        <v>21</v>
      </c>
    </row>
    <row r="70" spans="10:96" x14ac:dyDescent="0.15">
      <c r="J70" s="46">
        <f>INDEX('[1]资源-装备经验'!Y$6:Y$165,(K70+1)/2,1)</f>
        <v>0</v>
      </c>
      <c r="K70" s="53">
        <v>66</v>
      </c>
      <c r="L70" s="121">
        <v>10</v>
      </c>
      <c r="M70" s="122">
        <f t="shared" ref="M70:M133" si="44">L70*$M$1</f>
        <v>10</v>
      </c>
      <c r="N70" s="120">
        <f t="shared" ref="N70:Q101" si="45">$M70*N$1</f>
        <v>20</v>
      </c>
      <c r="O70" s="120">
        <f t="shared" si="45"/>
        <v>40</v>
      </c>
      <c r="P70" s="120">
        <f t="shared" si="45"/>
        <v>100</v>
      </c>
      <c r="Q70" s="120">
        <f t="shared" si="45"/>
        <v>300</v>
      </c>
      <c r="S70" s="53">
        <v>66</v>
      </c>
      <c r="T70" s="53">
        <f>SUM(M$5:M70)</f>
        <v>415</v>
      </c>
      <c r="U70" s="53">
        <f>SUM(N$5:N70)</f>
        <v>830</v>
      </c>
      <c r="V70" s="53">
        <f>SUM(O$5:O70)</f>
        <v>1660</v>
      </c>
      <c r="W70" s="53">
        <f>SUM(P$5:P70)</f>
        <v>4150</v>
      </c>
      <c r="X70" s="53">
        <f>SUM(Q$5:Q70)</f>
        <v>12450</v>
      </c>
      <c r="Z70" s="47">
        <v>66</v>
      </c>
      <c r="AA70" s="47">
        <f t="shared" ref="AA70:AA104" si="46">M70*$D$16</f>
        <v>400</v>
      </c>
      <c r="AB70" s="47">
        <f t="shared" ref="AB70:AB104" si="47">N70*$D$16</f>
        <v>800</v>
      </c>
      <c r="AC70" s="47">
        <f t="shared" ref="AC70:AC104" si="48">O70*$D$16</f>
        <v>1600</v>
      </c>
      <c r="AD70" s="47">
        <f t="shared" ref="AD70:AD104" si="49">P70*$D$16</f>
        <v>4000</v>
      </c>
      <c r="AE70" s="47">
        <f t="shared" ref="AE70:AE104" si="50">Q70*$D$16</f>
        <v>12000</v>
      </c>
      <c r="AG70" s="47">
        <v>66</v>
      </c>
      <c r="AH70" s="53">
        <f>SUM(AA$5:AA70)</f>
        <v>16600</v>
      </c>
      <c r="AI70" s="53">
        <f>SUM(AB$5:AB70)</f>
        <v>33200</v>
      </c>
      <c r="AJ70" s="53">
        <f>SUM(AC$5:AC70)</f>
        <v>66400</v>
      </c>
      <c r="AK70" s="53">
        <f>SUM(AD$5:AD70)</f>
        <v>166000</v>
      </c>
      <c r="AL70" s="53">
        <f>SUM(AE$5:AE70)</f>
        <v>498000</v>
      </c>
      <c r="AO70" s="46">
        <v>10</v>
      </c>
      <c r="AP70" s="37">
        <f>节奏预期!B70</f>
        <v>70</v>
      </c>
      <c r="AQ70" s="114">
        <f>IFERROR(INDEX(AH$5:AH$304,MATCH(节奏预期!N70,$AG$5:$AG$304,0))*节奏预期!D70,0)</f>
        <v>0</v>
      </c>
      <c r="AR70" s="114">
        <f>IFERROR(INDEX(AI$5:AI$304,MATCH(节奏预期!O70,$AG$5:$AG$304,0))*节奏预期!E70,0)</f>
        <v>0</v>
      </c>
      <c r="AS70" s="114">
        <f>IFERROR(INDEX(AJ$5:AJ$304,MATCH(节奏预期!P70,$AG$5:$AG$304,0))*节奏预期!F70,0)</f>
        <v>0</v>
      </c>
      <c r="AT70" s="114">
        <f>IFERROR(INDEX(AK$5:AK$304,MATCH(节奏预期!Q70,$AG$5:$AG$304,0))*节奏预期!G70,0)</f>
        <v>7308000</v>
      </c>
      <c r="AU70" s="114">
        <f>IFERROR(INDEX(AL$5:AL$304,MATCH(节奏预期!R70,$AG$5:$AG$304,0))*节奏预期!H70,0)</f>
        <v>76680000</v>
      </c>
      <c r="AV70" s="136">
        <f t="shared" si="42"/>
        <v>83988000</v>
      </c>
      <c r="AW70" s="114">
        <f>IFERROR(INDEX(T$5:T$304,MATCH(节奏预期!N70,$S$5:$S$304,0))*节奏预期!D70,0)</f>
        <v>0</v>
      </c>
      <c r="AX70" s="114">
        <f>IFERROR(INDEX(U$5:U$304,MATCH(节奏预期!O70,$S$5:$S$304,0))*节奏预期!E70,0)</f>
        <v>0</v>
      </c>
      <c r="AY70" s="114">
        <f>IFERROR(INDEX(V$5:V$304,MATCH(节奏预期!P70,$S$5:$S$304,0))*节奏预期!F70,0)</f>
        <v>0</v>
      </c>
      <c r="AZ70" s="114">
        <f>IFERROR(INDEX(W$5:W$304,MATCH(节奏预期!Q70,$S$5:$S$304,0))*节奏预期!G70,0)</f>
        <v>182700</v>
      </c>
      <c r="BA70" s="114">
        <f>IFERROR(INDEX(X$5:X$304,MATCH(节奏预期!R70,$S$5:$S$304,0))*节奏预期!H70,0)</f>
        <v>1917000</v>
      </c>
      <c r="BB70" s="136">
        <f t="shared" si="43"/>
        <v>2099700</v>
      </c>
      <c r="BC70" s="100" t="str">
        <f>IF(节奏预期!N70="","",节奏预期!N70*装备强化!D$8+装备强化!D$5)</f>
        <v/>
      </c>
      <c r="BD70" s="100" t="str">
        <f>IF(节奏预期!O70="","",节奏预期!O70*装备强化!E$8+装备强化!E$5)</f>
        <v/>
      </c>
      <c r="BE70" s="100" t="str">
        <f>IF(节奏预期!P70="","",节奏预期!P70*装备强化!F$8+装备强化!F$5)</f>
        <v/>
      </c>
      <c r="BF70" s="100">
        <f>IF(节奏预期!Q70="","",节奏预期!Q70*装备强化!G$8+装备强化!G$5)</f>
        <v>3020</v>
      </c>
      <c r="BG70" s="100">
        <f>IF(节奏预期!R70="","",节奏预期!R70*装备强化!H$8+装备强化!H$5)</f>
        <v>5600</v>
      </c>
      <c r="BH70" s="14">
        <f>SUMPRODUCT(BC70:BG70,节奏预期!$D70:$H70)/SUM(节奏预期!$D70:$H70)</f>
        <v>4740</v>
      </c>
      <c r="BI70" s="13" t="str">
        <f>IF(节奏预期!N70="","",节奏预期!N70*装备强化!D$9+装备强化!D$6)</f>
        <v/>
      </c>
      <c r="BJ70" s="100" t="str">
        <f>IF(节奏预期!O70="","",节奏预期!O70*装备强化!E$9+装备强化!E$6)</f>
        <v/>
      </c>
      <c r="BK70" s="100" t="str">
        <f>IF(节奏预期!P70="","",节奏预期!P70*装备强化!F$9+装备强化!F$6)</f>
        <v/>
      </c>
      <c r="BL70" s="100">
        <f>IF(节奏预期!Q70="","",节奏预期!Q70*装备强化!G$9+装备强化!G$6)</f>
        <v>3020</v>
      </c>
      <c r="BM70" s="100">
        <f>IF(节奏预期!R70="","",节奏预期!R70*装备强化!H$9+装备强化!H$6)</f>
        <v>5600</v>
      </c>
      <c r="BN70" s="14">
        <f>SUMPRODUCT(BI70:BM70,节奏预期!$D70:$H70)/SUM(节奏预期!$D70:$H70)</f>
        <v>4740</v>
      </c>
      <c r="BO70" s="94">
        <f>IF(节奏预期!D70="","",IF(节奏预期!I70="",0,装备强化!D$4*节奏预期!I70))</f>
        <v>3.6</v>
      </c>
      <c r="BP70" s="94">
        <f>IF(节奏预期!E70="","",IF(节奏预期!J70="",0,装备强化!E$4*节奏预期!J70))</f>
        <v>8</v>
      </c>
      <c r="BQ70" s="94">
        <f>IF(节奏预期!F70="","",IF(节奏预期!K70="",0,装备强化!F$4*节奏预期!K70))</f>
        <v>18</v>
      </c>
      <c r="BR70" s="94">
        <f>IF(节奏预期!G70="","",IF(节奏预期!L70="",0,装备强化!G$4*节奏预期!L70))</f>
        <v>34</v>
      </c>
      <c r="BS70" s="94">
        <f>IF(节奏预期!H70="","",IF(节奏预期!M70="",0,装备强化!H$4*节奏预期!M70))</f>
        <v>57.42</v>
      </c>
      <c r="BT70" s="80">
        <f>SUMPRODUCT(BO70:BS70,节奏预期!D70:H70)/SUM(节奏预期!D70:H70)</f>
        <v>49.61333333333333</v>
      </c>
      <c r="BW70" s="25">
        <v>22</v>
      </c>
    </row>
    <row r="71" spans="10:96" x14ac:dyDescent="0.15">
      <c r="J71" s="46">
        <f>INDEX('[1]资源-装备经验'!Y$6:Y$165,(K71+1)/2,1)</f>
        <v>0</v>
      </c>
      <c r="K71" s="53">
        <v>67</v>
      </c>
      <c r="L71" s="121">
        <v>10</v>
      </c>
      <c r="M71" s="122">
        <f t="shared" si="44"/>
        <v>10</v>
      </c>
      <c r="N71" s="120">
        <f t="shared" si="45"/>
        <v>20</v>
      </c>
      <c r="O71" s="120">
        <f t="shared" si="45"/>
        <v>40</v>
      </c>
      <c r="P71" s="120">
        <f t="shared" si="45"/>
        <v>100</v>
      </c>
      <c r="Q71" s="120">
        <f t="shared" si="45"/>
        <v>300</v>
      </c>
      <c r="S71" s="53">
        <v>67</v>
      </c>
      <c r="T71" s="53">
        <f>SUM(M$5:M71)</f>
        <v>425</v>
      </c>
      <c r="U71" s="53">
        <f>SUM(N$5:N71)</f>
        <v>850</v>
      </c>
      <c r="V71" s="53">
        <f>SUM(O$5:O71)</f>
        <v>1700</v>
      </c>
      <c r="W71" s="53">
        <f>SUM(P$5:P71)</f>
        <v>4250</v>
      </c>
      <c r="X71" s="53">
        <f>SUM(Q$5:Q71)</f>
        <v>12750</v>
      </c>
      <c r="Z71" s="47">
        <v>67</v>
      </c>
      <c r="AA71" s="47">
        <f t="shared" si="46"/>
        <v>400</v>
      </c>
      <c r="AB71" s="47">
        <f t="shared" si="47"/>
        <v>800</v>
      </c>
      <c r="AC71" s="47">
        <f t="shared" si="48"/>
        <v>1600</v>
      </c>
      <c r="AD71" s="47">
        <f t="shared" si="49"/>
        <v>4000</v>
      </c>
      <c r="AE71" s="47">
        <f t="shared" si="50"/>
        <v>12000</v>
      </c>
      <c r="AG71" s="47">
        <v>67</v>
      </c>
      <c r="AH71" s="53">
        <f>SUM(AA$5:AA71)</f>
        <v>17000</v>
      </c>
      <c r="AI71" s="53">
        <f>SUM(AB$5:AB71)</f>
        <v>34000</v>
      </c>
      <c r="AJ71" s="53">
        <f>SUM(AC$5:AC71)</f>
        <v>68000</v>
      </c>
      <c r="AK71" s="53">
        <f>SUM(AD$5:AD71)</f>
        <v>170000</v>
      </c>
      <c r="AL71" s="53">
        <f>SUM(AE$5:AE71)</f>
        <v>510000</v>
      </c>
      <c r="AO71" s="46">
        <v>11</v>
      </c>
      <c r="AP71" s="37">
        <f>节奏预期!B71</f>
        <v>80</v>
      </c>
      <c r="AQ71" s="114">
        <f>IFERROR(INDEX(AH$5:AH$304,MATCH(节奏预期!N71,$AG$5:$AG$304,0))*节奏预期!D71,0)</f>
        <v>0</v>
      </c>
      <c r="AR71" s="114">
        <f>IFERROR(INDEX(AI$5:AI$304,MATCH(节奏预期!O71,$AG$5:$AG$304,0))*节奏预期!E71,0)</f>
        <v>0</v>
      </c>
      <c r="AS71" s="114">
        <f>IFERROR(INDEX(AJ$5:AJ$304,MATCH(节奏预期!P71,$AG$5:$AG$304,0))*节奏预期!F71,0)</f>
        <v>0</v>
      </c>
      <c r="AT71" s="114">
        <f>IFERROR(INDEX(AK$5:AK$304,MATCH(节奏预期!Q71,$AG$5:$AG$304,0))*节奏预期!G71,0)</f>
        <v>0</v>
      </c>
      <c r="AU71" s="114">
        <f>IFERROR(INDEX(AL$5:AL$304,MATCH(节奏预期!R71,$AG$5:$AG$304,0))*节奏预期!H71,0)</f>
        <v>210492000</v>
      </c>
      <c r="AV71" s="136">
        <f t="shared" si="42"/>
        <v>210492000</v>
      </c>
      <c r="AW71" s="114">
        <f>IFERROR(INDEX(T$5:T$304,MATCH(节奏预期!N71,$S$5:$S$304,0))*节奏预期!D71,0)</f>
        <v>0</v>
      </c>
      <c r="AX71" s="114">
        <f>IFERROR(INDEX(U$5:U$304,MATCH(节奏预期!O71,$S$5:$S$304,0))*节奏预期!E71,0)</f>
        <v>0</v>
      </c>
      <c r="AY71" s="114">
        <f>IFERROR(INDEX(V$5:V$304,MATCH(节奏预期!P71,$S$5:$S$304,0))*节奏预期!F71,0)</f>
        <v>0</v>
      </c>
      <c r="AZ71" s="114">
        <f>IFERROR(INDEX(W$5:W$304,MATCH(节奏预期!Q71,$S$5:$S$304,0))*节奏预期!G71,0)</f>
        <v>0</v>
      </c>
      <c r="BA71" s="114">
        <f>IFERROR(INDEX(X$5:X$304,MATCH(节奏预期!R71,$S$5:$S$304,0))*节奏预期!H71,0)</f>
        <v>5262300</v>
      </c>
      <c r="BB71" s="136">
        <f t="shared" si="43"/>
        <v>5262300</v>
      </c>
      <c r="BC71" s="100" t="str">
        <f>IF(节奏预期!N71="","",节奏预期!N71*装备强化!D$8+装备强化!D$5)</f>
        <v/>
      </c>
      <c r="BD71" s="100" t="str">
        <f>IF(节奏预期!O71="","",节奏预期!O71*装备强化!E$8+装备强化!E$5)</f>
        <v/>
      </c>
      <c r="BE71" s="100" t="str">
        <f>IF(节奏预期!P71="","",节奏预期!P71*装备强化!F$8+装备强化!F$5)</f>
        <v/>
      </c>
      <c r="BF71" s="100" t="str">
        <f>IF(节奏预期!Q71="","",节奏预期!Q71*装备强化!G$8+装备强化!G$5)</f>
        <v/>
      </c>
      <c r="BG71" s="100">
        <f>IF(节奏预期!R71="","",节奏预期!R71*装备强化!H$8+装备强化!H$5)</f>
        <v>6260</v>
      </c>
      <c r="BH71" s="14">
        <f>SUMPRODUCT(BC71:BG71,节奏预期!$D71:$H71)/SUM(节奏预期!$D71:$H71)</f>
        <v>6260</v>
      </c>
      <c r="BI71" s="13" t="str">
        <f>IF(节奏预期!N71="","",节奏预期!N71*装备强化!D$9+装备强化!D$6)</f>
        <v/>
      </c>
      <c r="BJ71" s="100" t="str">
        <f>IF(节奏预期!O71="","",节奏预期!O71*装备强化!E$9+装备强化!E$6)</f>
        <v/>
      </c>
      <c r="BK71" s="100" t="str">
        <f>IF(节奏预期!P71="","",节奏预期!P71*装备强化!F$9+装备强化!F$6)</f>
        <v/>
      </c>
      <c r="BL71" s="100" t="str">
        <f>IF(节奏预期!Q71="","",节奏预期!Q71*装备强化!G$9+装备强化!G$6)</f>
        <v/>
      </c>
      <c r="BM71" s="100">
        <f>IF(节奏预期!R71="","",节奏预期!R71*装备强化!H$9+装备强化!H$6)</f>
        <v>6260</v>
      </c>
      <c r="BN71" s="14">
        <f>SUMPRODUCT(BI71:BM71,节奏预期!$D71:$H71)/SUM(节奏预期!$D71:$H71)</f>
        <v>6260</v>
      </c>
      <c r="BO71" s="94">
        <f>IF(节奏预期!D71="","",IF(节奏预期!I71="",0,装备强化!D$4*节奏预期!I71))</f>
        <v>3.6</v>
      </c>
      <c r="BP71" s="94">
        <f>IF(节奏预期!E71="","",IF(节奏预期!J71="",0,装备强化!E$4*节奏预期!J71))</f>
        <v>8</v>
      </c>
      <c r="BQ71" s="94">
        <f>IF(节奏预期!F71="","",IF(节奏预期!K71="",0,装备强化!F$4*节奏预期!K71))</f>
        <v>18</v>
      </c>
      <c r="BR71" s="94">
        <f>IF(节奏预期!G71="","",IF(节奏预期!L71="",0,装备强化!G$4*节奏预期!L71))</f>
        <v>34</v>
      </c>
      <c r="BS71" s="94">
        <f>IF(节奏预期!H71="","",IF(节奏预期!M71="",0,装备强化!H$4*节奏预期!M71))</f>
        <v>61.71</v>
      </c>
      <c r="BT71" s="80">
        <f>SUMPRODUCT(BO71:BS71,节奏预期!D71:H71)/SUM(节奏预期!D71:H71)</f>
        <v>61.71</v>
      </c>
      <c r="BW71" s="25">
        <v>23</v>
      </c>
    </row>
    <row r="72" spans="10:96" x14ac:dyDescent="0.15">
      <c r="J72" s="46">
        <f>INDEX('[1]资源-装备经验'!Y$6:Y$165,(K72+1)/2,1)</f>
        <v>0</v>
      </c>
      <c r="K72" s="53">
        <v>68</v>
      </c>
      <c r="L72" s="121">
        <v>10</v>
      </c>
      <c r="M72" s="122">
        <f t="shared" si="44"/>
        <v>10</v>
      </c>
      <c r="N72" s="120">
        <f t="shared" si="45"/>
        <v>20</v>
      </c>
      <c r="O72" s="120">
        <f t="shared" si="45"/>
        <v>40</v>
      </c>
      <c r="P72" s="120">
        <f t="shared" si="45"/>
        <v>100</v>
      </c>
      <c r="Q72" s="120">
        <f t="shared" si="45"/>
        <v>300</v>
      </c>
      <c r="S72" s="53">
        <v>68</v>
      </c>
      <c r="T72" s="53">
        <f>SUM(M$5:M72)</f>
        <v>435</v>
      </c>
      <c r="U72" s="53">
        <f>SUM(N$5:N72)</f>
        <v>870</v>
      </c>
      <c r="V72" s="53">
        <f>SUM(O$5:O72)</f>
        <v>1740</v>
      </c>
      <c r="W72" s="53">
        <f>SUM(P$5:P72)</f>
        <v>4350</v>
      </c>
      <c r="X72" s="53">
        <f>SUM(Q$5:Q72)</f>
        <v>13050</v>
      </c>
      <c r="Z72" s="47">
        <v>68</v>
      </c>
      <c r="AA72" s="47">
        <f t="shared" si="46"/>
        <v>400</v>
      </c>
      <c r="AB72" s="47">
        <f t="shared" si="47"/>
        <v>800</v>
      </c>
      <c r="AC72" s="47">
        <f t="shared" si="48"/>
        <v>1600</v>
      </c>
      <c r="AD72" s="47">
        <f t="shared" si="49"/>
        <v>4000</v>
      </c>
      <c r="AE72" s="47">
        <f t="shared" si="50"/>
        <v>12000</v>
      </c>
      <c r="AG72" s="47">
        <v>68</v>
      </c>
      <c r="AH72" s="53">
        <f>SUM(AA$5:AA72)</f>
        <v>17400</v>
      </c>
      <c r="AI72" s="53">
        <f>SUM(AB$5:AB72)</f>
        <v>34800</v>
      </c>
      <c r="AJ72" s="53">
        <f>SUM(AC$5:AC72)</f>
        <v>69600</v>
      </c>
      <c r="AK72" s="53">
        <f>SUM(AD$5:AD72)</f>
        <v>174000</v>
      </c>
      <c r="AL72" s="53">
        <f>SUM(AE$5:AE72)</f>
        <v>522000</v>
      </c>
      <c r="AO72" s="46">
        <v>12</v>
      </c>
      <c r="AP72" s="37">
        <f>节奏预期!B72</f>
        <v>90</v>
      </c>
      <c r="AQ72" s="114">
        <f>IFERROR(INDEX(AH$5:AH$304,MATCH(节奏预期!N72,$AG$5:$AG$304,0))*节奏预期!D72,0)</f>
        <v>0</v>
      </c>
      <c r="AR72" s="114">
        <f>IFERROR(INDEX(AI$5:AI$304,MATCH(节奏预期!O72,$AG$5:$AG$304,0))*节奏预期!E72,0)</f>
        <v>0</v>
      </c>
      <c r="AS72" s="114">
        <f>IFERROR(INDEX(AJ$5:AJ$304,MATCH(节奏预期!P72,$AG$5:$AG$304,0))*节奏预期!F72,0)</f>
        <v>0</v>
      </c>
      <c r="AT72" s="114">
        <f>IFERROR(INDEX(AK$5:AK$304,MATCH(节奏预期!Q72,$AG$5:$AG$304,0))*节奏预期!G72,0)</f>
        <v>0</v>
      </c>
      <c r="AU72" s="114">
        <f>IFERROR(INDEX(AL$5:AL$304,MATCH(节奏预期!R72,$AG$5:$AG$304,0))*节奏预期!H72,0)</f>
        <v>486972000</v>
      </c>
      <c r="AV72" s="136">
        <f t="shared" si="42"/>
        <v>486972000</v>
      </c>
      <c r="AW72" s="114">
        <f>IFERROR(INDEX(T$5:T$304,MATCH(节奏预期!N72,$S$5:$S$304,0))*节奏预期!D72,0)</f>
        <v>0</v>
      </c>
      <c r="AX72" s="114">
        <f>IFERROR(INDEX(U$5:U$304,MATCH(节奏预期!O72,$S$5:$S$304,0))*节奏预期!E72,0)</f>
        <v>0</v>
      </c>
      <c r="AY72" s="114">
        <f>IFERROR(INDEX(V$5:V$304,MATCH(节奏预期!P72,$S$5:$S$304,0))*节奏预期!F72,0)</f>
        <v>0</v>
      </c>
      <c r="AZ72" s="114">
        <f>IFERROR(INDEX(W$5:W$304,MATCH(节奏预期!Q72,$S$5:$S$304,0))*节奏预期!G72,0)</f>
        <v>0</v>
      </c>
      <c r="BA72" s="114">
        <f>IFERROR(INDEX(X$5:X$304,MATCH(节奏预期!R72,$S$5:$S$304,0))*节奏预期!H72,0)</f>
        <v>12174300</v>
      </c>
      <c r="BB72" s="136">
        <f t="shared" si="43"/>
        <v>12174300</v>
      </c>
      <c r="BC72" s="100" t="str">
        <f>IF(节奏预期!N72="","",节奏预期!N72*装备强化!D$8+装备强化!D$5)</f>
        <v/>
      </c>
      <c r="BD72" s="100" t="str">
        <f>IF(节奏预期!O72="","",节奏预期!O72*装备强化!E$8+装备强化!E$5)</f>
        <v/>
      </c>
      <c r="BE72" s="100" t="str">
        <f>IF(节奏预期!P72="","",节奏预期!P72*装备强化!F$8+装备强化!F$5)</f>
        <v/>
      </c>
      <c r="BF72" s="100" t="str">
        <f>IF(节奏预期!Q72="","",节奏预期!Q72*装备强化!G$8+装备强化!G$5)</f>
        <v/>
      </c>
      <c r="BG72" s="100">
        <f>IF(节奏预期!R72="","",节奏预期!R72*装备强化!H$8+装备强化!H$5)</f>
        <v>6920</v>
      </c>
      <c r="BH72" s="14">
        <f>SUMPRODUCT(BC72:BG72,节奏预期!$D72:$H72)/SUM(节奏预期!$D72:$H72)</f>
        <v>6920</v>
      </c>
      <c r="BI72" s="13" t="str">
        <f>IF(节奏预期!N72="","",节奏预期!N72*装备强化!D$9+装备强化!D$6)</f>
        <v/>
      </c>
      <c r="BJ72" s="100" t="str">
        <f>IF(节奏预期!O72="","",节奏预期!O72*装备强化!E$9+装备强化!E$6)</f>
        <v/>
      </c>
      <c r="BK72" s="100" t="str">
        <f>IF(节奏预期!P72="","",节奏预期!P72*装备强化!F$9+装备强化!F$6)</f>
        <v/>
      </c>
      <c r="BL72" s="100" t="str">
        <f>IF(节奏预期!Q72="","",节奏预期!Q72*装备强化!G$9+装备强化!G$6)</f>
        <v/>
      </c>
      <c r="BM72" s="100">
        <f>IF(节奏预期!R72="","",节奏预期!R72*装备强化!H$9+装备强化!H$6)</f>
        <v>6920</v>
      </c>
      <c r="BN72" s="14">
        <f>SUMPRODUCT(BI72:BM72,节奏预期!$D72:$H72)/SUM(节奏预期!$D72:$H72)</f>
        <v>6920</v>
      </c>
      <c r="BO72" s="94">
        <f>IF(节奏预期!D72="","",IF(节奏预期!I72="",0,装备强化!D$4*节奏预期!I72))</f>
        <v>3.6</v>
      </c>
      <c r="BP72" s="94">
        <f>IF(节奏预期!E72="","",IF(节奏预期!J72="",0,装备强化!E$4*节奏预期!J72))</f>
        <v>8</v>
      </c>
      <c r="BQ72" s="94">
        <f>IF(节奏预期!F72="","",IF(节奏预期!K72="",0,装备强化!F$4*节奏预期!K72))</f>
        <v>18</v>
      </c>
      <c r="BR72" s="94">
        <f>IF(节奏预期!G72="","",IF(节奏预期!L72="",0,装备强化!G$4*节奏预期!L72))</f>
        <v>34</v>
      </c>
      <c r="BS72" s="94">
        <f>IF(节奏预期!H72="","",IF(节奏预期!M72="",0,装备强化!H$4*节奏预期!M72))</f>
        <v>66</v>
      </c>
      <c r="BT72" s="80">
        <f>SUMPRODUCT(BO72:BS72,节奏预期!D72:H72)/SUM(节奏预期!D72:H72)</f>
        <v>66</v>
      </c>
      <c r="BW72" s="25">
        <v>24</v>
      </c>
    </row>
    <row r="73" spans="10:96" x14ac:dyDescent="0.15">
      <c r="J73" s="46">
        <f>INDEX('[1]资源-装备经验'!Y$6:Y$165,(K73+1)/2,1)</f>
        <v>0</v>
      </c>
      <c r="K73" s="53">
        <v>69</v>
      </c>
      <c r="L73" s="121">
        <v>10</v>
      </c>
      <c r="M73" s="122">
        <f t="shared" si="44"/>
        <v>10</v>
      </c>
      <c r="N73" s="120">
        <f t="shared" si="45"/>
        <v>20</v>
      </c>
      <c r="O73" s="120">
        <f t="shared" si="45"/>
        <v>40</v>
      </c>
      <c r="P73" s="120">
        <f t="shared" si="45"/>
        <v>100</v>
      </c>
      <c r="Q73" s="120">
        <f t="shared" si="45"/>
        <v>300</v>
      </c>
      <c r="S73" s="53">
        <v>69</v>
      </c>
      <c r="T73" s="53">
        <f>SUM(M$5:M73)</f>
        <v>445</v>
      </c>
      <c r="U73" s="53">
        <f>SUM(N$5:N73)</f>
        <v>890</v>
      </c>
      <c r="V73" s="53">
        <f>SUM(O$5:O73)</f>
        <v>1780</v>
      </c>
      <c r="W73" s="53">
        <f>SUM(P$5:P73)</f>
        <v>4450</v>
      </c>
      <c r="X73" s="53">
        <f>SUM(Q$5:Q73)</f>
        <v>13350</v>
      </c>
      <c r="Z73" s="47">
        <v>69</v>
      </c>
      <c r="AA73" s="47">
        <f t="shared" si="46"/>
        <v>400</v>
      </c>
      <c r="AB73" s="47">
        <f t="shared" si="47"/>
        <v>800</v>
      </c>
      <c r="AC73" s="47">
        <f t="shared" si="48"/>
        <v>1600</v>
      </c>
      <c r="AD73" s="47">
        <f t="shared" si="49"/>
        <v>4000</v>
      </c>
      <c r="AE73" s="47">
        <f t="shared" si="50"/>
        <v>12000</v>
      </c>
      <c r="AG73" s="47">
        <v>69</v>
      </c>
      <c r="AH73" s="53">
        <f>SUM(AA$5:AA73)</f>
        <v>17800</v>
      </c>
      <c r="AI73" s="53">
        <f>SUM(AB$5:AB73)</f>
        <v>35600</v>
      </c>
      <c r="AJ73" s="53">
        <f>SUM(AC$5:AC73)</f>
        <v>71200</v>
      </c>
      <c r="AK73" s="53">
        <f>SUM(AD$5:AD73)</f>
        <v>178000</v>
      </c>
      <c r="AL73" s="53">
        <f>SUM(AE$5:AE73)</f>
        <v>534000</v>
      </c>
      <c r="AO73" s="46">
        <v>13</v>
      </c>
      <c r="AP73" s="129">
        <f>节奏预期!B73</f>
        <v>100</v>
      </c>
      <c r="AQ73" s="128">
        <f>IFERROR(INDEX(AH$5:AH$304,MATCH(节奏预期!N73,$AG$5:$AG$304,0))*节奏预期!D73,0)</f>
        <v>0</v>
      </c>
      <c r="AR73" s="128">
        <f>IFERROR(INDEX(AI$5:AI$304,MATCH(节奏预期!O73,$AG$5:$AG$304,0))*节奏预期!E73,0)</f>
        <v>0</v>
      </c>
      <c r="AS73" s="128">
        <f>IFERROR(INDEX(AJ$5:AJ$304,MATCH(节奏预期!P73,$AG$5:$AG$304,0))*节奏预期!F73,0)</f>
        <v>0</v>
      </c>
      <c r="AT73" s="128">
        <f>IFERROR(INDEX(AK$5:AK$304,MATCH(节奏预期!Q73,$AG$5:$AG$304,0))*节奏预期!G73,0)</f>
        <v>0</v>
      </c>
      <c r="AU73" s="128">
        <f>IFERROR(INDEX(AL$5:AL$304,MATCH(节奏预期!R73,$AG$5:$AG$304,0))*节奏预期!H73,0)</f>
        <v>1117692000</v>
      </c>
      <c r="AV73" s="136">
        <f t="shared" si="42"/>
        <v>1117692000</v>
      </c>
      <c r="AW73" s="128">
        <f>IFERROR(INDEX(T$5:T$304,MATCH(节奏预期!N73,$S$5:$S$304,0))*节奏预期!D73,0)</f>
        <v>0</v>
      </c>
      <c r="AX73" s="128">
        <f>IFERROR(INDEX(U$5:U$304,MATCH(节奏预期!O73,$S$5:$S$304,0))*节奏预期!E73,0)</f>
        <v>0</v>
      </c>
      <c r="AY73" s="128">
        <f>IFERROR(INDEX(V$5:V$304,MATCH(节奏预期!P73,$S$5:$S$304,0))*节奏预期!F73,0)</f>
        <v>0</v>
      </c>
      <c r="AZ73" s="128">
        <f>IFERROR(INDEX(W$5:W$304,MATCH(节奏预期!Q73,$S$5:$S$304,0))*节奏预期!G73,0)</f>
        <v>0</v>
      </c>
      <c r="BA73" s="128">
        <f>IFERROR(INDEX(X$5:X$304,MATCH(节奏预期!R73,$S$5:$S$304,0))*节奏预期!H73,0)</f>
        <v>27942300</v>
      </c>
      <c r="BB73" s="136">
        <f t="shared" si="43"/>
        <v>27942300</v>
      </c>
      <c r="BC73" s="126" t="str">
        <f>IF(节奏预期!N73="","",节奏预期!N73*装备强化!D$8+装备强化!D$5)</f>
        <v/>
      </c>
      <c r="BD73" s="126" t="str">
        <f>IF(节奏预期!O73="","",节奏预期!O73*装备强化!E$8+装备强化!E$5)</f>
        <v/>
      </c>
      <c r="BE73" s="126" t="str">
        <f>IF(节奏预期!P73="","",节奏预期!P73*装备强化!F$8+装备强化!F$5)</f>
        <v/>
      </c>
      <c r="BF73" s="126" t="str">
        <f>IF(节奏预期!Q73="","",节奏预期!Q73*装备强化!G$8+装备强化!G$5)</f>
        <v/>
      </c>
      <c r="BG73" s="126">
        <f>IF(节奏预期!R73="","",节奏预期!R73*装备强化!H$8+装备强化!H$5)</f>
        <v>7580</v>
      </c>
      <c r="BH73" s="14">
        <f>SUMPRODUCT(BC73:BG73,节奏预期!$D73:$H73)/SUM(节奏预期!$D73:$H73)</f>
        <v>7580</v>
      </c>
      <c r="BI73" s="13" t="str">
        <f>IF(节奏预期!N73="","",节奏预期!N73*装备强化!D$9+装备强化!D$6)</f>
        <v/>
      </c>
      <c r="BJ73" s="126" t="str">
        <f>IF(节奏预期!O73="","",节奏预期!O73*装备强化!E$9+装备强化!E$6)</f>
        <v/>
      </c>
      <c r="BK73" s="126" t="str">
        <f>IF(节奏预期!P73="","",节奏预期!P73*装备强化!F$9+装备强化!F$6)</f>
        <v/>
      </c>
      <c r="BL73" s="126" t="str">
        <f>IF(节奏预期!Q73="","",节奏预期!Q73*装备强化!G$9+装备强化!G$6)</f>
        <v/>
      </c>
      <c r="BM73" s="126">
        <f>IF(节奏预期!R73="","",节奏预期!R73*装备强化!H$9+装备强化!H$6)</f>
        <v>7580</v>
      </c>
      <c r="BN73" s="14">
        <f>SUMPRODUCT(BI73:BM73,节奏预期!$D73:$H73)/SUM(节奏预期!$D73:$H73)</f>
        <v>7580</v>
      </c>
      <c r="BO73" s="128">
        <f>IF(节奏预期!D73="","",IF(节奏预期!I73="",0,装备强化!D$4*节奏预期!I73))</f>
        <v>3.6</v>
      </c>
      <c r="BP73" s="128">
        <f>IF(节奏预期!E73="","",IF(节奏预期!J73="",0,装备强化!E$4*节奏预期!J73))</f>
        <v>8</v>
      </c>
      <c r="BQ73" s="128">
        <f>IF(节奏预期!F73="","",IF(节奏预期!K73="",0,装备强化!F$4*节奏预期!K73))</f>
        <v>18</v>
      </c>
      <c r="BR73" s="128">
        <f>IF(节奏预期!G73="","",IF(节奏预期!L73="",0,装备强化!G$4*节奏预期!L73))</f>
        <v>34</v>
      </c>
      <c r="BS73" s="128">
        <f>IF(节奏预期!H73="","",IF(节奏预期!M73="",0,装备强化!H$4*节奏预期!M73))</f>
        <v>66</v>
      </c>
      <c r="BT73" s="80">
        <f>SUMPRODUCT(BO73:BS73,节奏预期!D73:H73)/SUM(节奏预期!D73:H73)</f>
        <v>66</v>
      </c>
      <c r="BW73" s="25">
        <v>25</v>
      </c>
    </row>
    <row r="74" spans="10:96" x14ac:dyDescent="0.15">
      <c r="J74" s="46">
        <f>INDEX('[1]资源-装备经验'!Y$6:Y$165,(K74+1)/2,1)</f>
        <v>0</v>
      </c>
      <c r="K74" s="53">
        <v>70</v>
      </c>
      <c r="L74" s="121">
        <v>20</v>
      </c>
      <c r="M74" s="122">
        <f t="shared" si="44"/>
        <v>20</v>
      </c>
      <c r="N74" s="120">
        <f t="shared" si="45"/>
        <v>40</v>
      </c>
      <c r="O74" s="120">
        <f t="shared" si="45"/>
        <v>80</v>
      </c>
      <c r="P74" s="120">
        <f t="shared" si="45"/>
        <v>200</v>
      </c>
      <c r="Q74" s="120">
        <f t="shared" si="45"/>
        <v>600</v>
      </c>
      <c r="S74" s="53">
        <v>70</v>
      </c>
      <c r="T74" s="53">
        <f>SUM(M$5:M74)</f>
        <v>465</v>
      </c>
      <c r="U74" s="53">
        <f>SUM(N$5:N74)</f>
        <v>930</v>
      </c>
      <c r="V74" s="53">
        <f>SUM(O$5:O74)</f>
        <v>1860</v>
      </c>
      <c r="W74" s="53">
        <f>SUM(P$5:P74)</f>
        <v>4650</v>
      </c>
      <c r="X74" s="53">
        <f>SUM(Q$5:Q74)</f>
        <v>13950</v>
      </c>
      <c r="Z74" s="47">
        <v>70</v>
      </c>
      <c r="AA74" s="47">
        <f t="shared" si="46"/>
        <v>800</v>
      </c>
      <c r="AB74" s="47">
        <f t="shared" si="47"/>
        <v>1600</v>
      </c>
      <c r="AC74" s="47">
        <f t="shared" si="48"/>
        <v>3200</v>
      </c>
      <c r="AD74" s="47">
        <f t="shared" si="49"/>
        <v>8000</v>
      </c>
      <c r="AE74" s="47">
        <f t="shared" si="50"/>
        <v>24000</v>
      </c>
      <c r="AG74" s="47">
        <v>70</v>
      </c>
      <c r="AH74" s="53">
        <f>SUM(AA$5:AA74)</f>
        <v>18600</v>
      </c>
      <c r="AI74" s="53">
        <f>SUM(AB$5:AB74)</f>
        <v>37200</v>
      </c>
      <c r="AJ74" s="53">
        <f>SUM(AC$5:AC74)</f>
        <v>74400</v>
      </c>
      <c r="AK74" s="53">
        <f>SUM(AD$5:AD74)</f>
        <v>186000</v>
      </c>
      <c r="AL74" s="53">
        <f>SUM(AE$5:AE74)</f>
        <v>558000</v>
      </c>
      <c r="AO74" s="46">
        <v>14</v>
      </c>
      <c r="AP74" s="129">
        <f>节奏预期!B74</f>
        <v>110</v>
      </c>
      <c r="AQ74" s="128">
        <f>IFERROR(INDEX(AH$5:AH$304,MATCH(节奏预期!N74,$AG$5:$AG$304,0))*节奏预期!D74,0)</f>
        <v>0</v>
      </c>
      <c r="AR74" s="128">
        <f>IFERROR(INDEX(AI$5:AI$304,MATCH(节奏预期!O74,$AG$5:$AG$304,0))*节奏预期!E74,0)</f>
        <v>0</v>
      </c>
      <c r="AS74" s="128">
        <f>IFERROR(INDEX(AJ$5:AJ$304,MATCH(节奏预期!P74,$AG$5:$AG$304,0))*节奏预期!F74,0)</f>
        <v>0</v>
      </c>
      <c r="AT74" s="128">
        <f>IFERROR(INDEX(AK$5:AK$304,MATCH(节奏预期!Q74,$AG$5:$AG$304,0))*节奏预期!G74,0)</f>
        <v>0</v>
      </c>
      <c r="AU74" s="128">
        <f>IFERROR(INDEX(AL$5:AL$304,MATCH(节奏预期!R74,$AG$5:$AG$304,0))*节奏预期!H74,0)</f>
        <v>2478492000</v>
      </c>
      <c r="AV74" s="136">
        <f t="shared" si="42"/>
        <v>2478492000</v>
      </c>
      <c r="AW74" s="128">
        <f>IFERROR(INDEX(T$5:T$304,MATCH(节奏预期!N74,$S$5:$S$304,0))*节奏预期!D74,0)</f>
        <v>0</v>
      </c>
      <c r="AX74" s="128">
        <f>IFERROR(INDEX(U$5:U$304,MATCH(节奏预期!O74,$S$5:$S$304,0))*节奏预期!E74,0)</f>
        <v>0</v>
      </c>
      <c r="AY74" s="128">
        <f>IFERROR(INDEX(V$5:V$304,MATCH(节奏预期!P74,$S$5:$S$304,0))*节奏预期!F74,0)</f>
        <v>0</v>
      </c>
      <c r="AZ74" s="128">
        <f>IFERROR(INDEX(W$5:W$304,MATCH(节奏预期!Q74,$S$5:$S$304,0))*节奏预期!G74,0)</f>
        <v>0</v>
      </c>
      <c r="BA74" s="128">
        <f>IFERROR(INDEX(X$5:X$304,MATCH(节奏预期!R74,$S$5:$S$304,0))*节奏预期!H74,0)</f>
        <v>61962300</v>
      </c>
      <c r="BB74" s="136">
        <f t="shared" si="43"/>
        <v>61962300</v>
      </c>
      <c r="BC74" s="126" t="str">
        <f>IF(节奏预期!N74="","",节奏预期!N74*装备强化!D$8+装备强化!D$5)</f>
        <v/>
      </c>
      <c r="BD74" s="126" t="str">
        <f>IF(节奏预期!O74="","",节奏预期!O74*装备强化!E$8+装备强化!E$5)</f>
        <v/>
      </c>
      <c r="BE74" s="126" t="str">
        <f>IF(节奏预期!P74="","",节奏预期!P74*装备强化!F$8+装备强化!F$5)</f>
        <v/>
      </c>
      <c r="BF74" s="126" t="str">
        <f>IF(节奏预期!Q74="","",节奏预期!Q74*装备强化!G$8+装备强化!G$5)</f>
        <v/>
      </c>
      <c r="BG74" s="126">
        <f>IF(节奏预期!R74="","",节奏预期!R74*装备强化!H$8+装备强化!H$5)</f>
        <v>8240</v>
      </c>
      <c r="BH74" s="14">
        <f>SUMPRODUCT(BC74:BG74,节奏预期!$D74:$H74)/SUM(节奏预期!$D74:$H74)</f>
        <v>8240</v>
      </c>
      <c r="BI74" s="13" t="str">
        <f>IF(节奏预期!N74="","",节奏预期!N74*装备强化!D$9+装备强化!D$6)</f>
        <v/>
      </c>
      <c r="BJ74" s="126" t="str">
        <f>IF(节奏预期!O74="","",节奏预期!O74*装备强化!E$9+装备强化!E$6)</f>
        <v/>
      </c>
      <c r="BK74" s="126" t="str">
        <f>IF(节奏预期!P74="","",节奏预期!P74*装备强化!F$9+装备强化!F$6)</f>
        <v/>
      </c>
      <c r="BL74" s="126" t="str">
        <f>IF(节奏预期!Q74="","",节奏预期!Q74*装备强化!G$9+装备强化!G$6)</f>
        <v/>
      </c>
      <c r="BM74" s="126">
        <f>IF(节奏预期!R74="","",节奏预期!R74*装备强化!H$9+装备强化!H$6)</f>
        <v>8240</v>
      </c>
      <c r="BN74" s="14">
        <f>SUMPRODUCT(BI74:BM74,节奏预期!$D74:$H74)/SUM(节奏预期!$D74:$H74)</f>
        <v>8240</v>
      </c>
      <c r="BO74" s="128">
        <f>IF(节奏预期!D74="","",IF(节奏预期!I74="",0,装备强化!D$4*节奏预期!I74))</f>
        <v>3.6</v>
      </c>
      <c r="BP74" s="128">
        <f>IF(节奏预期!E74="","",IF(节奏预期!J74="",0,装备强化!E$4*节奏预期!J74))</f>
        <v>8</v>
      </c>
      <c r="BQ74" s="128">
        <f>IF(节奏预期!F74="","",IF(节奏预期!K74="",0,装备强化!F$4*节奏预期!K74))</f>
        <v>18</v>
      </c>
      <c r="BR74" s="128">
        <f>IF(节奏预期!G74="","",IF(节奏预期!L74="",0,装备强化!G$4*节奏预期!L74))</f>
        <v>34</v>
      </c>
      <c r="BS74" s="128">
        <f>IF(节奏预期!H74="","",IF(节奏预期!M74="",0,装备强化!H$4*节奏预期!M74))</f>
        <v>66</v>
      </c>
      <c r="BT74" s="80">
        <f>SUMPRODUCT(BO74:BS74,节奏预期!D74:H74)/SUM(节奏预期!D74:H74)</f>
        <v>66</v>
      </c>
      <c r="BW74" s="25">
        <v>26</v>
      </c>
      <c r="CI74" s="36"/>
    </row>
    <row r="75" spans="10:96" x14ac:dyDescent="0.15">
      <c r="J75" s="46">
        <f>INDEX('[1]资源-装备经验'!Y$6:Y$165,(K75+1)/2,1)</f>
        <v>0</v>
      </c>
      <c r="K75" s="53">
        <v>71</v>
      </c>
      <c r="L75" s="121">
        <v>20</v>
      </c>
      <c r="M75" s="122">
        <f t="shared" si="44"/>
        <v>20</v>
      </c>
      <c r="N75" s="120">
        <f t="shared" si="45"/>
        <v>40</v>
      </c>
      <c r="O75" s="120">
        <f t="shared" si="45"/>
        <v>80</v>
      </c>
      <c r="P75" s="120">
        <f t="shared" si="45"/>
        <v>200</v>
      </c>
      <c r="Q75" s="120">
        <f t="shared" si="45"/>
        <v>600</v>
      </c>
      <c r="S75" s="53">
        <v>71</v>
      </c>
      <c r="T75" s="53">
        <f>SUM(M$5:M75)</f>
        <v>485</v>
      </c>
      <c r="U75" s="53">
        <f>SUM(N$5:N75)</f>
        <v>970</v>
      </c>
      <c r="V75" s="53">
        <f>SUM(O$5:O75)</f>
        <v>1940</v>
      </c>
      <c r="W75" s="53">
        <f>SUM(P$5:P75)</f>
        <v>4850</v>
      </c>
      <c r="X75" s="53">
        <f>SUM(Q$5:Q75)</f>
        <v>14550</v>
      </c>
      <c r="Z75" s="47">
        <v>71</v>
      </c>
      <c r="AA75" s="47">
        <f t="shared" si="46"/>
        <v>800</v>
      </c>
      <c r="AB75" s="47">
        <f t="shared" si="47"/>
        <v>1600</v>
      </c>
      <c r="AC75" s="47">
        <f t="shared" si="48"/>
        <v>3200</v>
      </c>
      <c r="AD75" s="47">
        <f t="shared" si="49"/>
        <v>8000</v>
      </c>
      <c r="AE75" s="47">
        <f t="shared" si="50"/>
        <v>24000</v>
      </c>
      <c r="AG75" s="47">
        <v>71</v>
      </c>
      <c r="AH75" s="53">
        <f>SUM(AA$5:AA75)</f>
        <v>19400</v>
      </c>
      <c r="AI75" s="53">
        <f>SUM(AB$5:AB75)</f>
        <v>38800</v>
      </c>
      <c r="AJ75" s="53">
        <f>SUM(AC$5:AC75)</f>
        <v>77600</v>
      </c>
      <c r="AK75" s="53">
        <f>SUM(AD$5:AD75)</f>
        <v>194000</v>
      </c>
      <c r="AL75" s="53">
        <f>SUM(AE$5:AE75)</f>
        <v>582000</v>
      </c>
      <c r="AO75" s="46">
        <v>15</v>
      </c>
      <c r="AP75" s="129">
        <f>节奏预期!B75</f>
        <v>120</v>
      </c>
      <c r="AQ75" s="128">
        <f>IFERROR(INDEX(AH$5:AH$304,MATCH(节奏预期!N75,$AG$5:$AG$304,0))*节奏预期!D75,0)</f>
        <v>0</v>
      </c>
      <c r="AR75" s="128">
        <f>IFERROR(INDEX(AI$5:AI$304,MATCH(节奏预期!O75,$AG$5:$AG$304,0))*节奏预期!E75,0)</f>
        <v>0</v>
      </c>
      <c r="AS75" s="128">
        <f>IFERROR(INDEX(AJ$5:AJ$304,MATCH(节奏预期!P75,$AG$5:$AG$304,0))*节奏预期!F75,0)</f>
        <v>0</v>
      </c>
      <c r="AT75" s="128">
        <f>IFERROR(INDEX(AK$5:AK$304,MATCH(节奏预期!Q75,$AG$5:$AG$304,0))*节奏预期!G75,0)</f>
        <v>0</v>
      </c>
      <c r="AU75" s="128">
        <f>IFERROR(INDEX(AL$5:AL$304,MATCH(节奏预期!R75,$AG$5:$AG$304,0))*节奏预期!H75,0)</f>
        <v>5601852000</v>
      </c>
      <c r="AV75" s="136">
        <f t="shared" si="42"/>
        <v>5601852000</v>
      </c>
      <c r="AW75" s="128">
        <f>IFERROR(INDEX(T$5:T$304,MATCH(节奏预期!N75,$S$5:$S$304,0))*节奏预期!D75,0)</f>
        <v>0</v>
      </c>
      <c r="AX75" s="128">
        <f>IFERROR(INDEX(U$5:U$304,MATCH(节奏预期!O75,$S$5:$S$304,0))*节奏预期!E75,0)</f>
        <v>0</v>
      </c>
      <c r="AY75" s="128">
        <f>IFERROR(INDEX(V$5:V$304,MATCH(节奏预期!P75,$S$5:$S$304,0))*节奏预期!F75,0)</f>
        <v>0</v>
      </c>
      <c r="AZ75" s="128">
        <f>IFERROR(INDEX(W$5:W$304,MATCH(节奏预期!Q75,$S$5:$S$304,0))*节奏预期!G75,0)</f>
        <v>0</v>
      </c>
      <c r="BA75" s="128">
        <f>IFERROR(INDEX(X$5:X$304,MATCH(节奏预期!R75,$S$5:$S$304,0))*节奏预期!H75,0)</f>
        <v>140046300</v>
      </c>
      <c r="BB75" s="136">
        <f t="shared" si="43"/>
        <v>140046300</v>
      </c>
      <c r="BC75" s="126" t="str">
        <f>IF(节奏预期!N75="","",节奏预期!N75*装备强化!D$8+装备强化!D$5)</f>
        <v/>
      </c>
      <c r="BD75" s="126" t="str">
        <f>IF(节奏预期!O75="","",节奏预期!O75*装备强化!E$8+装备强化!E$5)</f>
        <v/>
      </c>
      <c r="BE75" s="126" t="str">
        <f>IF(节奏预期!P75="","",节奏预期!P75*装备强化!F$8+装备强化!F$5)</f>
        <v/>
      </c>
      <c r="BF75" s="126" t="str">
        <f>IF(节奏预期!Q75="","",节奏预期!Q75*装备强化!G$8+装备强化!G$5)</f>
        <v/>
      </c>
      <c r="BG75" s="126">
        <f>IF(节奏预期!R75="","",节奏预期!R75*装备强化!H$8+装备强化!H$5)</f>
        <v>8900</v>
      </c>
      <c r="BH75" s="14">
        <f>SUMPRODUCT(BC75:BG75,节奏预期!$D75:$H75)/SUM(节奏预期!$D75:$H75)</f>
        <v>8900</v>
      </c>
      <c r="BI75" s="13" t="str">
        <f>IF(节奏预期!N75="","",节奏预期!N75*装备强化!D$9+装备强化!D$6)</f>
        <v/>
      </c>
      <c r="BJ75" s="126" t="str">
        <f>IF(节奏预期!O75="","",节奏预期!O75*装备强化!E$9+装备强化!E$6)</f>
        <v/>
      </c>
      <c r="BK75" s="126" t="str">
        <f>IF(节奏预期!P75="","",节奏预期!P75*装备强化!F$9+装备强化!F$6)</f>
        <v/>
      </c>
      <c r="BL75" s="126" t="str">
        <f>IF(节奏预期!Q75="","",节奏预期!Q75*装备强化!G$9+装备强化!G$6)</f>
        <v/>
      </c>
      <c r="BM75" s="126">
        <f>IF(节奏预期!R75="","",节奏预期!R75*装备强化!H$9+装备强化!H$6)</f>
        <v>8900</v>
      </c>
      <c r="BN75" s="14">
        <f>SUMPRODUCT(BI75:BM75,节奏预期!$D75:$H75)/SUM(节奏预期!$D75:$H75)</f>
        <v>8900</v>
      </c>
      <c r="BO75" s="128">
        <f>IF(节奏预期!D75="","",IF(节奏预期!I75="",0,装备强化!D$4*节奏预期!I75))</f>
        <v>3.6</v>
      </c>
      <c r="BP75" s="128">
        <f>IF(节奏预期!E75="","",IF(节奏预期!J75="",0,装备强化!E$4*节奏预期!J75))</f>
        <v>8</v>
      </c>
      <c r="BQ75" s="128">
        <f>IF(节奏预期!F75="","",IF(节奏预期!K75="",0,装备强化!F$4*节奏预期!K75))</f>
        <v>18</v>
      </c>
      <c r="BR75" s="128">
        <f>IF(节奏预期!G75="","",IF(节奏预期!L75="",0,装备强化!G$4*节奏预期!L75))</f>
        <v>34</v>
      </c>
      <c r="BS75" s="128">
        <f>IF(节奏预期!H75="","",IF(节奏预期!M75="",0,装备强化!H$4*节奏预期!M75))</f>
        <v>66</v>
      </c>
      <c r="BT75" s="80">
        <f>SUMPRODUCT(BO75:BS75,节奏预期!D75:H75)/SUM(节奏预期!D75:H75)</f>
        <v>66</v>
      </c>
      <c r="BW75" s="25">
        <v>27</v>
      </c>
      <c r="CI75" s="36"/>
    </row>
    <row r="76" spans="10:96" x14ac:dyDescent="0.15">
      <c r="J76" s="46">
        <f>INDEX('[1]资源-装备经验'!Y$6:Y$165,(K76+1)/2,1)</f>
        <v>0</v>
      </c>
      <c r="K76" s="53">
        <v>72</v>
      </c>
      <c r="L76" s="121">
        <v>20</v>
      </c>
      <c r="M76" s="122">
        <f t="shared" si="44"/>
        <v>20</v>
      </c>
      <c r="N76" s="120">
        <f t="shared" si="45"/>
        <v>40</v>
      </c>
      <c r="O76" s="120">
        <f t="shared" si="45"/>
        <v>80</v>
      </c>
      <c r="P76" s="120">
        <f t="shared" si="45"/>
        <v>200</v>
      </c>
      <c r="Q76" s="120">
        <f t="shared" si="45"/>
        <v>600</v>
      </c>
      <c r="S76" s="53">
        <v>72</v>
      </c>
      <c r="T76" s="53">
        <f>SUM(M$5:M76)</f>
        <v>505</v>
      </c>
      <c r="U76" s="53">
        <f>SUM(N$5:N76)</f>
        <v>1010</v>
      </c>
      <c r="V76" s="53">
        <f>SUM(O$5:O76)</f>
        <v>2020</v>
      </c>
      <c r="W76" s="53">
        <f>SUM(P$5:P76)</f>
        <v>5050</v>
      </c>
      <c r="X76" s="53">
        <f>SUM(Q$5:Q76)</f>
        <v>15150</v>
      </c>
      <c r="Z76" s="47">
        <v>72</v>
      </c>
      <c r="AA76" s="47">
        <f t="shared" si="46"/>
        <v>800</v>
      </c>
      <c r="AB76" s="47">
        <f t="shared" si="47"/>
        <v>1600</v>
      </c>
      <c r="AC76" s="47">
        <f t="shared" si="48"/>
        <v>3200</v>
      </c>
      <c r="AD76" s="47">
        <f t="shared" si="49"/>
        <v>8000</v>
      </c>
      <c r="AE76" s="47">
        <f t="shared" si="50"/>
        <v>24000</v>
      </c>
      <c r="AG76" s="47">
        <v>72</v>
      </c>
      <c r="AH76" s="53">
        <f>SUM(AA$5:AA76)</f>
        <v>20200</v>
      </c>
      <c r="AI76" s="53">
        <f>SUM(AB$5:AB76)</f>
        <v>40400</v>
      </c>
      <c r="AJ76" s="53">
        <f>SUM(AC$5:AC76)</f>
        <v>80800</v>
      </c>
      <c r="AK76" s="53">
        <f>SUM(AD$5:AD76)</f>
        <v>202000</v>
      </c>
      <c r="AL76" s="53">
        <f>SUM(AE$5:AE76)</f>
        <v>606000</v>
      </c>
      <c r="AO76" s="46">
        <v>16</v>
      </c>
      <c r="AP76" s="129">
        <f>节奏预期!B76</f>
        <v>130</v>
      </c>
      <c r="AQ76" s="128">
        <f>IFERROR(INDEX(AH$5:AH$304,MATCH(节奏预期!N76,$AG$5:$AG$304,0))*节奏预期!D76,0)</f>
        <v>0</v>
      </c>
      <c r="AR76" s="128">
        <f>IFERROR(INDEX(AI$5:AI$304,MATCH(节奏预期!O76,$AG$5:$AG$304,0))*节奏预期!E76,0)</f>
        <v>0</v>
      </c>
      <c r="AS76" s="128">
        <f>IFERROR(INDEX(AJ$5:AJ$304,MATCH(节奏预期!P76,$AG$5:$AG$304,0))*节奏预期!F76,0)</f>
        <v>0</v>
      </c>
      <c r="AT76" s="128">
        <f>IFERROR(INDEX(AK$5:AK$304,MATCH(节奏预期!Q76,$AG$5:$AG$304,0))*节奏预期!G76,0)</f>
        <v>0</v>
      </c>
      <c r="AU76" s="128">
        <f>IFERROR(INDEX(AL$5:AL$304,MATCH(节奏预期!R76,$AG$5:$AG$304,0))*节奏预期!H76,0)</f>
        <v>12816252000</v>
      </c>
      <c r="AV76" s="136">
        <f t="shared" si="42"/>
        <v>12816252000</v>
      </c>
      <c r="AW76" s="128">
        <f>IFERROR(INDEX(T$5:T$304,MATCH(节奏预期!N76,$S$5:$S$304,0))*节奏预期!D76,0)</f>
        <v>0</v>
      </c>
      <c r="AX76" s="128">
        <f>IFERROR(INDEX(U$5:U$304,MATCH(节奏预期!O76,$S$5:$S$304,0))*节奏预期!E76,0)</f>
        <v>0</v>
      </c>
      <c r="AY76" s="128">
        <f>IFERROR(INDEX(V$5:V$304,MATCH(节奏预期!P76,$S$5:$S$304,0))*节奏预期!F76,0)</f>
        <v>0</v>
      </c>
      <c r="AZ76" s="128">
        <f>IFERROR(INDEX(W$5:W$304,MATCH(节奏预期!Q76,$S$5:$S$304,0))*节奏预期!G76,0)</f>
        <v>0</v>
      </c>
      <c r="BA76" s="128">
        <f>IFERROR(INDEX(X$5:X$304,MATCH(节奏预期!R76,$S$5:$S$304,0))*节奏预期!H76,0)</f>
        <v>320406300</v>
      </c>
      <c r="BB76" s="136">
        <f t="shared" si="43"/>
        <v>320406300</v>
      </c>
      <c r="BC76" s="126" t="str">
        <f>IF(节奏预期!N76="","",节奏预期!N76*装备强化!D$8+装备强化!D$5)</f>
        <v/>
      </c>
      <c r="BD76" s="126" t="str">
        <f>IF(节奏预期!O76="","",节奏预期!O76*装备强化!E$8+装备强化!E$5)</f>
        <v/>
      </c>
      <c r="BE76" s="126" t="str">
        <f>IF(节奏预期!P76="","",节奏预期!P76*装备强化!F$8+装备强化!F$5)</f>
        <v/>
      </c>
      <c r="BF76" s="126" t="str">
        <f>IF(节奏预期!Q76="","",节奏预期!Q76*装备强化!G$8+装备强化!G$5)</f>
        <v/>
      </c>
      <c r="BG76" s="126">
        <f>IF(节奏预期!R76="","",节奏预期!R76*装备强化!H$8+装备强化!H$5)</f>
        <v>9560</v>
      </c>
      <c r="BH76" s="14">
        <f>SUMPRODUCT(BC76:BG76,节奏预期!$D76:$H76)/SUM(节奏预期!$D76:$H76)</f>
        <v>9560</v>
      </c>
      <c r="BI76" s="13" t="str">
        <f>IF(节奏预期!N76="","",节奏预期!N76*装备强化!D$9+装备强化!D$6)</f>
        <v/>
      </c>
      <c r="BJ76" s="126" t="str">
        <f>IF(节奏预期!O76="","",节奏预期!O76*装备强化!E$9+装备强化!E$6)</f>
        <v/>
      </c>
      <c r="BK76" s="126" t="str">
        <f>IF(节奏预期!P76="","",节奏预期!P76*装备强化!F$9+装备强化!F$6)</f>
        <v/>
      </c>
      <c r="BL76" s="126" t="str">
        <f>IF(节奏预期!Q76="","",节奏预期!Q76*装备强化!G$9+装备强化!G$6)</f>
        <v/>
      </c>
      <c r="BM76" s="126">
        <f>IF(节奏预期!R76="","",节奏预期!R76*装备强化!H$9+装备强化!H$6)</f>
        <v>9560</v>
      </c>
      <c r="BN76" s="14">
        <f>SUMPRODUCT(BI76:BM76,节奏预期!$D76:$H76)/SUM(节奏预期!$D76:$H76)</f>
        <v>9560</v>
      </c>
      <c r="BO76" s="128">
        <f>IF(节奏预期!D76="","",IF(节奏预期!I76="",0,装备强化!D$4*节奏预期!I76))</f>
        <v>3.6</v>
      </c>
      <c r="BP76" s="128">
        <f>IF(节奏预期!E76="","",IF(节奏预期!J76="",0,装备强化!E$4*节奏预期!J76))</f>
        <v>8</v>
      </c>
      <c r="BQ76" s="128">
        <f>IF(节奏预期!F76="","",IF(节奏预期!K76="",0,装备强化!F$4*节奏预期!K76))</f>
        <v>18</v>
      </c>
      <c r="BR76" s="128">
        <f>IF(节奏预期!G76="","",IF(节奏预期!L76="",0,装备强化!G$4*节奏预期!L76))</f>
        <v>34</v>
      </c>
      <c r="BS76" s="128">
        <f>IF(节奏预期!H76="","",IF(节奏预期!M76="",0,装备强化!H$4*节奏预期!M76))</f>
        <v>66</v>
      </c>
      <c r="BT76" s="80">
        <f>SUMPRODUCT(BO76:BS76,节奏预期!D76:H76)/SUM(节奏预期!D76:H76)</f>
        <v>66</v>
      </c>
      <c r="BW76" s="25">
        <v>28</v>
      </c>
    </row>
    <row r="77" spans="10:96" x14ac:dyDescent="0.15">
      <c r="J77" s="46">
        <f>INDEX('[1]资源-装备经验'!Y$6:Y$165,(K77+1)/2,1)</f>
        <v>0</v>
      </c>
      <c r="K77" s="53">
        <v>73</v>
      </c>
      <c r="L77" s="121">
        <v>20</v>
      </c>
      <c r="M77" s="122">
        <f t="shared" si="44"/>
        <v>20</v>
      </c>
      <c r="N77" s="120">
        <f t="shared" si="45"/>
        <v>40</v>
      </c>
      <c r="O77" s="120">
        <f t="shared" si="45"/>
        <v>80</v>
      </c>
      <c r="P77" s="120">
        <f t="shared" si="45"/>
        <v>200</v>
      </c>
      <c r="Q77" s="120">
        <f t="shared" si="45"/>
        <v>600</v>
      </c>
      <c r="S77" s="53">
        <v>73</v>
      </c>
      <c r="T77" s="53">
        <f>SUM(M$5:M77)</f>
        <v>525</v>
      </c>
      <c r="U77" s="53">
        <f>SUM(N$5:N77)</f>
        <v>1050</v>
      </c>
      <c r="V77" s="53">
        <f>SUM(O$5:O77)</f>
        <v>2100</v>
      </c>
      <c r="W77" s="53">
        <f>SUM(P$5:P77)</f>
        <v>5250</v>
      </c>
      <c r="X77" s="53">
        <f>SUM(Q$5:Q77)</f>
        <v>15750</v>
      </c>
      <c r="Z77" s="47">
        <v>73</v>
      </c>
      <c r="AA77" s="47">
        <f t="shared" si="46"/>
        <v>800</v>
      </c>
      <c r="AB77" s="47">
        <f t="shared" si="47"/>
        <v>1600</v>
      </c>
      <c r="AC77" s="47">
        <f t="shared" si="48"/>
        <v>3200</v>
      </c>
      <c r="AD77" s="47">
        <f t="shared" si="49"/>
        <v>8000</v>
      </c>
      <c r="AE77" s="47">
        <f t="shared" si="50"/>
        <v>24000</v>
      </c>
      <c r="AG77" s="47">
        <v>73</v>
      </c>
      <c r="AH77" s="53">
        <f>SUM(AA$5:AA77)</f>
        <v>21000</v>
      </c>
      <c r="AI77" s="53">
        <f>SUM(AB$5:AB77)</f>
        <v>42000</v>
      </c>
      <c r="AJ77" s="53">
        <f>SUM(AC$5:AC77)</f>
        <v>84000</v>
      </c>
      <c r="AK77" s="53">
        <f>SUM(AD$5:AD77)</f>
        <v>210000</v>
      </c>
      <c r="AL77" s="53">
        <f>SUM(AE$5:AE77)</f>
        <v>630000</v>
      </c>
      <c r="AO77" s="46">
        <v>17</v>
      </c>
      <c r="AP77" s="129">
        <f>节奏预期!B77</f>
        <v>140</v>
      </c>
      <c r="AQ77" s="128">
        <f>IFERROR(INDEX(AH$5:AH$304,MATCH(节奏预期!N77,$AG$5:$AG$304,0))*节奏预期!D77,0)</f>
        <v>0</v>
      </c>
      <c r="AR77" s="128">
        <f>IFERROR(INDEX(AI$5:AI$304,MATCH(节奏预期!O77,$AG$5:$AG$304,0))*节奏预期!E77,0)</f>
        <v>0</v>
      </c>
      <c r="AS77" s="128">
        <f>IFERROR(INDEX(AJ$5:AJ$304,MATCH(节奏预期!P77,$AG$5:$AG$304,0))*节奏预期!F77,0)</f>
        <v>0</v>
      </c>
      <c r="AT77" s="128">
        <f>IFERROR(INDEX(AK$5:AK$304,MATCH(节奏预期!Q77,$AG$5:$AG$304,0))*节奏预期!G77,0)</f>
        <v>0</v>
      </c>
      <c r="AU77" s="128">
        <f>IFERROR(INDEX(AL$5:AL$304,MATCH(节奏预期!R77,$AG$5:$AG$304,0))*节奏预期!H77,0)</f>
        <v>31176252000</v>
      </c>
      <c r="AV77" s="136">
        <f t="shared" si="42"/>
        <v>31176252000</v>
      </c>
      <c r="AW77" s="128">
        <f>IFERROR(INDEX(T$5:T$304,MATCH(节奏预期!N77,$S$5:$S$304,0))*节奏预期!D77,0)</f>
        <v>0</v>
      </c>
      <c r="AX77" s="128">
        <f>IFERROR(INDEX(U$5:U$304,MATCH(节奏预期!O77,$S$5:$S$304,0))*节奏预期!E77,0)</f>
        <v>0</v>
      </c>
      <c r="AY77" s="128">
        <f>IFERROR(INDEX(V$5:V$304,MATCH(节奏预期!P77,$S$5:$S$304,0))*节奏预期!F77,0)</f>
        <v>0</v>
      </c>
      <c r="AZ77" s="128">
        <f>IFERROR(INDEX(W$5:W$304,MATCH(节奏预期!Q77,$S$5:$S$304,0))*节奏预期!G77,0)</f>
        <v>0</v>
      </c>
      <c r="BA77" s="128">
        <f>IFERROR(INDEX(X$5:X$304,MATCH(节奏预期!R77,$S$5:$S$304,0))*节奏预期!H77,0)</f>
        <v>779406300</v>
      </c>
      <c r="BB77" s="136">
        <f t="shared" si="43"/>
        <v>779406300</v>
      </c>
      <c r="BC77" s="126" t="str">
        <f>IF(节奏预期!N77="","",节奏预期!N77*装备强化!D$8+装备强化!D$5)</f>
        <v/>
      </c>
      <c r="BD77" s="126" t="str">
        <f>IF(节奏预期!O77="","",节奏预期!O77*装备强化!E$8+装备强化!E$5)</f>
        <v/>
      </c>
      <c r="BE77" s="126" t="str">
        <f>IF(节奏预期!P77="","",节奏预期!P77*装备强化!F$8+装备强化!F$5)</f>
        <v/>
      </c>
      <c r="BF77" s="126" t="str">
        <f>IF(节奏预期!Q77="","",节奏预期!Q77*装备强化!G$8+装备强化!G$5)</f>
        <v/>
      </c>
      <c r="BG77" s="126">
        <f>IF(节奏预期!R77="","",节奏预期!R77*装备强化!H$8+装备强化!H$5)</f>
        <v>10220</v>
      </c>
      <c r="BH77" s="14">
        <f>SUMPRODUCT(BC77:BG77,节奏预期!$D77:$H77)/SUM(节奏预期!$D77:$H77)</f>
        <v>10220</v>
      </c>
      <c r="BI77" s="13" t="str">
        <f>IF(节奏预期!N77="","",节奏预期!N77*装备强化!D$9+装备强化!D$6)</f>
        <v/>
      </c>
      <c r="BJ77" s="126" t="str">
        <f>IF(节奏预期!O77="","",节奏预期!O77*装备强化!E$9+装备强化!E$6)</f>
        <v/>
      </c>
      <c r="BK77" s="126" t="str">
        <f>IF(节奏预期!P77="","",节奏预期!P77*装备强化!F$9+装备强化!F$6)</f>
        <v/>
      </c>
      <c r="BL77" s="126" t="str">
        <f>IF(节奏预期!Q77="","",节奏预期!Q77*装备强化!G$9+装备强化!G$6)</f>
        <v/>
      </c>
      <c r="BM77" s="126">
        <f>IF(节奏预期!R77="","",节奏预期!R77*装备强化!H$9+装备强化!H$6)</f>
        <v>10220</v>
      </c>
      <c r="BN77" s="14">
        <f>SUMPRODUCT(BI77:BM77,节奏预期!$D77:$H77)/SUM(节奏预期!$D77:$H77)</f>
        <v>10220</v>
      </c>
      <c r="BO77" s="128">
        <f>IF(节奏预期!D77="","",IF(节奏预期!I77="",0,装备强化!D$4*节奏预期!I77))</f>
        <v>3.6</v>
      </c>
      <c r="BP77" s="128">
        <f>IF(节奏预期!E77="","",IF(节奏预期!J77="",0,装备强化!E$4*节奏预期!J77))</f>
        <v>8</v>
      </c>
      <c r="BQ77" s="128">
        <f>IF(节奏预期!F77="","",IF(节奏预期!K77="",0,装备强化!F$4*节奏预期!K77))</f>
        <v>18</v>
      </c>
      <c r="BR77" s="128">
        <f>IF(节奏预期!G77="","",IF(节奏预期!L77="",0,装备强化!G$4*节奏预期!L77))</f>
        <v>34</v>
      </c>
      <c r="BS77" s="128">
        <f>IF(节奏预期!H77="","",IF(节奏预期!M77="",0,装备强化!H$4*节奏预期!M77))</f>
        <v>66</v>
      </c>
      <c r="BT77" s="80">
        <f>SUMPRODUCT(BO77:BS77,节奏预期!D77:H77)/SUM(节奏预期!D77:H77)</f>
        <v>66</v>
      </c>
      <c r="BW77" s="25">
        <v>29</v>
      </c>
    </row>
    <row r="78" spans="10:96" x14ac:dyDescent="0.15">
      <c r="J78" s="46">
        <f>INDEX('[1]资源-装备经验'!Y$6:Y$165,(K78+1)/2,1)</f>
        <v>0</v>
      </c>
      <c r="K78" s="53">
        <v>74</v>
      </c>
      <c r="L78" s="121">
        <v>20</v>
      </c>
      <c r="M78" s="122">
        <f t="shared" si="44"/>
        <v>20</v>
      </c>
      <c r="N78" s="120">
        <f t="shared" si="45"/>
        <v>40</v>
      </c>
      <c r="O78" s="120">
        <f t="shared" si="45"/>
        <v>80</v>
      </c>
      <c r="P78" s="120">
        <f t="shared" si="45"/>
        <v>200</v>
      </c>
      <c r="Q78" s="120">
        <f t="shared" si="45"/>
        <v>600</v>
      </c>
      <c r="S78" s="53">
        <v>74</v>
      </c>
      <c r="T78" s="53">
        <f>SUM(M$5:M78)</f>
        <v>545</v>
      </c>
      <c r="U78" s="53">
        <f>SUM(N$5:N78)</f>
        <v>1090</v>
      </c>
      <c r="V78" s="53">
        <f>SUM(O$5:O78)</f>
        <v>2180</v>
      </c>
      <c r="W78" s="53">
        <f>SUM(P$5:P78)</f>
        <v>5450</v>
      </c>
      <c r="X78" s="53">
        <f>SUM(Q$5:Q78)</f>
        <v>16350</v>
      </c>
      <c r="Z78" s="47">
        <v>74</v>
      </c>
      <c r="AA78" s="47">
        <f t="shared" si="46"/>
        <v>800</v>
      </c>
      <c r="AB78" s="47">
        <f t="shared" si="47"/>
        <v>1600</v>
      </c>
      <c r="AC78" s="47">
        <f t="shared" si="48"/>
        <v>3200</v>
      </c>
      <c r="AD78" s="47">
        <f t="shared" si="49"/>
        <v>8000</v>
      </c>
      <c r="AE78" s="47">
        <f t="shared" si="50"/>
        <v>24000</v>
      </c>
      <c r="AG78" s="47">
        <v>74</v>
      </c>
      <c r="AH78" s="53">
        <f>SUM(AA$5:AA78)</f>
        <v>21800</v>
      </c>
      <c r="AI78" s="53">
        <f>SUM(AB$5:AB78)</f>
        <v>43600</v>
      </c>
      <c r="AJ78" s="53">
        <f>SUM(AC$5:AC78)</f>
        <v>87200</v>
      </c>
      <c r="AK78" s="53">
        <f>SUM(AD$5:AD78)</f>
        <v>218000</v>
      </c>
      <c r="AL78" s="53">
        <f>SUM(AE$5:AE78)</f>
        <v>654000</v>
      </c>
      <c r="AO78" s="46">
        <v>18</v>
      </c>
      <c r="AP78" s="129">
        <f>节奏预期!B78</f>
        <v>150</v>
      </c>
      <c r="AQ78" s="128">
        <f>IFERROR(INDEX(AH$5:AH$304,MATCH(节奏预期!N78,$AG$5:$AG$304,0))*节奏预期!D78,0)</f>
        <v>0</v>
      </c>
      <c r="AR78" s="128">
        <f>IFERROR(INDEX(AI$5:AI$304,MATCH(节奏预期!O78,$AG$5:$AG$304,0))*节奏预期!E78,0)</f>
        <v>0</v>
      </c>
      <c r="AS78" s="128">
        <f>IFERROR(INDEX(AJ$5:AJ$304,MATCH(节奏预期!P78,$AG$5:$AG$304,0))*节奏预期!F78,0)</f>
        <v>0</v>
      </c>
      <c r="AT78" s="128">
        <f>IFERROR(INDEX(AK$5:AK$304,MATCH(节奏预期!Q78,$AG$5:$AG$304,0))*节奏预期!G78,0)</f>
        <v>0</v>
      </c>
      <c r="AU78" s="128">
        <f>IFERROR(INDEX(AL$5:AL$304,MATCH(节奏预期!R78,$AG$5:$AG$304,0))*节奏预期!H78,0)</f>
        <v>75240252000</v>
      </c>
      <c r="AV78" s="136">
        <f t="shared" si="42"/>
        <v>75240252000</v>
      </c>
      <c r="AW78" s="128">
        <f>IFERROR(INDEX(T$5:T$304,MATCH(节奏预期!N78,$S$5:$S$304,0))*节奏预期!D78,0)</f>
        <v>0</v>
      </c>
      <c r="AX78" s="128">
        <f>IFERROR(INDEX(U$5:U$304,MATCH(节奏预期!O78,$S$5:$S$304,0))*节奏预期!E78,0)</f>
        <v>0</v>
      </c>
      <c r="AY78" s="128">
        <f>IFERROR(INDEX(V$5:V$304,MATCH(节奏预期!P78,$S$5:$S$304,0))*节奏预期!F78,0)</f>
        <v>0</v>
      </c>
      <c r="AZ78" s="128">
        <f>IFERROR(INDEX(W$5:W$304,MATCH(节奏预期!Q78,$S$5:$S$304,0))*节奏预期!G78,0)</f>
        <v>0</v>
      </c>
      <c r="BA78" s="128">
        <f>IFERROR(INDEX(X$5:X$304,MATCH(节奏预期!R78,$S$5:$S$304,0))*节奏预期!H78,0)</f>
        <v>1881006300</v>
      </c>
      <c r="BB78" s="136">
        <f t="shared" si="43"/>
        <v>1881006300</v>
      </c>
      <c r="BC78" s="126" t="str">
        <f>IF(节奏预期!N78="","",节奏预期!N78*装备强化!D$8+装备强化!D$5)</f>
        <v/>
      </c>
      <c r="BD78" s="126" t="str">
        <f>IF(节奏预期!O78="","",节奏预期!O78*装备强化!E$8+装备强化!E$5)</f>
        <v/>
      </c>
      <c r="BE78" s="126" t="str">
        <f>IF(节奏预期!P78="","",节奏预期!P78*装备强化!F$8+装备强化!F$5)</f>
        <v/>
      </c>
      <c r="BF78" s="126" t="str">
        <f>IF(节奏预期!Q78="","",节奏预期!Q78*装备强化!G$8+装备强化!G$5)</f>
        <v/>
      </c>
      <c r="BG78" s="126">
        <f>IF(节奏预期!R78="","",节奏预期!R78*装备强化!H$8+装备强化!H$5)</f>
        <v>10880</v>
      </c>
      <c r="BH78" s="14">
        <f>SUMPRODUCT(BC78:BG78,节奏预期!$D78:$H78)/SUM(节奏预期!$D78:$H78)</f>
        <v>10880</v>
      </c>
      <c r="BI78" s="13" t="str">
        <f>IF(节奏预期!N78="","",节奏预期!N78*装备强化!D$9+装备强化!D$6)</f>
        <v/>
      </c>
      <c r="BJ78" s="126" t="str">
        <f>IF(节奏预期!O78="","",节奏预期!O78*装备强化!E$9+装备强化!E$6)</f>
        <v/>
      </c>
      <c r="BK78" s="126" t="str">
        <f>IF(节奏预期!P78="","",节奏预期!P78*装备强化!F$9+装备强化!F$6)</f>
        <v/>
      </c>
      <c r="BL78" s="126" t="str">
        <f>IF(节奏预期!Q78="","",节奏预期!Q78*装备强化!G$9+装备强化!G$6)</f>
        <v/>
      </c>
      <c r="BM78" s="126">
        <f>IF(节奏预期!R78="","",节奏预期!R78*装备强化!H$9+装备强化!H$6)</f>
        <v>10880</v>
      </c>
      <c r="BN78" s="14">
        <f>SUMPRODUCT(BI78:BM78,节奏预期!$D78:$H78)/SUM(节奏预期!$D78:$H78)</f>
        <v>10880</v>
      </c>
      <c r="BO78" s="128">
        <f>IF(节奏预期!D78="","",IF(节奏预期!I78="",0,装备强化!D$4*节奏预期!I78))</f>
        <v>3.6</v>
      </c>
      <c r="BP78" s="128">
        <f>IF(节奏预期!E78="","",IF(节奏预期!J78="",0,装备强化!E$4*节奏预期!J78))</f>
        <v>8</v>
      </c>
      <c r="BQ78" s="128">
        <f>IF(节奏预期!F78="","",IF(节奏预期!K78="",0,装备强化!F$4*节奏预期!K78))</f>
        <v>18</v>
      </c>
      <c r="BR78" s="128">
        <f>IF(节奏预期!G78="","",IF(节奏预期!L78="",0,装备强化!G$4*节奏预期!L78))</f>
        <v>34</v>
      </c>
      <c r="BS78" s="128">
        <f>IF(节奏预期!H78="","",IF(节奏预期!M78="",0,装备强化!H$4*节奏预期!M78))</f>
        <v>66</v>
      </c>
      <c r="BT78" s="80">
        <f>SUMPRODUCT(BO78:BS78,节奏预期!D78:H78)/SUM(节奏预期!D78:H78)</f>
        <v>66</v>
      </c>
      <c r="BW78" s="25">
        <v>30</v>
      </c>
    </row>
    <row r="79" spans="10:96" x14ac:dyDescent="0.15">
      <c r="J79" s="46">
        <f>INDEX('[1]资源-装备经验'!Y$6:Y$165,(K79+1)/2,1)</f>
        <v>0</v>
      </c>
      <c r="K79" s="53">
        <v>75</v>
      </c>
      <c r="L79" s="121">
        <v>20</v>
      </c>
      <c r="M79" s="122">
        <f t="shared" si="44"/>
        <v>20</v>
      </c>
      <c r="N79" s="120">
        <f t="shared" si="45"/>
        <v>40</v>
      </c>
      <c r="O79" s="120">
        <f t="shared" si="45"/>
        <v>80</v>
      </c>
      <c r="P79" s="120">
        <f t="shared" si="45"/>
        <v>200</v>
      </c>
      <c r="Q79" s="120">
        <f t="shared" si="45"/>
        <v>600</v>
      </c>
      <c r="S79" s="53">
        <v>75</v>
      </c>
      <c r="T79" s="53">
        <f>SUM(M$5:M79)</f>
        <v>565</v>
      </c>
      <c r="U79" s="53">
        <f>SUM(N$5:N79)</f>
        <v>1130</v>
      </c>
      <c r="V79" s="53">
        <f>SUM(O$5:O79)</f>
        <v>2260</v>
      </c>
      <c r="W79" s="53">
        <f>SUM(P$5:P79)</f>
        <v>5650</v>
      </c>
      <c r="X79" s="53">
        <f>SUM(Q$5:Q79)</f>
        <v>16950</v>
      </c>
      <c r="Z79" s="47">
        <v>75</v>
      </c>
      <c r="AA79" s="47">
        <f t="shared" si="46"/>
        <v>800</v>
      </c>
      <c r="AB79" s="47">
        <f t="shared" si="47"/>
        <v>1600</v>
      </c>
      <c r="AC79" s="47">
        <f t="shared" si="48"/>
        <v>3200</v>
      </c>
      <c r="AD79" s="47">
        <f t="shared" si="49"/>
        <v>8000</v>
      </c>
      <c r="AE79" s="47">
        <f t="shared" si="50"/>
        <v>24000</v>
      </c>
      <c r="AG79" s="47">
        <v>75</v>
      </c>
      <c r="AH79" s="53">
        <f>SUM(AA$5:AA79)</f>
        <v>22600</v>
      </c>
      <c r="AI79" s="53">
        <f>SUM(AB$5:AB79)</f>
        <v>45200</v>
      </c>
      <c r="AJ79" s="53">
        <f>SUM(AC$5:AC79)</f>
        <v>90400</v>
      </c>
      <c r="AK79" s="53">
        <f>SUM(AD$5:AD79)</f>
        <v>226000</v>
      </c>
      <c r="AL79" s="53">
        <f>SUM(AE$5:AE79)</f>
        <v>678000</v>
      </c>
      <c r="AO79" s="46">
        <v>19</v>
      </c>
      <c r="AP79" s="129">
        <f>节奏预期!B79</f>
        <v>160</v>
      </c>
      <c r="AQ79" s="128">
        <f>IFERROR(INDEX(AH$5:AH$304,MATCH(节奏预期!N79,$AG$5:$AG$304,0))*节奏预期!D79,0)</f>
        <v>0</v>
      </c>
      <c r="AR79" s="128">
        <f>IFERROR(INDEX(AI$5:AI$304,MATCH(节奏预期!O79,$AG$5:$AG$304,0))*节奏预期!E79,0)</f>
        <v>0</v>
      </c>
      <c r="AS79" s="128">
        <f>IFERROR(INDEX(AJ$5:AJ$304,MATCH(节奏预期!P79,$AG$5:$AG$304,0))*节奏预期!F79,0)</f>
        <v>0</v>
      </c>
      <c r="AT79" s="128">
        <f>IFERROR(INDEX(AK$5:AK$304,MATCH(节奏预期!Q79,$AG$5:$AG$304,0))*节奏预期!G79,0)</f>
        <v>0</v>
      </c>
      <c r="AU79" s="128">
        <f>IFERROR(INDEX(AL$5:AL$304,MATCH(节奏预期!R79,$AG$5:$AG$304,0))*节奏预期!H79,0)</f>
        <v>0</v>
      </c>
      <c r="AV79" s="136">
        <f t="shared" si="42"/>
        <v>75240252000</v>
      </c>
      <c r="AW79" s="128">
        <f>IFERROR(INDEX(T$5:T$304,MATCH(节奏预期!N79,$S$5:$S$304,0))*节奏预期!D79,0)</f>
        <v>0</v>
      </c>
      <c r="AX79" s="128">
        <f>IFERROR(INDEX(U$5:U$304,MATCH(节奏预期!O79,$S$5:$S$304,0))*节奏预期!E79,0)</f>
        <v>0</v>
      </c>
      <c r="AY79" s="128">
        <f>IFERROR(INDEX(V$5:V$304,MATCH(节奏预期!P79,$S$5:$S$304,0))*节奏预期!F79,0)</f>
        <v>0</v>
      </c>
      <c r="AZ79" s="128">
        <f>IFERROR(INDEX(W$5:W$304,MATCH(节奏预期!Q79,$S$5:$S$304,0))*节奏预期!G79,0)</f>
        <v>0</v>
      </c>
      <c r="BA79" s="128">
        <f>IFERROR(INDEX(X$5:X$304,MATCH(节奏预期!R79,$S$5:$S$304,0))*节奏预期!H79,0)</f>
        <v>0</v>
      </c>
      <c r="BB79" s="136">
        <f t="shared" si="43"/>
        <v>1881006300</v>
      </c>
      <c r="BC79" s="126" t="str">
        <f>IF(节奏预期!N79="","",节奏预期!N79*装备强化!D$8+装备强化!D$5)</f>
        <v/>
      </c>
      <c r="BD79" s="126" t="str">
        <f>IF(节奏预期!O79="","",节奏预期!O79*装备强化!E$8+装备强化!E$5)</f>
        <v/>
      </c>
      <c r="BE79" s="126" t="str">
        <f>IF(节奏预期!P79="","",节奏预期!P79*装备强化!F$8+装备强化!F$5)</f>
        <v/>
      </c>
      <c r="BF79" s="126" t="str">
        <f>IF(节奏预期!Q79="","",节奏预期!Q79*装备强化!G$8+装备强化!G$5)</f>
        <v/>
      </c>
      <c r="BG79" s="126">
        <f>IF(节奏预期!R79="","",节奏预期!R79*装备强化!H$8+装备强化!H$5)</f>
        <v>11540</v>
      </c>
      <c r="BH79" s="14">
        <f>SUMPRODUCT(BC79:BG79,节奏预期!$D79:$H79)/SUM(节奏预期!$D79:$H79)</f>
        <v>11540</v>
      </c>
      <c r="BI79" s="13" t="str">
        <f>IF(节奏预期!N79="","",节奏预期!N79*装备强化!D$9+装备强化!D$6)</f>
        <v/>
      </c>
      <c r="BJ79" s="126" t="str">
        <f>IF(节奏预期!O79="","",节奏预期!O79*装备强化!E$9+装备强化!E$6)</f>
        <v/>
      </c>
      <c r="BK79" s="126" t="str">
        <f>IF(节奏预期!P79="","",节奏预期!P79*装备强化!F$9+装备强化!F$6)</f>
        <v/>
      </c>
      <c r="BL79" s="126" t="str">
        <f>IF(节奏预期!Q79="","",节奏预期!Q79*装备强化!G$9+装备强化!G$6)</f>
        <v/>
      </c>
      <c r="BM79" s="126">
        <f>IF(节奏预期!R79="","",节奏预期!R79*装备强化!H$9+装备强化!H$6)</f>
        <v>11540</v>
      </c>
      <c r="BN79" s="14">
        <f>SUMPRODUCT(BI79:BM79,节奏预期!$D79:$H79)/SUM(节奏预期!$D79:$H79)</f>
        <v>11540</v>
      </c>
      <c r="BO79" s="128">
        <f>IF(节奏预期!D79="","",IF(节奏预期!I79="",0,装备强化!D$4*节奏预期!I79))</f>
        <v>3.6</v>
      </c>
      <c r="BP79" s="128">
        <f>IF(节奏预期!E79="","",IF(节奏预期!J79="",0,装备强化!E$4*节奏预期!J79))</f>
        <v>8</v>
      </c>
      <c r="BQ79" s="128">
        <f>IF(节奏预期!F79="","",IF(节奏预期!K79="",0,装备强化!F$4*节奏预期!K79))</f>
        <v>18</v>
      </c>
      <c r="BR79" s="128">
        <f>IF(节奏预期!G79="","",IF(节奏预期!L79="",0,装备强化!G$4*节奏预期!L79))</f>
        <v>34</v>
      </c>
      <c r="BS79" s="128">
        <f>IF(节奏预期!H79="","",IF(节奏预期!M79="",0,装备强化!H$4*节奏预期!M79))</f>
        <v>66</v>
      </c>
      <c r="BT79" s="80">
        <f>SUMPRODUCT(BO79:BS79,节奏预期!D79:H79)/SUM(节奏预期!D79:H79)</f>
        <v>66</v>
      </c>
      <c r="BW79" s="25">
        <v>31</v>
      </c>
    </row>
    <row r="80" spans="10:96" x14ac:dyDescent="0.15">
      <c r="J80" s="46">
        <f>INDEX('[1]资源-装备经验'!Y$6:Y$165,(K80+1)/2,1)</f>
        <v>0</v>
      </c>
      <c r="K80" s="53">
        <v>76</v>
      </c>
      <c r="L80" s="121">
        <v>20</v>
      </c>
      <c r="M80" s="122">
        <f t="shared" si="44"/>
        <v>20</v>
      </c>
      <c r="N80" s="120">
        <f t="shared" si="45"/>
        <v>40</v>
      </c>
      <c r="O80" s="120">
        <f t="shared" si="45"/>
        <v>80</v>
      </c>
      <c r="P80" s="120">
        <f t="shared" si="45"/>
        <v>200</v>
      </c>
      <c r="Q80" s="120">
        <f t="shared" si="45"/>
        <v>600</v>
      </c>
      <c r="S80" s="53">
        <v>76</v>
      </c>
      <c r="T80" s="53">
        <f>SUM(M$5:M80)</f>
        <v>585</v>
      </c>
      <c r="U80" s="53">
        <f>SUM(N$5:N80)</f>
        <v>1170</v>
      </c>
      <c r="V80" s="53">
        <f>SUM(O$5:O80)</f>
        <v>2340</v>
      </c>
      <c r="W80" s="53">
        <f>SUM(P$5:P80)</f>
        <v>5850</v>
      </c>
      <c r="X80" s="53">
        <f>SUM(Q$5:Q80)</f>
        <v>17550</v>
      </c>
      <c r="Z80" s="47">
        <v>76</v>
      </c>
      <c r="AA80" s="47">
        <f t="shared" si="46"/>
        <v>800</v>
      </c>
      <c r="AB80" s="47">
        <f t="shared" si="47"/>
        <v>1600</v>
      </c>
      <c r="AC80" s="47">
        <f t="shared" si="48"/>
        <v>3200</v>
      </c>
      <c r="AD80" s="47">
        <f t="shared" si="49"/>
        <v>8000</v>
      </c>
      <c r="AE80" s="47">
        <f t="shared" si="50"/>
        <v>24000</v>
      </c>
      <c r="AG80" s="47">
        <v>76</v>
      </c>
      <c r="AH80" s="53">
        <f>SUM(AA$5:AA80)</f>
        <v>23400</v>
      </c>
      <c r="AI80" s="53">
        <f>SUM(AB$5:AB80)</f>
        <v>46800</v>
      </c>
      <c r="AJ80" s="53">
        <f>SUM(AC$5:AC80)</f>
        <v>93600</v>
      </c>
      <c r="AK80" s="53">
        <f>SUM(AD$5:AD80)</f>
        <v>234000</v>
      </c>
      <c r="AL80" s="53">
        <f>SUM(AE$5:AE80)</f>
        <v>702000</v>
      </c>
      <c r="AO80" s="46">
        <v>20</v>
      </c>
      <c r="BW80" s="25">
        <v>32</v>
      </c>
    </row>
    <row r="81" spans="10:96" x14ac:dyDescent="0.15">
      <c r="J81" s="46">
        <f>INDEX('[1]资源-装备经验'!Y$6:Y$165,(K81+1)/2,1)</f>
        <v>0</v>
      </c>
      <c r="K81" s="53">
        <v>77</v>
      </c>
      <c r="L81" s="121">
        <v>20</v>
      </c>
      <c r="M81" s="122">
        <f t="shared" si="44"/>
        <v>20</v>
      </c>
      <c r="N81" s="120">
        <f t="shared" si="45"/>
        <v>40</v>
      </c>
      <c r="O81" s="120">
        <f t="shared" si="45"/>
        <v>80</v>
      </c>
      <c r="P81" s="120">
        <f t="shared" si="45"/>
        <v>200</v>
      </c>
      <c r="Q81" s="120">
        <f t="shared" si="45"/>
        <v>600</v>
      </c>
      <c r="S81" s="53">
        <v>77</v>
      </c>
      <c r="T81" s="53">
        <f>SUM(M$5:M81)</f>
        <v>605</v>
      </c>
      <c r="U81" s="53">
        <f>SUM(N$5:N81)</f>
        <v>1210</v>
      </c>
      <c r="V81" s="53">
        <f>SUM(O$5:O81)</f>
        <v>2420</v>
      </c>
      <c r="W81" s="53">
        <f>SUM(P$5:P81)</f>
        <v>6050</v>
      </c>
      <c r="X81" s="53">
        <f>SUM(Q$5:Q81)</f>
        <v>18150</v>
      </c>
      <c r="Z81" s="47">
        <v>77</v>
      </c>
      <c r="AA81" s="47">
        <f t="shared" si="46"/>
        <v>800</v>
      </c>
      <c r="AB81" s="47">
        <f t="shared" si="47"/>
        <v>1600</v>
      </c>
      <c r="AC81" s="47">
        <f t="shared" si="48"/>
        <v>3200</v>
      </c>
      <c r="AD81" s="47">
        <f t="shared" si="49"/>
        <v>8000</v>
      </c>
      <c r="AE81" s="47">
        <f t="shared" si="50"/>
        <v>24000</v>
      </c>
      <c r="AG81" s="47">
        <v>77</v>
      </c>
      <c r="AH81" s="53">
        <f>SUM(AA$5:AA81)</f>
        <v>24200</v>
      </c>
      <c r="AI81" s="53">
        <f>SUM(AB$5:AB81)</f>
        <v>48400</v>
      </c>
      <c r="AJ81" s="53">
        <f>SUM(AC$5:AC81)</f>
        <v>96800</v>
      </c>
      <c r="AK81" s="53">
        <f>SUM(AD$5:AD81)</f>
        <v>242000</v>
      </c>
      <c r="AL81" s="53">
        <f>SUM(AE$5:AE81)</f>
        <v>726000</v>
      </c>
      <c r="AO81" s="46">
        <v>21</v>
      </c>
      <c r="BW81" s="25">
        <v>33</v>
      </c>
    </row>
    <row r="82" spans="10:96" x14ac:dyDescent="0.15">
      <c r="J82" s="46">
        <f>INDEX('[1]资源-装备经验'!Y$6:Y$165,(K82+1)/2,1)</f>
        <v>0</v>
      </c>
      <c r="K82" s="53">
        <v>78</v>
      </c>
      <c r="L82" s="121">
        <v>20</v>
      </c>
      <c r="M82" s="122">
        <f t="shared" si="44"/>
        <v>20</v>
      </c>
      <c r="N82" s="120">
        <f t="shared" si="45"/>
        <v>40</v>
      </c>
      <c r="O82" s="120">
        <f t="shared" si="45"/>
        <v>80</v>
      </c>
      <c r="P82" s="120">
        <f t="shared" si="45"/>
        <v>200</v>
      </c>
      <c r="Q82" s="120">
        <f t="shared" si="45"/>
        <v>600</v>
      </c>
      <c r="S82" s="53">
        <v>78</v>
      </c>
      <c r="T82" s="53">
        <f>SUM(M$5:M82)</f>
        <v>625</v>
      </c>
      <c r="U82" s="53">
        <f>SUM(N$5:N82)</f>
        <v>1250</v>
      </c>
      <c r="V82" s="53">
        <f>SUM(O$5:O82)</f>
        <v>2500</v>
      </c>
      <c r="W82" s="53">
        <f>SUM(P$5:P82)</f>
        <v>6250</v>
      </c>
      <c r="X82" s="53">
        <f>SUM(Q$5:Q82)</f>
        <v>18750</v>
      </c>
      <c r="Z82" s="47">
        <v>78</v>
      </c>
      <c r="AA82" s="47">
        <f t="shared" si="46"/>
        <v>800</v>
      </c>
      <c r="AB82" s="47">
        <f t="shared" si="47"/>
        <v>1600</v>
      </c>
      <c r="AC82" s="47">
        <f t="shared" si="48"/>
        <v>3200</v>
      </c>
      <c r="AD82" s="47">
        <f t="shared" si="49"/>
        <v>8000</v>
      </c>
      <c r="AE82" s="47">
        <f t="shared" si="50"/>
        <v>24000</v>
      </c>
      <c r="AG82" s="47">
        <v>78</v>
      </c>
      <c r="AH82" s="53">
        <f>SUM(AA$5:AA82)</f>
        <v>25000</v>
      </c>
      <c r="AI82" s="53">
        <f>SUM(AB$5:AB82)</f>
        <v>50000</v>
      </c>
      <c r="AJ82" s="53">
        <f>SUM(AC$5:AC82)</f>
        <v>100000</v>
      </c>
      <c r="AK82" s="53">
        <f>SUM(AD$5:AD82)</f>
        <v>250000</v>
      </c>
      <c r="AL82" s="53">
        <f>SUM(AE$5:AE82)</f>
        <v>750000</v>
      </c>
      <c r="AO82" s="46">
        <v>22</v>
      </c>
      <c r="BW82" s="25">
        <v>34</v>
      </c>
    </row>
    <row r="83" spans="10:96" x14ac:dyDescent="0.15">
      <c r="J83" s="46">
        <f>INDEX('[1]资源-装备经验'!Y$6:Y$165,(K83+1)/2,1)</f>
        <v>0</v>
      </c>
      <c r="K83" s="53">
        <v>79</v>
      </c>
      <c r="L83" s="121">
        <v>20</v>
      </c>
      <c r="M83" s="122">
        <f t="shared" si="44"/>
        <v>20</v>
      </c>
      <c r="N83" s="120">
        <f t="shared" si="45"/>
        <v>40</v>
      </c>
      <c r="O83" s="120">
        <f t="shared" si="45"/>
        <v>80</v>
      </c>
      <c r="P83" s="120">
        <f t="shared" si="45"/>
        <v>200</v>
      </c>
      <c r="Q83" s="120">
        <f t="shared" si="45"/>
        <v>600</v>
      </c>
      <c r="S83" s="53">
        <v>79</v>
      </c>
      <c r="T83" s="53">
        <f>SUM(M$5:M83)</f>
        <v>645</v>
      </c>
      <c r="U83" s="53">
        <f>SUM(N$5:N83)</f>
        <v>1290</v>
      </c>
      <c r="V83" s="53">
        <f>SUM(O$5:O83)</f>
        <v>2580</v>
      </c>
      <c r="W83" s="53">
        <f>SUM(P$5:P83)</f>
        <v>6450</v>
      </c>
      <c r="X83" s="53">
        <f>SUM(Q$5:Q83)</f>
        <v>19350</v>
      </c>
      <c r="Z83" s="47">
        <v>79</v>
      </c>
      <c r="AA83" s="47">
        <f t="shared" si="46"/>
        <v>800</v>
      </c>
      <c r="AB83" s="47">
        <f t="shared" si="47"/>
        <v>1600</v>
      </c>
      <c r="AC83" s="47">
        <f t="shared" si="48"/>
        <v>3200</v>
      </c>
      <c r="AD83" s="47">
        <f t="shared" si="49"/>
        <v>8000</v>
      </c>
      <c r="AE83" s="47">
        <f t="shared" si="50"/>
        <v>24000</v>
      </c>
      <c r="AG83" s="47">
        <v>79</v>
      </c>
      <c r="AH83" s="53">
        <f>SUM(AA$5:AA83)</f>
        <v>25800</v>
      </c>
      <c r="AI83" s="53">
        <f>SUM(AB$5:AB83)</f>
        <v>51600</v>
      </c>
      <c r="AJ83" s="53">
        <f>SUM(AC$5:AC83)</f>
        <v>103200</v>
      </c>
      <c r="AK83" s="53">
        <f>SUM(AD$5:AD83)</f>
        <v>258000</v>
      </c>
      <c r="AL83" s="53">
        <f>SUM(AE$5:AE83)</f>
        <v>774000</v>
      </c>
      <c r="AO83" s="46">
        <v>23</v>
      </c>
      <c r="BW83" s="25">
        <v>35</v>
      </c>
    </row>
    <row r="84" spans="10:96" x14ac:dyDescent="0.15">
      <c r="J84" s="46">
        <f>INDEX('[1]资源-装备经验'!Y$6:Y$165,(K84+1)/2,1)</f>
        <v>0</v>
      </c>
      <c r="K84" s="53">
        <v>80</v>
      </c>
      <c r="L84" s="119">
        <v>30</v>
      </c>
      <c r="M84" s="122">
        <f t="shared" si="44"/>
        <v>30</v>
      </c>
      <c r="N84" s="120">
        <f t="shared" si="45"/>
        <v>60</v>
      </c>
      <c r="O84" s="120">
        <f t="shared" si="45"/>
        <v>120</v>
      </c>
      <c r="P84" s="120">
        <f t="shared" si="45"/>
        <v>300</v>
      </c>
      <c r="Q84" s="120">
        <f t="shared" si="45"/>
        <v>900</v>
      </c>
      <c r="S84" s="53">
        <v>80</v>
      </c>
      <c r="T84" s="53">
        <f>SUM(M$5:M84)</f>
        <v>675</v>
      </c>
      <c r="U84" s="53">
        <f>SUM(N$5:N84)</f>
        <v>1350</v>
      </c>
      <c r="V84" s="53">
        <f>SUM(O$5:O84)</f>
        <v>2700</v>
      </c>
      <c r="W84" s="53">
        <f>SUM(P$5:P84)</f>
        <v>6750</v>
      </c>
      <c r="X84" s="53">
        <f>SUM(Q$5:Q84)</f>
        <v>20250</v>
      </c>
      <c r="Z84" s="47">
        <v>80</v>
      </c>
      <c r="AA84" s="47">
        <f t="shared" si="46"/>
        <v>1200</v>
      </c>
      <c r="AB84" s="47">
        <f t="shared" si="47"/>
        <v>2400</v>
      </c>
      <c r="AC84" s="47">
        <f t="shared" si="48"/>
        <v>4800</v>
      </c>
      <c r="AD84" s="47">
        <f t="shared" si="49"/>
        <v>12000</v>
      </c>
      <c r="AE84" s="47">
        <f t="shared" si="50"/>
        <v>36000</v>
      </c>
      <c r="AG84" s="47">
        <v>80</v>
      </c>
      <c r="AH84" s="53">
        <f>SUM(AA$5:AA84)</f>
        <v>27000</v>
      </c>
      <c r="AI84" s="53">
        <f>SUM(AB$5:AB84)</f>
        <v>54000</v>
      </c>
      <c r="AJ84" s="53">
        <f>SUM(AC$5:AC84)</f>
        <v>108000</v>
      </c>
      <c r="AK84" s="53">
        <f>SUM(AD$5:AD84)</f>
        <v>270000</v>
      </c>
      <c r="AL84" s="53">
        <f>SUM(AE$5:AE84)</f>
        <v>810000</v>
      </c>
      <c r="AO84" s="46">
        <v>24</v>
      </c>
      <c r="BW84" s="25">
        <v>36</v>
      </c>
    </row>
    <row r="85" spans="10:96" x14ac:dyDescent="0.15">
      <c r="J85" s="46">
        <f>INDEX('[1]资源-装备经验'!Y$6:Y$165,(K85+1)/2,1)</f>
        <v>0</v>
      </c>
      <c r="K85" s="53">
        <v>81</v>
      </c>
      <c r="L85" s="121">
        <v>30</v>
      </c>
      <c r="M85" s="122">
        <f t="shared" si="44"/>
        <v>30</v>
      </c>
      <c r="N85" s="120">
        <f t="shared" si="45"/>
        <v>60</v>
      </c>
      <c r="O85" s="120">
        <f t="shared" si="45"/>
        <v>120</v>
      </c>
      <c r="P85" s="120">
        <f t="shared" si="45"/>
        <v>300</v>
      </c>
      <c r="Q85" s="120">
        <f t="shared" si="45"/>
        <v>900</v>
      </c>
      <c r="S85" s="53">
        <v>81</v>
      </c>
      <c r="T85" s="53">
        <f>SUM(M$5:M85)</f>
        <v>705</v>
      </c>
      <c r="U85" s="53">
        <f>SUM(N$5:N85)</f>
        <v>1410</v>
      </c>
      <c r="V85" s="53">
        <f>SUM(O$5:O85)</f>
        <v>2820</v>
      </c>
      <c r="W85" s="53">
        <f>SUM(P$5:P85)</f>
        <v>7050</v>
      </c>
      <c r="X85" s="53">
        <f>SUM(Q$5:Q85)</f>
        <v>21150</v>
      </c>
      <c r="Z85" s="47">
        <v>81</v>
      </c>
      <c r="AA85" s="47">
        <f t="shared" si="46"/>
        <v>1200</v>
      </c>
      <c r="AB85" s="47">
        <f t="shared" si="47"/>
        <v>2400</v>
      </c>
      <c r="AC85" s="47">
        <f t="shared" si="48"/>
        <v>4800</v>
      </c>
      <c r="AD85" s="47">
        <f t="shared" si="49"/>
        <v>12000</v>
      </c>
      <c r="AE85" s="47">
        <f t="shared" si="50"/>
        <v>36000</v>
      </c>
      <c r="AG85" s="47">
        <v>81</v>
      </c>
      <c r="AH85" s="53">
        <f>SUM(AA$5:AA85)</f>
        <v>28200</v>
      </c>
      <c r="AI85" s="53">
        <f>SUM(AB$5:AB85)</f>
        <v>56400</v>
      </c>
      <c r="AJ85" s="53">
        <f>SUM(AC$5:AC85)</f>
        <v>112800</v>
      </c>
      <c r="AK85" s="53">
        <f>SUM(AD$5:AD85)</f>
        <v>282000</v>
      </c>
      <c r="AL85" s="53">
        <f>SUM(AE$5:AE85)</f>
        <v>846000</v>
      </c>
      <c r="AO85" s="46">
        <v>25</v>
      </c>
      <c r="BW85" s="25">
        <v>37</v>
      </c>
    </row>
    <row r="86" spans="10:96" x14ac:dyDescent="0.15">
      <c r="J86" s="46">
        <f>INDEX('[1]资源-装备经验'!Y$6:Y$165,(K86+1)/2,1)</f>
        <v>0</v>
      </c>
      <c r="K86" s="53">
        <v>82</v>
      </c>
      <c r="L86" s="121">
        <v>30</v>
      </c>
      <c r="M86" s="122">
        <f t="shared" si="44"/>
        <v>30</v>
      </c>
      <c r="N86" s="120">
        <f t="shared" si="45"/>
        <v>60</v>
      </c>
      <c r="O86" s="120">
        <f t="shared" si="45"/>
        <v>120</v>
      </c>
      <c r="P86" s="120">
        <f t="shared" si="45"/>
        <v>300</v>
      </c>
      <c r="Q86" s="120">
        <f t="shared" si="45"/>
        <v>900</v>
      </c>
      <c r="S86" s="53">
        <v>82</v>
      </c>
      <c r="T86" s="53">
        <f>SUM(M$5:M86)</f>
        <v>735</v>
      </c>
      <c r="U86" s="53">
        <f>SUM(N$5:N86)</f>
        <v>1470</v>
      </c>
      <c r="V86" s="53">
        <f>SUM(O$5:O86)</f>
        <v>2940</v>
      </c>
      <c r="W86" s="53">
        <f>SUM(P$5:P86)</f>
        <v>7350</v>
      </c>
      <c r="X86" s="53">
        <f>SUM(Q$5:Q86)</f>
        <v>22050</v>
      </c>
      <c r="Z86" s="47">
        <v>82</v>
      </c>
      <c r="AA86" s="47">
        <f t="shared" si="46"/>
        <v>1200</v>
      </c>
      <c r="AB86" s="47">
        <f t="shared" si="47"/>
        <v>2400</v>
      </c>
      <c r="AC86" s="47">
        <f t="shared" si="48"/>
        <v>4800</v>
      </c>
      <c r="AD86" s="47">
        <f t="shared" si="49"/>
        <v>12000</v>
      </c>
      <c r="AE86" s="47">
        <f t="shared" si="50"/>
        <v>36000</v>
      </c>
      <c r="AG86" s="47">
        <v>82</v>
      </c>
      <c r="AH86" s="53">
        <f>SUM(AA$5:AA86)</f>
        <v>29400</v>
      </c>
      <c r="AI86" s="53">
        <f>SUM(AB$5:AB86)</f>
        <v>58800</v>
      </c>
      <c r="AJ86" s="53">
        <f>SUM(AC$5:AC86)</f>
        <v>117600</v>
      </c>
      <c r="AK86" s="53">
        <f>SUM(AD$5:AD86)</f>
        <v>294000</v>
      </c>
      <c r="AL86" s="53">
        <f>SUM(AE$5:AE86)</f>
        <v>882000</v>
      </c>
      <c r="AO86" s="46">
        <v>26</v>
      </c>
      <c r="BW86" s="25">
        <v>38</v>
      </c>
    </row>
    <row r="87" spans="10:96" x14ac:dyDescent="0.15">
      <c r="J87" s="46">
        <f>INDEX('[1]资源-装备经验'!Y$6:Y$165,(K87+1)/2,1)</f>
        <v>0</v>
      </c>
      <c r="K87" s="53">
        <v>83</v>
      </c>
      <c r="L87" s="121">
        <v>30</v>
      </c>
      <c r="M87" s="122">
        <f t="shared" si="44"/>
        <v>30</v>
      </c>
      <c r="N87" s="120">
        <f t="shared" si="45"/>
        <v>60</v>
      </c>
      <c r="O87" s="120">
        <f t="shared" si="45"/>
        <v>120</v>
      </c>
      <c r="P87" s="120">
        <f t="shared" si="45"/>
        <v>300</v>
      </c>
      <c r="Q87" s="120">
        <f t="shared" si="45"/>
        <v>900</v>
      </c>
      <c r="S87" s="53">
        <v>83</v>
      </c>
      <c r="T87" s="53">
        <f>SUM(M$5:M87)</f>
        <v>765</v>
      </c>
      <c r="U87" s="53">
        <f>SUM(N$5:N87)</f>
        <v>1530</v>
      </c>
      <c r="V87" s="53">
        <f>SUM(O$5:O87)</f>
        <v>3060</v>
      </c>
      <c r="W87" s="53">
        <f>SUM(P$5:P87)</f>
        <v>7650</v>
      </c>
      <c r="X87" s="53">
        <f>SUM(Q$5:Q87)</f>
        <v>22950</v>
      </c>
      <c r="Z87" s="47">
        <v>83</v>
      </c>
      <c r="AA87" s="47">
        <f t="shared" si="46"/>
        <v>1200</v>
      </c>
      <c r="AB87" s="47">
        <f t="shared" si="47"/>
        <v>2400</v>
      </c>
      <c r="AC87" s="47">
        <f t="shared" si="48"/>
        <v>4800</v>
      </c>
      <c r="AD87" s="47">
        <f t="shared" si="49"/>
        <v>12000</v>
      </c>
      <c r="AE87" s="47">
        <f t="shared" si="50"/>
        <v>36000</v>
      </c>
      <c r="AG87" s="47">
        <v>83</v>
      </c>
      <c r="AH87" s="53">
        <f>SUM(AA$5:AA87)</f>
        <v>30600</v>
      </c>
      <c r="AI87" s="53">
        <f>SUM(AB$5:AB87)</f>
        <v>61200</v>
      </c>
      <c r="AJ87" s="53">
        <f>SUM(AC$5:AC87)</f>
        <v>122400</v>
      </c>
      <c r="AK87" s="53">
        <f>SUM(AD$5:AD87)</f>
        <v>306000</v>
      </c>
      <c r="AL87" s="53">
        <f>SUM(AE$5:AE87)</f>
        <v>918000</v>
      </c>
      <c r="AO87" s="46">
        <v>27</v>
      </c>
      <c r="BW87" s="25">
        <v>39</v>
      </c>
    </row>
    <row r="88" spans="10:96" x14ac:dyDescent="0.15">
      <c r="J88" s="46">
        <f>INDEX('[1]资源-装备经验'!Y$6:Y$165,(K88+1)/2,1)</f>
        <v>0</v>
      </c>
      <c r="K88" s="53">
        <v>84</v>
      </c>
      <c r="L88" s="121">
        <v>30</v>
      </c>
      <c r="M88" s="122">
        <f t="shared" si="44"/>
        <v>30</v>
      </c>
      <c r="N88" s="120">
        <f t="shared" si="45"/>
        <v>60</v>
      </c>
      <c r="O88" s="120">
        <f t="shared" si="45"/>
        <v>120</v>
      </c>
      <c r="P88" s="120">
        <f t="shared" si="45"/>
        <v>300</v>
      </c>
      <c r="Q88" s="120">
        <f t="shared" si="45"/>
        <v>900</v>
      </c>
      <c r="S88" s="53">
        <v>84</v>
      </c>
      <c r="T88" s="53">
        <f>SUM(M$5:M88)</f>
        <v>795</v>
      </c>
      <c r="U88" s="53">
        <f>SUM(N$5:N88)</f>
        <v>1590</v>
      </c>
      <c r="V88" s="53">
        <f>SUM(O$5:O88)</f>
        <v>3180</v>
      </c>
      <c r="W88" s="53">
        <f>SUM(P$5:P88)</f>
        <v>7950</v>
      </c>
      <c r="X88" s="53">
        <f>SUM(Q$5:Q88)</f>
        <v>23850</v>
      </c>
      <c r="Z88" s="47">
        <v>84</v>
      </c>
      <c r="AA88" s="47">
        <f t="shared" si="46"/>
        <v>1200</v>
      </c>
      <c r="AB88" s="47">
        <f t="shared" si="47"/>
        <v>2400</v>
      </c>
      <c r="AC88" s="47">
        <f t="shared" si="48"/>
        <v>4800</v>
      </c>
      <c r="AD88" s="47">
        <f t="shared" si="49"/>
        <v>12000</v>
      </c>
      <c r="AE88" s="47">
        <f t="shared" si="50"/>
        <v>36000</v>
      </c>
      <c r="AG88" s="47">
        <v>84</v>
      </c>
      <c r="AH88" s="53">
        <f>SUM(AA$5:AA88)</f>
        <v>31800</v>
      </c>
      <c r="AI88" s="53">
        <f>SUM(AB$5:AB88)</f>
        <v>63600</v>
      </c>
      <c r="AJ88" s="53">
        <f>SUM(AC$5:AC88)</f>
        <v>127200</v>
      </c>
      <c r="AK88" s="53">
        <f>SUM(AD$5:AD88)</f>
        <v>318000</v>
      </c>
      <c r="AL88" s="53">
        <f>SUM(AE$5:AE88)</f>
        <v>954000</v>
      </c>
      <c r="AO88" s="46">
        <v>28</v>
      </c>
      <c r="BW88" s="25">
        <v>40</v>
      </c>
    </row>
    <row r="89" spans="10:96" x14ac:dyDescent="0.15">
      <c r="J89" s="46">
        <f>INDEX('[1]资源-装备经验'!Y$6:Y$165,(K89+1)/2,1)</f>
        <v>0</v>
      </c>
      <c r="K89" s="53">
        <v>85</v>
      </c>
      <c r="L89" s="121">
        <v>30</v>
      </c>
      <c r="M89" s="122">
        <f t="shared" si="44"/>
        <v>30</v>
      </c>
      <c r="N89" s="120">
        <f t="shared" si="45"/>
        <v>60</v>
      </c>
      <c r="O89" s="120">
        <f t="shared" si="45"/>
        <v>120</v>
      </c>
      <c r="P89" s="120">
        <f t="shared" si="45"/>
        <v>300</v>
      </c>
      <c r="Q89" s="120">
        <f t="shared" si="45"/>
        <v>900</v>
      </c>
      <c r="S89" s="53">
        <v>85</v>
      </c>
      <c r="T89" s="53">
        <f>SUM(M$5:M89)</f>
        <v>825</v>
      </c>
      <c r="U89" s="53">
        <f>SUM(N$5:N89)</f>
        <v>1650</v>
      </c>
      <c r="V89" s="53">
        <f>SUM(O$5:O89)</f>
        <v>3300</v>
      </c>
      <c r="W89" s="53">
        <f>SUM(P$5:P89)</f>
        <v>8250</v>
      </c>
      <c r="X89" s="53">
        <f>SUM(Q$5:Q89)</f>
        <v>24750</v>
      </c>
      <c r="Z89" s="47">
        <v>85</v>
      </c>
      <c r="AA89" s="47">
        <f t="shared" si="46"/>
        <v>1200</v>
      </c>
      <c r="AB89" s="47">
        <f t="shared" si="47"/>
        <v>2400</v>
      </c>
      <c r="AC89" s="47">
        <f t="shared" si="48"/>
        <v>4800</v>
      </c>
      <c r="AD89" s="47">
        <f t="shared" si="49"/>
        <v>12000</v>
      </c>
      <c r="AE89" s="47">
        <f t="shared" si="50"/>
        <v>36000</v>
      </c>
      <c r="AG89" s="47">
        <v>85</v>
      </c>
      <c r="AH89" s="53">
        <f>SUM(AA$5:AA89)</f>
        <v>33000</v>
      </c>
      <c r="AI89" s="53">
        <f>SUM(AB$5:AB89)</f>
        <v>66000</v>
      </c>
      <c r="AJ89" s="53">
        <f>SUM(AC$5:AC89)</f>
        <v>132000</v>
      </c>
      <c r="AK89" s="53">
        <f>SUM(AD$5:AD89)</f>
        <v>330000</v>
      </c>
      <c r="AL89" s="53">
        <f>SUM(AE$5:AE89)</f>
        <v>990000</v>
      </c>
      <c r="AO89" s="46">
        <v>29</v>
      </c>
      <c r="BW89" s="25">
        <v>41</v>
      </c>
    </row>
    <row r="90" spans="10:96" x14ac:dyDescent="0.15">
      <c r="J90" s="46">
        <f>INDEX('[1]资源-装备经验'!Y$6:Y$165,(K90+1)/2,1)</f>
        <v>0</v>
      </c>
      <c r="K90" s="53">
        <v>86</v>
      </c>
      <c r="L90" s="121">
        <v>30</v>
      </c>
      <c r="M90" s="122">
        <f t="shared" si="44"/>
        <v>30</v>
      </c>
      <c r="N90" s="120">
        <f t="shared" si="45"/>
        <v>60</v>
      </c>
      <c r="O90" s="120">
        <f t="shared" si="45"/>
        <v>120</v>
      </c>
      <c r="P90" s="120">
        <f t="shared" si="45"/>
        <v>300</v>
      </c>
      <c r="Q90" s="120">
        <f t="shared" si="45"/>
        <v>900</v>
      </c>
      <c r="S90" s="53">
        <v>86</v>
      </c>
      <c r="T90" s="53">
        <f>SUM(M$5:M90)</f>
        <v>855</v>
      </c>
      <c r="U90" s="53">
        <f>SUM(N$5:N90)</f>
        <v>1710</v>
      </c>
      <c r="V90" s="53">
        <f>SUM(O$5:O90)</f>
        <v>3420</v>
      </c>
      <c r="W90" s="53">
        <f>SUM(P$5:P90)</f>
        <v>8550</v>
      </c>
      <c r="X90" s="53">
        <f>SUM(Q$5:Q90)</f>
        <v>25650</v>
      </c>
      <c r="Z90" s="47">
        <v>86</v>
      </c>
      <c r="AA90" s="47">
        <f t="shared" si="46"/>
        <v>1200</v>
      </c>
      <c r="AB90" s="47">
        <f t="shared" si="47"/>
        <v>2400</v>
      </c>
      <c r="AC90" s="47">
        <f t="shared" si="48"/>
        <v>4800</v>
      </c>
      <c r="AD90" s="47">
        <f t="shared" si="49"/>
        <v>12000</v>
      </c>
      <c r="AE90" s="47">
        <f t="shared" si="50"/>
        <v>36000</v>
      </c>
      <c r="AG90" s="47">
        <v>86</v>
      </c>
      <c r="AH90" s="53">
        <f>SUM(AA$5:AA90)</f>
        <v>34200</v>
      </c>
      <c r="AI90" s="53">
        <f>SUM(AB$5:AB90)</f>
        <v>68400</v>
      </c>
      <c r="AJ90" s="53">
        <f>SUM(AC$5:AC90)</f>
        <v>136800</v>
      </c>
      <c r="AK90" s="53">
        <f>SUM(AD$5:AD90)</f>
        <v>342000</v>
      </c>
      <c r="AL90" s="53">
        <f>SUM(AE$5:AE90)</f>
        <v>1026000</v>
      </c>
      <c r="AO90" s="46">
        <v>1</v>
      </c>
      <c r="AP90" s="186" t="s">
        <v>189</v>
      </c>
      <c r="AQ90" s="186"/>
      <c r="AR90" s="186"/>
      <c r="AS90" s="186"/>
      <c r="AT90" s="186"/>
      <c r="AU90" s="186"/>
      <c r="AV90" s="186"/>
      <c r="AW90" s="186"/>
      <c r="AX90" s="186"/>
      <c r="AY90" s="186"/>
      <c r="AZ90" s="186"/>
      <c r="BA90" s="186"/>
      <c r="BB90" s="186"/>
      <c r="BC90" s="186"/>
      <c r="BD90" s="186"/>
      <c r="BE90" s="186"/>
      <c r="BF90" s="186"/>
      <c r="BG90" s="186"/>
      <c r="BH90" s="186"/>
      <c r="BI90" s="186"/>
      <c r="BJ90" s="186"/>
      <c r="BK90" s="186"/>
      <c r="BL90" s="186"/>
      <c r="BM90" s="186"/>
      <c r="BN90" s="186"/>
      <c r="BO90" s="186"/>
      <c r="BP90" s="186"/>
      <c r="BQ90" s="186"/>
      <c r="BR90" s="186"/>
      <c r="BS90" s="186"/>
      <c r="BT90" s="186"/>
      <c r="BW90" s="25">
        <v>42</v>
      </c>
    </row>
    <row r="91" spans="10:96" x14ac:dyDescent="0.15">
      <c r="J91" s="46">
        <f>INDEX('[1]资源-装备经验'!Y$6:Y$165,(K91+1)/2,1)</f>
        <v>0</v>
      </c>
      <c r="K91" s="53">
        <v>87</v>
      </c>
      <c r="L91" s="121">
        <v>30</v>
      </c>
      <c r="M91" s="122">
        <f t="shared" si="44"/>
        <v>30</v>
      </c>
      <c r="N91" s="120">
        <f t="shared" si="45"/>
        <v>60</v>
      </c>
      <c r="O91" s="120">
        <f t="shared" si="45"/>
        <v>120</v>
      </c>
      <c r="P91" s="120">
        <f t="shared" si="45"/>
        <v>300</v>
      </c>
      <c r="Q91" s="120">
        <f t="shared" si="45"/>
        <v>900</v>
      </c>
      <c r="S91" s="53">
        <v>87</v>
      </c>
      <c r="T91" s="53">
        <f>SUM(M$5:M91)</f>
        <v>885</v>
      </c>
      <c r="U91" s="53">
        <f>SUM(N$5:N91)</f>
        <v>1770</v>
      </c>
      <c r="V91" s="53">
        <f>SUM(O$5:O91)</f>
        <v>3540</v>
      </c>
      <c r="W91" s="53">
        <f>SUM(P$5:P91)</f>
        <v>8850</v>
      </c>
      <c r="X91" s="53">
        <f>SUM(Q$5:Q91)</f>
        <v>26550</v>
      </c>
      <c r="Z91" s="47">
        <v>87</v>
      </c>
      <c r="AA91" s="47">
        <f t="shared" si="46"/>
        <v>1200</v>
      </c>
      <c r="AB91" s="47">
        <f t="shared" si="47"/>
        <v>2400</v>
      </c>
      <c r="AC91" s="47">
        <f t="shared" si="48"/>
        <v>4800</v>
      </c>
      <c r="AD91" s="47">
        <f t="shared" si="49"/>
        <v>12000</v>
      </c>
      <c r="AE91" s="47">
        <f t="shared" si="50"/>
        <v>36000</v>
      </c>
      <c r="AG91" s="47">
        <v>87</v>
      </c>
      <c r="AH91" s="53">
        <f>SUM(AA$5:AA91)</f>
        <v>35400</v>
      </c>
      <c r="AI91" s="53">
        <f>SUM(AB$5:AB91)</f>
        <v>70800</v>
      </c>
      <c r="AJ91" s="53">
        <f>SUM(AC$5:AC91)</f>
        <v>141600</v>
      </c>
      <c r="AK91" s="53">
        <f>SUM(AD$5:AD91)</f>
        <v>354000</v>
      </c>
      <c r="AL91" s="53">
        <f>SUM(AE$5:AE91)</f>
        <v>1062000</v>
      </c>
      <c r="AO91" s="46">
        <v>2</v>
      </c>
      <c r="AP91" s="68"/>
      <c r="AQ91" s="190" t="s">
        <v>139</v>
      </c>
      <c r="AR91" s="191"/>
      <c r="AS91" s="191"/>
      <c r="AT91" s="191"/>
      <c r="AU91" s="191"/>
      <c r="AV91" s="192"/>
      <c r="AW91" s="190" t="s">
        <v>149</v>
      </c>
      <c r="AX91" s="191"/>
      <c r="AY91" s="191"/>
      <c r="AZ91" s="191"/>
      <c r="BA91" s="191"/>
      <c r="BB91" s="192"/>
      <c r="BC91" s="190" t="s">
        <v>221</v>
      </c>
      <c r="BD91" s="191"/>
      <c r="BE91" s="191"/>
      <c r="BF91" s="191"/>
      <c r="BG91" s="191"/>
      <c r="BH91" s="192"/>
      <c r="BI91" s="190" t="s">
        <v>222</v>
      </c>
      <c r="BJ91" s="191"/>
      <c r="BK91" s="191"/>
      <c r="BL91" s="191"/>
      <c r="BM91" s="191"/>
      <c r="BN91" s="192"/>
      <c r="BO91" s="193" t="s">
        <v>366</v>
      </c>
      <c r="BP91" s="188"/>
      <c r="BQ91" s="188"/>
      <c r="BR91" s="188"/>
      <c r="BS91" s="188"/>
      <c r="BT91" s="194"/>
      <c r="BW91" s="25">
        <v>43</v>
      </c>
    </row>
    <row r="92" spans="10:96" x14ac:dyDescent="0.15">
      <c r="J92" s="46">
        <f>INDEX('[1]资源-装备经验'!Y$6:Y$165,(K92+1)/2,1)</f>
        <v>0</v>
      </c>
      <c r="K92" s="53">
        <v>88</v>
      </c>
      <c r="L92" s="121">
        <v>30</v>
      </c>
      <c r="M92" s="122">
        <f t="shared" si="44"/>
        <v>30</v>
      </c>
      <c r="N92" s="120">
        <f t="shared" si="45"/>
        <v>60</v>
      </c>
      <c r="O92" s="120">
        <f t="shared" si="45"/>
        <v>120</v>
      </c>
      <c r="P92" s="120">
        <f t="shared" si="45"/>
        <v>300</v>
      </c>
      <c r="Q92" s="120">
        <f t="shared" si="45"/>
        <v>900</v>
      </c>
      <c r="S92" s="53">
        <v>88</v>
      </c>
      <c r="T92" s="53">
        <f>SUM(M$5:M92)</f>
        <v>915</v>
      </c>
      <c r="U92" s="53">
        <f>SUM(N$5:N92)</f>
        <v>1830</v>
      </c>
      <c r="V92" s="53">
        <f>SUM(O$5:O92)</f>
        <v>3660</v>
      </c>
      <c r="W92" s="53">
        <f>SUM(P$5:P92)</f>
        <v>9150</v>
      </c>
      <c r="X92" s="53">
        <f>SUM(Q$5:Q92)</f>
        <v>27450</v>
      </c>
      <c r="Z92" s="47">
        <v>88</v>
      </c>
      <c r="AA92" s="47">
        <f t="shared" si="46"/>
        <v>1200</v>
      </c>
      <c r="AB92" s="47">
        <f t="shared" si="47"/>
        <v>2400</v>
      </c>
      <c r="AC92" s="47">
        <f t="shared" si="48"/>
        <v>4800</v>
      </c>
      <c r="AD92" s="47">
        <f t="shared" si="49"/>
        <v>12000</v>
      </c>
      <c r="AE92" s="47">
        <f t="shared" si="50"/>
        <v>36000</v>
      </c>
      <c r="AG92" s="47">
        <v>88</v>
      </c>
      <c r="AH92" s="53">
        <f>SUM(AA$5:AA92)</f>
        <v>36600</v>
      </c>
      <c r="AI92" s="53">
        <f>SUM(AB$5:AB92)</f>
        <v>73200</v>
      </c>
      <c r="AJ92" s="53">
        <f>SUM(AC$5:AC92)</f>
        <v>146400</v>
      </c>
      <c r="AK92" s="53">
        <f>SUM(AD$5:AD92)</f>
        <v>366000</v>
      </c>
      <c r="AL92" s="53">
        <f>SUM(AE$5:AE92)</f>
        <v>1098000</v>
      </c>
      <c r="AO92" s="46">
        <v>3</v>
      </c>
      <c r="AP92" s="53" t="s">
        <v>398</v>
      </c>
      <c r="AQ92" s="13" t="s">
        <v>179</v>
      </c>
      <c r="AR92" s="53" t="s">
        <v>180</v>
      </c>
      <c r="AS92" s="53" t="s">
        <v>181</v>
      </c>
      <c r="AT92" s="53" t="s">
        <v>182</v>
      </c>
      <c r="AU92" s="53" t="s">
        <v>144</v>
      </c>
      <c r="AV92" s="14" t="s">
        <v>183</v>
      </c>
      <c r="AW92" s="13" t="s">
        <v>179</v>
      </c>
      <c r="AX92" s="53" t="s">
        <v>180</v>
      </c>
      <c r="AY92" s="53" t="s">
        <v>181</v>
      </c>
      <c r="AZ92" s="53" t="s">
        <v>182</v>
      </c>
      <c r="BA92" s="53" t="s">
        <v>187</v>
      </c>
      <c r="BB92" s="14" t="s">
        <v>183</v>
      </c>
      <c r="BC92" s="13" t="s">
        <v>44</v>
      </c>
      <c r="BD92" s="47" t="s">
        <v>45</v>
      </c>
      <c r="BE92" s="47" t="s">
        <v>52</v>
      </c>
      <c r="BF92" s="47" t="s">
        <v>53</v>
      </c>
      <c r="BG92" s="47" t="s">
        <v>126</v>
      </c>
      <c r="BH92" s="14" t="s">
        <v>128</v>
      </c>
      <c r="BI92" s="13" t="s">
        <v>44</v>
      </c>
      <c r="BJ92" s="47" t="s">
        <v>45</v>
      </c>
      <c r="BK92" s="47" t="s">
        <v>52</v>
      </c>
      <c r="BL92" s="47" t="s">
        <v>53</v>
      </c>
      <c r="BM92" s="47" t="s">
        <v>126</v>
      </c>
      <c r="BN92" s="14" t="s">
        <v>128</v>
      </c>
      <c r="BO92" s="13" t="s">
        <v>179</v>
      </c>
      <c r="BP92" s="47" t="s">
        <v>180</v>
      </c>
      <c r="BQ92" s="47" t="s">
        <v>181</v>
      </c>
      <c r="BR92" s="47" t="s">
        <v>182</v>
      </c>
      <c r="BS92" s="37" t="s">
        <v>144</v>
      </c>
      <c r="BT92" s="14" t="s">
        <v>241</v>
      </c>
      <c r="BW92" s="25">
        <v>44</v>
      </c>
    </row>
    <row r="93" spans="10:96" x14ac:dyDescent="0.15">
      <c r="J93" s="46">
        <f>INDEX('[1]资源-装备经验'!Y$6:Y$165,(K93+1)/2,1)</f>
        <v>0</v>
      </c>
      <c r="K93" s="53">
        <v>89</v>
      </c>
      <c r="L93" s="121">
        <v>30</v>
      </c>
      <c r="M93" s="122">
        <f t="shared" si="44"/>
        <v>30</v>
      </c>
      <c r="N93" s="120">
        <f t="shared" si="45"/>
        <v>60</v>
      </c>
      <c r="O93" s="120">
        <f t="shared" si="45"/>
        <v>120</v>
      </c>
      <c r="P93" s="120">
        <f t="shared" si="45"/>
        <v>300</v>
      </c>
      <c r="Q93" s="120">
        <f t="shared" si="45"/>
        <v>900</v>
      </c>
      <c r="S93" s="53">
        <v>89</v>
      </c>
      <c r="T93" s="53">
        <f>SUM(M$5:M93)</f>
        <v>945</v>
      </c>
      <c r="U93" s="53">
        <f>SUM(N$5:N93)</f>
        <v>1890</v>
      </c>
      <c r="V93" s="53">
        <f>SUM(O$5:O93)</f>
        <v>3780</v>
      </c>
      <c r="W93" s="53">
        <f>SUM(P$5:P93)</f>
        <v>9450</v>
      </c>
      <c r="X93" s="53">
        <f>SUM(Q$5:Q93)</f>
        <v>28350</v>
      </c>
      <c r="Z93" s="47">
        <v>89</v>
      </c>
      <c r="AA93" s="47">
        <f t="shared" si="46"/>
        <v>1200</v>
      </c>
      <c r="AB93" s="47">
        <f t="shared" si="47"/>
        <v>2400</v>
      </c>
      <c r="AC93" s="47">
        <f t="shared" si="48"/>
        <v>4800</v>
      </c>
      <c r="AD93" s="47">
        <f t="shared" si="49"/>
        <v>12000</v>
      </c>
      <c r="AE93" s="47">
        <f t="shared" si="50"/>
        <v>36000</v>
      </c>
      <c r="AG93" s="47">
        <v>89</v>
      </c>
      <c r="AH93" s="53">
        <f>SUM(AA$5:AA93)</f>
        <v>37800</v>
      </c>
      <c r="AI93" s="53">
        <f>SUM(AB$5:AB93)</f>
        <v>75600</v>
      </c>
      <c r="AJ93" s="53">
        <f>SUM(AC$5:AC93)</f>
        <v>151200</v>
      </c>
      <c r="AK93" s="53">
        <f>SUM(AD$5:AD93)</f>
        <v>378000</v>
      </c>
      <c r="AL93" s="53">
        <f>SUM(AE$5:AE93)</f>
        <v>1134000</v>
      </c>
      <c r="AO93" s="46">
        <v>4</v>
      </c>
      <c r="AP93" s="37">
        <f>节奏预期!B93</f>
        <v>10</v>
      </c>
      <c r="AQ93" s="114">
        <f>IFERROR(INDEX(AH$5:AH$304,MATCH(节奏预期!N93,$AG$5:$AG$304,0))*节奏预期!D93,0)</f>
        <v>24000</v>
      </c>
      <c r="AR93" s="114">
        <f>IFERROR(INDEX(AI$5:AI$304,MATCH(节奏预期!O93,$AG$5:$AG$304,0))*节奏预期!E93,0)</f>
        <v>24000</v>
      </c>
      <c r="AS93" s="114">
        <f>IFERROR(INDEX(AJ$5:AJ$304,MATCH(节奏预期!P93,$AG$5:$AG$304,0))*节奏预期!F93,0)</f>
        <v>0</v>
      </c>
      <c r="AT93" s="114">
        <f>IFERROR(INDEX(AK$5:AK$304,MATCH(节奏预期!Q93,$AG$5:$AG$304,0))*节奏预期!G93,0)</f>
        <v>0</v>
      </c>
      <c r="AU93" s="114">
        <f>IFERROR(INDEX(AL$5:AL$304,MATCH(节奏预期!R93,$AG$5:$AG$304,0))*节奏预期!H93,0)</f>
        <v>0</v>
      </c>
      <c r="AV93" s="137">
        <f>SUM(AQ93:AU93)</f>
        <v>48000</v>
      </c>
      <c r="AW93" s="114">
        <f>IFERROR(INDEX(T$5:T$304,MATCH(节奏预期!N93,$S$5:$S$304,0))*节奏预期!D93,0)</f>
        <v>600</v>
      </c>
      <c r="AX93" s="114">
        <f>IFERROR(INDEX(U$5:U$304,MATCH(节奏预期!O93,$S$5:$S$304,0))*节奏预期!E93,0)</f>
        <v>600</v>
      </c>
      <c r="AY93" s="114">
        <f>IFERROR(INDEX(V$5:V$304,MATCH(节奏预期!P93,$S$5:$S$304,0))*节奏预期!F93,0)</f>
        <v>0</v>
      </c>
      <c r="AZ93" s="114">
        <f>IFERROR(INDEX(W$5:W$304,MATCH(节奏预期!Q93,$S$5:$S$304,0))*节奏预期!G93,0)</f>
        <v>0</v>
      </c>
      <c r="BA93" s="114">
        <f>IFERROR(INDEX(X$5:X$304,MATCH(节奏预期!R93,$S$5:$S$304,0))*节奏预期!H93,0)</f>
        <v>0</v>
      </c>
      <c r="BB93" s="137">
        <f>SUM(AW93:BA93)</f>
        <v>1200</v>
      </c>
      <c r="BC93" s="100">
        <f>IF(节奏预期!N93="","",节奏预期!N93*装备强化!D$8+装备强化!D$5)</f>
        <v>110</v>
      </c>
      <c r="BD93" s="100">
        <f>IF(节奏预期!O93="","",节奏预期!O93*装备强化!E$8+装备强化!E$5)</f>
        <v>200</v>
      </c>
      <c r="BE93" s="100" t="str">
        <f>IF(节奏预期!P93="","",节奏预期!P93*装备强化!F$8+装备强化!F$5)</f>
        <v/>
      </c>
      <c r="BF93" s="100" t="str">
        <f>IF(节奏预期!Q93="","",节奏预期!Q93*装备强化!G$8+装备强化!G$5)</f>
        <v/>
      </c>
      <c r="BG93" s="100" t="str">
        <f>IF(节奏预期!R93="","",节奏预期!R93*装备强化!H$8+装备强化!H$5)</f>
        <v/>
      </c>
      <c r="BH93" s="14">
        <f>SUMPRODUCT(BC93:BG93,节奏预期!$D93:$H93)/SUM(节奏预期!$D93:$H93)</f>
        <v>140</v>
      </c>
      <c r="BI93" s="13">
        <f>IF(节奏预期!N93="","",节奏预期!N93*装备强化!D$9+装备强化!D$6)</f>
        <v>110</v>
      </c>
      <c r="BJ93" s="100">
        <f>IF(节奏预期!O93="","",节奏预期!O93*装备强化!E$9+装备强化!E$6)</f>
        <v>200</v>
      </c>
      <c r="BK93" s="100" t="str">
        <f>IF(节奏预期!P93="","",节奏预期!P93*装备强化!F$9+装备强化!F$6)</f>
        <v/>
      </c>
      <c r="BL93" s="100" t="str">
        <f>IF(节奏预期!Q93="","",节奏预期!Q93*装备强化!G$9+装备强化!G$6)</f>
        <v/>
      </c>
      <c r="BM93" s="100" t="str">
        <f>IF(节奏预期!R93="","",节奏预期!R93*装备强化!H$9+装备强化!H$6)</f>
        <v/>
      </c>
      <c r="BN93" s="14">
        <f>SUMPRODUCT(BI93:BM93,节奏预期!$D93:$H93)/SUM(节奏预期!$D93:$H93)</f>
        <v>140</v>
      </c>
      <c r="BO93" s="79">
        <f>IF(节奏预期!D93="","",IF(节奏预期!I93="",0,装备强化!D$4*节奏预期!I93))</f>
        <v>3.6</v>
      </c>
      <c r="BP93" s="94">
        <f>IF(节奏预期!E93="","",IF(节奏预期!J93="",0,装备强化!E$4*节奏预期!J93))</f>
        <v>5.6</v>
      </c>
      <c r="BQ93" s="94">
        <f>IF(节奏预期!F93="","",IF(节奏预期!K93="",0,装备强化!F$4*节奏预期!K93))</f>
        <v>10.799999999999999</v>
      </c>
      <c r="BR93" s="94">
        <f>IF(节奏预期!G93="","",IF(节奏预期!L93="",0,装备强化!G$4*节奏预期!L93))</f>
        <v>18.700000000000003</v>
      </c>
      <c r="BS93" s="94">
        <f>IF(节奏预期!H93="","",IF(节奏预期!M93="",0,装备强化!H$4*节奏预期!M93))</f>
        <v>31.68</v>
      </c>
      <c r="BT93" s="80">
        <f>SUMPRODUCT(BO93:BS93,节奏预期!D93:H93)/SUM(节奏预期!D93:H93)</f>
        <v>4.2666666666666666</v>
      </c>
      <c r="BW93" s="25">
        <v>45</v>
      </c>
    </row>
    <row r="94" spans="10:96" x14ac:dyDescent="0.15">
      <c r="J94" s="46">
        <f>INDEX('[1]资源-装备经验'!Y$6:Y$165,(K94+1)/2,1)</f>
        <v>0</v>
      </c>
      <c r="K94" s="53">
        <v>90</v>
      </c>
      <c r="L94" s="121">
        <v>40</v>
      </c>
      <c r="M94" s="122">
        <f t="shared" si="44"/>
        <v>40</v>
      </c>
      <c r="N94" s="120">
        <f t="shared" si="45"/>
        <v>80</v>
      </c>
      <c r="O94" s="120">
        <f t="shared" si="45"/>
        <v>160</v>
      </c>
      <c r="P94" s="120">
        <f t="shared" si="45"/>
        <v>400</v>
      </c>
      <c r="Q94" s="120">
        <f t="shared" si="45"/>
        <v>1200</v>
      </c>
      <c r="S94" s="53">
        <v>90</v>
      </c>
      <c r="T94" s="53">
        <f>SUM(M$5:M94)</f>
        <v>985</v>
      </c>
      <c r="U94" s="53">
        <f>SUM(N$5:N94)</f>
        <v>1970</v>
      </c>
      <c r="V94" s="53">
        <f>SUM(O$5:O94)</f>
        <v>3940</v>
      </c>
      <c r="W94" s="53">
        <f>SUM(P$5:P94)</f>
        <v>9850</v>
      </c>
      <c r="X94" s="53">
        <f>SUM(Q$5:Q94)</f>
        <v>29550</v>
      </c>
      <c r="Z94" s="47">
        <v>90</v>
      </c>
      <c r="AA94" s="47">
        <f t="shared" si="46"/>
        <v>1600</v>
      </c>
      <c r="AB94" s="47">
        <f t="shared" si="47"/>
        <v>3200</v>
      </c>
      <c r="AC94" s="47">
        <f t="shared" si="48"/>
        <v>6400</v>
      </c>
      <c r="AD94" s="47">
        <f t="shared" si="49"/>
        <v>16000</v>
      </c>
      <c r="AE94" s="47">
        <f t="shared" si="50"/>
        <v>48000</v>
      </c>
      <c r="AG94" s="47">
        <v>90</v>
      </c>
      <c r="AH94" s="53">
        <f>SUM(AA$5:AA94)</f>
        <v>39400</v>
      </c>
      <c r="AI94" s="53">
        <f>SUM(AB$5:AB94)</f>
        <v>78800</v>
      </c>
      <c r="AJ94" s="53">
        <f>SUM(AC$5:AC94)</f>
        <v>157600</v>
      </c>
      <c r="AK94" s="53">
        <f>SUM(AD$5:AD94)</f>
        <v>394000</v>
      </c>
      <c r="AL94" s="53">
        <f>SUM(AE$5:AE94)</f>
        <v>1182000</v>
      </c>
      <c r="AO94" s="46">
        <v>5</v>
      </c>
      <c r="AP94" s="37">
        <f>节奏预期!B94</f>
        <v>20</v>
      </c>
      <c r="AQ94" s="114">
        <f>IFERROR(INDEX(AH$5:AH$304,MATCH(节奏预期!N94,$AG$5:$AG$304,0))*节奏预期!D94,0)</f>
        <v>0</v>
      </c>
      <c r="AR94" s="114">
        <f>IFERROR(INDEX(AI$5:AI$304,MATCH(节奏预期!O94,$AG$5:$AG$304,0))*节奏预期!E94,0)</f>
        <v>156000</v>
      </c>
      <c r="AS94" s="114">
        <f>IFERROR(INDEX(AJ$5:AJ$304,MATCH(节奏预期!P94,$AG$5:$AG$304,0))*节奏预期!F94,0)</f>
        <v>120000</v>
      </c>
      <c r="AT94" s="114">
        <f>IFERROR(INDEX(AK$5:AK$304,MATCH(节奏预期!Q94,$AG$5:$AG$304,0))*节奏预期!G94,0)</f>
        <v>0</v>
      </c>
      <c r="AU94" s="114">
        <f>IFERROR(INDEX(AL$5:AL$304,MATCH(节奏预期!R94,$AG$5:$AG$304,0))*节奏预期!H94,0)</f>
        <v>0</v>
      </c>
      <c r="AV94" s="136">
        <f>MAX(SUM(AQ94:AU94),AV93)</f>
        <v>276000</v>
      </c>
      <c r="AW94" s="114">
        <f>IFERROR(INDEX(T$5:T$304,MATCH(节奏预期!N94,$S$5:$S$304,0))*节奏预期!D94,0)</f>
        <v>0</v>
      </c>
      <c r="AX94" s="114">
        <f>IFERROR(INDEX(U$5:U$304,MATCH(节奏预期!O94,$S$5:$S$304,0))*节奏预期!E94,0)</f>
        <v>3900</v>
      </c>
      <c r="AY94" s="114">
        <f>IFERROR(INDEX(V$5:V$304,MATCH(节奏预期!P94,$S$5:$S$304,0))*节奏预期!F94,0)</f>
        <v>3000</v>
      </c>
      <c r="AZ94" s="114">
        <f>IFERROR(INDEX(W$5:W$304,MATCH(节奏预期!Q94,$S$5:$S$304,0))*节奏预期!G94,0)</f>
        <v>0</v>
      </c>
      <c r="BA94" s="114">
        <f>IFERROR(INDEX(X$5:X$304,MATCH(节奏预期!R94,$S$5:$S$304,0))*节奏预期!H94,0)</f>
        <v>0</v>
      </c>
      <c r="BB94" s="136">
        <f>MAX(SUM(AW94:BA94),BB93)</f>
        <v>6900</v>
      </c>
      <c r="BC94" s="100">
        <f>IF(节奏预期!N94="","",节奏预期!N94*装备强化!D$8+装备强化!D$5)</f>
        <v>140</v>
      </c>
      <c r="BD94" s="100">
        <f>IF(节奏预期!O94="","",节奏预期!O94*装备强化!E$8+装备强化!E$5)</f>
        <v>320</v>
      </c>
      <c r="BE94" s="100">
        <f>IF(节奏预期!P94="","",节奏预期!P94*装备强化!F$8+装备强化!F$5)</f>
        <v>620</v>
      </c>
      <c r="BF94" s="100" t="str">
        <f>IF(节奏预期!Q94="","",节奏预期!Q94*装备强化!G$8+装备强化!G$5)</f>
        <v/>
      </c>
      <c r="BG94" s="100" t="str">
        <f>IF(节奏预期!R94="","",节奏预期!R94*装备强化!H$8+装备强化!H$5)</f>
        <v/>
      </c>
      <c r="BH94" s="14">
        <f>SUMPRODUCT(BC94:BG94,节奏预期!$D94:$H94)/SUM(节奏预期!$D94:$H94)</f>
        <v>403.33333333333331</v>
      </c>
      <c r="BI94" s="13">
        <f>IF(节奏预期!N94="","",节奏预期!N94*装备强化!D$9+装备强化!D$6)</f>
        <v>140</v>
      </c>
      <c r="BJ94" s="100">
        <f>IF(节奏预期!O94="","",节奏预期!O94*装备强化!E$9+装备强化!E$6)</f>
        <v>320</v>
      </c>
      <c r="BK94" s="100">
        <f>IF(节奏预期!P94="","",节奏预期!P94*装备强化!F$9+装备强化!F$6)</f>
        <v>620</v>
      </c>
      <c r="BL94" s="100" t="str">
        <f>IF(节奏预期!Q94="","",节奏预期!Q94*装备强化!G$9+装备强化!G$6)</f>
        <v/>
      </c>
      <c r="BM94" s="100" t="str">
        <f>IF(节奏预期!R94="","",节奏预期!R94*装备强化!H$9+装备强化!H$6)</f>
        <v/>
      </c>
      <c r="BN94" s="14">
        <f>SUMPRODUCT(BI94:BM94,节奏预期!$D94:$H94)/SUM(节奏预期!$D94:$H94)</f>
        <v>403.33333333333331</v>
      </c>
      <c r="BO94" s="94">
        <f>IF(节奏预期!D94="","",IF(节奏预期!I94="",0,装备强化!D$4*节奏预期!I94))</f>
        <v>3.6</v>
      </c>
      <c r="BP94" s="94">
        <f>IF(节奏预期!E94="","",IF(节奏预期!J94="",0,装备强化!E$4*节奏预期!J94))</f>
        <v>6.8</v>
      </c>
      <c r="BQ94" s="94">
        <f>IF(节奏预期!F94="","",IF(节奏预期!K94="",0,装备强化!F$4*节奏预期!K94))</f>
        <v>12.6</v>
      </c>
      <c r="BR94" s="94">
        <f>IF(节奏预期!G94="","",IF(节奏预期!L94="",0,装备强化!G$4*节奏预期!L94))</f>
        <v>21.25</v>
      </c>
      <c r="BS94" s="94">
        <f>IF(节奏预期!H94="","",IF(节奏预期!M94="",0,装备强化!H$4*节奏预期!M94))</f>
        <v>35.970000000000006</v>
      </c>
      <c r="BT94" s="80">
        <f>SUMPRODUCT(BO94:BS94,节奏预期!D94:H94)/SUM(节奏预期!D94:H94)</f>
        <v>8.4111111111111097</v>
      </c>
      <c r="BW94" s="25">
        <v>1</v>
      </c>
      <c r="BX94" s="54" t="s">
        <v>238</v>
      </c>
      <c r="BY94" s="195" t="s">
        <v>231</v>
      </c>
      <c r="BZ94" s="195"/>
      <c r="CA94" s="195"/>
      <c r="CB94" s="195" t="s">
        <v>232</v>
      </c>
      <c r="CC94" s="195"/>
      <c r="CD94" s="195"/>
      <c r="CE94" s="195"/>
      <c r="CI94" s="73" t="s">
        <v>356</v>
      </c>
      <c r="CJ94" s="183" t="s">
        <v>349</v>
      </c>
      <c r="CK94" s="183"/>
      <c r="CL94" s="183"/>
      <c r="CM94" s="183"/>
      <c r="CO94" s="70" t="s">
        <v>356</v>
      </c>
      <c r="CP94" s="184" t="s">
        <v>351</v>
      </c>
      <c r="CQ94" s="185"/>
    </row>
    <row r="95" spans="10:96" x14ac:dyDescent="0.15">
      <c r="J95" s="46">
        <f>INDEX('[1]资源-装备经验'!Y$6:Y$165,(K95+1)/2,1)</f>
        <v>0</v>
      </c>
      <c r="K95" s="53">
        <v>91</v>
      </c>
      <c r="L95" s="121">
        <v>40</v>
      </c>
      <c r="M95" s="122">
        <f t="shared" si="44"/>
        <v>40</v>
      </c>
      <c r="N95" s="120">
        <f t="shared" si="45"/>
        <v>80</v>
      </c>
      <c r="O95" s="120">
        <f t="shared" si="45"/>
        <v>160</v>
      </c>
      <c r="P95" s="120">
        <f t="shared" si="45"/>
        <v>400</v>
      </c>
      <c r="Q95" s="120">
        <f t="shared" si="45"/>
        <v>1200</v>
      </c>
      <c r="S95" s="53">
        <v>91</v>
      </c>
      <c r="T95" s="53">
        <f>SUM(M$5:M95)</f>
        <v>1025</v>
      </c>
      <c r="U95" s="53">
        <f>SUM(N$5:N95)</f>
        <v>2050</v>
      </c>
      <c r="V95" s="53">
        <f>SUM(O$5:O95)</f>
        <v>4100</v>
      </c>
      <c r="W95" s="53">
        <f>SUM(P$5:P95)</f>
        <v>10250</v>
      </c>
      <c r="X95" s="53">
        <f>SUM(Q$5:Q95)</f>
        <v>30750</v>
      </c>
      <c r="Z95" s="47">
        <v>91</v>
      </c>
      <c r="AA95" s="47">
        <f t="shared" si="46"/>
        <v>1600</v>
      </c>
      <c r="AB95" s="47">
        <f t="shared" si="47"/>
        <v>3200</v>
      </c>
      <c r="AC95" s="47">
        <f t="shared" si="48"/>
        <v>6400</v>
      </c>
      <c r="AD95" s="47">
        <f t="shared" si="49"/>
        <v>16000</v>
      </c>
      <c r="AE95" s="47">
        <f t="shared" si="50"/>
        <v>48000</v>
      </c>
      <c r="AG95" s="47">
        <v>91</v>
      </c>
      <c r="AH95" s="53">
        <f>SUM(AA$5:AA95)</f>
        <v>41000</v>
      </c>
      <c r="AI95" s="53">
        <f>SUM(AB$5:AB95)</f>
        <v>82000</v>
      </c>
      <c r="AJ95" s="53">
        <f>SUM(AC$5:AC95)</f>
        <v>164000</v>
      </c>
      <c r="AK95" s="53">
        <f>SUM(AD$5:AD95)</f>
        <v>410000</v>
      </c>
      <c r="AL95" s="53">
        <f>SUM(AE$5:AE95)</f>
        <v>1230000</v>
      </c>
      <c r="AO95" s="46">
        <v>6</v>
      </c>
      <c r="AP95" s="37">
        <f>节奏预期!B95</f>
        <v>30</v>
      </c>
      <c r="AQ95" s="114">
        <f>IFERROR(INDEX(AH$5:AH$304,MATCH(节奏预期!N95,$AG$5:$AG$304,0))*节奏预期!D95,0)</f>
        <v>0</v>
      </c>
      <c r="AR95" s="114">
        <f>IFERROR(INDEX(AI$5:AI$304,MATCH(节奏预期!O95,$AG$5:$AG$304,0))*节奏预期!E95,0)</f>
        <v>0</v>
      </c>
      <c r="AS95" s="114">
        <f>IFERROR(INDEX(AJ$5:AJ$304,MATCH(节奏预期!P95,$AG$5:$AG$304,0))*节奏预期!F95,0)</f>
        <v>908800</v>
      </c>
      <c r="AT95" s="114">
        <f>IFERROR(INDEX(AK$5:AK$304,MATCH(节奏预期!Q95,$AG$5:$AG$304,0))*节奏预期!G95,0)</f>
        <v>284000</v>
      </c>
      <c r="AU95" s="114">
        <f>IFERROR(INDEX(AL$5:AL$304,MATCH(节奏预期!R95,$AG$5:$AG$304,0))*节奏预期!H95,0)</f>
        <v>0</v>
      </c>
      <c r="AV95" s="136">
        <f t="shared" ref="AV95:AV108" si="51">MAX(SUM(AQ95:AU95),AV94)</f>
        <v>1192800</v>
      </c>
      <c r="AW95" s="114">
        <f>IFERROR(INDEX(T$5:T$304,MATCH(节奏预期!N95,$S$5:$S$304,0))*节奏预期!D95,0)</f>
        <v>0</v>
      </c>
      <c r="AX95" s="114">
        <f>IFERROR(INDEX(U$5:U$304,MATCH(节奏预期!O95,$S$5:$S$304,0))*节奏预期!E95,0)</f>
        <v>0</v>
      </c>
      <c r="AY95" s="114">
        <f>IFERROR(INDEX(V$5:V$304,MATCH(节奏预期!P95,$S$5:$S$304,0))*节奏预期!F95,0)</f>
        <v>22720</v>
      </c>
      <c r="AZ95" s="114">
        <f>IFERROR(INDEX(W$5:W$304,MATCH(节奏预期!Q95,$S$5:$S$304,0))*节奏预期!G95,0)</f>
        <v>7100</v>
      </c>
      <c r="BA95" s="114">
        <f>IFERROR(INDEX(X$5:X$304,MATCH(节奏预期!R95,$S$5:$S$304,0))*节奏预期!H95,0)</f>
        <v>0</v>
      </c>
      <c r="BB95" s="136">
        <f t="shared" ref="BB95:BB108" si="52">MAX(SUM(AW95:BA95),BB94)</f>
        <v>29820</v>
      </c>
      <c r="BC95" s="100" t="str">
        <f>IF(节奏预期!N95="","",节奏预期!N95*装备强化!D$8+装备强化!D$5)</f>
        <v/>
      </c>
      <c r="BD95" s="100">
        <f>IF(节奏预期!O95="","",节奏预期!O95*装备强化!E$8+装备强化!E$5)</f>
        <v>380</v>
      </c>
      <c r="BE95" s="100">
        <f>IF(节奏预期!P95="","",节奏预期!P95*装备强化!F$8+装备强化!F$5)</f>
        <v>980</v>
      </c>
      <c r="BF95" s="100">
        <f>IF(节奏预期!Q95="","",节奏预期!Q95*装备强化!G$8+装备强化!G$5)</f>
        <v>1760</v>
      </c>
      <c r="BG95" s="100" t="str">
        <f>IF(节奏预期!R95="","",节奏预期!R95*装备强化!H$8+装备强化!H$5)</f>
        <v/>
      </c>
      <c r="BH95" s="14">
        <f>SUMPRODUCT(BC95:BG95,节奏预期!$D95:$H95)/SUM(节奏预期!$D95:$H95)</f>
        <v>1066.6666666666667</v>
      </c>
      <c r="BI95" s="13" t="str">
        <f>IF(节奏预期!N95="","",节奏预期!N95*装备强化!D$9+装备强化!D$6)</f>
        <v/>
      </c>
      <c r="BJ95" s="100">
        <f>IF(节奏预期!O95="","",节奏预期!O95*装备强化!E$9+装备强化!E$6)</f>
        <v>380</v>
      </c>
      <c r="BK95" s="100">
        <f>IF(节奏预期!P95="","",节奏预期!P95*装备强化!F$9+装备强化!F$6)</f>
        <v>980</v>
      </c>
      <c r="BL95" s="100">
        <f>IF(节奏预期!Q95="","",节奏预期!Q95*装备强化!G$9+装备强化!G$6)</f>
        <v>1760</v>
      </c>
      <c r="BM95" s="100" t="str">
        <f>IF(节奏预期!R95="","",节奏预期!R95*装备强化!H$9+装备强化!H$6)</f>
        <v/>
      </c>
      <c r="BN95" s="14">
        <f>SUMPRODUCT(BI95:BM95,节奏预期!$D95:$H95)/SUM(节奏预期!$D95:$H95)</f>
        <v>1066.6666666666667</v>
      </c>
      <c r="BO95" s="94">
        <f>IF(节奏预期!D95="","",IF(节奏预期!I95="",0,装备强化!D$4*节奏预期!I95))</f>
        <v>3.6</v>
      </c>
      <c r="BP95" s="94">
        <f>IF(节奏预期!E95="","",IF(节奏预期!J95="",0,装备强化!E$4*节奏预期!J95))</f>
        <v>8</v>
      </c>
      <c r="BQ95" s="94">
        <f>IF(节奏预期!F95="","",IF(节奏预期!K95="",0,装备强化!F$4*节奏预期!K95))</f>
        <v>14.4</v>
      </c>
      <c r="BR95" s="94">
        <f>IF(节奏预期!G95="","",IF(节奏预期!L95="",0,装备强化!G$4*节奏预期!L95))</f>
        <v>23.799999999999997</v>
      </c>
      <c r="BS95" s="94">
        <f>IF(节奏预期!H95="","",IF(节奏预期!M95="",0,装备强化!H$4*节奏预期!M95))</f>
        <v>40.26</v>
      </c>
      <c r="BT95" s="80">
        <f>SUMPRODUCT(BO95:BS95,节奏预期!D95:H95)/SUM(节奏预期!D95:H95)</f>
        <v>15.444444444444445</v>
      </c>
      <c r="BW95" s="25">
        <v>2</v>
      </c>
      <c r="BX95" s="51" t="s">
        <v>398</v>
      </c>
      <c r="BY95" s="47" t="s">
        <v>233</v>
      </c>
      <c r="BZ95" s="47" t="s">
        <v>234</v>
      </c>
      <c r="CA95" s="47" t="s">
        <v>235</v>
      </c>
      <c r="CB95" s="47" t="s">
        <v>233</v>
      </c>
      <c r="CC95" s="47" t="s">
        <v>234</v>
      </c>
      <c r="CD95" s="47" t="s">
        <v>235</v>
      </c>
      <c r="CE95" s="51" t="s">
        <v>236</v>
      </c>
      <c r="CI95" s="51" t="s">
        <v>398</v>
      </c>
      <c r="CJ95" s="71" t="s">
        <v>362</v>
      </c>
      <c r="CK95" s="71" t="s">
        <v>364</v>
      </c>
      <c r="CL95" s="71" t="s">
        <v>363</v>
      </c>
      <c r="CM95" s="71" t="s">
        <v>352</v>
      </c>
      <c r="CO95" s="51" t="s">
        <v>398</v>
      </c>
      <c r="CP95" s="51" t="s">
        <v>365</v>
      </c>
      <c r="CQ95" s="71" t="s">
        <v>353</v>
      </c>
      <c r="CR95" s="71" t="s">
        <v>370</v>
      </c>
    </row>
    <row r="96" spans="10:96" x14ac:dyDescent="0.15">
      <c r="J96" s="46">
        <f>INDEX('[1]资源-装备经验'!Y$6:Y$165,(K96+1)/2,1)</f>
        <v>0</v>
      </c>
      <c r="K96" s="53">
        <v>92</v>
      </c>
      <c r="L96" s="121">
        <v>40</v>
      </c>
      <c r="M96" s="122">
        <f t="shared" si="44"/>
        <v>40</v>
      </c>
      <c r="N96" s="120">
        <f t="shared" si="45"/>
        <v>80</v>
      </c>
      <c r="O96" s="120">
        <f t="shared" si="45"/>
        <v>160</v>
      </c>
      <c r="P96" s="120">
        <f t="shared" si="45"/>
        <v>400</v>
      </c>
      <c r="Q96" s="120">
        <f t="shared" si="45"/>
        <v>1200</v>
      </c>
      <c r="S96" s="53">
        <v>92</v>
      </c>
      <c r="T96" s="53">
        <f>SUM(M$5:M96)</f>
        <v>1065</v>
      </c>
      <c r="U96" s="53">
        <f>SUM(N$5:N96)</f>
        <v>2130</v>
      </c>
      <c r="V96" s="53">
        <f>SUM(O$5:O96)</f>
        <v>4260</v>
      </c>
      <c r="W96" s="53">
        <f>SUM(P$5:P96)</f>
        <v>10650</v>
      </c>
      <c r="X96" s="53">
        <f>SUM(Q$5:Q96)</f>
        <v>31950</v>
      </c>
      <c r="Z96" s="47">
        <v>92</v>
      </c>
      <c r="AA96" s="47">
        <f t="shared" si="46"/>
        <v>1600</v>
      </c>
      <c r="AB96" s="47">
        <f t="shared" si="47"/>
        <v>3200</v>
      </c>
      <c r="AC96" s="47">
        <f t="shared" si="48"/>
        <v>6400</v>
      </c>
      <c r="AD96" s="47">
        <f t="shared" si="49"/>
        <v>16000</v>
      </c>
      <c r="AE96" s="47">
        <f t="shared" si="50"/>
        <v>48000</v>
      </c>
      <c r="AG96" s="47">
        <v>92</v>
      </c>
      <c r="AH96" s="53">
        <f>SUM(AA$5:AA96)</f>
        <v>42600</v>
      </c>
      <c r="AI96" s="53">
        <f>SUM(AB$5:AB96)</f>
        <v>85200</v>
      </c>
      <c r="AJ96" s="53">
        <f>SUM(AC$5:AC96)</f>
        <v>170400</v>
      </c>
      <c r="AK96" s="53">
        <f>SUM(AD$5:AD96)</f>
        <v>426000</v>
      </c>
      <c r="AL96" s="53">
        <f>SUM(AE$5:AE96)</f>
        <v>1278000</v>
      </c>
      <c r="AO96" s="46">
        <v>7</v>
      </c>
      <c r="AP96" s="37">
        <f>节奏预期!B96</f>
        <v>40</v>
      </c>
      <c r="AQ96" s="114">
        <f>IFERROR(INDEX(AH$5:AH$304,MATCH(节奏预期!N96,$AG$5:$AG$304,0))*节奏预期!D96,0)</f>
        <v>0</v>
      </c>
      <c r="AR96" s="114">
        <f>IFERROR(INDEX(AI$5:AI$304,MATCH(节奏预期!O96,$AG$5:$AG$304,0))*节奏预期!E96,0)</f>
        <v>0</v>
      </c>
      <c r="AS96" s="114">
        <f>IFERROR(INDEX(AJ$5:AJ$304,MATCH(节奏预期!P96,$AG$5:$AG$304,0))*节奏预期!F96,0)</f>
        <v>0</v>
      </c>
      <c r="AT96" s="114">
        <f>IFERROR(INDEX(AK$5:AK$304,MATCH(节奏预期!Q96,$AG$5:$AG$304,0))*节奏预期!G96,0)</f>
        <v>4320000</v>
      </c>
      <c r="AU96" s="114">
        <f>IFERROR(INDEX(AL$5:AL$304,MATCH(节奏预期!R96,$AG$5:$AG$304,0))*节奏预期!H96,0)</f>
        <v>0</v>
      </c>
      <c r="AV96" s="136">
        <f t="shared" si="51"/>
        <v>4320000</v>
      </c>
      <c r="AW96" s="114">
        <f>IFERROR(INDEX(T$5:T$304,MATCH(节奏预期!N96,$S$5:$S$304,0))*节奏预期!D96,0)</f>
        <v>0</v>
      </c>
      <c r="AX96" s="114">
        <f>IFERROR(INDEX(U$5:U$304,MATCH(节奏预期!O96,$S$5:$S$304,0))*节奏预期!E96,0)</f>
        <v>0</v>
      </c>
      <c r="AY96" s="114">
        <f>IFERROR(INDEX(V$5:V$304,MATCH(节奏预期!P96,$S$5:$S$304,0))*节奏预期!F96,0)</f>
        <v>0</v>
      </c>
      <c r="AZ96" s="114">
        <f>IFERROR(INDEX(W$5:W$304,MATCH(节奏预期!Q96,$S$5:$S$304,0))*节奏预期!G96,0)</f>
        <v>108000</v>
      </c>
      <c r="BA96" s="114">
        <f>IFERROR(INDEX(X$5:X$304,MATCH(节奏预期!R96,$S$5:$S$304,0))*节奏预期!H96,0)</f>
        <v>0</v>
      </c>
      <c r="BB96" s="136">
        <f t="shared" si="52"/>
        <v>108000</v>
      </c>
      <c r="BC96" s="100" t="str">
        <f>IF(节奏预期!N96="","",节奏预期!N96*装备强化!D$8+装备强化!D$5)</f>
        <v/>
      </c>
      <c r="BD96" s="100">
        <f>IF(节奏预期!O96="","",节奏预期!O96*装备强化!E$8+装备强化!E$5)</f>
        <v>380</v>
      </c>
      <c r="BE96" s="100">
        <f>IF(节奏预期!P96="","",节奏预期!P96*装备强化!F$8+装备强化!F$5)</f>
        <v>1220</v>
      </c>
      <c r="BF96" s="100">
        <f>IF(节奏预期!Q96="","",节奏预期!Q96*装备强化!G$8+装备强化!G$5)</f>
        <v>2180</v>
      </c>
      <c r="BG96" s="100" t="str">
        <f>IF(节奏预期!R96="","",节奏预期!R96*装备强化!H$8+装备强化!H$5)</f>
        <v/>
      </c>
      <c r="BH96" s="14">
        <f>SUMPRODUCT(BC96:BG96,节奏预期!$D96:$H96)/SUM(节奏预期!$D96:$H96)</f>
        <v>2180</v>
      </c>
      <c r="BI96" s="13" t="str">
        <f>IF(节奏预期!N96="","",节奏预期!N96*装备强化!D$9+装备强化!D$6)</f>
        <v/>
      </c>
      <c r="BJ96" s="100">
        <f>IF(节奏预期!O96="","",节奏预期!O96*装备强化!E$9+装备强化!E$6)</f>
        <v>380</v>
      </c>
      <c r="BK96" s="100">
        <f>IF(节奏预期!P96="","",节奏预期!P96*装备强化!F$9+装备强化!F$6)</f>
        <v>1220</v>
      </c>
      <c r="BL96" s="100">
        <f>IF(节奏预期!Q96="","",节奏预期!Q96*装备强化!G$9+装备强化!G$6)</f>
        <v>2180</v>
      </c>
      <c r="BM96" s="100" t="str">
        <f>IF(节奏预期!R96="","",节奏预期!R96*装备强化!H$9+装备强化!H$6)</f>
        <v/>
      </c>
      <c r="BN96" s="14">
        <f>SUMPRODUCT(BI96:BM96,节奏预期!$D96:$H96)/SUM(节奏预期!$D96:$H96)</f>
        <v>2180</v>
      </c>
      <c r="BO96" s="94">
        <f>IF(节奏预期!D96="","",IF(节奏预期!I96="",0,装备强化!D$4*节奏预期!I96))</f>
        <v>3.6</v>
      </c>
      <c r="BP96" s="94">
        <f>IF(节奏预期!E96="","",IF(节奏预期!J96="",0,装备强化!E$4*节奏预期!J96))</f>
        <v>8</v>
      </c>
      <c r="BQ96" s="94">
        <f>IF(节奏预期!F96="","",IF(节奏预期!K96="",0,装备强化!F$4*节奏预期!K96))</f>
        <v>16.2</v>
      </c>
      <c r="BR96" s="94">
        <f>IF(节奏预期!G96="","",IF(节奏预期!L96="",0,装备强化!G$4*节奏预期!L96))</f>
        <v>26.35</v>
      </c>
      <c r="BS96" s="94">
        <f>IF(节奏预期!H96="","",IF(节奏预期!M96="",0,装备强化!H$4*节奏预期!M96))</f>
        <v>44.550000000000004</v>
      </c>
      <c r="BT96" s="80">
        <f>SUMPRODUCT(BO96:BS96,节奏预期!D96:H96)/SUM(节奏预期!D96:H96)</f>
        <v>26.35</v>
      </c>
      <c r="BW96" s="25">
        <v>3</v>
      </c>
      <c r="BX96" s="47">
        <v>10</v>
      </c>
      <c r="BY96" s="52">
        <f t="shared" ref="BY96" si="53">BT64</f>
        <v>4.2666666666666666</v>
      </c>
      <c r="BZ96" s="52">
        <f t="shared" ref="BZ96" si="54">BH64</f>
        <v>140</v>
      </c>
      <c r="CA96" s="52">
        <f t="shared" ref="CA96" si="55">BN64</f>
        <v>140</v>
      </c>
      <c r="CB96" s="77">
        <f>BY96*(INDEX([2]中r将兵属性验证!V$7:V$166,$BX96,1)+INDEX([2]中r将兵属性验证!$AP$7:$AP$166,$BX96,1))</f>
        <v>1492241.8128671229</v>
      </c>
      <c r="CC96" s="77">
        <f>BZ96*INDEX([2]中r将兵属性验证!W$7:W$166,$BX96,1)</f>
        <v>1253439.250299942</v>
      </c>
      <c r="CD96" s="77">
        <f>CA96*INDEX([2]中r将兵属性验证!X$7:X$166,$BX96,1)</f>
        <v>1253439.250299942</v>
      </c>
      <c r="CE96" s="52">
        <f>SUM(CB96:CD96)</f>
        <v>3999120.3134670071</v>
      </c>
      <c r="CI96" s="71">
        <v>10</v>
      </c>
      <c r="CJ96" s="75">
        <f t="shared" ref="CJ96:CJ111" si="56">$BB64</f>
        <v>1200</v>
      </c>
      <c r="CK96" s="76">
        <f>CJ96*INDEX('[1]功能-付费相关'!$BK$6:$BK$165,$CI96,1)</f>
        <v>480.18751016944702</v>
      </c>
      <c r="CL96" s="75">
        <f t="shared" ref="CL96:CL111" si="57">$AV64</f>
        <v>48000</v>
      </c>
      <c r="CM96" s="76">
        <f>CL96*INDEX('[1]功能-付费相关'!$AS$6:$AS$165,$CI96,1)</f>
        <v>120</v>
      </c>
      <c r="CO96" s="71">
        <v>10</v>
      </c>
      <c r="CP96" s="71">
        <f>CK96</f>
        <v>480.18751016944702</v>
      </c>
      <c r="CQ96" s="71">
        <f t="shared" ref="CQ96" si="58">CM96</f>
        <v>120</v>
      </c>
      <c r="CR96" s="84">
        <f>SUM(CP96:CQ96)</f>
        <v>600.18751016944702</v>
      </c>
    </row>
    <row r="97" spans="10:96" x14ac:dyDescent="0.15">
      <c r="J97" s="46">
        <f>INDEX('[1]资源-装备经验'!Y$6:Y$165,(K97+1)/2,1)</f>
        <v>0</v>
      </c>
      <c r="K97" s="53">
        <v>93</v>
      </c>
      <c r="L97" s="121">
        <v>40</v>
      </c>
      <c r="M97" s="122">
        <f t="shared" si="44"/>
        <v>40</v>
      </c>
      <c r="N97" s="120">
        <f t="shared" si="45"/>
        <v>80</v>
      </c>
      <c r="O97" s="120">
        <f t="shared" si="45"/>
        <v>160</v>
      </c>
      <c r="P97" s="120">
        <f t="shared" si="45"/>
        <v>400</v>
      </c>
      <c r="Q97" s="120">
        <f t="shared" si="45"/>
        <v>1200</v>
      </c>
      <c r="S97" s="53">
        <v>93</v>
      </c>
      <c r="T97" s="53">
        <f>SUM(M$5:M97)</f>
        <v>1105</v>
      </c>
      <c r="U97" s="53">
        <f>SUM(N$5:N97)</f>
        <v>2210</v>
      </c>
      <c r="V97" s="53">
        <f>SUM(O$5:O97)</f>
        <v>4420</v>
      </c>
      <c r="W97" s="53">
        <f>SUM(P$5:P97)</f>
        <v>11050</v>
      </c>
      <c r="X97" s="53">
        <f>SUM(Q$5:Q97)</f>
        <v>33150</v>
      </c>
      <c r="Z97" s="47">
        <v>93</v>
      </c>
      <c r="AA97" s="47">
        <f t="shared" si="46"/>
        <v>1600</v>
      </c>
      <c r="AB97" s="47">
        <f t="shared" si="47"/>
        <v>3200</v>
      </c>
      <c r="AC97" s="47">
        <f t="shared" si="48"/>
        <v>6400</v>
      </c>
      <c r="AD97" s="47">
        <f t="shared" si="49"/>
        <v>16000</v>
      </c>
      <c r="AE97" s="47">
        <f t="shared" si="50"/>
        <v>48000</v>
      </c>
      <c r="AG97" s="47">
        <v>93</v>
      </c>
      <c r="AH97" s="53">
        <f>SUM(AA$5:AA97)</f>
        <v>44200</v>
      </c>
      <c r="AI97" s="53">
        <f>SUM(AB$5:AB97)</f>
        <v>88400</v>
      </c>
      <c r="AJ97" s="53">
        <f>SUM(AC$5:AC97)</f>
        <v>176800</v>
      </c>
      <c r="AK97" s="53">
        <f>SUM(AD$5:AD97)</f>
        <v>442000</v>
      </c>
      <c r="AL97" s="53">
        <f>SUM(AE$5:AE97)</f>
        <v>1326000</v>
      </c>
      <c r="AO97" s="46">
        <v>8</v>
      </c>
      <c r="AP97" s="37">
        <f>节奏预期!B97</f>
        <v>50</v>
      </c>
      <c r="AQ97" s="114">
        <f>IFERROR(INDEX(AH$5:AH$304,MATCH(节奏预期!N97,$AG$5:$AG$304,0))*节奏预期!D97,0)</f>
        <v>0</v>
      </c>
      <c r="AR97" s="114">
        <f>IFERROR(INDEX(AI$5:AI$304,MATCH(节奏预期!O97,$AG$5:$AG$304,0))*节奏预期!E97,0)</f>
        <v>0</v>
      </c>
      <c r="AS97" s="114">
        <f>IFERROR(INDEX(AJ$5:AJ$304,MATCH(节奏预期!P97,$AG$5:$AG$304,0))*节奏预期!F97,0)</f>
        <v>0</v>
      </c>
      <c r="AT97" s="114">
        <f>IFERROR(INDEX(AK$5:AK$304,MATCH(节奏预期!Q97,$AG$5:$AG$304,0))*节奏预期!G97,0)</f>
        <v>7980000</v>
      </c>
      <c r="AU97" s="114">
        <f>IFERROR(INDEX(AL$5:AL$304,MATCH(节奏预期!R97,$AG$5:$AG$304,0))*节奏预期!H97,0)</f>
        <v>3420000</v>
      </c>
      <c r="AV97" s="136">
        <f t="shared" si="51"/>
        <v>11400000</v>
      </c>
      <c r="AW97" s="114">
        <f>IFERROR(INDEX(T$5:T$304,MATCH(节奏预期!N97,$S$5:$S$304,0))*节奏预期!D97,0)</f>
        <v>0</v>
      </c>
      <c r="AX97" s="114">
        <f>IFERROR(INDEX(U$5:U$304,MATCH(节奏预期!O97,$S$5:$S$304,0))*节奏预期!E97,0)</f>
        <v>0</v>
      </c>
      <c r="AY97" s="114">
        <f>IFERROR(INDEX(V$5:V$304,MATCH(节奏预期!P97,$S$5:$S$304,0))*节奏预期!F97,0)</f>
        <v>0</v>
      </c>
      <c r="AZ97" s="114">
        <f>IFERROR(INDEX(W$5:W$304,MATCH(节奏预期!Q97,$S$5:$S$304,0))*节奏预期!G97,0)</f>
        <v>199500</v>
      </c>
      <c r="BA97" s="114">
        <f>IFERROR(INDEX(X$5:X$304,MATCH(节奏预期!R97,$S$5:$S$304,0))*节奏预期!H97,0)</f>
        <v>85500</v>
      </c>
      <c r="BB97" s="136">
        <f t="shared" si="52"/>
        <v>285000</v>
      </c>
      <c r="BC97" s="100" t="str">
        <f>IF(节奏预期!N97="","",节奏预期!N97*装备强化!D$8+装备强化!D$5)</f>
        <v/>
      </c>
      <c r="BD97" s="100" t="str">
        <f>IF(节奏预期!O97="","",节奏预期!O97*装备强化!E$8+装备强化!E$5)</f>
        <v/>
      </c>
      <c r="BE97" s="100">
        <f>IF(节奏预期!P97="","",节奏预期!P97*装备强化!F$8+装备强化!F$5)</f>
        <v>1220</v>
      </c>
      <c r="BF97" s="100">
        <f>IF(节奏预期!Q97="","",节奏预期!Q97*装备强化!G$8+装备强化!G$5)</f>
        <v>2600</v>
      </c>
      <c r="BG97" s="100">
        <f>IF(节奏预期!R97="","",节奏预期!R97*装备强化!H$8+装备强化!H$5)</f>
        <v>4280</v>
      </c>
      <c r="BH97" s="14">
        <f>SUMPRODUCT(BC97:BG97,节奏预期!$D97:$H97)/SUM(节奏预期!$D97:$H97)</f>
        <v>2810</v>
      </c>
      <c r="BI97" s="13" t="str">
        <f>IF(节奏预期!N97="","",节奏预期!N97*装备强化!D$9+装备强化!D$6)</f>
        <v/>
      </c>
      <c r="BJ97" s="100" t="str">
        <f>IF(节奏预期!O97="","",节奏预期!O97*装备强化!E$9+装备强化!E$6)</f>
        <v/>
      </c>
      <c r="BK97" s="100">
        <f>IF(节奏预期!P97="","",节奏预期!P97*装备强化!F$9+装备强化!F$6)</f>
        <v>1220</v>
      </c>
      <c r="BL97" s="100">
        <f>IF(节奏预期!Q97="","",节奏预期!Q97*装备强化!G$9+装备强化!G$6)</f>
        <v>2600</v>
      </c>
      <c r="BM97" s="100">
        <f>IF(节奏预期!R97="","",节奏预期!R97*装备强化!H$9+装备强化!H$6)</f>
        <v>4280</v>
      </c>
      <c r="BN97" s="14">
        <f>SUMPRODUCT(BI97:BM97,节奏预期!$D97:$H97)/SUM(节奏预期!$D97:$H97)</f>
        <v>2810</v>
      </c>
      <c r="BO97" s="94">
        <f>IF(节奏预期!D97="","",IF(节奏预期!I97="",0,装备强化!D$4*节奏预期!I97))</f>
        <v>3.6</v>
      </c>
      <c r="BP97" s="94">
        <f>IF(节奏预期!E97="","",IF(节奏预期!J97="",0,装备强化!E$4*节奏预期!J97))</f>
        <v>8</v>
      </c>
      <c r="BQ97" s="94">
        <f>IF(节奏预期!F97="","",IF(节奏预期!K97="",0,装备强化!F$4*节奏预期!K97))</f>
        <v>18</v>
      </c>
      <c r="BR97" s="94">
        <f>IF(节奏预期!G97="","",IF(节奏预期!L97="",0,装备强化!G$4*节奏预期!L97))</f>
        <v>28.9</v>
      </c>
      <c r="BS97" s="94">
        <f>IF(节奏预期!H97="","",IF(节奏预期!M97="",0,装备强化!H$4*节奏预期!M97))</f>
        <v>48.839999999999996</v>
      </c>
      <c r="BT97" s="80">
        <f>SUMPRODUCT(BO97:BS97,节奏预期!D97:H97)/SUM(节奏预期!D97:H97)</f>
        <v>31.392499999999998</v>
      </c>
      <c r="BW97" s="25">
        <v>4</v>
      </c>
      <c r="BX97" s="47">
        <v>20</v>
      </c>
      <c r="BY97" s="52">
        <f t="shared" ref="BY97:BY111" si="59">BT65</f>
        <v>8.4111111111111097</v>
      </c>
      <c r="BZ97" s="52">
        <f t="shared" ref="BZ97:BZ111" si="60">BH65</f>
        <v>403.33333333333331</v>
      </c>
      <c r="CA97" s="52">
        <f t="shared" ref="CA97:CA111" si="61">BN65</f>
        <v>403.33333333333331</v>
      </c>
      <c r="CB97" s="109">
        <f>(BY97-BY96)*(INDEX([2]中r将兵属性验证!V$7:V$166,$BX97,1)+INDEX([2]中r将兵属性验证!$AP$7:$AP$166,$BX97,1))+CB96</f>
        <v>6840364.7716811784</v>
      </c>
      <c r="CC97" s="109">
        <f>(BZ97-BZ96)*INDEX([2]中r将兵属性验证!W$7:W$166,$BX97,1)+CC96</f>
        <v>8108852.9621808678</v>
      </c>
      <c r="CD97" s="109">
        <f>(CA97-CA96)*INDEX([2]中r将兵属性验证!X$7:X$166,$BX97,1)+CD96</f>
        <v>8108852.9621808678</v>
      </c>
      <c r="CE97" s="52">
        <f t="shared" ref="CE97:CE104" si="62">SUM(CB97:CD97)</f>
        <v>23058070.696042914</v>
      </c>
      <c r="CI97" s="71">
        <v>20</v>
      </c>
      <c r="CJ97" s="75">
        <f t="shared" si="56"/>
        <v>6900</v>
      </c>
      <c r="CK97" s="75">
        <f>(CJ97-CJ96)*INDEX('[1]功能-付费相关'!$BK$6:$BK$165,$CI97,1)+CK96</f>
        <v>1880.4565243888142</v>
      </c>
      <c r="CL97" s="75">
        <f t="shared" si="57"/>
        <v>276000</v>
      </c>
      <c r="CM97" s="75">
        <f>(CL97-CL96)*INDEX('[1]功能-付费相关'!$AS$6:$AS$165,$CI97,1)+CM96</f>
        <v>595</v>
      </c>
      <c r="CO97" s="71">
        <v>20</v>
      </c>
      <c r="CP97" s="138">
        <f t="shared" ref="CP97:CP111" si="63">CK97</f>
        <v>1880.4565243888142</v>
      </c>
      <c r="CQ97" s="138">
        <f t="shared" ref="CQ97:CQ111" si="64">CM97</f>
        <v>595</v>
      </c>
      <c r="CR97" s="84">
        <f t="shared" ref="CR97:CR111" si="65">SUM(CP97:CQ97)</f>
        <v>2475.4565243888142</v>
      </c>
    </row>
    <row r="98" spans="10:96" x14ac:dyDescent="0.15">
      <c r="J98" s="46">
        <f>INDEX('[1]资源-装备经验'!Y$6:Y$165,(K98+1)/2,1)</f>
        <v>0</v>
      </c>
      <c r="K98" s="53">
        <v>94</v>
      </c>
      <c r="L98" s="121">
        <v>40</v>
      </c>
      <c r="M98" s="122">
        <f t="shared" si="44"/>
        <v>40</v>
      </c>
      <c r="N98" s="120">
        <f t="shared" si="45"/>
        <v>80</v>
      </c>
      <c r="O98" s="120">
        <f t="shared" si="45"/>
        <v>160</v>
      </c>
      <c r="P98" s="120">
        <f t="shared" si="45"/>
        <v>400</v>
      </c>
      <c r="Q98" s="120">
        <f t="shared" si="45"/>
        <v>1200</v>
      </c>
      <c r="S98" s="53">
        <v>94</v>
      </c>
      <c r="T98" s="53">
        <f>SUM(M$5:M98)</f>
        <v>1145</v>
      </c>
      <c r="U98" s="53">
        <f>SUM(N$5:N98)</f>
        <v>2290</v>
      </c>
      <c r="V98" s="53">
        <f>SUM(O$5:O98)</f>
        <v>4580</v>
      </c>
      <c r="W98" s="53">
        <f>SUM(P$5:P98)</f>
        <v>11450</v>
      </c>
      <c r="X98" s="53">
        <f>SUM(Q$5:Q98)</f>
        <v>34350</v>
      </c>
      <c r="Z98" s="47">
        <v>94</v>
      </c>
      <c r="AA98" s="47">
        <f t="shared" si="46"/>
        <v>1600</v>
      </c>
      <c r="AB98" s="47">
        <f t="shared" si="47"/>
        <v>3200</v>
      </c>
      <c r="AC98" s="47">
        <f t="shared" si="48"/>
        <v>6400</v>
      </c>
      <c r="AD98" s="47">
        <f t="shared" si="49"/>
        <v>16000</v>
      </c>
      <c r="AE98" s="47">
        <f t="shared" si="50"/>
        <v>48000</v>
      </c>
      <c r="AG98" s="47">
        <v>94</v>
      </c>
      <c r="AH98" s="53">
        <f>SUM(AA$5:AA98)</f>
        <v>45800</v>
      </c>
      <c r="AI98" s="53">
        <f>SUM(AB$5:AB98)</f>
        <v>91600</v>
      </c>
      <c r="AJ98" s="53">
        <f>SUM(AC$5:AC98)</f>
        <v>183200</v>
      </c>
      <c r="AK98" s="53">
        <f>SUM(AD$5:AD98)</f>
        <v>458000</v>
      </c>
      <c r="AL98" s="53">
        <f>SUM(AE$5:AE98)</f>
        <v>1374000</v>
      </c>
      <c r="AO98" s="46">
        <v>9</v>
      </c>
      <c r="AP98" s="37">
        <f>节奏预期!B98</f>
        <v>60</v>
      </c>
      <c r="AQ98" s="114">
        <f>IFERROR(INDEX(AH$5:AH$304,MATCH(节奏预期!N98,$AG$5:$AG$304,0))*节奏预期!D98,0)</f>
        <v>0</v>
      </c>
      <c r="AR98" s="114">
        <f>IFERROR(INDEX(AI$5:AI$304,MATCH(节奏预期!O98,$AG$5:$AG$304,0))*节奏预期!E98,0)</f>
        <v>0</v>
      </c>
      <c r="AS98" s="114">
        <f>IFERROR(INDEX(AJ$5:AJ$304,MATCH(节奏预期!P98,$AG$5:$AG$304,0))*节奏预期!F98,0)</f>
        <v>0</v>
      </c>
      <c r="AT98" s="114">
        <f>IFERROR(INDEX(AK$5:AK$304,MATCH(节奏预期!Q98,$AG$5:$AG$304,0))*节奏预期!G98,0)</f>
        <v>14616000</v>
      </c>
      <c r="AU98" s="114">
        <f>IFERROR(INDEX(AL$5:AL$304,MATCH(节奏预期!R98,$AG$5:$AG$304,0))*节奏预期!H98,0)</f>
        <v>21924000</v>
      </c>
      <c r="AV98" s="136">
        <f t="shared" si="51"/>
        <v>36540000</v>
      </c>
      <c r="AW98" s="114">
        <f>IFERROR(INDEX(T$5:T$304,MATCH(节奏预期!N98,$S$5:$S$304,0))*节奏预期!D98,0)</f>
        <v>0</v>
      </c>
      <c r="AX98" s="114">
        <f>IFERROR(INDEX(U$5:U$304,MATCH(节奏预期!O98,$S$5:$S$304,0))*节奏预期!E98,0)</f>
        <v>0</v>
      </c>
      <c r="AY98" s="114">
        <f>IFERROR(INDEX(V$5:V$304,MATCH(节奏预期!P98,$S$5:$S$304,0))*节奏预期!F98,0)</f>
        <v>0</v>
      </c>
      <c r="AZ98" s="114">
        <f>IFERROR(INDEX(W$5:W$304,MATCH(节奏预期!Q98,$S$5:$S$304,0))*节奏预期!G98,0)</f>
        <v>365400</v>
      </c>
      <c r="BA98" s="114">
        <f>IFERROR(INDEX(X$5:X$304,MATCH(节奏预期!R98,$S$5:$S$304,0))*节奏预期!H98,0)</f>
        <v>548100</v>
      </c>
      <c r="BB98" s="136">
        <f t="shared" si="52"/>
        <v>913500</v>
      </c>
      <c r="BC98" s="100" t="str">
        <f>IF(节奏预期!N98="","",节奏预期!N98*装备强化!D$8+装备强化!D$5)</f>
        <v/>
      </c>
      <c r="BD98" s="100" t="str">
        <f>IF(节奏预期!O98="","",节奏预期!O98*装备强化!E$8+装备强化!E$5)</f>
        <v/>
      </c>
      <c r="BE98" s="100" t="str">
        <f>IF(节奏预期!P98="","",节奏预期!P98*装备强化!F$8+装备强化!F$5)</f>
        <v/>
      </c>
      <c r="BF98" s="100">
        <f>IF(节奏预期!Q98="","",节奏预期!Q98*装备强化!G$8+装备强化!G$5)</f>
        <v>3020</v>
      </c>
      <c r="BG98" s="100">
        <f>IF(节奏预期!R98="","",节奏预期!R98*装备强化!H$8+装备强化!H$5)</f>
        <v>4940</v>
      </c>
      <c r="BH98" s="14">
        <f>SUMPRODUCT(BC98:BG98,节奏预期!$D98:$H98)/SUM(节奏预期!$D98:$H98)</f>
        <v>3660</v>
      </c>
      <c r="BI98" s="13" t="str">
        <f>IF(节奏预期!N98="","",节奏预期!N98*装备强化!D$9+装备强化!D$6)</f>
        <v/>
      </c>
      <c r="BJ98" s="100" t="str">
        <f>IF(节奏预期!O98="","",节奏预期!O98*装备强化!E$9+装备强化!E$6)</f>
        <v/>
      </c>
      <c r="BK98" s="100" t="str">
        <f>IF(节奏预期!P98="","",节奏预期!P98*装备强化!F$9+装备强化!F$6)</f>
        <v/>
      </c>
      <c r="BL98" s="100">
        <f>IF(节奏预期!Q98="","",节奏预期!Q98*装备强化!G$9+装备强化!G$6)</f>
        <v>3020</v>
      </c>
      <c r="BM98" s="100">
        <f>IF(节奏预期!R98="","",节奏预期!R98*装备强化!H$9+装备强化!H$6)</f>
        <v>4940</v>
      </c>
      <c r="BN98" s="14">
        <f>SUMPRODUCT(BI98:BM98,节奏预期!$D98:$H98)/SUM(节奏预期!$D98:$H98)</f>
        <v>3660</v>
      </c>
      <c r="BO98" s="94">
        <f>IF(节奏预期!D98="","",IF(节奏预期!I98="",0,装备强化!D$4*节奏预期!I98))</f>
        <v>3.6</v>
      </c>
      <c r="BP98" s="94">
        <f>IF(节奏预期!E98="","",IF(节奏预期!J98="",0,装备强化!E$4*节奏预期!J98))</f>
        <v>8</v>
      </c>
      <c r="BQ98" s="94">
        <f>IF(节奏预期!F98="","",IF(节奏预期!K98="",0,装备强化!F$4*节奏预期!K98))</f>
        <v>18</v>
      </c>
      <c r="BR98" s="94">
        <f>IF(节奏预期!G98="","",IF(节奏预期!L98="",0,装备强化!G$4*节奏预期!L98))</f>
        <v>31.450000000000003</v>
      </c>
      <c r="BS98" s="94">
        <f>IF(节奏预期!H98="","",IF(节奏预期!M98="",0,装备强化!H$4*节奏预期!M98))</f>
        <v>53.13</v>
      </c>
      <c r="BT98" s="80">
        <f>SUMPRODUCT(BO98:BS98,节奏预期!D98:H98)/SUM(节奏预期!D98:H98)</f>
        <v>38.676666666666669</v>
      </c>
      <c r="BW98" s="25">
        <v>5</v>
      </c>
      <c r="BX98" s="47">
        <v>30</v>
      </c>
      <c r="BY98" s="52">
        <f t="shared" si="59"/>
        <v>15.444444444444445</v>
      </c>
      <c r="BZ98" s="52">
        <f t="shared" si="60"/>
        <v>1066.6666666666667</v>
      </c>
      <c r="CA98" s="52">
        <f t="shared" si="61"/>
        <v>1066.6666666666667</v>
      </c>
      <c r="CB98" s="109">
        <f>(BY98-BY97)*(INDEX([2]中r将兵属性验证!V$7:V$166,$BX98,1)+INDEX([2]中r将兵属性验证!$AP$7:$AP$166,$BX98,1))+CB97</f>
        <v>31952668.673275646</v>
      </c>
      <c r="CC98" s="109">
        <f>(BZ98-BZ97)*INDEX([2]中r将兵属性验证!W$7:W$166,$BX98,1)+CC97</f>
        <v>46719799.555261008</v>
      </c>
      <c r="CD98" s="109">
        <f>(CA98-CA97)*INDEX([2]中r将兵属性验证!X$7:X$166,$BX98,1)+CD97</f>
        <v>46719799.555261008</v>
      </c>
      <c r="CE98" s="52">
        <f t="shared" si="62"/>
        <v>125392267.78379765</v>
      </c>
      <c r="CI98" s="71">
        <v>30</v>
      </c>
      <c r="CJ98" s="75">
        <f t="shared" si="56"/>
        <v>29820</v>
      </c>
      <c r="CK98" s="75">
        <f>(CJ98-CJ97)*INDEX('[1]功能-付费相关'!$BK$6:$BK$165,$CI98,1)+CK97</f>
        <v>5337.1291120346905</v>
      </c>
      <c r="CL98" s="75">
        <f t="shared" si="57"/>
        <v>1192800</v>
      </c>
      <c r="CM98" s="75">
        <f>(CL98-CL97)*INDEX('[1]功能-付费相关'!$AS$6:$AS$165,$CI98,1)+CM97</f>
        <v>2232.1428571428569</v>
      </c>
      <c r="CO98" s="71">
        <v>30</v>
      </c>
      <c r="CP98" s="138">
        <f t="shared" si="63"/>
        <v>5337.1291120346905</v>
      </c>
      <c r="CQ98" s="138">
        <f t="shared" si="64"/>
        <v>2232.1428571428569</v>
      </c>
      <c r="CR98" s="84">
        <f t="shared" si="65"/>
        <v>7569.2719691775474</v>
      </c>
    </row>
    <row r="99" spans="10:96" x14ac:dyDescent="0.15">
      <c r="J99" s="46">
        <f>INDEX('[1]资源-装备经验'!Y$6:Y$165,(K99+1)/2,1)</f>
        <v>0</v>
      </c>
      <c r="K99" s="53">
        <v>95</v>
      </c>
      <c r="L99" s="121">
        <v>40</v>
      </c>
      <c r="M99" s="122">
        <f t="shared" si="44"/>
        <v>40</v>
      </c>
      <c r="N99" s="120">
        <f t="shared" si="45"/>
        <v>80</v>
      </c>
      <c r="O99" s="120">
        <f t="shared" si="45"/>
        <v>160</v>
      </c>
      <c r="P99" s="120">
        <f t="shared" si="45"/>
        <v>400</v>
      </c>
      <c r="Q99" s="120">
        <f t="shared" si="45"/>
        <v>1200</v>
      </c>
      <c r="S99" s="53">
        <v>95</v>
      </c>
      <c r="T99" s="53">
        <f>SUM(M$5:M99)</f>
        <v>1185</v>
      </c>
      <c r="U99" s="53">
        <f>SUM(N$5:N99)</f>
        <v>2370</v>
      </c>
      <c r="V99" s="53">
        <f>SUM(O$5:O99)</f>
        <v>4740</v>
      </c>
      <c r="W99" s="53">
        <f>SUM(P$5:P99)</f>
        <v>11850</v>
      </c>
      <c r="X99" s="53">
        <f>SUM(Q$5:Q99)</f>
        <v>35550</v>
      </c>
      <c r="Z99" s="47">
        <v>95</v>
      </c>
      <c r="AA99" s="47">
        <f t="shared" si="46"/>
        <v>1600</v>
      </c>
      <c r="AB99" s="47">
        <f t="shared" si="47"/>
        <v>3200</v>
      </c>
      <c r="AC99" s="47">
        <f t="shared" si="48"/>
        <v>6400</v>
      </c>
      <c r="AD99" s="47">
        <f t="shared" si="49"/>
        <v>16000</v>
      </c>
      <c r="AE99" s="47">
        <f t="shared" si="50"/>
        <v>48000</v>
      </c>
      <c r="AG99" s="47">
        <v>95</v>
      </c>
      <c r="AH99" s="53">
        <f>SUM(AA$5:AA99)</f>
        <v>47400</v>
      </c>
      <c r="AI99" s="53">
        <f>SUM(AB$5:AB99)</f>
        <v>94800</v>
      </c>
      <c r="AJ99" s="53">
        <f>SUM(AC$5:AC99)</f>
        <v>189600</v>
      </c>
      <c r="AK99" s="53">
        <f>SUM(AD$5:AD99)</f>
        <v>474000</v>
      </c>
      <c r="AL99" s="53">
        <f>SUM(AE$5:AE99)</f>
        <v>1422000</v>
      </c>
      <c r="AO99" s="46">
        <v>10</v>
      </c>
      <c r="AP99" s="37">
        <f>节奏预期!B99</f>
        <v>70</v>
      </c>
      <c r="AQ99" s="114">
        <f>IFERROR(INDEX(AH$5:AH$304,MATCH(节奏预期!N99,$AG$5:$AG$304,0))*节奏预期!D99,0)</f>
        <v>0</v>
      </c>
      <c r="AR99" s="114">
        <f>IFERROR(INDEX(AI$5:AI$304,MATCH(节奏预期!O99,$AG$5:$AG$304,0))*节奏预期!E99,0)</f>
        <v>0</v>
      </c>
      <c r="AS99" s="114">
        <f>IFERROR(INDEX(AJ$5:AJ$304,MATCH(节奏预期!P99,$AG$5:$AG$304,0))*节奏预期!F99,0)</f>
        <v>0</v>
      </c>
      <c r="AT99" s="114">
        <f>IFERROR(INDEX(AK$5:AK$304,MATCH(节奏预期!Q99,$AG$5:$AG$304,0))*节奏预期!G99,0)</f>
        <v>7308000</v>
      </c>
      <c r="AU99" s="114">
        <f>IFERROR(INDEX(AL$5:AL$304,MATCH(节奏预期!R99,$AG$5:$AG$304,0))*节奏预期!H99,0)</f>
        <v>76680000</v>
      </c>
      <c r="AV99" s="136">
        <f t="shared" si="51"/>
        <v>83988000</v>
      </c>
      <c r="AW99" s="114">
        <f>IFERROR(INDEX(T$5:T$304,MATCH(节奏预期!N99,$S$5:$S$304,0))*节奏预期!D99,0)</f>
        <v>0</v>
      </c>
      <c r="AX99" s="114">
        <f>IFERROR(INDEX(U$5:U$304,MATCH(节奏预期!O99,$S$5:$S$304,0))*节奏预期!E99,0)</f>
        <v>0</v>
      </c>
      <c r="AY99" s="114">
        <f>IFERROR(INDEX(V$5:V$304,MATCH(节奏预期!P99,$S$5:$S$304,0))*节奏预期!F99,0)</f>
        <v>0</v>
      </c>
      <c r="AZ99" s="114">
        <f>IFERROR(INDEX(W$5:W$304,MATCH(节奏预期!Q99,$S$5:$S$304,0))*节奏预期!G99,0)</f>
        <v>182700</v>
      </c>
      <c r="BA99" s="114">
        <f>IFERROR(INDEX(X$5:X$304,MATCH(节奏预期!R99,$S$5:$S$304,0))*节奏预期!H99,0)</f>
        <v>1917000</v>
      </c>
      <c r="BB99" s="136">
        <f t="shared" si="52"/>
        <v>2099700</v>
      </c>
      <c r="BC99" s="100" t="str">
        <f>IF(节奏预期!N99="","",节奏预期!N99*装备强化!D$8+装备强化!D$5)</f>
        <v/>
      </c>
      <c r="BD99" s="100" t="str">
        <f>IF(节奏预期!O99="","",节奏预期!O99*装备强化!E$8+装备强化!E$5)</f>
        <v/>
      </c>
      <c r="BE99" s="100" t="str">
        <f>IF(节奏预期!P99="","",节奏预期!P99*装备强化!F$8+装备强化!F$5)</f>
        <v/>
      </c>
      <c r="BF99" s="100">
        <f>IF(节奏预期!Q99="","",节奏预期!Q99*装备强化!G$8+装备强化!G$5)</f>
        <v>3020</v>
      </c>
      <c r="BG99" s="100">
        <f>IF(节奏预期!R99="","",节奏预期!R99*装备强化!H$8+装备强化!H$5)</f>
        <v>5600</v>
      </c>
      <c r="BH99" s="14">
        <f>SUMPRODUCT(BC99:BG99,节奏预期!$D99:$H99)/SUM(节奏预期!$D99:$H99)</f>
        <v>4740</v>
      </c>
      <c r="BI99" s="13" t="str">
        <f>IF(节奏预期!N99="","",节奏预期!N99*装备强化!D$9+装备强化!D$6)</f>
        <v/>
      </c>
      <c r="BJ99" s="100" t="str">
        <f>IF(节奏预期!O99="","",节奏预期!O99*装备强化!E$9+装备强化!E$6)</f>
        <v/>
      </c>
      <c r="BK99" s="100" t="str">
        <f>IF(节奏预期!P99="","",节奏预期!P99*装备强化!F$9+装备强化!F$6)</f>
        <v/>
      </c>
      <c r="BL99" s="100">
        <f>IF(节奏预期!Q99="","",节奏预期!Q99*装备强化!G$9+装备强化!G$6)</f>
        <v>3020</v>
      </c>
      <c r="BM99" s="100">
        <f>IF(节奏预期!R99="","",节奏预期!R99*装备强化!H$9+装备强化!H$6)</f>
        <v>5600</v>
      </c>
      <c r="BN99" s="14">
        <f>SUMPRODUCT(BI99:BM99,节奏预期!$D99:$H99)/SUM(节奏预期!$D99:$H99)</f>
        <v>4740</v>
      </c>
      <c r="BO99" s="94">
        <f>IF(节奏预期!D99="","",IF(节奏预期!I99="",0,装备强化!D$4*节奏预期!I99))</f>
        <v>3.6</v>
      </c>
      <c r="BP99" s="94">
        <f>IF(节奏预期!E99="","",IF(节奏预期!J99="",0,装备强化!E$4*节奏预期!J99))</f>
        <v>8</v>
      </c>
      <c r="BQ99" s="94">
        <f>IF(节奏预期!F99="","",IF(节奏预期!K99="",0,装备强化!F$4*节奏预期!K99))</f>
        <v>18</v>
      </c>
      <c r="BR99" s="94">
        <f>IF(节奏预期!G99="","",IF(节奏预期!L99="",0,装备强化!G$4*节奏预期!L99))</f>
        <v>34</v>
      </c>
      <c r="BS99" s="94">
        <f>IF(节奏预期!H99="","",IF(节奏预期!M99="",0,装备强化!H$4*节奏预期!M99))</f>
        <v>57.42</v>
      </c>
      <c r="BT99" s="80">
        <f>SUMPRODUCT(BO99:BS99,节奏预期!D99:H99)/SUM(节奏预期!D99:H99)</f>
        <v>49.61333333333333</v>
      </c>
      <c r="BW99" s="25">
        <v>6</v>
      </c>
      <c r="BX99" s="47">
        <v>40</v>
      </c>
      <c r="BY99" s="52">
        <f t="shared" si="59"/>
        <v>26.35</v>
      </c>
      <c r="BZ99" s="52">
        <f t="shared" si="60"/>
        <v>2180</v>
      </c>
      <c r="CA99" s="52">
        <f t="shared" si="61"/>
        <v>2180</v>
      </c>
      <c r="CB99" s="109">
        <f>(BY99-BY98)*(INDEX([2]中r将兵属性验证!V$7:V$166,$BX99,1)+INDEX([2]中r将兵属性验证!$AP$7:$AP$166,$BX99,1))+CB98</f>
        <v>141555081.60748795</v>
      </c>
      <c r="CC99" s="109">
        <f>(BZ99-BZ98)*INDEX([2]中r将兵属性验证!W$7:W$166,$BX99,1)+CC98</f>
        <v>209676097.67549044</v>
      </c>
      <c r="CD99" s="109">
        <f>(CA99-CA98)*INDEX([2]中r将兵属性验证!X$7:X$166,$BX99,1)+CD98</f>
        <v>209676097.67549044</v>
      </c>
      <c r="CE99" s="52">
        <f t="shared" si="62"/>
        <v>560907276.95846891</v>
      </c>
      <c r="CI99" s="71">
        <v>40</v>
      </c>
      <c r="CJ99" s="75">
        <f t="shared" si="56"/>
        <v>108000</v>
      </c>
      <c r="CK99" s="75">
        <f>(CJ99-CJ98)*INDEX('[1]功能-付费相关'!$BK$6:$BK$165,$CI99,1)+CK98</f>
        <v>12575.591259843608</v>
      </c>
      <c r="CL99" s="75">
        <f t="shared" si="57"/>
        <v>4320000</v>
      </c>
      <c r="CM99" s="75">
        <f>(CL99-CL98)*INDEX('[1]功能-付费相关'!$AS$6:$AS$165,$CI99,1)+CM98</f>
        <v>7118.3928571428569</v>
      </c>
      <c r="CO99" s="71">
        <v>40</v>
      </c>
      <c r="CP99" s="138">
        <f t="shared" si="63"/>
        <v>12575.591259843608</v>
      </c>
      <c r="CQ99" s="138">
        <f t="shared" si="64"/>
        <v>7118.3928571428569</v>
      </c>
      <c r="CR99" s="84">
        <f t="shared" si="65"/>
        <v>19693.984116986467</v>
      </c>
    </row>
    <row r="100" spans="10:96" x14ac:dyDescent="0.15">
      <c r="J100" s="46">
        <f>INDEX('[1]资源-装备经验'!Y$6:Y$165,(K100+1)/2,1)</f>
        <v>0</v>
      </c>
      <c r="K100" s="53">
        <v>96</v>
      </c>
      <c r="L100" s="121">
        <v>40</v>
      </c>
      <c r="M100" s="122">
        <f t="shared" si="44"/>
        <v>40</v>
      </c>
      <c r="N100" s="120">
        <f t="shared" si="45"/>
        <v>80</v>
      </c>
      <c r="O100" s="120">
        <f t="shared" si="45"/>
        <v>160</v>
      </c>
      <c r="P100" s="120">
        <f t="shared" si="45"/>
        <v>400</v>
      </c>
      <c r="Q100" s="120">
        <f t="shared" si="45"/>
        <v>1200</v>
      </c>
      <c r="S100" s="53">
        <v>96</v>
      </c>
      <c r="T100" s="53">
        <f>SUM(M$5:M100)</f>
        <v>1225</v>
      </c>
      <c r="U100" s="53">
        <f>SUM(N$5:N100)</f>
        <v>2450</v>
      </c>
      <c r="V100" s="53">
        <f>SUM(O$5:O100)</f>
        <v>4900</v>
      </c>
      <c r="W100" s="53">
        <f>SUM(P$5:P100)</f>
        <v>12250</v>
      </c>
      <c r="X100" s="53">
        <f>SUM(Q$5:Q100)</f>
        <v>36750</v>
      </c>
      <c r="Z100" s="47">
        <v>96</v>
      </c>
      <c r="AA100" s="47">
        <f t="shared" si="46"/>
        <v>1600</v>
      </c>
      <c r="AB100" s="47">
        <f t="shared" si="47"/>
        <v>3200</v>
      </c>
      <c r="AC100" s="47">
        <f t="shared" si="48"/>
        <v>6400</v>
      </c>
      <c r="AD100" s="47">
        <f t="shared" si="49"/>
        <v>16000</v>
      </c>
      <c r="AE100" s="47">
        <f t="shared" si="50"/>
        <v>48000</v>
      </c>
      <c r="AG100" s="47">
        <v>96</v>
      </c>
      <c r="AH100" s="53">
        <f>SUM(AA$5:AA100)</f>
        <v>49000</v>
      </c>
      <c r="AI100" s="53">
        <f>SUM(AB$5:AB100)</f>
        <v>98000</v>
      </c>
      <c r="AJ100" s="53">
        <f>SUM(AC$5:AC100)</f>
        <v>196000</v>
      </c>
      <c r="AK100" s="53">
        <f>SUM(AD$5:AD100)</f>
        <v>490000</v>
      </c>
      <c r="AL100" s="53">
        <f>SUM(AE$5:AE100)</f>
        <v>1470000</v>
      </c>
      <c r="AO100" s="46">
        <v>11</v>
      </c>
      <c r="AP100" s="37">
        <f>节奏预期!B100</f>
        <v>80</v>
      </c>
      <c r="AQ100" s="114">
        <f>IFERROR(INDEX(AH$5:AH$304,MATCH(节奏预期!N100,$AG$5:$AG$304,0))*节奏预期!D100,0)</f>
        <v>0</v>
      </c>
      <c r="AR100" s="114">
        <f>IFERROR(INDEX(AI$5:AI$304,MATCH(节奏预期!O100,$AG$5:$AG$304,0))*节奏预期!E100,0)</f>
        <v>0</v>
      </c>
      <c r="AS100" s="114">
        <f>IFERROR(INDEX(AJ$5:AJ$304,MATCH(节奏预期!P100,$AG$5:$AG$304,0))*节奏预期!F100,0)</f>
        <v>0</v>
      </c>
      <c r="AT100" s="114">
        <f>IFERROR(INDEX(AK$5:AK$304,MATCH(节奏预期!Q100,$AG$5:$AG$304,0))*节奏预期!G100,0)</f>
        <v>0</v>
      </c>
      <c r="AU100" s="114">
        <f>IFERROR(INDEX(AL$5:AL$304,MATCH(节奏预期!R100,$AG$5:$AG$304,0))*节奏预期!H100,0)</f>
        <v>210492000</v>
      </c>
      <c r="AV100" s="136">
        <f t="shared" si="51"/>
        <v>210492000</v>
      </c>
      <c r="AW100" s="114">
        <f>IFERROR(INDEX(T$5:T$304,MATCH(节奏预期!N100,$S$5:$S$304,0))*节奏预期!D100,0)</f>
        <v>0</v>
      </c>
      <c r="AX100" s="114">
        <f>IFERROR(INDEX(U$5:U$304,MATCH(节奏预期!O100,$S$5:$S$304,0))*节奏预期!E100,0)</f>
        <v>0</v>
      </c>
      <c r="AY100" s="114">
        <f>IFERROR(INDEX(V$5:V$304,MATCH(节奏预期!P100,$S$5:$S$304,0))*节奏预期!F100,0)</f>
        <v>0</v>
      </c>
      <c r="AZ100" s="114">
        <f>IFERROR(INDEX(W$5:W$304,MATCH(节奏预期!Q100,$S$5:$S$304,0))*节奏预期!G100,0)</f>
        <v>0</v>
      </c>
      <c r="BA100" s="114">
        <f>IFERROR(INDEX(X$5:X$304,MATCH(节奏预期!R100,$S$5:$S$304,0))*节奏预期!H100,0)</f>
        <v>5262300</v>
      </c>
      <c r="BB100" s="136">
        <f t="shared" si="52"/>
        <v>5262300</v>
      </c>
      <c r="BC100" s="100" t="str">
        <f>IF(节奏预期!N100="","",节奏预期!N100*装备强化!D$8+装备强化!D$5)</f>
        <v/>
      </c>
      <c r="BD100" s="100" t="str">
        <f>IF(节奏预期!O100="","",节奏预期!O100*装备强化!E$8+装备强化!E$5)</f>
        <v/>
      </c>
      <c r="BE100" s="100" t="str">
        <f>IF(节奏预期!P100="","",节奏预期!P100*装备强化!F$8+装备强化!F$5)</f>
        <v/>
      </c>
      <c r="BF100" s="100" t="str">
        <f>IF(节奏预期!Q100="","",节奏预期!Q100*装备强化!G$8+装备强化!G$5)</f>
        <v/>
      </c>
      <c r="BG100" s="100">
        <f>IF(节奏预期!R100="","",节奏预期!R100*装备强化!H$8+装备强化!H$5)</f>
        <v>6260</v>
      </c>
      <c r="BH100" s="14">
        <f>SUMPRODUCT(BC100:BG100,节奏预期!$D100:$H100)/SUM(节奏预期!$D100:$H100)</f>
        <v>6260</v>
      </c>
      <c r="BI100" s="13" t="str">
        <f>IF(节奏预期!N100="","",节奏预期!N100*装备强化!D$9+装备强化!D$6)</f>
        <v/>
      </c>
      <c r="BJ100" s="100" t="str">
        <f>IF(节奏预期!O100="","",节奏预期!O100*装备强化!E$9+装备强化!E$6)</f>
        <v/>
      </c>
      <c r="BK100" s="100" t="str">
        <f>IF(节奏预期!P100="","",节奏预期!P100*装备强化!F$9+装备强化!F$6)</f>
        <v/>
      </c>
      <c r="BL100" s="100" t="str">
        <f>IF(节奏预期!Q100="","",节奏预期!Q100*装备强化!G$9+装备强化!G$6)</f>
        <v/>
      </c>
      <c r="BM100" s="100">
        <f>IF(节奏预期!R100="","",节奏预期!R100*装备强化!H$9+装备强化!H$6)</f>
        <v>6260</v>
      </c>
      <c r="BN100" s="14">
        <f>SUMPRODUCT(BI100:BM100,节奏预期!$D100:$H100)/SUM(节奏预期!$D100:$H100)</f>
        <v>6260</v>
      </c>
      <c r="BO100" s="94">
        <f>IF(节奏预期!D100="","",IF(节奏预期!I100="",0,装备强化!D$4*节奏预期!I100))</f>
        <v>3.6</v>
      </c>
      <c r="BP100" s="94">
        <f>IF(节奏预期!E100="","",IF(节奏预期!J100="",0,装备强化!E$4*节奏预期!J100))</f>
        <v>8</v>
      </c>
      <c r="BQ100" s="94">
        <f>IF(节奏预期!F100="","",IF(节奏预期!K100="",0,装备强化!F$4*节奏预期!K100))</f>
        <v>18</v>
      </c>
      <c r="BR100" s="94">
        <f>IF(节奏预期!G100="","",IF(节奏预期!L100="",0,装备强化!G$4*节奏预期!L100))</f>
        <v>34</v>
      </c>
      <c r="BS100" s="94">
        <f>IF(节奏预期!H100="","",IF(节奏预期!M100="",0,装备强化!H$4*节奏预期!M100))</f>
        <v>61.71</v>
      </c>
      <c r="BT100" s="80">
        <f>SUMPRODUCT(BO100:BS100,节奏预期!D100:H100)/SUM(节奏预期!D100:H100)</f>
        <v>61.71</v>
      </c>
      <c r="BW100" s="25">
        <v>7</v>
      </c>
      <c r="BX100" s="47">
        <v>50</v>
      </c>
      <c r="BY100" s="52">
        <f t="shared" si="59"/>
        <v>31.392499999999998</v>
      </c>
      <c r="BZ100" s="52">
        <f t="shared" si="60"/>
        <v>2810</v>
      </c>
      <c r="CA100" s="52">
        <f t="shared" si="61"/>
        <v>2810</v>
      </c>
      <c r="CB100" s="109">
        <f>(BY100-BY99)*(INDEX([2]中r将兵属性验证!V$7:V$166,$BX100,1)+INDEX([2]中r将兵属性验证!$AP$7:$AP$166,$BX100,1))+CB99</f>
        <v>245176010.90647918</v>
      </c>
      <c r="CC100" s="109">
        <f>(BZ100-BZ99)*INDEX([2]中r将兵属性验证!W$7:W$166,$BX100,1)+CC99</f>
        <v>371675149.75763893</v>
      </c>
      <c r="CD100" s="109">
        <f>(CA100-CA99)*INDEX([2]中r将兵属性验证!X$7:X$166,$BX100,1)+CD99</f>
        <v>371675149.75763893</v>
      </c>
      <c r="CE100" s="52">
        <f t="shared" si="62"/>
        <v>988526310.42175698</v>
      </c>
      <c r="CI100" s="71">
        <v>50</v>
      </c>
      <c r="CJ100" s="75">
        <f t="shared" si="56"/>
        <v>285000</v>
      </c>
      <c r="CK100" s="75">
        <f>(CJ100-CJ99)*INDEX('[1]功能-付费相关'!$BK$6:$BK$165,$CI100,1)+CK99</f>
        <v>25632.848789910135</v>
      </c>
      <c r="CL100" s="75">
        <f t="shared" si="57"/>
        <v>11400000</v>
      </c>
      <c r="CM100" s="75">
        <f>(CL100-CL99)*INDEX('[1]功能-付费相关'!$AS$6:$AS$165,$CI100,1)+CM99</f>
        <v>16951.726190476191</v>
      </c>
      <c r="CO100" s="71">
        <v>50</v>
      </c>
      <c r="CP100" s="138">
        <f t="shared" si="63"/>
        <v>25632.848789910135</v>
      </c>
      <c r="CQ100" s="138">
        <f t="shared" si="64"/>
        <v>16951.726190476191</v>
      </c>
      <c r="CR100" s="84">
        <f t="shared" si="65"/>
        <v>42584.574980386329</v>
      </c>
    </row>
    <row r="101" spans="10:96" x14ac:dyDescent="0.15">
      <c r="J101" s="46">
        <f>INDEX('[1]资源-装备经验'!Y$6:Y$165,(K101+1)/2,1)</f>
        <v>0</v>
      </c>
      <c r="K101" s="53">
        <v>97</v>
      </c>
      <c r="L101" s="121">
        <v>40</v>
      </c>
      <c r="M101" s="122">
        <f t="shared" si="44"/>
        <v>40</v>
      </c>
      <c r="N101" s="120">
        <f t="shared" si="45"/>
        <v>80</v>
      </c>
      <c r="O101" s="120">
        <f t="shared" si="45"/>
        <v>160</v>
      </c>
      <c r="P101" s="120">
        <f t="shared" si="45"/>
        <v>400</v>
      </c>
      <c r="Q101" s="120">
        <f t="shared" si="45"/>
        <v>1200</v>
      </c>
      <c r="S101" s="53">
        <v>97</v>
      </c>
      <c r="T101" s="53">
        <f>SUM(M$5:M101)</f>
        <v>1265</v>
      </c>
      <c r="U101" s="53">
        <f>SUM(N$5:N101)</f>
        <v>2530</v>
      </c>
      <c r="V101" s="53">
        <f>SUM(O$5:O101)</f>
        <v>5060</v>
      </c>
      <c r="W101" s="53">
        <f>SUM(P$5:P101)</f>
        <v>12650</v>
      </c>
      <c r="X101" s="53">
        <f>SUM(Q$5:Q101)</f>
        <v>37950</v>
      </c>
      <c r="Z101" s="47">
        <v>97</v>
      </c>
      <c r="AA101" s="47">
        <f t="shared" si="46"/>
        <v>1600</v>
      </c>
      <c r="AB101" s="47">
        <f t="shared" si="47"/>
        <v>3200</v>
      </c>
      <c r="AC101" s="47">
        <f t="shared" si="48"/>
        <v>6400</v>
      </c>
      <c r="AD101" s="47">
        <f t="shared" si="49"/>
        <v>16000</v>
      </c>
      <c r="AE101" s="47">
        <f t="shared" si="50"/>
        <v>48000</v>
      </c>
      <c r="AG101" s="47">
        <v>97</v>
      </c>
      <c r="AH101" s="53">
        <f>SUM(AA$5:AA101)</f>
        <v>50600</v>
      </c>
      <c r="AI101" s="53">
        <f>SUM(AB$5:AB101)</f>
        <v>101200</v>
      </c>
      <c r="AJ101" s="53">
        <f>SUM(AC$5:AC101)</f>
        <v>202400</v>
      </c>
      <c r="AK101" s="53">
        <f>SUM(AD$5:AD101)</f>
        <v>506000</v>
      </c>
      <c r="AL101" s="53">
        <f>SUM(AE$5:AE101)</f>
        <v>1518000</v>
      </c>
      <c r="AO101" s="46">
        <v>12</v>
      </c>
      <c r="AP101" s="37">
        <f>节奏预期!B101</f>
        <v>90</v>
      </c>
      <c r="AQ101" s="114">
        <f>IFERROR(INDEX(AH$5:AH$304,MATCH(节奏预期!N101,$AG$5:$AG$304,0))*节奏预期!D101,0)</f>
        <v>0</v>
      </c>
      <c r="AR101" s="114">
        <f>IFERROR(INDEX(AI$5:AI$304,MATCH(节奏预期!O101,$AG$5:$AG$304,0))*节奏预期!E101,0)</f>
        <v>0</v>
      </c>
      <c r="AS101" s="114">
        <f>IFERROR(INDEX(AJ$5:AJ$304,MATCH(节奏预期!P101,$AG$5:$AG$304,0))*节奏预期!F101,0)</f>
        <v>0</v>
      </c>
      <c r="AT101" s="114">
        <f>IFERROR(INDEX(AK$5:AK$304,MATCH(节奏预期!Q101,$AG$5:$AG$304,0))*节奏预期!G101,0)</f>
        <v>0</v>
      </c>
      <c r="AU101" s="114">
        <f>IFERROR(INDEX(AL$5:AL$304,MATCH(节奏预期!R101,$AG$5:$AG$304,0))*节奏预期!H101,0)</f>
        <v>486972000</v>
      </c>
      <c r="AV101" s="136">
        <f t="shared" si="51"/>
        <v>486972000</v>
      </c>
      <c r="AW101" s="114">
        <f>IFERROR(INDEX(T$5:T$304,MATCH(节奏预期!N101,$S$5:$S$304,0))*节奏预期!D101,0)</f>
        <v>0</v>
      </c>
      <c r="AX101" s="114">
        <f>IFERROR(INDEX(U$5:U$304,MATCH(节奏预期!O101,$S$5:$S$304,0))*节奏预期!E101,0)</f>
        <v>0</v>
      </c>
      <c r="AY101" s="114">
        <f>IFERROR(INDEX(V$5:V$304,MATCH(节奏预期!P101,$S$5:$S$304,0))*节奏预期!F101,0)</f>
        <v>0</v>
      </c>
      <c r="AZ101" s="114">
        <f>IFERROR(INDEX(W$5:W$304,MATCH(节奏预期!Q101,$S$5:$S$304,0))*节奏预期!G101,0)</f>
        <v>0</v>
      </c>
      <c r="BA101" s="114">
        <f>IFERROR(INDEX(X$5:X$304,MATCH(节奏预期!R101,$S$5:$S$304,0))*节奏预期!H101,0)</f>
        <v>12174300</v>
      </c>
      <c r="BB101" s="136">
        <f t="shared" si="52"/>
        <v>12174300</v>
      </c>
      <c r="BC101" s="100" t="str">
        <f>IF(节奏预期!N101="","",节奏预期!N101*装备强化!D$8+装备强化!D$5)</f>
        <v/>
      </c>
      <c r="BD101" s="100" t="str">
        <f>IF(节奏预期!O101="","",节奏预期!O101*装备强化!E$8+装备强化!E$5)</f>
        <v/>
      </c>
      <c r="BE101" s="100" t="str">
        <f>IF(节奏预期!P101="","",节奏预期!P101*装备强化!F$8+装备强化!F$5)</f>
        <v/>
      </c>
      <c r="BF101" s="100" t="str">
        <f>IF(节奏预期!Q101="","",节奏预期!Q101*装备强化!G$8+装备强化!G$5)</f>
        <v/>
      </c>
      <c r="BG101" s="100">
        <f>IF(节奏预期!R101="","",节奏预期!R101*装备强化!H$8+装备强化!H$5)</f>
        <v>6920</v>
      </c>
      <c r="BH101" s="14">
        <f>SUMPRODUCT(BC101:BG101,节奏预期!$D101:$H101)/SUM(节奏预期!$D101:$H101)</f>
        <v>6920</v>
      </c>
      <c r="BI101" s="13" t="str">
        <f>IF(节奏预期!N101="","",节奏预期!N101*装备强化!D$9+装备强化!D$6)</f>
        <v/>
      </c>
      <c r="BJ101" s="100" t="str">
        <f>IF(节奏预期!O101="","",节奏预期!O101*装备强化!E$9+装备强化!E$6)</f>
        <v/>
      </c>
      <c r="BK101" s="100" t="str">
        <f>IF(节奏预期!P101="","",节奏预期!P101*装备强化!F$9+装备强化!F$6)</f>
        <v/>
      </c>
      <c r="BL101" s="100" t="str">
        <f>IF(节奏预期!Q101="","",节奏预期!Q101*装备强化!G$9+装备强化!G$6)</f>
        <v/>
      </c>
      <c r="BM101" s="100">
        <f>IF(节奏预期!R101="","",节奏预期!R101*装备强化!H$9+装备强化!H$6)</f>
        <v>6920</v>
      </c>
      <c r="BN101" s="14">
        <f>SUMPRODUCT(BI101:BM101,节奏预期!$D101:$H101)/SUM(节奏预期!$D101:$H101)</f>
        <v>6920</v>
      </c>
      <c r="BO101" s="94">
        <f>IF(节奏预期!D101="","",IF(节奏预期!I101="",0,装备强化!D$4*节奏预期!I101))</f>
        <v>3.6</v>
      </c>
      <c r="BP101" s="94">
        <f>IF(节奏预期!E101="","",IF(节奏预期!J101="",0,装备强化!E$4*节奏预期!J101))</f>
        <v>8</v>
      </c>
      <c r="BQ101" s="94">
        <f>IF(节奏预期!F101="","",IF(节奏预期!K101="",0,装备强化!F$4*节奏预期!K101))</f>
        <v>18</v>
      </c>
      <c r="BR101" s="94">
        <f>IF(节奏预期!G101="","",IF(节奏预期!L101="",0,装备强化!G$4*节奏预期!L101))</f>
        <v>34</v>
      </c>
      <c r="BS101" s="94">
        <f>IF(节奏预期!H101="","",IF(节奏预期!M101="",0,装备强化!H$4*节奏预期!M101))</f>
        <v>66</v>
      </c>
      <c r="BT101" s="80">
        <f>SUMPRODUCT(BO101:BS101,节奏预期!D101:H101)/SUM(节奏预期!D101:H101)</f>
        <v>66</v>
      </c>
      <c r="BW101" s="25">
        <v>8</v>
      </c>
      <c r="BX101" s="47">
        <v>60</v>
      </c>
      <c r="BY101" s="52">
        <f t="shared" si="59"/>
        <v>38.676666666666669</v>
      </c>
      <c r="BZ101" s="52">
        <f t="shared" si="60"/>
        <v>3660</v>
      </c>
      <c r="CA101" s="52">
        <f t="shared" si="61"/>
        <v>3660</v>
      </c>
      <c r="CB101" s="109">
        <f>(BY101-BY100)*(INDEX([2]中r将兵属性验证!V$7:V$166,$BX101,1)+INDEX([2]中r将兵属性验证!$AP$7:$AP$166,$BX101,1))+CB100</f>
        <v>585098625.94009984</v>
      </c>
      <c r="CC101" s="109">
        <f>(BZ101-BZ100)*INDEX([2]中r将兵属性验证!W$7:W$166,$BX101,1)+CC100</f>
        <v>818576049.54435825</v>
      </c>
      <c r="CD101" s="109">
        <f>(CA101-CA100)*INDEX([2]中r将兵属性验证!X$7:X$166,$BX101,1)+CD100</f>
        <v>818576049.54435825</v>
      </c>
      <c r="CE101" s="52">
        <f t="shared" si="62"/>
        <v>2222250725.0288162</v>
      </c>
      <c r="CI101" s="71">
        <v>60</v>
      </c>
      <c r="CJ101" s="75">
        <f t="shared" si="56"/>
        <v>913500</v>
      </c>
      <c r="CK101" s="75">
        <f>(CJ101-CJ100)*INDEX('[1]功能-付费相关'!$BK$6:$BK$165,$CI101,1)+CK100</f>
        <v>63667.747837617571</v>
      </c>
      <c r="CL101" s="75">
        <f t="shared" si="57"/>
        <v>36540000</v>
      </c>
      <c r="CM101" s="75">
        <f>(CL101-CL100)*INDEX('[1]功能-付费相关'!$AS$6:$AS$165,$CI101,1)+CM100</f>
        <v>48376.726190476191</v>
      </c>
      <c r="CO101" s="71">
        <v>60</v>
      </c>
      <c r="CP101" s="138">
        <f t="shared" si="63"/>
        <v>63667.747837617571</v>
      </c>
      <c r="CQ101" s="138">
        <f t="shared" si="64"/>
        <v>48376.726190476191</v>
      </c>
      <c r="CR101" s="84">
        <f t="shared" si="65"/>
        <v>112044.47402809377</v>
      </c>
    </row>
    <row r="102" spans="10:96" x14ac:dyDescent="0.15">
      <c r="J102" s="46">
        <f>INDEX('[1]资源-装备经验'!Y$6:Y$165,(K102+1)/2,1)</f>
        <v>0</v>
      </c>
      <c r="K102" s="53">
        <v>98</v>
      </c>
      <c r="L102" s="121">
        <v>40</v>
      </c>
      <c r="M102" s="122">
        <f t="shared" si="44"/>
        <v>40</v>
      </c>
      <c r="N102" s="120">
        <f t="shared" ref="N102:Q133" si="66">$M102*N$1</f>
        <v>80</v>
      </c>
      <c r="O102" s="120">
        <f t="shared" si="66"/>
        <v>160</v>
      </c>
      <c r="P102" s="120">
        <f t="shared" si="66"/>
        <v>400</v>
      </c>
      <c r="Q102" s="120">
        <f t="shared" si="66"/>
        <v>1200</v>
      </c>
      <c r="S102" s="53">
        <v>98</v>
      </c>
      <c r="T102" s="53">
        <f>SUM(M$5:M102)</f>
        <v>1305</v>
      </c>
      <c r="U102" s="53">
        <f>SUM(N$5:N102)</f>
        <v>2610</v>
      </c>
      <c r="V102" s="53">
        <f>SUM(O$5:O102)</f>
        <v>5220</v>
      </c>
      <c r="W102" s="53">
        <f>SUM(P$5:P102)</f>
        <v>13050</v>
      </c>
      <c r="X102" s="53">
        <f>SUM(Q$5:Q102)</f>
        <v>39150</v>
      </c>
      <c r="Z102" s="47">
        <v>98</v>
      </c>
      <c r="AA102" s="47">
        <f t="shared" si="46"/>
        <v>1600</v>
      </c>
      <c r="AB102" s="47">
        <f t="shared" si="47"/>
        <v>3200</v>
      </c>
      <c r="AC102" s="47">
        <f t="shared" si="48"/>
        <v>6400</v>
      </c>
      <c r="AD102" s="47">
        <f t="shared" si="49"/>
        <v>16000</v>
      </c>
      <c r="AE102" s="47">
        <f t="shared" si="50"/>
        <v>48000</v>
      </c>
      <c r="AG102" s="47">
        <v>98</v>
      </c>
      <c r="AH102" s="53">
        <f>SUM(AA$5:AA102)</f>
        <v>52200</v>
      </c>
      <c r="AI102" s="53">
        <f>SUM(AB$5:AB102)</f>
        <v>104400</v>
      </c>
      <c r="AJ102" s="53">
        <f>SUM(AC$5:AC102)</f>
        <v>208800</v>
      </c>
      <c r="AK102" s="53">
        <f>SUM(AD$5:AD102)</f>
        <v>522000</v>
      </c>
      <c r="AL102" s="53">
        <f>SUM(AE$5:AE102)</f>
        <v>1566000</v>
      </c>
      <c r="AO102" s="46">
        <v>13</v>
      </c>
      <c r="AP102" s="129">
        <f>节奏预期!B102</f>
        <v>100</v>
      </c>
      <c r="AQ102" s="128">
        <f>IFERROR(INDEX(AH$5:AH$304,MATCH(节奏预期!N102,$AG$5:$AG$304,0))*节奏预期!D102,0)</f>
        <v>0</v>
      </c>
      <c r="AR102" s="128">
        <f>IFERROR(INDEX(AI$5:AI$304,MATCH(节奏预期!O102,$AG$5:$AG$304,0))*节奏预期!E102,0)</f>
        <v>0</v>
      </c>
      <c r="AS102" s="128">
        <f>IFERROR(INDEX(AJ$5:AJ$304,MATCH(节奏预期!P102,$AG$5:$AG$304,0))*节奏预期!F102,0)</f>
        <v>0</v>
      </c>
      <c r="AT102" s="128">
        <f>IFERROR(INDEX(AK$5:AK$304,MATCH(节奏预期!Q102,$AG$5:$AG$304,0))*节奏预期!G102,0)</f>
        <v>0</v>
      </c>
      <c r="AU102" s="128">
        <f>IFERROR(INDEX(AL$5:AL$304,MATCH(节奏预期!R102,$AG$5:$AG$304,0))*节奏预期!H102,0)</f>
        <v>1117692000</v>
      </c>
      <c r="AV102" s="136">
        <f t="shared" si="51"/>
        <v>1117692000</v>
      </c>
      <c r="AW102" s="128">
        <f>IFERROR(INDEX(T$5:T$304,MATCH(节奏预期!N102,$S$5:$S$304,0))*节奏预期!D102,0)</f>
        <v>0</v>
      </c>
      <c r="AX102" s="128">
        <f>IFERROR(INDEX(U$5:U$304,MATCH(节奏预期!O102,$S$5:$S$304,0))*节奏预期!E102,0)</f>
        <v>0</v>
      </c>
      <c r="AY102" s="128">
        <f>IFERROR(INDEX(V$5:V$304,MATCH(节奏预期!P102,$S$5:$S$304,0))*节奏预期!F102,0)</f>
        <v>0</v>
      </c>
      <c r="AZ102" s="128">
        <f>IFERROR(INDEX(W$5:W$304,MATCH(节奏预期!Q102,$S$5:$S$304,0))*节奏预期!G102,0)</f>
        <v>0</v>
      </c>
      <c r="BA102" s="128">
        <f>IFERROR(INDEX(X$5:X$304,MATCH(节奏预期!R102,$S$5:$S$304,0))*节奏预期!H102,0)</f>
        <v>27942300</v>
      </c>
      <c r="BB102" s="136">
        <f t="shared" si="52"/>
        <v>27942300</v>
      </c>
      <c r="BC102" s="126" t="str">
        <f>IF(节奏预期!N102="","",节奏预期!N102*装备强化!D$8+装备强化!D$5)</f>
        <v/>
      </c>
      <c r="BD102" s="126" t="str">
        <f>IF(节奏预期!O102="","",节奏预期!O102*装备强化!E$8+装备强化!E$5)</f>
        <v/>
      </c>
      <c r="BE102" s="126" t="str">
        <f>IF(节奏预期!P102="","",节奏预期!P102*装备强化!F$8+装备强化!F$5)</f>
        <v/>
      </c>
      <c r="BF102" s="126" t="str">
        <f>IF(节奏预期!Q102="","",节奏预期!Q102*装备强化!G$8+装备强化!G$5)</f>
        <v/>
      </c>
      <c r="BG102" s="126">
        <f>IF(节奏预期!R102="","",节奏预期!R102*装备强化!H$8+装备强化!H$5)</f>
        <v>7580</v>
      </c>
      <c r="BH102" s="14">
        <f>SUMPRODUCT(BC102:BG102,节奏预期!$D102:$H102)/SUM(节奏预期!$D102:$H102)</f>
        <v>7580</v>
      </c>
      <c r="BI102" s="13" t="str">
        <f>IF(节奏预期!N102="","",节奏预期!N102*装备强化!D$9+装备强化!D$6)</f>
        <v/>
      </c>
      <c r="BJ102" s="126" t="str">
        <f>IF(节奏预期!O102="","",节奏预期!O102*装备强化!E$9+装备强化!E$6)</f>
        <v/>
      </c>
      <c r="BK102" s="126" t="str">
        <f>IF(节奏预期!P102="","",节奏预期!P102*装备强化!F$9+装备强化!F$6)</f>
        <v/>
      </c>
      <c r="BL102" s="126" t="str">
        <f>IF(节奏预期!Q102="","",节奏预期!Q102*装备强化!G$9+装备强化!G$6)</f>
        <v/>
      </c>
      <c r="BM102" s="126">
        <f>IF(节奏预期!R102="","",节奏预期!R102*装备强化!H$9+装备强化!H$6)</f>
        <v>7580</v>
      </c>
      <c r="BN102" s="14">
        <f>SUMPRODUCT(BI102:BM102,节奏预期!$D102:$H102)/SUM(节奏预期!$D102:$H102)</f>
        <v>7580</v>
      </c>
      <c r="BO102" s="128">
        <f>IF(节奏预期!D102="","",IF(节奏预期!I102="",0,装备强化!D$4*节奏预期!I102))</f>
        <v>3.6</v>
      </c>
      <c r="BP102" s="128">
        <f>IF(节奏预期!E102="","",IF(节奏预期!J102="",0,装备强化!E$4*节奏预期!J102))</f>
        <v>8</v>
      </c>
      <c r="BQ102" s="128">
        <f>IF(节奏预期!F102="","",IF(节奏预期!K102="",0,装备强化!F$4*节奏预期!K102))</f>
        <v>18</v>
      </c>
      <c r="BR102" s="128">
        <f>IF(节奏预期!G102="","",IF(节奏预期!L102="",0,装备强化!G$4*节奏预期!L102))</f>
        <v>34</v>
      </c>
      <c r="BS102" s="128">
        <f>IF(节奏预期!H102="","",IF(节奏预期!M102="",0,装备强化!H$4*节奏预期!M102))</f>
        <v>66</v>
      </c>
      <c r="BT102" s="80">
        <f>SUMPRODUCT(BO102:BS102,节奏预期!D102:H102)/SUM(节奏预期!D102:H102)</f>
        <v>66</v>
      </c>
      <c r="BW102" s="25">
        <v>9</v>
      </c>
      <c r="BX102" s="47">
        <v>70</v>
      </c>
      <c r="BY102" s="52">
        <f t="shared" si="59"/>
        <v>49.61333333333333</v>
      </c>
      <c r="BZ102" s="52">
        <f t="shared" si="60"/>
        <v>4740</v>
      </c>
      <c r="CA102" s="52">
        <f t="shared" si="61"/>
        <v>4740</v>
      </c>
      <c r="CB102" s="109">
        <f>(BY102-BY101)*(INDEX([2]中r将兵属性验证!V$7:V$166,$BX102,1)+INDEX([2]中r将兵属性验证!$AP$7:$AP$166,$BX102,1))+CB101</f>
        <v>2285705286.0079675</v>
      </c>
      <c r="CC102" s="109">
        <f>(BZ102-BZ101)*INDEX([2]中r将兵属性验证!W$7:W$166,$BX102,1)+CC101</f>
        <v>2158299706.9528637</v>
      </c>
      <c r="CD102" s="109">
        <f>(CA102-CA101)*INDEX([2]中r将兵属性验证!X$7:X$166,$BX102,1)+CD101</f>
        <v>2158299706.9528637</v>
      </c>
      <c r="CE102" s="52">
        <f t="shared" si="62"/>
        <v>6602304699.9136944</v>
      </c>
      <c r="CI102" s="71">
        <v>70</v>
      </c>
      <c r="CJ102" s="75">
        <f t="shared" si="56"/>
        <v>2099700</v>
      </c>
      <c r="CK102" s="75">
        <f>(CJ102-CJ101)*INDEX('[1]功能-付费相关'!$BK$6:$BK$165,$CI102,1)+CK101</f>
        <v>122556.61337433985</v>
      </c>
      <c r="CL102" s="75">
        <f t="shared" si="57"/>
        <v>83988000</v>
      </c>
      <c r="CM102" s="75">
        <f>(CL102-CL101)*INDEX('[1]功能-付费相关'!$AS$6:$AS$165,$CI102,1)+CM101</f>
        <v>102294.90800865801</v>
      </c>
      <c r="CO102" s="71">
        <v>70</v>
      </c>
      <c r="CP102" s="138">
        <f t="shared" si="63"/>
        <v>122556.61337433985</v>
      </c>
      <c r="CQ102" s="138">
        <f t="shared" si="64"/>
        <v>102294.90800865801</v>
      </c>
      <c r="CR102" s="84">
        <f t="shared" si="65"/>
        <v>224851.52138299786</v>
      </c>
    </row>
    <row r="103" spans="10:96" x14ac:dyDescent="0.15">
      <c r="J103" s="46">
        <f>INDEX('[1]资源-装备经验'!Y$6:Y$165,(K103+1)/2,1)</f>
        <v>0</v>
      </c>
      <c r="K103" s="53">
        <v>99</v>
      </c>
      <c r="L103" s="121">
        <v>40</v>
      </c>
      <c r="M103" s="122">
        <f t="shared" si="44"/>
        <v>40</v>
      </c>
      <c r="N103" s="120">
        <f t="shared" si="66"/>
        <v>80</v>
      </c>
      <c r="O103" s="120">
        <f t="shared" si="66"/>
        <v>160</v>
      </c>
      <c r="P103" s="120">
        <f t="shared" si="66"/>
        <v>400</v>
      </c>
      <c r="Q103" s="120">
        <f t="shared" si="66"/>
        <v>1200</v>
      </c>
      <c r="S103" s="53">
        <v>99</v>
      </c>
      <c r="T103" s="53">
        <f>SUM(M$5:M103)</f>
        <v>1345</v>
      </c>
      <c r="U103" s="53">
        <f>SUM(N$5:N103)</f>
        <v>2690</v>
      </c>
      <c r="V103" s="53">
        <f>SUM(O$5:O103)</f>
        <v>5380</v>
      </c>
      <c r="W103" s="53">
        <f>SUM(P$5:P103)</f>
        <v>13450</v>
      </c>
      <c r="X103" s="53">
        <f>SUM(Q$5:Q103)</f>
        <v>40350</v>
      </c>
      <c r="Z103" s="47">
        <v>99</v>
      </c>
      <c r="AA103" s="47">
        <f t="shared" si="46"/>
        <v>1600</v>
      </c>
      <c r="AB103" s="47">
        <f t="shared" si="47"/>
        <v>3200</v>
      </c>
      <c r="AC103" s="47">
        <f t="shared" si="48"/>
        <v>6400</v>
      </c>
      <c r="AD103" s="47">
        <f t="shared" si="49"/>
        <v>16000</v>
      </c>
      <c r="AE103" s="47">
        <f t="shared" si="50"/>
        <v>48000</v>
      </c>
      <c r="AG103" s="47">
        <v>99</v>
      </c>
      <c r="AH103" s="53">
        <f>SUM(AA$5:AA103)</f>
        <v>53800</v>
      </c>
      <c r="AI103" s="53">
        <f>SUM(AB$5:AB103)</f>
        <v>107600</v>
      </c>
      <c r="AJ103" s="53">
        <f>SUM(AC$5:AC103)</f>
        <v>215200</v>
      </c>
      <c r="AK103" s="53">
        <f>SUM(AD$5:AD103)</f>
        <v>538000</v>
      </c>
      <c r="AL103" s="53">
        <f>SUM(AE$5:AE103)</f>
        <v>1614000</v>
      </c>
      <c r="AO103" s="46">
        <v>14</v>
      </c>
      <c r="AP103" s="129">
        <f>节奏预期!B103</f>
        <v>110</v>
      </c>
      <c r="AQ103" s="128">
        <f>IFERROR(INDEX(AH$5:AH$304,MATCH(节奏预期!N103,$AG$5:$AG$304,0))*节奏预期!D103,0)</f>
        <v>0</v>
      </c>
      <c r="AR103" s="128">
        <f>IFERROR(INDEX(AI$5:AI$304,MATCH(节奏预期!O103,$AG$5:$AG$304,0))*节奏预期!E103,0)</f>
        <v>0</v>
      </c>
      <c r="AS103" s="128">
        <f>IFERROR(INDEX(AJ$5:AJ$304,MATCH(节奏预期!P103,$AG$5:$AG$304,0))*节奏预期!F103,0)</f>
        <v>0</v>
      </c>
      <c r="AT103" s="128">
        <f>IFERROR(INDEX(AK$5:AK$304,MATCH(节奏预期!Q103,$AG$5:$AG$304,0))*节奏预期!G103,0)</f>
        <v>0</v>
      </c>
      <c r="AU103" s="128">
        <f>IFERROR(INDEX(AL$5:AL$304,MATCH(节奏预期!R103,$AG$5:$AG$304,0))*节奏预期!H103,0)</f>
        <v>2478492000</v>
      </c>
      <c r="AV103" s="136">
        <f t="shared" si="51"/>
        <v>2478492000</v>
      </c>
      <c r="AW103" s="128">
        <f>IFERROR(INDEX(T$5:T$304,MATCH(节奏预期!N103,$S$5:$S$304,0))*节奏预期!D103,0)</f>
        <v>0</v>
      </c>
      <c r="AX103" s="128">
        <f>IFERROR(INDEX(U$5:U$304,MATCH(节奏预期!O103,$S$5:$S$304,0))*节奏预期!E103,0)</f>
        <v>0</v>
      </c>
      <c r="AY103" s="128">
        <f>IFERROR(INDEX(V$5:V$304,MATCH(节奏预期!P103,$S$5:$S$304,0))*节奏预期!F103,0)</f>
        <v>0</v>
      </c>
      <c r="AZ103" s="128">
        <f>IFERROR(INDEX(W$5:W$304,MATCH(节奏预期!Q103,$S$5:$S$304,0))*节奏预期!G103,0)</f>
        <v>0</v>
      </c>
      <c r="BA103" s="128">
        <f>IFERROR(INDEX(X$5:X$304,MATCH(节奏预期!R103,$S$5:$S$304,0))*节奏预期!H103,0)</f>
        <v>61962300</v>
      </c>
      <c r="BB103" s="136">
        <f t="shared" si="52"/>
        <v>61962300</v>
      </c>
      <c r="BC103" s="126" t="str">
        <f>IF(节奏预期!N103="","",节奏预期!N103*装备强化!D$8+装备强化!D$5)</f>
        <v/>
      </c>
      <c r="BD103" s="126" t="str">
        <f>IF(节奏预期!O103="","",节奏预期!O103*装备强化!E$8+装备强化!E$5)</f>
        <v/>
      </c>
      <c r="BE103" s="126" t="str">
        <f>IF(节奏预期!P103="","",节奏预期!P103*装备强化!F$8+装备强化!F$5)</f>
        <v/>
      </c>
      <c r="BF103" s="126" t="str">
        <f>IF(节奏预期!Q103="","",节奏预期!Q103*装备强化!G$8+装备强化!G$5)</f>
        <v/>
      </c>
      <c r="BG103" s="126">
        <f>IF(节奏预期!R103="","",节奏预期!R103*装备强化!H$8+装备强化!H$5)</f>
        <v>8240</v>
      </c>
      <c r="BH103" s="14">
        <f>SUMPRODUCT(BC103:BG103,节奏预期!$D103:$H103)/SUM(节奏预期!$D103:$H103)</f>
        <v>8240</v>
      </c>
      <c r="BI103" s="13" t="str">
        <f>IF(节奏预期!N103="","",节奏预期!N103*装备强化!D$9+装备强化!D$6)</f>
        <v/>
      </c>
      <c r="BJ103" s="126" t="str">
        <f>IF(节奏预期!O103="","",节奏预期!O103*装备强化!E$9+装备强化!E$6)</f>
        <v/>
      </c>
      <c r="BK103" s="126" t="str">
        <f>IF(节奏预期!P103="","",节奏预期!P103*装备强化!F$9+装备强化!F$6)</f>
        <v/>
      </c>
      <c r="BL103" s="126" t="str">
        <f>IF(节奏预期!Q103="","",节奏预期!Q103*装备强化!G$9+装备强化!G$6)</f>
        <v/>
      </c>
      <c r="BM103" s="126">
        <f>IF(节奏预期!R103="","",节奏预期!R103*装备强化!H$9+装备强化!H$6)</f>
        <v>8240</v>
      </c>
      <c r="BN103" s="14">
        <f>SUMPRODUCT(BI103:BM103,节奏预期!$D103:$H103)/SUM(节奏预期!$D103:$H103)</f>
        <v>8240</v>
      </c>
      <c r="BO103" s="128">
        <f>IF(节奏预期!D103="","",IF(节奏预期!I103="",0,装备强化!D$4*节奏预期!I103))</f>
        <v>3.6</v>
      </c>
      <c r="BP103" s="128">
        <f>IF(节奏预期!E103="","",IF(节奏预期!J103="",0,装备强化!E$4*节奏预期!J103))</f>
        <v>8</v>
      </c>
      <c r="BQ103" s="128">
        <f>IF(节奏预期!F103="","",IF(节奏预期!K103="",0,装备强化!F$4*节奏预期!K103))</f>
        <v>18</v>
      </c>
      <c r="BR103" s="128">
        <f>IF(节奏预期!G103="","",IF(节奏预期!L103="",0,装备强化!G$4*节奏预期!L103))</f>
        <v>34</v>
      </c>
      <c r="BS103" s="128">
        <f>IF(节奏预期!H103="","",IF(节奏预期!M103="",0,装备强化!H$4*节奏预期!M103))</f>
        <v>66</v>
      </c>
      <c r="BT103" s="80">
        <f>SUMPRODUCT(BO103:BS103,节奏预期!D103:H103)/SUM(节奏预期!D103:H103)</f>
        <v>66</v>
      </c>
      <c r="BW103" s="25">
        <v>10</v>
      </c>
      <c r="BX103" s="47">
        <v>80</v>
      </c>
      <c r="BY103" s="52">
        <f t="shared" si="59"/>
        <v>61.71</v>
      </c>
      <c r="BZ103" s="52">
        <f t="shared" si="60"/>
        <v>6260</v>
      </c>
      <c r="CA103" s="52">
        <f t="shared" si="61"/>
        <v>6260</v>
      </c>
      <c r="CB103" s="109">
        <f>(BY103-BY102)*(INDEX([2]中r将兵属性验证!V$7:V$166,$BX103,1)+INDEX([2]中r将兵属性验证!$AP$7:$AP$166,$BX103,1))+CB102</f>
        <v>6861852773.8027</v>
      </c>
      <c r="CC103" s="109">
        <f>(BZ103-BZ102)*INDEX([2]中r将兵属性验证!W$7:W$166,$BX103,1)+CC102</f>
        <v>5948501841.4615822</v>
      </c>
      <c r="CD103" s="109">
        <f>(CA103-CA102)*INDEX([2]中r将兵属性验证!X$7:X$166,$BX103,1)+CD102</f>
        <v>5948501841.4615822</v>
      </c>
      <c r="CE103" s="52">
        <f t="shared" si="62"/>
        <v>18758856456.725864</v>
      </c>
      <c r="CI103" s="71">
        <v>80</v>
      </c>
      <c r="CJ103" s="75">
        <f t="shared" si="56"/>
        <v>5262300</v>
      </c>
      <c r="CK103" s="75">
        <f>(CJ103-CJ102)*INDEX('[1]功能-付费相关'!$BK$6:$BK$165,$CI103,1)+CK102</f>
        <v>251357.19293908821</v>
      </c>
      <c r="CL103" s="75">
        <f t="shared" si="57"/>
        <v>210492000</v>
      </c>
      <c r="CM103" s="75">
        <f>(CL103-CL102)*INDEX('[1]功能-付费相关'!$AS$6:$AS$165,$CI103,1)+CM102</f>
        <v>234069.90800865801</v>
      </c>
      <c r="CO103" s="71">
        <v>80</v>
      </c>
      <c r="CP103" s="138">
        <f t="shared" si="63"/>
        <v>251357.19293908821</v>
      </c>
      <c r="CQ103" s="138">
        <f t="shared" si="64"/>
        <v>234069.90800865801</v>
      </c>
      <c r="CR103" s="84">
        <f t="shared" si="65"/>
        <v>485427.10094774619</v>
      </c>
    </row>
    <row r="104" spans="10:96" x14ac:dyDescent="0.15">
      <c r="J104" s="46">
        <f>INDEX('[1]资源-装备经验'!Y$6:Y$165,(K104+1)/2,1)</f>
        <v>0</v>
      </c>
      <c r="K104" s="53">
        <v>100</v>
      </c>
      <c r="L104" s="113">
        <v>80</v>
      </c>
      <c r="M104" s="122">
        <f t="shared" si="44"/>
        <v>80</v>
      </c>
      <c r="N104" s="120">
        <f t="shared" si="66"/>
        <v>160</v>
      </c>
      <c r="O104" s="120">
        <f t="shared" si="66"/>
        <v>320</v>
      </c>
      <c r="P104" s="120">
        <f t="shared" si="66"/>
        <v>800</v>
      </c>
      <c r="Q104" s="120">
        <f t="shared" si="66"/>
        <v>2400</v>
      </c>
      <c r="S104" s="53">
        <v>100</v>
      </c>
      <c r="T104" s="53">
        <f>SUM(M$5:M104)</f>
        <v>1425</v>
      </c>
      <c r="U104" s="53">
        <f>SUM(N$5:N104)</f>
        <v>2850</v>
      </c>
      <c r="V104" s="53">
        <f>SUM(O$5:O104)</f>
        <v>5700</v>
      </c>
      <c r="W104" s="53">
        <f>SUM(P$5:P104)</f>
        <v>14250</v>
      </c>
      <c r="X104" s="53">
        <f>SUM(Q$5:Q104)</f>
        <v>42750</v>
      </c>
      <c r="Z104" s="47">
        <v>100</v>
      </c>
      <c r="AA104" s="47">
        <f t="shared" si="46"/>
        <v>3200</v>
      </c>
      <c r="AB104" s="47">
        <f t="shared" si="47"/>
        <v>6400</v>
      </c>
      <c r="AC104" s="47">
        <f t="shared" si="48"/>
        <v>12800</v>
      </c>
      <c r="AD104" s="47">
        <f t="shared" si="49"/>
        <v>32000</v>
      </c>
      <c r="AE104" s="47">
        <f t="shared" si="50"/>
        <v>96000</v>
      </c>
      <c r="AG104" s="47">
        <v>100</v>
      </c>
      <c r="AH104" s="53">
        <f>SUM(AA$5:AA104)</f>
        <v>57000</v>
      </c>
      <c r="AI104" s="53">
        <f>SUM(AB$5:AB104)</f>
        <v>114000</v>
      </c>
      <c r="AJ104" s="53">
        <f>SUM(AC$5:AC104)</f>
        <v>228000</v>
      </c>
      <c r="AK104" s="53">
        <f>SUM(AD$5:AD104)</f>
        <v>570000</v>
      </c>
      <c r="AL104" s="53">
        <f>SUM(AE$5:AE104)</f>
        <v>1710000</v>
      </c>
      <c r="AO104" s="46">
        <v>15</v>
      </c>
      <c r="AP104" s="129">
        <f>节奏预期!B104</f>
        <v>120</v>
      </c>
      <c r="AQ104" s="128">
        <f>IFERROR(INDEX(AH$5:AH$304,MATCH(节奏预期!N104,$AG$5:$AG$304,0))*节奏预期!D104,0)</f>
        <v>0</v>
      </c>
      <c r="AR104" s="128">
        <f>IFERROR(INDEX(AI$5:AI$304,MATCH(节奏预期!O104,$AG$5:$AG$304,0))*节奏预期!E104,0)</f>
        <v>0</v>
      </c>
      <c r="AS104" s="128">
        <f>IFERROR(INDEX(AJ$5:AJ$304,MATCH(节奏预期!P104,$AG$5:$AG$304,0))*节奏预期!F104,0)</f>
        <v>0</v>
      </c>
      <c r="AT104" s="128">
        <f>IFERROR(INDEX(AK$5:AK$304,MATCH(节奏预期!Q104,$AG$5:$AG$304,0))*节奏预期!G104,0)</f>
        <v>0</v>
      </c>
      <c r="AU104" s="128">
        <f>IFERROR(INDEX(AL$5:AL$304,MATCH(节奏预期!R104,$AG$5:$AG$304,0))*节奏预期!H104,0)</f>
        <v>5601852000</v>
      </c>
      <c r="AV104" s="136">
        <f t="shared" si="51"/>
        <v>5601852000</v>
      </c>
      <c r="AW104" s="128">
        <f>IFERROR(INDEX(T$5:T$304,MATCH(节奏预期!N104,$S$5:$S$304,0))*节奏预期!D104,0)</f>
        <v>0</v>
      </c>
      <c r="AX104" s="128">
        <f>IFERROR(INDEX(U$5:U$304,MATCH(节奏预期!O104,$S$5:$S$304,0))*节奏预期!E104,0)</f>
        <v>0</v>
      </c>
      <c r="AY104" s="128">
        <f>IFERROR(INDEX(V$5:V$304,MATCH(节奏预期!P104,$S$5:$S$304,0))*节奏预期!F104,0)</f>
        <v>0</v>
      </c>
      <c r="AZ104" s="128">
        <f>IFERROR(INDEX(W$5:W$304,MATCH(节奏预期!Q104,$S$5:$S$304,0))*节奏预期!G104,0)</f>
        <v>0</v>
      </c>
      <c r="BA104" s="128">
        <f>IFERROR(INDEX(X$5:X$304,MATCH(节奏预期!R104,$S$5:$S$304,0))*节奏预期!H104,0)</f>
        <v>140046300</v>
      </c>
      <c r="BB104" s="136">
        <f t="shared" si="52"/>
        <v>140046300</v>
      </c>
      <c r="BC104" s="126" t="str">
        <f>IF(节奏预期!N104="","",节奏预期!N104*装备强化!D$8+装备强化!D$5)</f>
        <v/>
      </c>
      <c r="BD104" s="126" t="str">
        <f>IF(节奏预期!O104="","",节奏预期!O104*装备强化!E$8+装备强化!E$5)</f>
        <v/>
      </c>
      <c r="BE104" s="126" t="str">
        <f>IF(节奏预期!P104="","",节奏预期!P104*装备强化!F$8+装备强化!F$5)</f>
        <v/>
      </c>
      <c r="BF104" s="126" t="str">
        <f>IF(节奏预期!Q104="","",节奏预期!Q104*装备强化!G$8+装备强化!G$5)</f>
        <v/>
      </c>
      <c r="BG104" s="126">
        <f>IF(节奏预期!R104="","",节奏预期!R104*装备强化!H$8+装备强化!H$5)</f>
        <v>8900</v>
      </c>
      <c r="BH104" s="14">
        <f>SUMPRODUCT(BC104:BG104,节奏预期!$D104:$H104)/SUM(节奏预期!$D104:$H104)</f>
        <v>8900</v>
      </c>
      <c r="BI104" s="13" t="str">
        <f>IF(节奏预期!N104="","",节奏预期!N104*装备强化!D$9+装备强化!D$6)</f>
        <v/>
      </c>
      <c r="BJ104" s="126" t="str">
        <f>IF(节奏预期!O104="","",节奏预期!O104*装备强化!E$9+装备强化!E$6)</f>
        <v/>
      </c>
      <c r="BK104" s="126" t="str">
        <f>IF(节奏预期!P104="","",节奏预期!P104*装备强化!F$9+装备强化!F$6)</f>
        <v/>
      </c>
      <c r="BL104" s="126" t="str">
        <f>IF(节奏预期!Q104="","",节奏预期!Q104*装备强化!G$9+装备强化!G$6)</f>
        <v/>
      </c>
      <c r="BM104" s="126">
        <f>IF(节奏预期!R104="","",节奏预期!R104*装备强化!H$9+装备强化!H$6)</f>
        <v>8900</v>
      </c>
      <c r="BN104" s="14">
        <f>SUMPRODUCT(BI104:BM104,节奏预期!$D104:$H104)/SUM(节奏预期!$D104:$H104)</f>
        <v>8900</v>
      </c>
      <c r="BO104" s="128">
        <f>IF(节奏预期!D104="","",IF(节奏预期!I104="",0,装备强化!D$4*节奏预期!I104))</f>
        <v>3.6</v>
      </c>
      <c r="BP104" s="128">
        <f>IF(节奏预期!E104="","",IF(节奏预期!J104="",0,装备强化!E$4*节奏预期!J104))</f>
        <v>8</v>
      </c>
      <c r="BQ104" s="128">
        <f>IF(节奏预期!F104="","",IF(节奏预期!K104="",0,装备强化!F$4*节奏预期!K104))</f>
        <v>18</v>
      </c>
      <c r="BR104" s="128">
        <f>IF(节奏预期!G104="","",IF(节奏预期!L104="",0,装备强化!G$4*节奏预期!L104))</f>
        <v>34</v>
      </c>
      <c r="BS104" s="128">
        <f>IF(节奏预期!H104="","",IF(节奏预期!M104="",0,装备强化!H$4*节奏预期!M104))</f>
        <v>66</v>
      </c>
      <c r="BT104" s="80">
        <f>SUMPRODUCT(BO104:BS104,节奏预期!D104:H104)/SUM(节奏预期!D104:H104)</f>
        <v>66</v>
      </c>
      <c r="BW104" s="25">
        <v>11</v>
      </c>
      <c r="BX104" s="47">
        <v>90</v>
      </c>
      <c r="BY104" s="52">
        <f t="shared" si="59"/>
        <v>66</v>
      </c>
      <c r="BZ104" s="52">
        <f t="shared" si="60"/>
        <v>6920</v>
      </c>
      <c r="CA104" s="52">
        <f t="shared" si="61"/>
        <v>6920</v>
      </c>
      <c r="CB104" s="109">
        <f>(BY104-BY103)*(INDEX([2]中r将兵属性验证!V$7:V$166,$BX104,1)+INDEX([2]中r将兵属性验证!$AP$7:$AP$166,$BX104,1))+CB103</f>
        <v>10939514961.213959</v>
      </c>
      <c r="CC104" s="109">
        <f>(BZ104-BZ103)*INDEX([2]中r将兵属性验证!W$7:W$166,$BX104,1)+CC103</f>
        <v>9532044415.6760292</v>
      </c>
      <c r="CD104" s="109">
        <f>(CA104-CA103)*INDEX([2]中r将兵属性验证!X$7:X$166,$BX104,1)+CD103</f>
        <v>9532044415.6760292</v>
      </c>
      <c r="CE104" s="52">
        <f t="shared" si="62"/>
        <v>30003603792.566017</v>
      </c>
      <c r="CI104" s="71">
        <v>90</v>
      </c>
      <c r="CJ104" s="75">
        <f t="shared" si="56"/>
        <v>12174300</v>
      </c>
      <c r="CK104" s="75">
        <f>(CJ104-CJ103)*INDEX('[1]功能-付费相关'!$BK$6:$BK$165,$CI104,1)+CK103</f>
        <v>482284.64429963671</v>
      </c>
      <c r="CL104" s="75">
        <f t="shared" si="57"/>
        <v>486972000</v>
      </c>
      <c r="CM104" s="75">
        <f>(CL104-CL103)*INDEX('[1]功能-付费相关'!$AS$6:$AS$165,$CI104,1)+CM103</f>
        <v>499916.06185481185</v>
      </c>
      <c r="CO104" s="71">
        <v>90</v>
      </c>
      <c r="CP104" s="138">
        <f t="shared" si="63"/>
        <v>482284.64429963671</v>
      </c>
      <c r="CQ104" s="138">
        <f t="shared" si="64"/>
        <v>499916.06185481185</v>
      </c>
      <c r="CR104" s="84">
        <f t="shared" si="65"/>
        <v>982200.70615444856</v>
      </c>
    </row>
    <row r="105" spans="10:96" x14ac:dyDescent="0.15">
      <c r="J105" s="46">
        <f>INDEX('[1]资源-装备经验'!Y$6:Y$165,(K105+1)/2,1)</f>
        <v>0</v>
      </c>
      <c r="K105" s="113">
        <v>101</v>
      </c>
      <c r="L105" s="121">
        <v>80</v>
      </c>
      <c r="M105" s="122">
        <f t="shared" si="44"/>
        <v>80</v>
      </c>
      <c r="N105" s="120">
        <f t="shared" si="66"/>
        <v>160</v>
      </c>
      <c r="O105" s="120">
        <f t="shared" si="66"/>
        <v>320</v>
      </c>
      <c r="P105" s="120">
        <f t="shared" si="66"/>
        <v>800</v>
      </c>
      <c r="Q105" s="120">
        <f t="shared" si="66"/>
        <v>2400</v>
      </c>
      <c r="S105" s="113">
        <v>101</v>
      </c>
      <c r="T105" s="113">
        <f>SUM(M$5:M105)</f>
        <v>1505</v>
      </c>
      <c r="U105" s="113">
        <f>SUM(N$5:N105)</f>
        <v>3010</v>
      </c>
      <c r="V105" s="113">
        <f>SUM(O$5:O105)</f>
        <v>6020</v>
      </c>
      <c r="W105" s="113">
        <f>SUM(P$5:P105)</f>
        <v>15050</v>
      </c>
      <c r="X105" s="113">
        <f>SUM(Q$5:Q105)</f>
        <v>45150</v>
      </c>
      <c r="Z105" s="114">
        <v>101</v>
      </c>
      <c r="AA105" s="114">
        <f t="shared" ref="AA105:AA132" si="67">M105*$D$16</f>
        <v>3200</v>
      </c>
      <c r="AB105" s="114">
        <f t="shared" ref="AB105:AB132" si="68">N105*$D$16</f>
        <v>6400</v>
      </c>
      <c r="AC105" s="114">
        <f t="shared" ref="AC105:AC132" si="69">O105*$D$16</f>
        <v>12800</v>
      </c>
      <c r="AD105" s="114">
        <f t="shared" ref="AD105:AD132" si="70">P105*$D$16</f>
        <v>32000</v>
      </c>
      <c r="AE105" s="114">
        <f t="shared" ref="AE105:AE132" si="71">Q105*$D$16</f>
        <v>96000</v>
      </c>
      <c r="AG105" s="114">
        <v>101</v>
      </c>
      <c r="AH105" s="113">
        <f>SUM(AA$5:AA105)</f>
        <v>60200</v>
      </c>
      <c r="AI105" s="113">
        <f>SUM(AB$5:AB105)</f>
        <v>120400</v>
      </c>
      <c r="AJ105" s="113">
        <f>SUM(AC$5:AC105)</f>
        <v>240800</v>
      </c>
      <c r="AK105" s="113">
        <f>SUM(AD$5:AD105)</f>
        <v>602000</v>
      </c>
      <c r="AL105" s="113">
        <f>SUM(AE$5:AE105)</f>
        <v>1806000</v>
      </c>
      <c r="AO105" s="46">
        <v>16</v>
      </c>
      <c r="AP105" s="129">
        <f>节奏预期!B105</f>
        <v>130</v>
      </c>
      <c r="AQ105" s="128">
        <f>IFERROR(INDEX(AH$5:AH$304,MATCH(节奏预期!N105,$AG$5:$AG$304,0))*节奏预期!D105,0)</f>
        <v>0</v>
      </c>
      <c r="AR105" s="128">
        <f>IFERROR(INDEX(AI$5:AI$304,MATCH(节奏预期!O105,$AG$5:$AG$304,0))*节奏预期!E105,0)</f>
        <v>0</v>
      </c>
      <c r="AS105" s="128">
        <f>IFERROR(INDEX(AJ$5:AJ$304,MATCH(节奏预期!P105,$AG$5:$AG$304,0))*节奏预期!F105,0)</f>
        <v>0</v>
      </c>
      <c r="AT105" s="128">
        <f>IFERROR(INDEX(AK$5:AK$304,MATCH(节奏预期!Q105,$AG$5:$AG$304,0))*节奏预期!G105,0)</f>
        <v>0</v>
      </c>
      <c r="AU105" s="128">
        <f>IFERROR(INDEX(AL$5:AL$304,MATCH(节奏预期!R105,$AG$5:$AG$304,0))*节奏预期!H105,0)</f>
        <v>12816252000</v>
      </c>
      <c r="AV105" s="136">
        <f t="shared" si="51"/>
        <v>12816252000</v>
      </c>
      <c r="AW105" s="128">
        <f>IFERROR(INDEX(T$5:T$304,MATCH(节奏预期!N105,$S$5:$S$304,0))*节奏预期!D105,0)</f>
        <v>0</v>
      </c>
      <c r="AX105" s="128">
        <f>IFERROR(INDEX(U$5:U$304,MATCH(节奏预期!O105,$S$5:$S$304,0))*节奏预期!E105,0)</f>
        <v>0</v>
      </c>
      <c r="AY105" s="128">
        <f>IFERROR(INDEX(V$5:V$304,MATCH(节奏预期!P105,$S$5:$S$304,0))*节奏预期!F105,0)</f>
        <v>0</v>
      </c>
      <c r="AZ105" s="128">
        <f>IFERROR(INDEX(W$5:W$304,MATCH(节奏预期!Q105,$S$5:$S$304,0))*节奏预期!G105,0)</f>
        <v>0</v>
      </c>
      <c r="BA105" s="128">
        <f>IFERROR(INDEX(X$5:X$304,MATCH(节奏预期!R105,$S$5:$S$304,0))*节奏预期!H105,0)</f>
        <v>320406300</v>
      </c>
      <c r="BB105" s="136">
        <f t="shared" si="52"/>
        <v>320406300</v>
      </c>
      <c r="BC105" s="126" t="str">
        <f>IF(节奏预期!N105="","",节奏预期!N105*装备强化!D$8+装备强化!D$5)</f>
        <v/>
      </c>
      <c r="BD105" s="126" t="str">
        <f>IF(节奏预期!O105="","",节奏预期!O105*装备强化!E$8+装备强化!E$5)</f>
        <v/>
      </c>
      <c r="BE105" s="126" t="str">
        <f>IF(节奏预期!P105="","",节奏预期!P105*装备强化!F$8+装备强化!F$5)</f>
        <v/>
      </c>
      <c r="BF105" s="126" t="str">
        <f>IF(节奏预期!Q105="","",节奏预期!Q105*装备强化!G$8+装备强化!G$5)</f>
        <v/>
      </c>
      <c r="BG105" s="126">
        <f>IF(节奏预期!R105="","",节奏预期!R105*装备强化!H$8+装备强化!H$5)</f>
        <v>9560</v>
      </c>
      <c r="BH105" s="14">
        <f>SUMPRODUCT(BC105:BG105,节奏预期!$D105:$H105)/SUM(节奏预期!$D105:$H105)</f>
        <v>9560</v>
      </c>
      <c r="BI105" s="13" t="str">
        <f>IF(节奏预期!N105="","",节奏预期!N105*装备强化!D$9+装备强化!D$6)</f>
        <v/>
      </c>
      <c r="BJ105" s="126" t="str">
        <f>IF(节奏预期!O105="","",节奏预期!O105*装备强化!E$9+装备强化!E$6)</f>
        <v/>
      </c>
      <c r="BK105" s="126" t="str">
        <f>IF(节奏预期!P105="","",节奏预期!P105*装备强化!F$9+装备强化!F$6)</f>
        <v/>
      </c>
      <c r="BL105" s="126" t="str">
        <f>IF(节奏预期!Q105="","",节奏预期!Q105*装备强化!G$9+装备强化!G$6)</f>
        <v/>
      </c>
      <c r="BM105" s="126">
        <f>IF(节奏预期!R105="","",节奏预期!R105*装备强化!H$9+装备强化!H$6)</f>
        <v>9560</v>
      </c>
      <c r="BN105" s="14">
        <f>SUMPRODUCT(BI105:BM105,节奏预期!$D105:$H105)/SUM(节奏预期!$D105:$H105)</f>
        <v>9560</v>
      </c>
      <c r="BO105" s="128">
        <f>IF(节奏预期!D105="","",IF(节奏预期!I105="",0,装备强化!D$4*节奏预期!I105))</f>
        <v>3.6</v>
      </c>
      <c r="BP105" s="128">
        <f>IF(节奏预期!E105="","",IF(节奏预期!J105="",0,装备强化!E$4*节奏预期!J105))</f>
        <v>8</v>
      </c>
      <c r="BQ105" s="128">
        <f>IF(节奏预期!F105="","",IF(节奏预期!K105="",0,装备强化!F$4*节奏预期!K105))</f>
        <v>18</v>
      </c>
      <c r="BR105" s="128">
        <f>IF(节奏预期!G105="","",IF(节奏预期!L105="",0,装备强化!G$4*节奏预期!L105))</f>
        <v>34</v>
      </c>
      <c r="BS105" s="128">
        <f>IF(节奏预期!H105="","",IF(节奏预期!M105="",0,装备强化!H$4*节奏预期!M105))</f>
        <v>66</v>
      </c>
      <c r="BT105" s="80">
        <f>SUMPRODUCT(BO105:BS105,节奏预期!D105:H105)/SUM(节奏预期!D105:H105)</f>
        <v>66</v>
      </c>
      <c r="BW105" s="25">
        <v>12</v>
      </c>
      <c r="BX105" s="128">
        <v>100</v>
      </c>
      <c r="BY105" s="52">
        <f t="shared" si="59"/>
        <v>66</v>
      </c>
      <c r="BZ105" s="52">
        <f t="shared" si="60"/>
        <v>7580</v>
      </c>
      <c r="CA105" s="52">
        <f t="shared" si="61"/>
        <v>7580</v>
      </c>
      <c r="CB105" s="109">
        <f>(BY105-BY104)*(INDEX([2]中r将兵属性验证!V$7:V$166,$BX105,1)+INDEX([2]中r将兵属性验证!$AP$7:$AP$166,$BX105,1))+CB104</f>
        <v>10939514961.213959</v>
      </c>
      <c r="CC105" s="109">
        <f>(BZ105-BZ104)*INDEX([2]中r将兵属性验证!W$7:W$166,$BX105,1)+CC104</f>
        <v>15604884504.2698</v>
      </c>
      <c r="CD105" s="109">
        <f>(CA105-CA104)*INDEX([2]中r将兵属性验证!X$7:X$166,$BX105,1)+CD104</f>
        <v>15604884504.2698</v>
      </c>
      <c r="CE105" s="52">
        <f t="shared" ref="CE105:CE111" si="72">SUM(CB105:CD105)</f>
        <v>42149283969.753555</v>
      </c>
      <c r="CI105" s="128">
        <v>100</v>
      </c>
      <c r="CJ105" s="75">
        <f t="shared" si="56"/>
        <v>27942300</v>
      </c>
      <c r="CK105" s="75">
        <f>(CJ105-CJ104)*INDEX('[1]功能-付费相关'!$BK$6:$BK$165,$CI105,1)+CK104</f>
        <v>914446.79350661754</v>
      </c>
      <c r="CL105" s="75">
        <f t="shared" si="57"/>
        <v>1117692000</v>
      </c>
      <c r="CM105" s="75">
        <f>(CL105-CL104)*INDEX('[1]功能-付费相关'!$AS$6:$AS$165,$CI105,1)+CM104</f>
        <v>1063058.9189976691</v>
      </c>
      <c r="CO105" s="128">
        <v>100</v>
      </c>
      <c r="CP105" s="138">
        <f t="shared" si="63"/>
        <v>914446.79350661754</v>
      </c>
      <c r="CQ105" s="138">
        <f t="shared" si="64"/>
        <v>1063058.9189976691</v>
      </c>
      <c r="CR105" s="84">
        <f t="shared" si="65"/>
        <v>1977505.7125042868</v>
      </c>
    </row>
    <row r="106" spans="10:96" x14ac:dyDescent="0.15">
      <c r="J106" s="46">
        <f>INDEX('[1]资源-装备经验'!Y$6:Y$165,(K106+1)/2,1)</f>
        <v>0</v>
      </c>
      <c r="K106" s="113">
        <v>102</v>
      </c>
      <c r="L106" s="121">
        <v>80</v>
      </c>
      <c r="M106" s="122">
        <f t="shared" si="44"/>
        <v>80</v>
      </c>
      <c r="N106" s="120">
        <f t="shared" si="66"/>
        <v>160</v>
      </c>
      <c r="O106" s="120">
        <f t="shared" si="66"/>
        <v>320</v>
      </c>
      <c r="P106" s="120">
        <f t="shared" si="66"/>
        <v>800</v>
      </c>
      <c r="Q106" s="120">
        <f t="shared" si="66"/>
        <v>2400</v>
      </c>
      <c r="S106" s="113">
        <v>102</v>
      </c>
      <c r="T106" s="113">
        <f>SUM(M$5:M106)</f>
        <v>1585</v>
      </c>
      <c r="U106" s="113">
        <f>SUM(N$5:N106)</f>
        <v>3170</v>
      </c>
      <c r="V106" s="113">
        <f>SUM(O$5:O106)</f>
        <v>6340</v>
      </c>
      <c r="W106" s="113">
        <f>SUM(P$5:P106)</f>
        <v>15850</v>
      </c>
      <c r="X106" s="113">
        <f>SUM(Q$5:Q106)</f>
        <v>47550</v>
      </c>
      <c r="Z106" s="114">
        <v>102</v>
      </c>
      <c r="AA106" s="114">
        <f t="shared" si="67"/>
        <v>3200</v>
      </c>
      <c r="AB106" s="114">
        <f t="shared" si="68"/>
        <v>6400</v>
      </c>
      <c r="AC106" s="114">
        <f t="shared" si="69"/>
        <v>12800</v>
      </c>
      <c r="AD106" s="114">
        <f t="shared" si="70"/>
        <v>32000</v>
      </c>
      <c r="AE106" s="114">
        <f t="shared" si="71"/>
        <v>96000</v>
      </c>
      <c r="AG106" s="114">
        <v>102</v>
      </c>
      <c r="AH106" s="113">
        <f>SUM(AA$5:AA106)</f>
        <v>63400</v>
      </c>
      <c r="AI106" s="113">
        <f>SUM(AB$5:AB106)</f>
        <v>126800</v>
      </c>
      <c r="AJ106" s="113">
        <f>SUM(AC$5:AC106)</f>
        <v>253600</v>
      </c>
      <c r="AK106" s="113">
        <f>SUM(AD$5:AD106)</f>
        <v>634000</v>
      </c>
      <c r="AL106" s="113">
        <f>SUM(AE$5:AE106)</f>
        <v>1902000</v>
      </c>
      <c r="AO106" s="46">
        <v>17</v>
      </c>
      <c r="AP106" s="129">
        <f>节奏预期!B106</f>
        <v>140</v>
      </c>
      <c r="AQ106" s="128">
        <f>IFERROR(INDEX(AH$5:AH$304,MATCH(节奏预期!N106,$AG$5:$AG$304,0))*节奏预期!D106,0)</f>
        <v>0</v>
      </c>
      <c r="AR106" s="128">
        <f>IFERROR(INDEX(AI$5:AI$304,MATCH(节奏预期!O106,$AG$5:$AG$304,0))*节奏预期!E106,0)</f>
        <v>0</v>
      </c>
      <c r="AS106" s="128">
        <f>IFERROR(INDEX(AJ$5:AJ$304,MATCH(节奏预期!P106,$AG$5:$AG$304,0))*节奏预期!F106,0)</f>
        <v>0</v>
      </c>
      <c r="AT106" s="128">
        <f>IFERROR(INDEX(AK$5:AK$304,MATCH(节奏预期!Q106,$AG$5:$AG$304,0))*节奏预期!G106,0)</f>
        <v>0</v>
      </c>
      <c r="AU106" s="128">
        <f>IFERROR(INDEX(AL$5:AL$304,MATCH(节奏预期!R106,$AG$5:$AG$304,0))*节奏预期!H106,0)</f>
        <v>31176252000</v>
      </c>
      <c r="AV106" s="136">
        <f t="shared" si="51"/>
        <v>31176252000</v>
      </c>
      <c r="AW106" s="128">
        <f>IFERROR(INDEX(T$5:T$304,MATCH(节奏预期!N106,$S$5:$S$304,0))*节奏预期!D106,0)</f>
        <v>0</v>
      </c>
      <c r="AX106" s="128">
        <f>IFERROR(INDEX(U$5:U$304,MATCH(节奏预期!O106,$S$5:$S$304,0))*节奏预期!E106,0)</f>
        <v>0</v>
      </c>
      <c r="AY106" s="128">
        <f>IFERROR(INDEX(V$5:V$304,MATCH(节奏预期!P106,$S$5:$S$304,0))*节奏预期!F106,0)</f>
        <v>0</v>
      </c>
      <c r="AZ106" s="128">
        <f>IFERROR(INDEX(W$5:W$304,MATCH(节奏预期!Q106,$S$5:$S$304,0))*节奏预期!G106,0)</f>
        <v>0</v>
      </c>
      <c r="BA106" s="128">
        <f>IFERROR(INDEX(X$5:X$304,MATCH(节奏预期!R106,$S$5:$S$304,0))*节奏预期!H106,0)</f>
        <v>779406300</v>
      </c>
      <c r="BB106" s="136">
        <f t="shared" si="52"/>
        <v>779406300</v>
      </c>
      <c r="BC106" s="126" t="str">
        <f>IF(节奏预期!N106="","",节奏预期!N106*装备强化!D$8+装备强化!D$5)</f>
        <v/>
      </c>
      <c r="BD106" s="126" t="str">
        <f>IF(节奏预期!O106="","",节奏预期!O106*装备强化!E$8+装备强化!E$5)</f>
        <v/>
      </c>
      <c r="BE106" s="126" t="str">
        <f>IF(节奏预期!P106="","",节奏预期!P106*装备强化!F$8+装备强化!F$5)</f>
        <v/>
      </c>
      <c r="BF106" s="126" t="str">
        <f>IF(节奏预期!Q106="","",节奏预期!Q106*装备强化!G$8+装备强化!G$5)</f>
        <v/>
      </c>
      <c r="BG106" s="126">
        <f>IF(节奏预期!R106="","",节奏预期!R106*装备强化!H$8+装备强化!H$5)</f>
        <v>10220</v>
      </c>
      <c r="BH106" s="14">
        <f>SUMPRODUCT(BC106:BG106,节奏预期!$D106:$H106)/SUM(节奏预期!$D106:$H106)</f>
        <v>10220</v>
      </c>
      <c r="BI106" s="13" t="str">
        <f>IF(节奏预期!N106="","",节奏预期!N106*装备强化!D$9+装备强化!D$6)</f>
        <v/>
      </c>
      <c r="BJ106" s="126" t="str">
        <f>IF(节奏预期!O106="","",节奏预期!O106*装备强化!E$9+装备强化!E$6)</f>
        <v/>
      </c>
      <c r="BK106" s="126" t="str">
        <f>IF(节奏预期!P106="","",节奏预期!P106*装备强化!F$9+装备强化!F$6)</f>
        <v/>
      </c>
      <c r="BL106" s="126" t="str">
        <f>IF(节奏预期!Q106="","",节奏预期!Q106*装备强化!G$9+装备强化!G$6)</f>
        <v/>
      </c>
      <c r="BM106" s="126">
        <f>IF(节奏预期!R106="","",节奏预期!R106*装备强化!H$9+装备强化!H$6)</f>
        <v>10220</v>
      </c>
      <c r="BN106" s="14">
        <f>SUMPRODUCT(BI106:BM106,节奏预期!$D106:$H106)/SUM(节奏预期!$D106:$H106)</f>
        <v>10220</v>
      </c>
      <c r="BO106" s="128">
        <f>IF(节奏预期!D106="","",IF(节奏预期!I106="",0,装备强化!D$4*节奏预期!I106))</f>
        <v>3.6</v>
      </c>
      <c r="BP106" s="128">
        <f>IF(节奏预期!E106="","",IF(节奏预期!J106="",0,装备强化!E$4*节奏预期!J106))</f>
        <v>8</v>
      </c>
      <c r="BQ106" s="128">
        <f>IF(节奏预期!F106="","",IF(节奏预期!K106="",0,装备强化!F$4*节奏预期!K106))</f>
        <v>18</v>
      </c>
      <c r="BR106" s="128">
        <f>IF(节奏预期!G106="","",IF(节奏预期!L106="",0,装备强化!G$4*节奏预期!L106))</f>
        <v>34</v>
      </c>
      <c r="BS106" s="128">
        <f>IF(节奏预期!H106="","",IF(节奏预期!M106="",0,装备强化!H$4*节奏预期!M106))</f>
        <v>66</v>
      </c>
      <c r="BT106" s="80">
        <f>SUMPRODUCT(BO106:BS106,节奏预期!D106:H106)/SUM(节奏预期!D106:H106)</f>
        <v>66</v>
      </c>
      <c r="BW106" s="25">
        <v>13</v>
      </c>
      <c r="BX106" s="128">
        <v>110</v>
      </c>
      <c r="BY106" s="52">
        <f t="shared" si="59"/>
        <v>66</v>
      </c>
      <c r="BZ106" s="52">
        <f t="shared" si="60"/>
        <v>8240</v>
      </c>
      <c r="CA106" s="52">
        <f t="shared" si="61"/>
        <v>8240</v>
      </c>
      <c r="CB106" s="109">
        <f>(BY106-BY105)*(INDEX([2]中r将兵属性验证!V$7:V$166,$BX106,1)+INDEX([2]中r将兵属性验证!$AP$7:$AP$166,$BX106,1))+CB105</f>
        <v>10939514961.213959</v>
      </c>
      <c r="CC106" s="109">
        <f>(BZ106-BZ105)*INDEX([2]中r将兵属性验证!W$7:W$166,$BX106,1)+CC105</f>
        <v>24089420378.881592</v>
      </c>
      <c r="CD106" s="109">
        <f>(CA106-CA105)*INDEX([2]中r将兵属性验证!X$7:X$166,$BX106,1)+CD105</f>
        <v>24089420378.881592</v>
      </c>
      <c r="CE106" s="52">
        <f t="shared" si="72"/>
        <v>59118355718.977142</v>
      </c>
      <c r="CI106" s="128">
        <v>110</v>
      </c>
      <c r="CJ106" s="75">
        <f t="shared" si="56"/>
        <v>61962300</v>
      </c>
      <c r="CK106" s="75">
        <f>(CJ106-CJ105)*INDEX('[1]功能-付费相关'!$BK$6:$BK$165,$CI106,1)+CK105</f>
        <v>1679343.3522551591</v>
      </c>
      <c r="CL106" s="75">
        <f t="shared" si="57"/>
        <v>2478492000</v>
      </c>
      <c r="CM106" s="75">
        <f>(CL106-CL105)*INDEX('[1]功能-付费相关'!$AS$6:$AS$165,$CI106,1)+CM105</f>
        <v>2197058.9189976691</v>
      </c>
      <c r="CO106" s="128">
        <v>110</v>
      </c>
      <c r="CP106" s="138">
        <f t="shared" si="63"/>
        <v>1679343.3522551591</v>
      </c>
      <c r="CQ106" s="138">
        <f t="shared" si="64"/>
        <v>2197058.9189976691</v>
      </c>
      <c r="CR106" s="84">
        <f t="shared" si="65"/>
        <v>3876402.2712528282</v>
      </c>
    </row>
    <row r="107" spans="10:96" x14ac:dyDescent="0.15">
      <c r="J107" s="46">
        <f>INDEX('[1]资源-装备经验'!Y$6:Y$165,(K107+1)/2,1)</f>
        <v>0</v>
      </c>
      <c r="K107" s="113">
        <v>103</v>
      </c>
      <c r="L107" s="121">
        <v>80</v>
      </c>
      <c r="M107" s="122">
        <f t="shared" si="44"/>
        <v>80</v>
      </c>
      <c r="N107" s="120">
        <f t="shared" si="66"/>
        <v>160</v>
      </c>
      <c r="O107" s="120">
        <f t="shared" si="66"/>
        <v>320</v>
      </c>
      <c r="P107" s="120">
        <f t="shared" si="66"/>
        <v>800</v>
      </c>
      <c r="Q107" s="120">
        <f t="shared" si="66"/>
        <v>2400</v>
      </c>
      <c r="S107" s="113">
        <v>103</v>
      </c>
      <c r="T107" s="113">
        <f>SUM(M$5:M107)</f>
        <v>1665</v>
      </c>
      <c r="U107" s="113">
        <f>SUM(N$5:N107)</f>
        <v>3330</v>
      </c>
      <c r="V107" s="113">
        <f>SUM(O$5:O107)</f>
        <v>6660</v>
      </c>
      <c r="W107" s="113">
        <f>SUM(P$5:P107)</f>
        <v>16650</v>
      </c>
      <c r="X107" s="113">
        <f>SUM(Q$5:Q107)</f>
        <v>49950</v>
      </c>
      <c r="Z107" s="114">
        <v>103</v>
      </c>
      <c r="AA107" s="114">
        <f t="shared" si="67"/>
        <v>3200</v>
      </c>
      <c r="AB107" s="114">
        <f t="shared" si="68"/>
        <v>6400</v>
      </c>
      <c r="AC107" s="114">
        <f t="shared" si="69"/>
        <v>12800</v>
      </c>
      <c r="AD107" s="114">
        <f t="shared" si="70"/>
        <v>32000</v>
      </c>
      <c r="AE107" s="114">
        <f t="shared" si="71"/>
        <v>96000</v>
      </c>
      <c r="AG107" s="114">
        <v>103</v>
      </c>
      <c r="AH107" s="113">
        <f>SUM(AA$5:AA107)</f>
        <v>66600</v>
      </c>
      <c r="AI107" s="113">
        <f>SUM(AB$5:AB107)</f>
        <v>133200</v>
      </c>
      <c r="AJ107" s="113">
        <f>SUM(AC$5:AC107)</f>
        <v>266400</v>
      </c>
      <c r="AK107" s="113">
        <f>SUM(AD$5:AD107)</f>
        <v>666000</v>
      </c>
      <c r="AL107" s="113">
        <f>SUM(AE$5:AE107)</f>
        <v>1998000</v>
      </c>
      <c r="AO107" s="46">
        <v>18</v>
      </c>
      <c r="AP107" s="129">
        <f>节奏预期!B107</f>
        <v>150</v>
      </c>
      <c r="AQ107" s="128">
        <f>IFERROR(INDEX(AH$5:AH$304,MATCH(节奏预期!N107,$AG$5:$AG$304,0))*节奏预期!D107,0)</f>
        <v>0</v>
      </c>
      <c r="AR107" s="128">
        <f>IFERROR(INDEX(AI$5:AI$304,MATCH(节奏预期!O107,$AG$5:$AG$304,0))*节奏预期!E107,0)</f>
        <v>0</v>
      </c>
      <c r="AS107" s="128">
        <f>IFERROR(INDEX(AJ$5:AJ$304,MATCH(节奏预期!P107,$AG$5:$AG$304,0))*节奏预期!F107,0)</f>
        <v>0</v>
      </c>
      <c r="AT107" s="128">
        <f>IFERROR(INDEX(AK$5:AK$304,MATCH(节奏预期!Q107,$AG$5:$AG$304,0))*节奏预期!G107,0)</f>
        <v>0</v>
      </c>
      <c r="AU107" s="128">
        <f>IFERROR(INDEX(AL$5:AL$304,MATCH(节奏预期!R107,$AG$5:$AG$304,0))*节奏预期!H107,0)</f>
        <v>75240252000</v>
      </c>
      <c r="AV107" s="136">
        <f t="shared" si="51"/>
        <v>75240252000</v>
      </c>
      <c r="AW107" s="128">
        <f>IFERROR(INDEX(T$5:T$304,MATCH(节奏预期!N107,$S$5:$S$304,0))*节奏预期!D107,0)</f>
        <v>0</v>
      </c>
      <c r="AX107" s="128">
        <f>IFERROR(INDEX(U$5:U$304,MATCH(节奏预期!O107,$S$5:$S$304,0))*节奏预期!E107,0)</f>
        <v>0</v>
      </c>
      <c r="AY107" s="128">
        <f>IFERROR(INDEX(V$5:V$304,MATCH(节奏预期!P107,$S$5:$S$304,0))*节奏预期!F107,0)</f>
        <v>0</v>
      </c>
      <c r="AZ107" s="128">
        <f>IFERROR(INDEX(W$5:W$304,MATCH(节奏预期!Q107,$S$5:$S$304,0))*节奏预期!G107,0)</f>
        <v>0</v>
      </c>
      <c r="BA107" s="128">
        <f>IFERROR(INDEX(X$5:X$304,MATCH(节奏预期!R107,$S$5:$S$304,0))*节奏预期!H107,0)</f>
        <v>1881006300</v>
      </c>
      <c r="BB107" s="136">
        <f t="shared" si="52"/>
        <v>1881006300</v>
      </c>
      <c r="BC107" s="126" t="str">
        <f>IF(节奏预期!N107="","",节奏预期!N107*装备强化!D$8+装备强化!D$5)</f>
        <v/>
      </c>
      <c r="BD107" s="126" t="str">
        <f>IF(节奏预期!O107="","",节奏预期!O107*装备强化!E$8+装备强化!E$5)</f>
        <v/>
      </c>
      <c r="BE107" s="126" t="str">
        <f>IF(节奏预期!P107="","",节奏预期!P107*装备强化!F$8+装备强化!F$5)</f>
        <v/>
      </c>
      <c r="BF107" s="126" t="str">
        <f>IF(节奏预期!Q107="","",节奏预期!Q107*装备强化!G$8+装备强化!G$5)</f>
        <v/>
      </c>
      <c r="BG107" s="126">
        <f>IF(节奏预期!R107="","",节奏预期!R107*装备强化!H$8+装备强化!H$5)</f>
        <v>10880</v>
      </c>
      <c r="BH107" s="14">
        <f>SUMPRODUCT(BC107:BG107,节奏预期!$D107:$H107)/SUM(节奏预期!$D107:$H107)</f>
        <v>10880</v>
      </c>
      <c r="BI107" s="13" t="str">
        <f>IF(节奏预期!N107="","",节奏预期!N107*装备强化!D$9+装备强化!D$6)</f>
        <v/>
      </c>
      <c r="BJ107" s="126" t="str">
        <f>IF(节奏预期!O107="","",节奏预期!O107*装备强化!E$9+装备强化!E$6)</f>
        <v/>
      </c>
      <c r="BK107" s="126" t="str">
        <f>IF(节奏预期!P107="","",节奏预期!P107*装备强化!F$9+装备强化!F$6)</f>
        <v/>
      </c>
      <c r="BL107" s="126" t="str">
        <f>IF(节奏预期!Q107="","",节奏预期!Q107*装备强化!G$9+装备强化!G$6)</f>
        <v/>
      </c>
      <c r="BM107" s="126">
        <f>IF(节奏预期!R107="","",节奏预期!R107*装备强化!H$9+装备强化!H$6)</f>
        <v>10880</v>
      </c>
      <c r="BN107" s="14">
        <f>SUMPRODUCT(BI107:BM107,节奏预期!$D107:$H107)/SUM(节奏预期!$D107:$H107)</f>
        <v>10880</v>
      </c>
      <c r="BO107" s="128">
        <f>IF(节奏预期!D107="","",IF(节奏预期!I107="",0,装备强化!D$4*节奏预期!I107))</f>
        <v>3.6</v>
      </c>
      <c r="BP107" s="128">
        <f>IF(节奏预期!E107="","",IF(节奏预期!J107="",0,装备强化!E$4*节奏预期!J107))</f>
        <v>8</v>
      </c>
      <c r="BQ107" s="128">
        <f>IF(节奏预期!F107="","",IF(节奏预期!K107="",0,装备强化!F$4*节奏预期!K107))</f>
        <v>18</v>
      </c>
      <c r="BR107" s="128">
        <f>IF(节奏预期!G107="","",IF(节奏预期!L107="",0,装备强化!G$4*节奏预期!L107))</f>
        <v>34</v>
      </c>
      <c r="BS107" s="128">
        <f>IF(节奏预期!H107="","",IF(节奏预期!M107="",0,装备强化!H$4*节奏预期!M107))</f>
        <v>66</v>
      </c>
      <c r="BT107" s="80">
        <f>SUMPRODUCT(BO107:BS107,节奏预期!D107:H107)/SUM(节奏预期!D107:H107)</f>
        <v>66</v>
      </c>
      <c r="BW107" s="25">
        <v>14</v>
      </c>
      <c r="BX107" s="128">
        <v>120</v>
      </c>
      <c r="BY107" s="52">
        <f t="shared" si="59"/>
        <v>66</v>
      </c>
      <c r="BZ107" s="52">
        <f t="shared" si="60"/>
        <v>8900</v>
      </c>
      <c r="CA107" s="52">
        <f t="shared" si="61"/>
        <v>8900</v>
      </c>
      <c r="CB107" s="109">
        <f>(BY107-BY106)*(INDEX([2]中r将兵属性验证!V$7:V$166,$BX107,1)+INDEX([2]中r将兵属性验证!$AP$7:$AP$166,$BX107,1))+CB106</f>
        <v>10939514961.213959</v>
      </c>
      <c r="CC107" s="109">
        <f>(BZ107-BZ106)*INDEX([2]中r将兵属性验证!W$7:W$166,$BX107,1)+CC106</f>
        <v>35280351486.713387</v>
      </c>
      <c r="CD107" s="109">
        <f>(CA107-CA106)*INDEX([2]中r将兵属性验证!X$7:X$166,$BX107,1)+CD106</f>
        <v>35280351486.713387</v>
      </c>
      <c r="CE107" s="52">
        <f t="shared" si="72"/>
        <v>81500217934.640732</v>
      </c>
      <c r="CI107" s="128">
        <v>120</v>
      </c>
      <c r="CJ107" s="75">
        <f t="shared" si="56"/>
        <v>140046300</v>
      </c>
      <c r="CK107" s="75">
        <f>(CJ107-CJ106)*INDEX('[1]功能-付费相关'!$BK$6:$BK$165,$CI107,1)+CK106</f>
        <v>3119563.0052407132</v>
      </c>
      <c r="CL107" s="75">
        <f t="shared" si="57"/>
        <v>5601852000</v>
      </c>
      <c r="CM107" s="75">
        <f>(CL107-CL106)*INDEX('[1]功能-付费相关'!$AS$6:$AS$165,$CI107,1)+CM106</f>
        <v>4637183.9189976696</v>
      </c>
      <c r="CO107" s="128">
        <v>120</v>
      </c>
      <c r="CP107" s="138">
        <f t="shared" si="63"/>
        <v>3119563.0052407132</v>
      </c>
      <c r="CQ107" s="138">
        <f t="shared" si="64"/>
        <v>4637183.9189976696</v>
      </c>
      <c r="CR107" s="84">
        <f t="shared" si="65"/>
        <v>7756746.9242383828</v>
      </c>
    </row>
    <row r="108" spans="10:96" x14ac:dyDescent="0.15">
      <c r="J108" s="46">
        <f>INDEX('[1]资源-装备经验'!Y$6:Y$165,(K108+1)/2,1)</f>
        <v>0</v>
      </c>
      <c r="K108" s="113">
        <v>104</v>
      </c>
      <c r="L108" s="121">
        <v>80</v>
      </c>
      <c r="M108" s="122">
        <f t="shared" si="44"/>
        <v>80</v>
      </c>
      <c r="N108" s="120">
        <f t="shared" si="66"/>
        <v>160</v>
      </c>
      <c r="O108" s="120">
        <f t="shared" si="66"/>
        <v>320</v>
      </c>
      <c r="P108" s="120">
        <f t="shared" si="66"/>
        <v>800</v>
      </c>
      <c r="Q108" s="120">
        <f t="shared" si="66"/>
        <v>2400</v>
      </c>
      <c r="S108" s="113">
        <v>104</v>
      </c>
      <c r="T108" s="113">
        <f>SUM(M$5:M108)</f>
        <v>1745</v>
      </c>
      <c r="U108" s="113">
        <f>SUM(N$5:N108)</f>
        <v>3490</v>
      </c>
      <c r="V108" s="113">
        <f>SUM(O$5:O108)</f>
        <v>6980</v>
      </c>
      <c r="W108" s="113">
        <f>SUM(P$5:P108)</f>
        <v>17450</v>
      </c>
      <c r="X108" s="113">
        <f>SUM(Q$5:Q108)</f>
        <v>52350</v>
      </c>
      <c r="Z108" s="114">
        <v>104</v>
      </c>
      <c r="AA108" s="114">
        <f t="shared" si="67"/>
        <v>3200</v>
      </c>
      <c r="AB108" s="114">
        <f t="shared" si="68"/>
        <v>6400</v>
      </c>
      <c r="AC108" s="114">
        <f t="shared" si="69"/>
        <v>12800</v>
      </c>
      <c r="AD108" s="114">
        <f t="shared" si="70"/>
        <v>32000</v>
      </c>
      <c r="AE108" s="114">
        <f t="shared" si="71"/>
        <v>96000</v>
      </c>
      <c r="AG108" s="114">
        <v>104</v>
      </c>
      <c r="AH108" s="113">
        <f>SUM(AA$5:AA108)</f>
        <v>69800</v>
      </c>
      <c r="AI108" s="113">
        <f>SUM(AB$5:AB108)</f>
        <v>139600</v>
      </c>
      <c r="AJ108" s="113">
        <f>SUM(AC$5:AC108)</f>
        <v>279200</v>
      </c>
      <c r="AK108" s="113">
        <f>SUM(AD$5:AD108)</f>
        <v>698000</v>
      </c>
      <c r="AL108" s="113">
        <f>SUM(AE$5:AE108)</f>
        <v>2094000</v>
      </c>
      <c r="AO108" s="46">
        <v>19</v>
      </c>
      <c r="AP108" s="129">
        <f>节奏预期!B108</f>
        <v>160</v>
      </c>
      <c r="AQ108" s="128">
        <f>IFERROR(INDEX(AH$5:AH$304,MATCH(节奏预期!N108,$AG$5:$AG$304,0))*节奏预期!D108,0)</f>
        <v>0</v>
      </c>
      <c r="AR108" s="128">
        <f>IFERROR(INDEX(AI$5:AI$304,MATCH(节奏预期!O108,$AG$5:$AG$304,0))*节奏预期!E108,0)</f>
        <v>0</v>
      </c>
      <c r="AS108" s="128">
        <f>IFERROR(INDEX(AJ$5:AJ$304,MATCH(节奏预期!P108,$AG$5:$AG$304,0))*节奏预期!F108,0)</f>
        <v>0</v>
      </c>
      <c r="AT108" s="128">
        <f>IFERROR(INDEX(AK$5:AK$304,MATCH(节奏预期!Q108,$AG$5:$AG$304,0))*节奏预期!G108,0)</f>
        <v>0</v>
      </c>
      <c r="AU108" s="128">
        <f>IFERROR(INDEX(AL$5:AL$304,MATCH(节奏预期!R108,$AG$5:$AG$304,0))*节奏预期!H108,0)</f>
        <v>0</v>
      </c>
      <c r="AV108" s="136">
        <f t="shared" si="51"/>
        <v>75240252000</v>
      </c>
      <c r="AW108" s="128">
        <f>IFERROR(INDEX(T$5:T$304,MATCH(节奏预期!N108,$S$5:$S$304,0))*节奏预期!D108,0)</f>
        <v>0</v>
      </c>
      <c r="AX108" s="128">
        <f>IFERROR(INDEX(U$5:U$304,MATCH(节奏预期!O108,$S$5:$S$304,0))*节奏预期!E108,0)</f>
        <v>0</v>
      </c>
      <c r="AY108" s="128">
        <f>IFERROR(INDEX(V$5:V$304,MATCH(节奏预期!P108,$S$5:$S$304,0))*节奏预期!F108,0)</f>
        <v>0</v>
      </c>
      <c r="AZ108" s="128">
        <f>IFERROR(INDEX(W$5:W$304,MATCH(节奏预期!Q108,$S$5:$S$304,0))*节奏预期!G108,0)</f>
        <v>0</v>
      </c>
      <c r="BA108" s="128">
        <f>IFERROR(INDEX(X$5:X$304,MATCH(节奏预期!R108,$S$5:$S$304,0))*节奏预期!H108,0)</f>
        <v>0</v>
      </c>
      <c r="BB108" s="136">
        <f t="shared" si="52"/>
        <v>1881006300</v>
      </c>
      <c r="BC108" s="126" t="str">
        <f>IF(节奏预期!N108="","",节奏预期!N108*装备强化!D$8+装备强化!D$5)</f>
        <v/>
      </c>
      <c r="BD108" s="126" t="str">
        <f>IF(节奏预期!O108="","",节奏预期!O108*装备强化!E$8+装备强化!E$5)</f>
        <v/>
      </c>
      <c r="BE108" s="126" t="str">
        <f>IF(节奏预期!P108="","",节奏预期!P108*装备强化!F$8+装备强化!F$5)</f>
        <v/>
      </c>
      <c r="BF108" s="126" t="str">
        <f>IF(节奏预期!Q108="","",节奏预期!Q108*装备强化!G$8+装备强化!G$5)</f>
        <v/>
      </c>
      <c r="BG108" s="126">
        <f>IF(节奏预期!R108="","",节奏预期!R108*装备强化!H$8+装备强化!H$5)</f>
        <v>11540</v>
      </c>
      <c r="BH108" s="14">
        <f>SUMPRODUCT(BC108:BG108,节奏预期!$D108:$H108)/SUM(节奏预期!$D108:$H108)</f>
        <v>11540</v>
      </c>
      <c r="BI108" s="13" t="str">
        <f>IF(节奏预期!N108="","",节奏预期!N108*装备强化!D$9+装备强化!D$6)</f>
        <v/>
      </c>
      <c r="BJ108" s="126" t="str">
        <f>IF(节奏预期!O108="","",节奏预期!O108*装备强化!E$9+装备强化!E$6)</f>
        <v/>
      </c>
      <c r="BK108" s="126" t="str">
        <f>IF(节奏预期!P108="","",节奏预期!P108*装备强化!F$9+装备强化!F$6)</f>
        <v/>
      </c>
      <c r="BL108" s="126" t="str">
        <f>IF(节奏预期!Q108="","",节奏预期!Q108*装备强化!G$9+装备强化!G$6)</f>
        <v/>
      </c>
      <c r="BM108" s="126">
        <f>IF(节奏预期!R108="","",节奏预期!R108*装备强化!H$9+装备强化!H$6)</f>
        <v>11540</v>
      </c>
      <c r="BN108" s="14">
        <f>SUMPRODUCT(BI108:BM108,节奏预期!$D108:$H108)/SUM(节奏预期!$D108:$H108)</f>
        <v>11540</v>
      </c>
      <c r="BO108" s="128">
        <f>IF(节奏预期!D108="","",IF(节奏预期!I108="",0,装备强化!D$4*节奏预期!I108))</f>
        <v>3.6</v>
      </c>
      <c r="BP108" s="128">
        <f>IF(节奏预期!E108="","",IF(节奏预期!J108="",0,装备强化!E$4*节奏预期!J108))</f>
        <v>8</v>
      </c>
      <c r="BQ108" s="128">
        <f>IF(节奏预期!F108="","",IF(节奏预期!K108="",0,装备强化!F$4*节奏预期!K108))</f>
        <v>18</v>
      </c>
      <c r="BR108" s="128">
        <f>IF(节奏预期!G108="","",IF(节奏预期!L108="",0,装备强化!G$4*节奏预期!L108))</f>
        <v>34</v>
      </c>
      <c r="BS108" s="128">
        <f>IF(节奏预期!H108="","",IF(节奏预期!M108="",0,装备强化!H$4*节奏预期!M108))</f>
        <v>66</v>
      </c>
      <c r="BT108" s="80">
        <f>SUMPRODUCT(BO108:BS108,节奏预期!D108:H108)/SUM(节奏预期!D108:H108)</f>
        <v>66</v>
      </c>
      <c r="BW108" s="25">
        <v>15</v>
      </c>
      <c r="BX108" s="128">
        <v>130</v>
      </c>
      <c r="BY108" s="52">
        <f t="shared" si="59"/>
        <v>66</v>
      </c>
      <c r="BZ108" s="52">
        <f t="shared" si="60"/>
        <v>9560</v>
      </c>
      <c r="CA108" s="52">
        <f t="shared" si="61"/>
        <v>9560</v>
      </c>
      <c r="CB108" s="109">
        <f>(BY108-BY107)*(INDEX([2]中r将兵属性验证!V$7:V$166,$BX108,1)+INDEX([2]中r将兵属性验证!$AP$7:$AP$166,$BX108,1))+CB107</f>
        <v>10939514961.213959</v>
      </c>
      <c r="CC108" s="109">
        <f>(BZ108-BZ107)*INDEX([2]中r将兵属性验证!W$7:W$166,$BX108,1)+CC107</f>
        <v>49188409327.566368</v>
      </c>
      <c r="CD108" s="109">
        <f>(CA108-CA107)*INDEX([2]中r将兵属性验证!X$7:X$166,$BX108,1)+CD107</f>
        <v>49188409327.566368</v>
      </c>
      <c r="CE108" s="52">
        <f t="shared" si="72"/>
        <v>109316333616.34669</v>
      </c>
      <c r="CI108" s="128">
        <v>130</v>
      </c>
      <c r="CJ108" s="75">
        <f t="shared" si="56"/>
        <v>320406300</v>
      </c>
      <c r="CK108" s="75">
        <f>(CJ108-CJ107)*INDEX('[1]功能-付费相关'!$BK$6:$BK$165,$CI108,1)+CK107</f>
        <v>5848573.3954228982</v>
      </c>
      <c r="CL108" s="75">
        <f t="shared" si="57"/>
        <v>12816252000</v>
      </c>
      <c r="CM108" s="75">
        <f>(CL108-CL107)*INDEX('[1]功能-付费相关'!$AS$6:$AS$165,$CI108,1)+CM107</f>
        <v>9941889.8013506103</v>
      </c>
      <c r="CO108" s="128">
        <v>130</v>
      </c>
      <c r="CP108" s="138">
        <f t="shared" si="63"/>
        <v>5848573.3954228982</v>
      </c>
      <c r="CQ108" s="138">
        <f t="shared" si="64"/>
        <v>9941889.8013506103</v>
      </c>
      <c r="CR108" s="84">
        <f t="shared" si="65"/>
        <v>15790463.196773509</v>
      </c>
    </row>
    <row r="109" spans="10:96" x14ac:dyDescent="0.15">
      <c r="J109" s="46">
        <f>INDEX('[1]资源-装备经验'!Y$6:Y$165,(K109+1)/2,1)</f>
        <v>0</v>
      </c>
      <c r="K109" s="113">
        <v>105</v>
      </c>
      <c r="L109" s="121">
        <v>80</v>
      </c>
      <c r="M109" s="122">
        <f t="shared" si="44"/>
        <v>80</v>
      </c>
      <c r="N109" s="120">
        <f t="shared" si="66"/>
        <v>160</v>
      </c>
      <c r="O109" s="120">
        <f t="shared" si="66"/>
        <v>320</v>
      </c>
      <c r="P109" s="120">
        <f t="shared" si="66"/>
        <v>800</v>
      </c>
      <c r="Q109" s="120">
        <f t="shared" si="66"/>
        <v>2400</v>
      </c>
      <c r="S109" s="113">
        <v>105</v>
      </c>
      <c r="T109" s="113">
        <f>SUM(M$5:M109)</f>
        <v>1825</v>
      </c>
      <c r="U109" s="113">
        <f>SUM(N$5:N109)</f>
        <v>3650</v>
      </c>
      <c r="V109" s="113">
        <f>SUM(O$5:O109)</f>
        <v>7300</v>
      </c>
      <c r="W109" s="113">
        <f>SUM(P$5:P109)</f>
        <v>18250</v>
      </c>
      <c r="X109" s="113">
        <f>SUM(Q$5:Q109)</f>
        <v>54750</v>
      </c>
      <c r="Z109" s="114">
        <v>105</v>
      </c>
      <c r="AA109" s="114">
        <f t="shared" si="67"/>
        <v>3200</v>
      </c>
      <c r="AB109" s="114">
        <f t="shared" si="68"/>
        <v>6400</v>
      </c>
      <c r="AC109" s="114">
        <f t="shared" si="69"/>
        <v>12800</v>
      </c>
      <c r="AD109" s="114">
        <f t="shared" si="70"/>
        <v>32000</v>
      </c>
      <c r="AE109" s="114">
        <f t="shared" si="71"/>
        <v>96000</v>
      </c>
      <c r="AG109" s="114">
        <v>105</v>
      </c>
      <c r="AH109" s="113">
        <f>SUM(AA$5:AA109)</f>
        <v>73000</v>
      </c>
      <c r="AI109" s="113">
        <f>SUM(AB$5:AB109)</f>
        <v>146000</v>
      </c>
      <c r="AJ109" s="113">
        <f>SUM(AC$5:AC109)</f>
        <v>292000</v>
      </c>
      <c r="AK109" s="113">
        <f>SUM(AD$5:AD109)</f>
        <v>730000</v>
      </c>
      <c r="AL109" s="113">
        <f>SUM(AE$5:AE109)</f>
        <v>2190000</v>
      </c>
      <c r="AO109" s="46">
        <v>20</v>
      </c>
      <c r="BW109" s="25">
        <v>16</v>
      </c>
      <c r="BX109" s="128">
        <v>140</v>
      </c>
      <c r="BY109" s="52">
        <f t="shared" si="59"/>
        <v>66</v>
      </c>
      <c r="BZ109" s="52">
        <f t="shared" si="60"/>
        <v>10220</v>
      </c>
      <c r="CA109" s="52">
        <f t="shared" si="61"/>
        <v>10220</v>
      </c>
      <c r="CB109" s="109">
        <f>(BY109-BY108)*(INDEX([2]中r将兵属性验证!V$7:V$166,$BX109,1)+INDEX([2]中r将兵属性验证!$AP$7:$AP$166,$BX109,1))+CB108</f>
        <v>10939514961.213959</v>
      </c>
      <c r="CC109" s="109">
        <f>(BZ109-BZ108)*INDEX([2]中r将兵属性验证!W$7:W$166,$BX109,1)+CC108</f>
        <v>65646007204.324768</v>
      </c>
      <c r="CD109" s="109">
        <f>(CA109-CA108)*INDEX([2]中r将兵属性验证!X$7:X$166,$BX109,1)+CD108</f>
        <v>65646007204.324768</v>
      </c>
      <c r="CE109" s="52">
        <f t="shared" si="72"/>
        <v>142231529369.86349</v>
      </c>
      <c r="CI109" s="128">
        <v>140</v>
      </c>
      <c r="CJ109" s="75">
        <f t="shared" si="56"/>
        <v>779406300</v>
      </c>
      <c r="CK109" s="75">
        <f>(CJ109-CJ108)*INDEX('[1]功能-付费相关'!$BK$6:$BK$165,$CI109,1)+CK108</f>
        <v>11545963.152424246</v>
      </c>
      <c r="CL109" s="75">
        <f t="shared" si="57"/>
        <v>31176252000</v>
      </c>
      <c r="CM109" s="75">
        <f>(CL109-CL108)*INDEX('[1]功能-付费相关'!$AS$6:$AS$165,$CI109,1)+CM108</f>
        <v>22691889.801350608</v>
      </c>
      <c r="CO109" s="128">
        <v>140</v>
      </c>
      <c r="CP109" s="138">
        <f t="shared" si="63"/>
        <v>11545963.152424246</v>
      </c>
      <c r="CQ109" s="138">
        <f t="shared" si="64"/>
        <v>22691889.801350608</v>
      </c>
      <c r="CR109" s="84">
        <f t="shared" si="65"/>
        <v>34237852.953774855</v>
      </c>
    </row>
    <row r="110" spans="10:96" x14ac:dyDescent="0.15">
      <c r="J110" s="46">
        <f>INDEX('[1]资源-装备经验'!Y$6:Y$165,(K110+1)/2,1)</f>
        <v>0</v>
      </c>
      <c r="K110" s="113">
        <v>106</v>
      </c>
      <c r="L110" s="121">
        <v>80</v>
      </c>
      <c r="M110" s="122">
        <f t="shared" si="44"/>
        <v>80</v>
      </c>
      <c r="N110" s="120">
        <f t="shared" si="66"/>
        <v>160</v>
      </c>
      <c r="O110" s="120">
        <f t="shared" si="66"/>
        <v>320</v>
      </c>
      <c r="P110" s="120">
        <f t="shared" si="66"/>
        <v>800</v>
      </c>
      <c r="Q110" s="120">
        <f t="shared" si="66"/>
        <v>2400</v>
      </c>
      <c r="S110" s="113">
        <v>106</v>
      </c>
      <c r="T110" s="113">
        <f>SUM(M$5:M110)</f>
        <v>1905</v>
      </c>
      <c r="U110" s="113">
        <f>SUM(N$5:N110)</f>
        <v>3810</v>
      </c>
      <c r="V110" s="113">
        <f>SUM(O$5:O110)</f>
        <v>7620</v>
      </c>
      <c r="W110" s="113">
        <f>SUM(P$5:P110)</f>
        <v>19050</v>
      </c>
      <c r="X110" s="113">
        <f>SUM(Q$5:Q110)</f>
        <v>57150</v>
      </c>
      <c r="Z110" s="114">
        <v>106</v>
      </c>
      <c r="AA110" s="114">
        <f t="shared" si="67"/>
        <v>3200</v>
      </c>
      <c r="AB110" s="114">
        <f t="shared" si="68"/>
        <v>6400</v>
      </c>
      <c r="AC110" s="114">
        <f t="shared" si="69"/>
        <v>12800</v>
      </c>
      <c r="AD110" s="114">
        <f t="shared" si="70"/>
        <v>32000</v>
      </c>
      <c r="AE110" s="114">
        <f t="shared" si="71"/>
        <v>96000</v>
      </c>
      <c r="AG110" s="114">
        <v>106</v>
      </c>
      <c r="AH110" s="113">
        <f>SUM(AA$5:AA110)</f>
        <v>76200</v>
      </c>
      <c r="AI110" s="113">
        <f>SUM(AB$5:AB110)</f>
        <v>152400</v>
      </c>
      <c r="AJ110" s="113">
        <f>SUM(AC$5:AC110)</f>
        <v>304800</v>
      </c>
      <c r="AK110" s="113">
        <f>SUM(AD$5:AD110)</f>
        <v>762000</v>
      </c>
      <c r="AL110" s="113">
        <f>SUM(AE$5:AE110)</f>
        <v>2286000</v>
      </c>
      <c r="AO110" s="46">
        <v>21</v>
      </c>
      <c r="BW110" s="25">
        <v>17</v>
      </c>
      <c r="BX110" s="128">
        <v>150</v>
      </c>
      <c r="BY110" s="52">
        <f t="shared" si="59"/>
        <v>66</v>
      </c>
      <c r="BZ110" s="52">
        <f t="shared" si="60"/>
        <v>10880</v>
      </c>
      <c r="CA110" s="52">
        <f t="shared" si="61"/>
        <v>10880</v>
      </c>
      <c r="CB110" s="109">
        <f>(BY110-BY109)*(INDEX([2]中r将兵属性验证!V$7:V$166,$BX110,1)+INDEX([2]中r将兵属性验证!$AP$7:$AP$166,$BX110,1))+CB109</f>
        <v>10939514961.213959</v>
      </c>
      <c r="CC110" s="109">
        <f>(BZ110-BZ109)*INDEX([2]中r将兵属性验证!W$7:W$166,$BX110,1)+CC109</f>
        <v>85826390028.539139</v>
      </c>
      <c r="CD110" s="109">
        <f>(CA110-CA109)*INDEX([2]中r将兵属性验证!X$7:X$166,$BX110,1)+CD109</f>
        <v>85826390028.539139</v>
      </c>
      <c r="CE110" s="52">
        <f t="shared" si="72"/>
        <v>182592295018.29224</v>
      </c>
      <c r="CI110" s="128">
        <v>150</v>
      </c>
      <c r="CJ110" s="75">
        <f t="shared" si="56"/>
        <v>1881006300</v>
      </c>
      <c r="CK110" s="75">
        <f>(CJ110-CJ109)*INDEX('[1]功能-付费相关'!$BK$6:$BK$165,$CI110,1)+CK109</f>
        <v>22763188.754541479</v>
      </c>
      <c r="CL110" s="75">
        <f t="shared" si="57"/>
        <v>75240252000</v>
      </c>
      <c r="CM110" s="75">
        <f>(CL110-CL109)*INDEX('[1]功能-付费相关'!$AS$6:$AS$165,$CI110,1)+CM109</f>
        <v>51681363.485561132</v>
      </c>
      <c r="CO110" s="128">
        <v>150</v>
      </c>
      <c r="CP110" s="138">
        <f t="shared" si="63"/>
        <v>22763188.754541479</v>
      </c>
      <c r="CQ110" s="138">
        <f t="shared" si="64"/>
        <v>51681363.485561132</v>
      </c>
      <c r="CR110" s="84">
        <f t="shared" si="65"/>
        <v>74444552.240102619</v>
      </c>
    </row>
    <row r="111" spans="10:96" x14ac:dyDescent="0.15">
      <c r="J111" s="46">
        <f>INDEX('[1]资源-装备经验'!Y$6:Y$165,(K111+1)/2,1)</f>
        <v>0</v>
      </c>
      <c r="K111" s="113">
        <v>107</v>
      </c>
      <c r="L111" s="121">
        <v>80</v>
      </c>
      <c r="M111" s="122">
        <f t="shared" si="44"/>
        <v>80</v>
      </c>
      <c r="N111" s="120">
        <f t="shared" si="66"/>
        <v>160</v>
      </c>
      <c r="O111" s="120">
        <f t="shared" si="66"/>
        <v>320</v>
      </c>
      <c r="P111" s="120">
        <f t="shared" si="66"/>
        <v>800</v>
      </c>
      <c r="Q111" s="120">
        <f t="shared" si="66"/>
        <v>2400</v>
      </c>
      <c r="S111" s="113">
        <v>107</v>
      </c>
      <c r="T111" s="113">
        <f>SUM(M$5:M111)</f>
        <v>1985</v>
      </c>
      <c r="U111" s="113">
        <f>SUM(N$5:N111)</f>
        <v>3970</v>
      </c>
      <c r="V111" s="113">
        <f>SUM(O$5:O111)</f>
        <v>7940</v>
      </c>
      <c r="W111" s="113">
        <f>SUM(P$5:P111)</f>
        <v>19850</v>
      </c>
      <c r="X111" s="113">
        <f>SUM(Q$5:Q111)</f>
        <v>59550</v>
      </c>
      <c r="Z111" s="114">
        <v>107</v>
      </c>
      <c r="AA111" s="114">
        <f t="shared" si="67"/>
        <v>3200</v>
      </c>
      <c r="AB111" s="114">
        <f t="shared" si="68"/>
        <v>6400</v>
      </c>
      <c r="AC111" s="114">
        <f t="shared" si="69"/>
        <v>12800</v>
      </c>
      <c r="AD111" s="114">
        <f t="shared" si="70"/>
        <v>32000</v>
      </c>
      <c r="AE111" s="114">
        <f t="shared" si="71"/>
        <v>96000</v>
      </c>
      <c r="AG111" s="114">
        <v>107</v>
      </c>
      <c r="AH111" s="113">
        <f>SUM(AA$5:AA111)</f>
        <v>79400</v>
      </c>
      <c r="AI111" s="113">
        <f>SUM(AB$5:AB111)</f>
        <v>158800</v>
      </c>
      <c r="AJ111" s="113">
        <f>SUM(AC$5:AC111)</f>
        <v>317600</v>
      </c>
      <c r="AK111" s="113">
        <f>SUM(AD$5:AD111)</f>
        <v>794000</v>
      </c>
      <c r="AL111" s="113">
        <f>SUM(AE$5:AE111)</f>
        <v>2382000</v>
      </c>
      <c r="AO111" s="46">
        <v>22</v>
      </c>
      <c r="BW111" s="25">
        <v>18</v>
      </c>
      <c r="BX111" s="128">
        <v>160</v>
      </c>
      <c r="BY111" s="52">
        <f t="shared" si="59"/>
        <v>66</v>
      </c>
      <c r="BZ111" s="52">
        <f t="shared" si="60"/>
        <v>11540</v>
      </c>
      <c r="CA111" s="52">
        <f t="shared" si="61"/>
        <v>11540</v>
      </c>
      <c r="CB111" s="109">
        <f>(BY111-BY110)*(INDEX([2]中r将兵属性验证!V$7:V$166,$BX111,1)+INDEX([2]中r将兵属性验证!$AP$7:$AP$166,$BX111,1))+CB110</f>
        <v>10939514961.213959</v>
      </c>
      <c r="CC111" s="109">
        <f>(BZ111-BZ110)*INDEX([2]中r将兵属性验证!W$7:W$166,$BX111,1)+CC110</f>
        <v>108125302916.76308</v>
      </c>
      <c r="CD111" s="109">
        <f>(CA111-CA110)*INDEX([2]中r将兵属性验证!X$7:X$166,$BX111,1)+CD110</f>
        <v>108125302916.76308</v>
      </c>
      <c r="CE111" s="52">
        <f t="shared" si="72"/>
        <v>227190120794.74011</v>
      </c>
      <c r="CI111" s="128">
        <v>160</v>
      </c>
      <c r="CJ111" s="75">
        <f t="shared" si="56"/>
        <v>1881006300</v>
      </c>
      <c r="CK111" s="75">
        <f>(CJ111-CJ110)*INDEX('[1]功能-付费相关'!$BK$6:$BK$165,$CI111,1)+CK110</f>
        <v>22763188.754541479</v>
      </c>
      <c r="CL111" s="75">
        <f t="shared" si="57"/>
        <v>75240252000</v>
      </c>
      <c r="CM111" s="75">
        <f>(CL111-CL110)*INDEX('[1]功能-付费相关'!$AS$6:$AS$165,$CI111,1)+CM110</f>
        <v>51681363.485561132</v>
      </c>
      <c r="CO111" s="128">
        <v>160</v>
      </c>
      <c r="CP111" s="138">
        <f t="shared" si="63"/>
        <v>22763188.754541479</v>
      </c>
      <c r="CQ111" s="138">
        <f t="shared" si="64"/>
        <v>51681363.485561132</v>
      </c>
      <c r="CR111" s="84">
        <f t="shared" si="65"/>
        <v>74444552.240102619</v>
      </c>
    </row>
    <row r="112" spans="10:96" x14ac:dyDescent="0.15">
      <c r="J112" s="46">
        <f>INDEX('[1]资源-装备经验'!Y$6:Y$165,(K112+1)/2,1)</f>
        <v>0</v>
      </c>
      <c r="K112" s="113">
        <v>108</v>
      </c>
      <c r="L112" s="121">
        <v>80</v>
      </c>
      <c r="M112" s="122">
        <f t="shared" si="44"/>
        <v>80</v>
      </c>
      <c r="N112" s="120">
        <f t="shared" si="66"/>
        <v>160</v>
      </c>
      <c r="O112" s="120">
        <f t="shared" si="66"/>
        <v>320</v>
      </c>
      <c r="P112" s="120">
        <f t="shared" si="66"/>
        <v>800</v>
      </c>
      <c r="Q112" s="120">
        <f t="shared" si="66"/>
        <v>2400</v>
      </c>
      <c r="S112" s="113">
        <v>108</v>
      </c>
      <c r="T112" s="113">
        <f>SUM(M$5:M112)</f>
        <v>2065</v>
      </c>
      <c r="U112" s="113">
        <f>SUM(N$5:N112)</f>
        <v>4130</v>
      </c>
      <c r="V112" s="113">
        <f>SUM(O$5:O112)</f>
        <v>8260</v>
      </c>
      <c r="W112" s="113">
        <f>SUM(P$5:P112)</f>
        <v>20650</v>
      </c>
      <c r="X112" s="113">
        <f>SUM(Q$5:Q112)</f>
        <v>61950</v>
      </c>
      <c r="Z112" s="114">
        <v>108</v>
      </c>
      <c r="AA112" s="114">
        <f t="shared" si="67"/>
        <v>3200</v>
      </c>
      <c r="AB112" s="114">
        <f t="shared" si="68"/>
        <v>6400</v>
      </c>
      <c r="AC112" s="114">
        <f t="shared" si="69"/>
        <v>12800</v>
      </c>
      <c r="AD112" s="114">
        <f t="shared" si="70"/>
        <v>32000</v>
      </c>
      <c r="AE112" s="114">
        <f t="shared" si="71"/>
        <v>96000</v>
      </c>
      <c r="AG112" s="114">
        <v>108</v>
      </c>
      <c r="AH112" s="113">
        <f>SUM(AA$5:AA112)</f>
        <v>82600</v>
      </c>
      <c r="AI112" s="113">
        <f>SUM(AB$5:AB112)</f>
        <v>165200</v>
      </c>
      <c r="AJ112" s="113">
        <f>SUM(AC$5:AC112)</f>
        <v>330400</v>
      </c>
      <c r="AK112" s="113">
        <f>SUM(AD$5:AD112)</f>
        <v>826000</v>
      </c>
      <c r="AL112" s="113">
        <f>SUM(AE$5:AE112)</f>
        <v>2478000</v>
      </c>
      <c r="AO112" s="46">
        <v>23</v>
      </c>
      <c r="BW112" s="25">
        <v>19</v>
      </c>
    </row>
    <row r="113" spans="10:87" x14ac:dyDescent="0.15">
      <c r="J113" s="46">
        <f>INDEX('[1]资源-装备经验'!Y$6:Y$165,(K113+1)/2,1)</f>
        <v>0</v>
      </c>
      <c r="K113" s="113">
        <v>109</v>
      </c>
      <c r="L113" s="121">
        <v>80</v>
      </c>
      <c r="M113" s="122">
        <f t="shared" si="44"/>
        <v>80</v>
      </c>
      <c r="N113" s="120">
        <f t="shared" si="66"/>
        <v>160</v>
      </c>
      <c r="O113" s="120">
        <f t="shared" si="66"/>
        <v>320</v>
      </c>
      <c r="P113" s="120">
        <f t="shared" si="66"/>
        <v>800</v>
      </c>
      <c r="Q113" s="120">
        <f t="shared" si="66"/>
        <v>2400</v>
      </c>
      <c r="S113" s="113">
        <v>109</v>
      </c>
      <c r="T113" s="113">
        <f>SUM(M$5:M113)</f>
        <v>2145</v>
      </c>
      <c r="U113" s="113">
        <f>SUM(N$5:N113)</f>
        <v>4290</v>
      </c>
      <c r="V113" s="113">
        <f>SUM(O$5:O113)</f>
        <v>8580</v>
      </c>
      <c r="W113" s="113">
        <f>SUM(P$5:P113)</f>
        <v>21450</v>
      </c>
      <c r="X113" s="113">
        <f>SUM(Q$5:Q113)</f>
        <v>64350</v>
      </c>
      <c r="Z113" s="114">
        <v>109</v>
      </c>
      <c r="AA113" s="114">
        <f t="shared" si="67"/>
        <v>3200</v>
      </c>
      <c r="AB113" s="114">
        <f t="shared" si="68"/>
        <v>6400</v>
      </c>
      <c r="AC113" s="114">
        <f t="shared" si="69"/>
        <v>12800</v>
      </c>
      <c r="AD113" s="114">
        <f t="shared" si="70"/>
        <v>32000</v>
      </c>
      <c r="AE113" s="114">
        <f t="shared" si="71"/>
        <v>96000</v>
      </c>
      <c r="AG113" s="114">
        <v>109</v>
      </c>
      <c r="AH113" s="113">
        <f>SUM(AA$5:AA113)</f>
        <v>85800</v>
      </c>
      <c r="AI113" s="113">
        <f>SUM(AB$5:AB113)</f>
        <v>171600</v>
      </c>
      <c r="AJ113" s="113">
        <f>SUM(AC$5:AC113)</f>
        <v>343200</v>
      </c>
      <c r="AK113" s="113">
        <f>SUM(AD$5:AD113)</f>
        <v>858000</v>
      </c>
      <c r="AL113" s="113">
        <f>SUM(AE$5:AE113)</f>
        <v>2574000</v>
      </c>
      <c r="AO113" s="46">
        <v>24</v>
      </c>
      <c r="BW113" s="25">
        <v>20</v>
      </c>
    </row>
    <row r="114" spans="10:87" x14ac:dyDescent="0.15">
      <c r="J114" s="46">
        <f>INDEX('[1]资源-装备经验'!Y$6:Y$165,(K114+1)/2,1)</f>
        <v>0</v>
      </c>
      <c r="K114" s="113">
        <v>110</v>
      </c>
      <c r="L114" s="121">
        <v>80</v>
      </c>
      <c r="M114" s="122">
        <f t="shared" si="44"/>
        <v>80</v>
      </c>
      <c r="N114" s="120">
        <f t="shared" si="66"/>
        <v>160</v>
      </c>
      <c r="O114" s="120">
        <f t="shared" si="66"/>
        <v>320</v>
      </c>
      <c r="P114" s="120">
        <f t="shared" si="66"/>
        <v>800</v>
      </c>
      <c r="Q114" s="120">
        <f t="shared" si="66"/>
        <v>2400</v>
      </c>
      <c r="S114" s="113">
        <v>110</v>
      </c>
      <c r="T114" s="113">
        <f>SUM(M$5:M114)</f>
        <v>2225</v>
      </c>
      <c r="U114" s="113">
        <f>SUM(N$5:N114)</f>
        <v>4450</v>
      </c>
      <c r="V114" s="113">
        <f>SUM(O$5:O114)</f>
        <v>8900</v>
      </c>
      <c r="W114" s="113">
        <f>SUM(P$5:P114)</f>
        <v>22250</v>
      </c>
      <c r="X114" s="113">
        <f>SUM(Q$5:Q114)</f>
        <v>66750</v>
      </c>
      <c r="Z114" s="114">
        <v>110</v>
      </c>
      <c r="AA114" s="114">
        <f t="shared" si="67"/>
        <v>3200</v>
      </c>
      <c r="AB114" s="114">
        <f t="shared" si="68"/>
        <v>6400</v>
      </c>
      <c r="AC114" s="114">
        <f t="shared" si="69"/>
        <v>12800</v>
      </c>
      <c r="AD114" s="114">
        <f t="shared" si="70"/>
        <v>32000</v>
      </c>
      <c r="AE114" s="114">
        <f t="shared" si="71"/>
        <v>96000</v>
      </c>
      <c r="AG114" s="114">
        <v>110</v>
      </c>
      <c r="AH114" s="113">
        <f>SUM(AA$5:AA114)</f>
        <v>89000</v>
      </c>
      <c r="AI114" s="113">
        <f>SUM(AB$5:AB114)</f>
        <v>178000</v>
      </c>
      <c r="AJ114" s="113">
        <f>SUM(AC$5:AC114)</f>
        <v>356000</v>
      </c>
      <c r="AK114" s="113">
        <f>SUM(AD$5:AD114)</f>
        <v>890000</v>
      </c>
      <c r="AL114" s="113">
        <f>SUM(AE$5:AE114)</f>
        <v>2670000</v>
      </c>
      <c r="AO114" s="46">
        <v>25</v>
      </c>
      <c r="BW114" s="25">
        <v>21</v>
      </c>
    </row>
    <row r="115" spans="10:87" x14ac:dyDescent="0.15">
      <c r="J115" s="46">
        <f>INDEX('[1]资源-装备经验'!Y$6:Y$165,(K115+1)/2,1)</f>
        <v>0</v>
      </c>
      <c r="K115" s="113">
        <v>111</v>
      </c>
      <c r="L115" s="121">
        <v>80</v>
      </c>
      <c r="M115" s="122">
        <f t="shared" si="44"/>
        <v>80</v>
      </c>
      <c r="N115" s="120">
        <f t="shared" si="66"/>
        <v>160</v>
      </c>
      <c r="O115" s="120">
        <f t="shared" si="66"/>
        <v>320</v>
      </c>
      <c r="P115" s="120">
        <f t="shared" si="66"/>
        <v>800</v>
      </c>
      <c r="Q115" s="120">
        <f t="shared" si="66"/>
        <v>2400</v>
      </c>
      <c r="S115" s="113">
        <v>111</v>
      </c>
      <c r="T115" s="113">
        <f>SUM(M$5:M115)</f>
        <v>2305</v>
      </c>
      <c r="U115" s="113">
        <f>SUM(N$5:N115)</f>
        <v>4610</v>
      </c>
      <c r="V115" s="113">
        <f>SUM(O$5:O115)</f>
        <v>9220</v>
      </c>
      <c r="W115" s="113">
        <f>SUM(P$5:P115)</f>
        <v>23050</v>
      </c>
      <c r="X115" s="113">
        <f>SUM(Q$5:Q115)</f>
        <v>69150</v>
      </c>
      <c r="Z115" s="114">
        <v>111</v>
      </c>
      <c r="AA115" s="114">
        <f t="shared" si="67"/>
        <v>3200</v>
      </c>
      <c r="AB115" s="114">
        <f t="shared" si="68"/>
        <v>6400</v>
      </c>
      <c r="AC115" s="114">
        <f t="shared" si="69"/>
        <v>12800</v>
      </c>
      <c r="AD115" s="114">
        <f t="shared" si="70"/>
        <v>32000</v>
      </c>
      <c r="AE115" s="114">
        <f t="shared" si="71"/>
        <v>96000</v>
      </c>
      <c r="AG115" s="114">
        <v>111</v>
      </c>
      <c r="AH115" s="113">
        <f>SUM(AA$5:AA115)</f>
        <v>92200</v>
      </c>
      <c r="AI115" s="113">
        <f>SUM(AB$5:AB115)</f>
        <v>184400</v>
      </c>
      <c r="AJ115" s="113">
        <f>SUM(AC$5:AC115)</f>
        <v>368800</v>
      </c>
      <c r="AK115" s="113">
        <f>SUM(AD$5:AD115)</f>
        <v>922000</v>
      </c>
      <c r="AL115" s="113">
        <f>SUM(AE$5:AE115)</f>
        <v>2766000</v>
      </c>
      <c r="AO115" s="46">
        <v>26</v>
      </c>
      <c r="BW115" s="25">
        <v>22</v>
      </c>
    </row>
    <row r="116" spans="10:87" x14ac:dyDescent="0.15">
      <c r="J116" s="46">
        <f>INDEX('[1]资源-装备经验'!Y$6:Y$165,(K116+1)/2,1)</f>
        <v>0</v>
      </c>
      <c r="K116" s="113">
        <v>112</v>
      </c>
      <c r="L116" s="121">
        <v>80</v>
      </c>
      <c r="M116" s="122">
        <f t="shared" si="44"/>
        <v>80</v>
      </c>
      <c r="N116" s="120">
        <f t="shared" si="66"/>
        <v>160</v>
      </c>
      <c r="O116" s="120">
        <f t="shared" si="66"/>
        <v>320</v>
      </c>
      <c r="P116" s="120">
        <f t="shared" si="66"/>
        <v>800</v>
      </c>
      <c r="Q116" s="120">
        <f t="shared" si="66"/>
        <v>2400</v>
      </c>
      <c r="S116" s="113">
        <v>112</v>
      </c>
      <c r="T116" s="113">
        <f>SUM(M$5:M116)</f>
        <v>2385</v>
      </c>
      <c r="U116" s="113">
        <f>SUM(N$5:N116)</f>
        <v>4770</v>
      </c>
      <c r="V116" s="113">
        <f>SUM(O$5:O116)</f>
        <v>9540</v>
      </c>
      <c r="W116" s="113">
        <f>SUM(P$5:P116)</f>
        <v>23850</v>
      </c>
      <c r="X116" s="113">
        <f>SUM(Q$5:Q116)</f>
        <v>71550</v>
      </c>
      <c r="Z116" s="114">
        <v>112</v>
      </c>
      <c r="AA116" s="114">
        <f t="shared" si="67"/>
        <v>3200</v>
      </c>
      <c r="AB116" s="114">
        <f t="shared" si="68"/>
        <v>6400</v>
      </c>
      <c r="AC116" s="114">
        <f t="shared" si="69"/>
        <v>12800</v>
      </c>
      <c r="AD116" s="114">
        <f t="shared" si="70"/>
        <v>32000</v>
      </c>
      <c r="AE116" s="114">
        <f t="shared" si="71"/>
        <v>96000</v>
      </c>
      <c r="AG116" s="114">
        <v>112</v>
      </c>
      <c r="AH116" s="113">
        <f>SUM(AA$5:AA116)</f>
        <v>95400</v>
      </c>
      <c r="AI116" s="113">
        <f>SUM(AB$5:AB116)</f>
        <v>190800</v>
      </c>
      <c r="AJ116" s="113">
        <f>SUM(AC$5:AC116)</f>
        <v>381600</v>
      </c>
      <c r="AK116" s="113">
        <f>SUM(AD$5:AD116)</f>
        <v>954000</v>
      </c>
      <c r="AL116" s="113">
        <f>SUM(AE$5:AE116)</f>
        <v>2862000</v>
      </c>
      <c r="AO116" s="46">
        <v>27</v>
      </c>
      <c r="BW116" s="25">
        <v>23</v>
      </c>
    </row>
    <row r="117" spans="10:87" x14ac:dyDescent="0.15">
      <c r="J117" s="46">
        <f>INDEX('[1]资源-装备经验'!Y$6:Y$165,(K117+1)/2,1)</f>
        <v>0</v>
      </c>
      <c r="K117" s="113">
        <v>113</v>
      </c>
      <c r="L117" s="121">
        <v>80</v>
      </c>
      <c r="M117" s="122">
        <f t="shared" si="44"/>
        <v>80</v>
      </c>
      <c r="N117" s="120">
        <f t="shared" si="66"/>
        <v>160</v>
      </c>
      <c r="O117" s="120">
        <f t="shared" si="66"/>
        <v>320</v>
      </c>
      <c r="P117" s="120">
        <f t="shared" si="66"/>
        <v>800</v>
      </c>
      <c r="Q117" s="120">
        <f t="shared" si="66"/>
        <v>2400</v>
      </c>
      <c r="S117" s="113">
        <v>113</v>
      </c>
      <c r="T117" s="113">
        <f>SUM(M$5:M117)</f>
        <v>2465</v>
      </c>
      <c r="U117" s="113">
        <f>SUM(N$5:N117)</f>
        <v>4930</v>
      </c>
      <c r="V117" s="113">
        <f>SUM(O$5:O117)</f>
        <v>9860</v>
      </c>
      <c r="W117" s="113">
        <f>SUM(P$5:P117)</f>
        <v>24650</v>
      </c>
      <c r="X117" s="113">
        <f>SUM(Q$5:Q117)</f>
        <v>73950</v>
      </c>
      <c r="Z117" s="114">
        <v>113</v>
      </c>
      <c r="AA117" s="114">
        <f t="shared" si="67"/>
        <v>3200</v>
      </c>
      <c r="AB117" s="114">
        <f t="shared" si="68"/>
        <v>6400</v>
      </c>
      <c r="AC117" s="114">
        <f t="shared" si="69"/>
        <v>12800</v>
      </c>
      <c r="AD117" s="114">
        <f t="shared" si="70"/>
        <v>32000</v>
      </c>
      <c r="AE117" s="114">
        <f t="shared" si="71"/>
        <v>96000</v>
      </c>
      <c r="AG117" s="114">
        <v>113</v>
      </c>
      <c r="AH117" s="113">
        <f>SUM(AA$5:AA117)</f>
        <v>98600</v>
      </c>
      <c r="AI117" s="113">
        <f>SUM(AB$5:AB117)</f>
        <v>197200</v>
      </c>
      <c r="AJ117" s="113">
        <f>SUM(AC$5:AC117)</f>
        <v>394400</v>
      </c>
      <c r="AK117" s="113">
        <f>SUM(AD$5:AD117)</f>
        <v>986000</v>
      </c>
      <c r="AL117" s="113">
        <f>SUM(AE$5:AE117)</f>
        <v>2958000</v>
      </c>
      <c r="AO117" s="46">
        <v>28</v>
      </c>
      <c r="BW117" s="25">
        <v>24</v>
      </c>
    </row>
    <row r="118" spans="10:87" x14ac:dyDescent="0.15">
      <c r="J118" s="46">
        <f>INDEX('[1]资源-装备经验'!Y$6:Y$165,(K118+1)/2,1)</f>
        <v>0</v>
      </c>
      <c r="K118" s="113">
        <v>114</v>
      </c>
      <c r="L118" s="121">
        <v>80</v>
      </c>
      <c r="M118" s="122">
        <f t="shared" si="44"/>
        <v>80</v>
      </c>
      <c r="N118" s="120">
        <f t="shared" si="66"/>
        <v>160</v>
      </c>
      <c r="O118" s="120">
        <f t="shared" si="66"/>
        <v>320</v>
      </c>
      <c r="P118" s="120">
        <f t="shared" si="66"/>
        <v>800</v>
      </c>
      <c r="Q118" s="120">
        <f t="shared" si="66"/>
        <v>2400</v>
      </c>
      <c r="S118" s="113">
        <v>114</v>
      </c>
      <c r="T118" s="113">
        <f>SUM(M$5:M118)</f>
        <v>2545</v>
      </c>
      <c r="U118" s="113">
        <f>SUM(N$5:N118)</f>
        <v>5090</v>
      </c>
      <c r="V118" s="113">
        <f>SUM(O$5:O118)</f>
        <v>10180</v>
      </c>
      <c r="W118" s="113">
        <f>SUM(P$5:P118)</f>
        <v>25450</v>
      </c>
      <c r="X118" s="113">
        <f>SUM(Q$5:Q118)</f>
        <v>76350</v>
      </c>
      <c r="Z118" s="114">
        <v>114</v>
      </c>
      <c r="AA118" s="114">
        <f t="shared" si="67"/>
        <v>3200</v>
      </c>
      <c r="AB118" s="114">
        <f t="shared" si="68"/>
        <v>6400</v>
      </c>
      <c r="AC118" s="114">
        <f t="shared" si="69"/>
        <v>12800</v>
      </c>
      <c r="AD118" s="114">
        <f t="shared" si="70"/>
        <v>32000</v>
      </c>
      <c r="AE118" s="114">
        <f t="shared" si="71"/>
        <v>96000</v>
      </c>
      <c r="AG118" s="114">
        <v>114</v>
      </c>
      <c r="AH118" s="113">
        <f>SUM(AA$5:AA118)</f>
        <v>101800</v>
      </c>
      <c r="AI118" s="113">
        <f>SUM(AB$5:AB118)</f>
        <v>203600</v>
      </c>
      <c r="AJ118" s="113">
        <f>SUM(AC$5:AC118)</f>
        <v>407200</v>
      </c>
      <c r="AK118" s="113">
        <f>SUM(AD$5:AD118)</f>
        <v>1018000</v>
      </c>
      <c r="AL118" s="113">
        <f>SUM(AE$5:AE118)</f>
        <v>3054000</v>
      </c>
      <c r="AO118" s="46">
        <v>29</v>
      </c>
      <c r="BW118" s="25">
        <v>25</v>
      </c>
    </row>
    <row r="119" spans="10:87" x14ac:dyDescent="0.15">
      <c r="J119" s="46">
        <f>INDEX('[1]资源-装备经验'!Y$6:Y$165,(K119+1)/2,1)</f>
        <v>0</v>
      </c>
      <c r="K119" s="113">
        <v>115</v>
      </c>
      <c r="L119" s="121">
        <v>80</v>
      </c>
      <c r="M119" s="122">
        <f t="shared" si="44"/>
        <v>80</v>
      </c>
      <c r="N119" s="120">
        <f t="shared" si="66"/>
        <v>160</v>
      </c>
      <c r="O119" s="120">
        <f t="shared" si="66"/>
        <v>320</v>
      </c>
      <c r="P119" s="120">
        <f t="shared" si="66"/>
        <v>800</v>
      </c>
      <c r="Q119" s="120">
        <f t="shared" si="66"/>
        <v>2400</v>
      </c>
      <c r="S119" s="113">
        <v>115</v>
      </c>
      <c r="T119" s="113">
        <f>SUM(M$5:M119)</f>
        <v>2625</v>
      </c>
      <c r="U119" s="113">
        <f>SUM(N$5:N119)</f>
        <v>5250</v>
      </c>
      <c r="V119" s="113">
        <f>SUM(O$5:O119)</f>
        <v>10500</v>
      </c>
      <c r="W119" s="113">
        <f>SUM(P$5:P119)</f>
        <v>26250</v>
      </c>
      <c r="X119" s="113">
        <f>SUM(Q$5:Q119)</f>
        <v>78750</v>
      </c>
      <c r="Z119" s="114">
        <v>115</v>
      </c>
      <c r="AA119" s="114">
        <f t="shared" si="67"/>
        <v>3200</v>
      </c>
      <c r="AB119" s="114">
        <f t="shared" si="68"/>
        <v>6400</v>
      </c>
      <c r="AC119" s="114">
        <f t="shared" si="69"/>
        <v>12800</v>
      </c>
      <c r="AD119" s="114">
        <f t="shared" si="70"/>
        <v>32000</v>
      </c>
      <c r="AE119" s="114">
        <f t="shared" si="71"/>
        <v>96000</v>
      </c>
      <c r="AG119" s="114">
        <v>115</v>
      </c>
      <c r="AH119" s="113">
        <f>SUM(AA$5:AA119)</f>
        <v>105000</v>
      </c>
      <c r="AI119" s="113">
        <f>SUM(AB$5:AB119)</f>
        <v>210000</v>
      </c>
      <c r="AJ119" s="113">
        <f>SUM(AC$5:AC119)</f>
        <v>420000</v>
      </c>
      <c r="AK119" s="113">
        <f>SUM(AD$5:AD119)</f>
        <v>1050000</v>
      </c>
      <c r="AL119" s="113">
        <f>SUM(AE$5:AE119)</f>
        <v>3150000</v>
      </c>
      <c r="AO119" s="46">
        <v>1</v>
      </c>
      <c r="AP119" s="186" t="s">
        <v>190</v>
      </c>
      <c r="AQ119" s="186"/>
      <c r="AR119" s="186"/>
      <c r="AS119" s="186"/>
      <c r="AT119" s="186"/>
      <c r="AU119" s="186"/>
      <c r="AV119" s="186"/>
      <c r="AW119" s="186"/>
      <c r="AX119" s="186"/>
      <c r="AY119" s="186"/>
      <c r="AZ119" s="186"/>
      <c r="BA119" s="186"/>
      <c r="BB119" s="186"/>
      <c r="BC119" s="186"/>
      <c r="BD119" s="186"/>
      <c r="BE119" s="186"/>
      <c r="BF119" s="186"/>
      <c r="BG119" s="186"/>
      <c r="BH119" s="186"/>
      <c r="BI119" s="186"/>
      <c r="BJ119" s="186"/>
      <c r="BK119" s="186"/>
      <c r="BL119" s="186"/>
      <c r="BM119" s="186"/>
      <c r="BN119" s="186"/>
      <c r="BO119" s="186"/>
      <c r="BP119" s="186"/>
      <c r="BQ119" s="186"/>
      <c r="BR119" s="186"/>
      <c r="BS119" s="186"/>
      <c r="BT119" s="186"/>
      <c r="BW119" s="25">
        <v>26</v>
      </c>
      <c r="CI119" s="36"/>
    </row>
    <row r="120" spans="10:87" x14ac:dyDescent="0.15">
      <c r="J120" s="46">
        <f>INDEX('[1]资源-装备经验'!Y$6:Y$165,(K120+1)/2,1)</f>
        <v>0</v>
      </c>
      <c r="K120" s="113">
        <v>116</v>
      </c>
      <c r="L120" s="121">
        <v>80</v>
      </c>
      <c r="M120" s="122">
        <f t="shared" si="44"/>
        <v>80</v>
      </c>
      <c r="N120" s="120">
        <f t="shared" si="66"/>
        <v>160</v>
      </c>
      <c r="O120" s="120">
        <f t="shared" si="66"/>
        <v>320</v>
      </c>
      <c r="P120" s="120">
        <f t="shared" si="66"/>
        <v>800</v>
      </c>
      <c r="Q120" s="120">
        <f t="shared" si="66"/>
        <v>2400</v>
      </c>
      <c r="S120" s="113">
        <v>116</v>
      </c>
      <c r="T120" s="113">
        <f>SUM(M$5:M120)</f>
        <v>2705</v>
      </c>
      <c r="U120" s="113">
        <f>SUM(N$5:N120)</f>
        <v>5410</v>
      </c>
      <c r="V120" s="113">
        <f>SUM(O$5:O120)</f>
        <v>10820</v>
      </c>
      <c r="W120" s="113">
        <f>SUM(P$5:P120)</f>
        <v>27050</v>
      </c>
      <c r="X120" s="113">
        <f>SUM(Q$5:Q120)</f>
        <v>81150</v>
      </c>
      <c r="Z120" s="114">
        <v>116</v>
      </c>
      <c r="AA120" s="114">
        <f t="shared" si="67"/>
        <v>3200</v>
      </c>
      <c r="AB120" s="114">
        <f t="shared" si="68"/>
        <v>6400</v>
      </c>
      <c r="AC120" s="114">
        <f t="shared" si="69"/>
        <v>12800</v>
      </c>
      <c r="AD120" s="114">
        <f t="shared" si="70"/>
        <v>32000</v>
      </c>
      <c r="AE120" s="114">
        <f t="shared" si="71"/>
        <v>96000</v>
      </c>
      <c r="AG120" s="114">
        <v>116</v>
      </c>
      <c r="AH120" s="113">
        <f>SUM(AA$5:AA120)</f>
        <v>108200</v>
      </c>
      <c r="AI120" s="113">
        <f>SUM(AB$5:AB120)</f>
        <v>216400</v>
      </c>
      <c r="AJ120" s="113">
        <f>SUM(AC$5:AC120)</f>
        <v>432800</v>
      </c>
      <c r="AK120" s="113">
        <f>SUM(AD$5:AD120)</f>
        <v>1082000</v>
      </c>
      <c r="AL120" s="113">
        <f>SUM(AE$5:AE120)</f>
        <v>3246000</v>
      </c>
      <c r="AO120" s="46">
        <v>2</v>
      </c>
      <c r="AP120" s="68"/>
      <c r="AQ120" s="190" t="s">
        <v>139</v>
      </c>
      <c r="AR120" s="191"/>
      <c r="AS120" s="191"/>
      <c r="AT120" s="191"/>
      <c r="AU120" s="191"/>
      <c r="AV120" s="192"/>
      <c r="AW120" s="190" t="s">
        <v>149</v>
      </c>
      <c r="AX120" s="191"/>
      <c r="AY120" s="191"/>
      <c r="AZ120" s="191"/>
      <c r="BA120" s="191"/>
      <c r="BB120" s="192"/>
      <c r="BC120" s="190" t="s">
        <v>221</v>
      </c>
      <c r="BD120" s="191"/>
      <c r="BE120" s="191"/>
      <c r="BF120" s="191"/>
      <c r="BG120" s="191"/>
      <c r="BH120" s="192"/>
      <c r="BI120" s="190" t="s">
        <v>222</v>
      </c>
      <c r="BJ120" s="191"/>
      <c r="BK120" s="191"/>
      <c r="BL120" s="191"/>
      <c r="BM120" s="191"/>
      <c r="BN120" s="192"/>
      <c r="BO120" s="193" t="s">
        <v>366</v>
      </c>
      <c r="BP120" s="188"/>
      <c r="BQ120" s="188"/>
      <c r="BR120" s="188"/>
      <c r="BS120" s="188"/>
      <c r="BT120" s="194"/>
      <c r="BW120" s="25">
        <v>27</v>
      </c>
      <c r="CI120" s="36"/>
    </row>
    <row r="121" spans="10:87" x14ac:dyDescent="0.15">
      <c r="J121" s="46">
        <f>INDEX('[1]资源-装备经验'!Y$6:Y$165,(K121+1)/2,1)</f>
        <v>0</v>
      </c>
      <c r="K121" s="113">
        <v>117</v>
      </c>
      <c r="L121" s="121">
        <v>80</v>
      </c>
      <c r="M121" s="122">
        <f t="shared" si="44"/>
        <v>80</v>
      </c>
      <c r="N121" s="120">
        <f t="shared" si="66"/>
        <v>160</v>
      </c>
      <c r="O121" s="120">
        <f t="shared" si="66"/>
        <v>320</v>
      </c>
      <c r="P121" s="120">
        <f t="shared" si="66"/>
        <v>800</v>
      </c>
      <c r="Q121" s="120">
        <f t="shared" si="66"/>
        <v>2400</v>
      </c>
      <c r="S121" s="113">
        <v>117</v>
      </c>
      <c r="T121" s="113">
        <f>SUM(M$5:M121)</f>
        <v>2785</v>
      </c>
      <c r="U121" s="113">
        <f>SUM(N$5:N121)</f>
        <v>5570</v>
      </c>
      <c r="V121" s="113">
        <f>SUM(O$5:O121)</f>
        <v>11140</v>
      </c>
      <c r="W121" s="113">
        <f>SUM(P$5:P121)</f>
        <v>27850</v>
      </c>
      <c r="X121" s="113">
        <f>SUM(Q$5:Q121)</f>
        <v>83550</v>
      </c>
      <c r="Z121" s="114">
        <v>117</v>
      </c>
      <c r="AA121" s="114">
        <f t="shared" si="67"/>
        <v>3200</v>
      </c>
      <c r="AB121" s="114">
        <f t="shared" si="68"/>
        <v>6400</v>
      </c>
      <c r="AC121" s="114">
        <f t="shared" si="69"/>
        <v>12800</v>
      </c>
      <c r="AD121" s="114">
        <f t="shared" si="70"/>
        <v>32000</v>
      </c>
      <c r="AE121" s="114">
        <f t="shared" si="71"/>
        <v>96000</v>
      </c>
      <c r="AG121" s="114">
        <v>117</v>
      </c>
      <c r="AH121" s="113">
        <f>SUM(AA$5:AA121)</f>
        <v>111400</v>
      </c>
      <c r="AI121" s="113">
        <f>SUM(AB$5:AB121)</f>
        <v>222800</v>
      </c>
      <c r="AJ121" s="113">
        <f>SUM(AC$5:AC121)</f>
        <v>445600</v>
      </c>
      <c r="AK121" s="113">
        <f>SUM(AD$5:AD121)</f>
        <v>1114000</v>
      </c>
      <c r="AL121" s="113">
        <f>SUM(AE$5:AE121)</f>
        <v>3342000</v>
      </c>
      <c r="AO121" s="46">
        <v>3</v>
      </c>
      <c r="AP121" s="53" t="s">
        <v>398</v>
      </c>
      <c r="AQ121" s="13" t="s">
        <v>179</v>
      </c>
      <c r="AR121" s="53" t="s">
        <v>180</v>
      </c>
      <c r="AS121" s="53" t="s">
        <v>181</v>
      </c>
      <c r="AT121" s="53" t="s">
        <v>182</v>
      </c>
      <c r="AU121" s="53" t="s">
        <v>144</v>
      </c>
      <c r="AV121" s="14" t="s">
        <v>183</v>
      </c>
      <c r="AW121" s="13" t="s">
        <v>179</v>
      </c>
      <c r="AX121" s="53" t="s">
        <v>180</v>
      </c>
      <c r="AY121" s="53" t="s">
        <v>181</v>
      </c>
      <c r="AZ121" s="53" t="s">
        <v>182</v>
      </c>
      <c r="BA121" s="53" t="s">
        <v>187</v>
      </c>
      <c r="BB121" s="14" t="s">
        <v>183</v>
      </c>
      <c r="BC121" s="13" t="s">
        <v>44</v>
      </c>
      <c r="BD121" s="47" t="s">
        <v>45</v>
      </c>
      <c r="BE121" s="47" t="s">
        <v>52</v>
      </c>
      <c r="BF121" s="47" t="s">
        <v>53</v>
      </c>
      <c r="BG121" s="47" t="s">
        <v>126</v>
      </c>
      <c r="BH121" s="14" t="s">
        <v>128</v>
      </c>
      <c r="BI121" s="13" t="s">
        <v>44</v>
      </c>
      <c r="BJ121" s="47" t="s">
        <v>45</v>
      </c>
      <c r="BK121" s="47" t="s">
        <v>52</v>
      </c>
      <c r="BL121" s="47" t="s">
        <v>53</v>
      </c>
      <c r="BM121" s="47" t="s">
        <v>126</v>
      </c>
      <c r="BN121" s="14" t="s">
        <v>128</v>
      </c>
      <c r="BO121" s="13" t="s">
        <v>179</v>
      </c>
      <c r="BP121" s="47" t="s">
        <v>180</v>
      </c>
      <c r="BQ121" s="47" t="s">
        <v>181</v>
      </c>
      <c r="BR121" s="47" t="s">
        <v>182</v>
      </c>
      <c r="BS121" s="37" t="s">
        <v>144</v>
      </c>
      <c r="BT121" s="14" t="s">
        <v>241</v>
      </c>
      <c r="BW121" s="25">
        <v>28</v>
      </c>
    </row>
    <row r="122" spans="10:87" x14ac:dyDescent="0.15">
      <c r="J122" s="46">
        <f>INDEX('[1]资源-装备经验'!Y$6:Y$165,(K122+1)/2,1)</f>
        <v>0</v>
      </c>
      <c r="K122" s="113">
        <v>118</v>
      </c>
      <c r="L122" s="121">
        <v>80</v>
      </c>
      <c r="M122" s="122">
        <f t="shared" si="44"/>
        <v>80</v>
      </c>
      <c r="N122" s="120">
        <f t="shared" si="66"/>
        <v>160</v>
      </c>
      <c r="O122" s="120">
        <f t="shared" si="66"/>
        <v>320</v>
      </c>
      <c r="P122" s="120">
        <f t="shared" si="66"/>
        <v>800</v>
      </c>
      <c r="Q122" s="120">
        <f t="shared" si="66"/>
        <v>2400</v>
      </c>
      <c r="S122" s="113">
        <v>118</v>
      </c>
      <c r="T122" s="113">
        <f>SUM(M$5:M122)</f>
        <v>2865</v>
      </c>
      <c r="U122" s="113">
        <f>SUM(N$5:N122)</f>
        <v>5730</v>
      </c>
      <c r="V122" s="113">
        <f>SUM(O$5:O122)</f>
        <v>11460</v>
      </c>
      <c r="W122" s="113">
        <f>SUM(P$5:P122)</f>
        <v>28650</v>
      </c>
      <c r="X122" s="113">
        <f>SUM(Q$5:Q122)</f>
        <v>85950</v>
      </c>
      <c r="Z122" s="114">
        <v>118</v>
      </c>
      <c r="AA122" s="114">
        <f t="shared" si="67"/>
        <v>3200</v>
      </c>
      <c r="AB122" s="114">
        <f t="shared" si="68"/>
        <v>6400</v>
      </c>
      <c r="AC122" s="114">
        <f t="shared" si="69"/>
        <v>12800</v>
      </c>
      <c r="AD122" s="114">
        <f t="shared" si="70"/>
        <v>32000</v>
      </c>
      <c r="AE122" s="114">
        <f t="shared" si="71"/>
        <v>96000</v>
      </c>
      <c r="AG122" s="114">
        <v>118</v>
      </c>
      <c r="AH122" s="113">
        <f>SUM(AA$5:AA122)</f>
        <v>114600</v>
      </c>
      <c r="AI122" s="113">
        <f>SUM(AB$5:AB122)</f>
        <v>229200</v>
      </c>
      <c r="AJ122" s="113">
        <f>SUM(AC$5:AC122)</f>
        <v>458400</v>
      </c>
      <c r="AK122" s="113">
        <f>SUM(AD$5:AD122)</f>
        <v>1146000</v>
      </c>
      <c r="AL122" s="113">
        <f>SUM(AE$5:AE122)</f>
        <v>3438000</v>
      </c>
      <c r="AO122" s="46">
        <v>4</v>
      </c>
      <c r="AP122" s="37">
        <f>节奏预期!B122</f>
        <v>10</v>
      </c>
      <c r="AQ122" s="114">
        <f>IFERROR(INDEX(AH$5:AH$304,MATCH(节奏预期!N122,$AG$5:$AG$304,0))*节奏预期!D122,0)</f>
        <v>24000</v>
      </c>
      <c r="AR122" s="114">
        <f>IFERROR(INDEX(AI$5:AI$304,MATCH(节奏预期!O122,$AG$5:$AG$304,0))*节奏预期!E122,0)</f>
        <v>24000</v>
      </c>
      <c r="AS122" s="114">
        <f>IFERROR(INDEX(AJ$5:AJ$304,MATCH(节奏预期!P122,$AG$5:$AG$304,0))*节奏预期!F122,0)</f>
        <v>0</v>
      </c>
      <c r="AT122" s="114">
        <f>IFERROR(INDEX(AK$5:AK$304,MATCH(节奏预期!Q122,$AG$5:$AG$304,0))*节奏预期!G122,0)</f>
        <v>0</v>
      </c>
      <c r="AU122" s="114">
        <f>IFERROR(INDEX(AL$5:AL$304,MATCH(节奏预期!R122,$AG$5:$AG$304,0))*节奏预期!H122,0)</f>
        <v>0</v>
      </c>
      <c r="AV122" s="137">
        <f>SUM(AQ122:AU122)</f>
        <v>48000</v>
      </c>
      <c r="AW122" s="114">
        <f>IFERROR(INDEX(T$5:T$304,MATCH(节奏预期!N122,$S$5:$S$304,0))*节奏预期!D122,0)</f>
        <v>600</v>
      </c>
      <c r="AX122" s="114">
        <f>IFERROR(INDEX(U$5:U$304,MATCH(节奏预期!O122,$S$5:$S$304,0))*节奏预期!E122,0)</f>
        <v>600</v>
      </c>
      <c r="AY122" s="114">
        <f>IFERROR(INDEX(V$5:V$304,MATCH(节奏预期!P122,$S$5:$S$304,0))*节奏预期!F122,0)</f>
        <v>0</v>
      </c>
      <c r="AZ122" s="114">
        <f>IFERROR(INDEX(W$5:W$304,MATCH(节奏预期!Q122,$S$5:$S$304,0))*节奏预期!G122,0)</f>
        <v>0</v>
      </c>
      <c r="BA122" s="114">
        <f>IFERROR(INDEX(X$5:X$304,MATCH(节奏预期!R122,$S$5:$S$304,0))*节奏预期!H122,0)</f>
        <v>0</v>
      </c>
      <c r="BB122" s="137">
        <f>SUM(AW122:BA122)</f>
        <v>1200</v>
      </c>
      <c r="BC122" s="100">
        <f>IF(节奏预期!N122="","",节奏预期!N122*装备强化!D$8+装备强化!D$5)</f>
        <v>110</v>
      </c>
      <c r="BD122" s="100">
        <f>IF(节奏预期!O122="","",节奏预期!O122*装备强化!E$8+装备强化!E$5)</f>
        <v>200</v>
      </c>
      <c r="BE122" s="100" t="str">
        <f>IF(节奏预期!P122="","",节奏预期!P122*装备强化!F$8+装备强化!F$5)</f>
        <v/>
      </c>
      <c r="BF122" s="100" t="str">
        <f>IF(节奏预期!Q122="","",节奏预期!Q122*装备强化!G$8+装备强化!G$5)</f>
        <v/>
      </c>
      <c r="BG122" s="100" t="str">
        <f>IF(节奏预期!R122="","",节奏预期!R122*装备强化!H$8+装备强化!H$5)</f>
        <v/>
      </c>
      <c r="BH122" s="14">
        <f>SUMPRODUCT(BC122:BG122,节奏预期!$D122:$H122)/SUM(节奏预期!$D122:$H122)</f>
        <v>140</v>
      </c>
      <c r="BI122" s="13">
        <f>IF(节奏预期!N122="","",节奏预期!N122*装备强化!D$9+装备强化!D$6)</f>
        <v>110</v>
      </c>
      <c r="BJ122" s="100">
        <f>IF(节奏预期!O122="","",节奏预期!O122*装备强化!E$9+装备强化!E$6)</f>
        <v>200</v>
      </c>
      <c r="BK122" s="100" t="str">
        <f>IF(节奏预期!P122="","",节奏预期!P122*装备强化!F$9+装备强化!F$6)</f>
        <v/>
      </c>
      <c r="BL122" s="100" t="str">
        <f>IF(节奏预期!Q122="","",节奏预期!Q122*装备强化!G$9+装备强化!G$6)</f>
        <v/>
      </c>
      <c r="BM122" s="100" t="str">
        <f>IF(节奏预期!R122="","",节奏预期!R122*装备强化!H$9+装备强化!H$6)</f>
        <v/>
      </c>
      <c r="BN122" s="14">
        <f>SUMPRODUCT(BI122:BM122,节奏预期!$D122:$H122)/SUM(节奏预期!$D122:$H122)</f>
        <v>140</v>
      </c>
      <c r="BO122" s="79">
        <f>IF(节奏预期!D122="","",IF(节奏预期!I122="",0,装备强化!D$4*节奏预期!I122))</f>
        <v>3.6</v>
      </c>
      <c r="BP122" s="94">
        <f>IF(节奏预期!E122="","",IF(节奏预期!J122="",0,装备强化!E$4*节奏预期!J122))</f>
        <v>5.6</v>
      </c>
      <c r="BQ122" s="94">
        <f>IF(节奏预期!F122="","",IF(节奏预期!K122="",0,装备强化!F$4*节奏预期!K122))</f>
        <v>10.799999999999999</v>
      </c>
      <c r="BR122" s="94">
        <f>IF(节奏预期!G122="","",IF(节奏预期!L122="",0,装备强化!G$4*节奏预期!L122))</f>
        <v>18.700000000000003</v>
      </c>
      <c r="BS122" s="94">
        <f>IF(节奏预期!H122="","",IF(节奏预期!M122="",0,装备强化!H$4*节奏预期!M122))</f>
        <v>31.68</v>
      </c>
      <c r="BT122" s="80">
        <f>SUMPRODUCT(BO122:BS122,节奏预期!D122:H122)/SUM(节奏预期!D122:H122)</f>
        <v>4.2666666666666666</v>
      </c>
      <c r="BW122" s="25">
        <v>29</v>
      </c>
    </row>
    <row r="123" spans="10:87" x14ac:dyDescent="0.15">
      <c r="J123" s="46">
        <f>INDEX('[1]资源-装备经验'!Y$6:Y$165,(K123+1)/2,1)</f>
        <v>0</v>
      </c>
      <c r="K123" s="113">
        <v>119</v>
      </c>
      <c r="L123" s="121">
        <v>80</v>
      </c>
      <c r="M123" s="122">
        <f t="shared" si="44"/>
        <v>80</v>
      </c>
      <c r="N123" s="120">
        <f t="shared" si="66"/>
        <v>160</v>
      </c>
      <c r="O123" s="120">
        <f t="shared" si="66"/>
        <v>320</v>
      </c>
      <c r="P123" s="120">
        <f t="shared" si="66"/>
        <v>800</v>
      </c>
      <c r="Q123" s="120">
        <f t="shared" si="66"/>
        <v>2400</v>
      </c>
      <c r="S123" s="113">
        <v>119</v>
      </c>
      <c r="T123" s="113">
        <f>SUM(M$5:M123)</f>
        <v>2945</v>
      </c>
      <c r="U123" s="113">
        <f>SUM(N$5:N123)</f>
        <v>5890</v>
      </c>
      <c r="V123" s="113">
        <f>SUM(O$5:O123)</f>
        <v>11780</v>
      </c>
      <c r="W123" s="113">
        <f>SUM(P$5:P123)</f>
        <v>29450</v>
      </c>
      <c r="X123" s="113">
        <f>SUM(Q$5:Q123)</f>
        <v>88350</v>
      </c>
      <c r="Z123" s="114">
        <v>119</v>
      </c>
      <c r="AA123" s="114">
        <f t="shared" si="67"/>
        <v>3200</v>
      </c>
      <c r="AB123" s="114">
        <f t="shared" si="68"/>
        <v>6400</v>
      </c>
      <c r="AC123" s="114">
        <f t="shared" si="69"/>
        <v>12800</v>
      </c>
      <c r="AD123" s="114">
        <f t="shared" si="70"/>
        <v>32000</v>
      </c>
      <c r="AE123" s="114">
        <f t="shared" si="71"/>
        <v>96000</v>
      </c>
      <c r="AG123" s="114">
        <v>119</v>
      </c>
      <c r="AH123" s="113">
        <f>SUM(AA$5:AA123)</f>
        <v>117800</v>
      </c>
      <c r="AI123" s="113">
        <f>SUM(AB$5:AB123)</f>
        <v>235600</v>
      </c>
      <c r="AJ123" s="113">
        <f>SUM(AC$5:AC123)</f>
        <v>471200</v>
      </c>
      <c r="AK123" s="113">
        <f>SUM(AD$5:AD123)</f>
        <v>1178000</v>
      </c>
      <c r="AL123" s="113">
        <f>SUM(AE$5:AE123)</f>
        <v>3534000</v>
      </c>
      <c r="AO123" s="46">
        <v>5</v>
      </c>
      <c r="AP123" s="37">
        <f>节奏预期!B123</f>
        <v>20</v>
      </c>
      <c r="AQ123" s="114">
        <f>IFERROR(INDEX(AH$5:AH$304,MATCH(节奏预期!N123,$AG$5:$AG$304,0))*节奏预期!D123,0)</f>
        <v>0</v>
      </c>
      <c r="AR123" s="114">
        <f>IFERROR(INDEX(AI$5:AI$304,MATCH(节奏预期!O123,$AG$5:$AG$304,0))*节奏预期!E123,0)</f>
        <v>156000</v>
      </c>
      <c r="AS123" s="114">
        <f>IFERROR(INDEX(AJ$5:AJ$304,MATCH(节奏预期!P123,$AG$5:$AG$304,0))*节奏预期!F123,0)</f>
        <v>120000</v>
      </c>
      <c r="AT123" s="114">
        <f>IFERROR(INDEX(AK$5:AK$304,MATCH(节奏预期!Q123,$AG$5:$AG$304,0))*节奏预期!G123,0)</f>
        <v>0</v>
      </c>
      <c r="AU123" s="114">
        <f>IFERROR(INDEX(AL$5:AL$304,MATCH(节奏预期!R123,$AG$5:$AG$304,0))*节奏预期!H123,0)</f>
        <v>0</v>
      </c>
      <c r="AV123" s="136">
        <f>MAX(SUM(AQ123:AU123),AV122)</f>
        <v>276000</v>
      </c>
      <c r="AW123" s="114">
        <f>IFERROR(INDEX(T$5:T$304,MATCH(节奏预期!N123,$S$5:$S$304,0))*节奏预期!D123,0)</f>
        <v>0</v>
      </c>
      <c r="AX123" s="114">
        <f>IFERROR(INDEX(U$5:U$304,MATCH(节奏预期!O123,$S$5:$S$304,0))*节奏预期!E123,0)</f>
        <v>3900</v>
      </c>
      <c r="AY123" s="114">
        <f>IFERROR(INDEX(V$5:V$304,MATCH(节奏预期!P123,$S$5:$S$304,0))*节奏预期!F123,0)</f>
        <v>3000</v>
      </c>
      <c r="AZ123" s="114">
        <f>IFERROR(INDEX(W$5:W$304,MATCH(节奏预期!Q123,$S$5:$S$304,0))*节奏预期!G123,0)</f>
        <v>0</v>
      </c>
      <c r="BA123" s="114">
        <f>IFERROR(INDEX(X$5:X$304,MATCH(节奏预期!R123,$S$5:$S$304,0))*节奏预期!H123,0)</f>
        <v>0</v>
      </c>
      <c r="BB123" s="136">
        <f>MAX(SUM(AW123:BA123),BB122)</f>
        <v>6900</v>
      </c>
      <c r="BC123" s="100">
        <f>IF(节奏预期!N123="","",节奏预期!N123*装备强化!D$8+装备强化!D$5)</f>
        <v>140</v>
      </c>
      <c r="BD123" s="100">
        <f>IF(节奏预期!O123="","",节奏预期!O123*装备强化!E$8+装备强化!E$5)</f>
        <v>320</v>
      </c>
      <c r="BE123" s="100">
        <f>IF(节奏预期!P123="","",节奏预期!P123*装备强化!F$8+装备强化!F$5)</f>
        <v>620</v>
      </c>
      <c r="BF123" s="100" t="str">
        <f>IF(节奏预期!Q123="","",节奏预期!Q123*装备强化!G$8+装备强化!G$5)</f>
        <v/>
      </c>
      <c r="BG123" s="100" t="str">
        <f>IF(节奏预期!R123="","",节奏预期!R123*装备强化!H$8+装备强化!H$5)</f>
        <v/>
      </c>
      <c r="BH123" s="14">
        <f>SUMPRODUCT(BC123:BG123,节奏预期!$D123:$H123)/SUM(节奏预期!$D123:$H123)</f>
        <v>403.33333333333331</v>
      </c>
      <c r="BI123" s="13">
        <f>IF(节奏预期!N123="","",节奏预期!N123*装备强化!D$9+装备强化!D$6)</f>
        <v>140</v>
      </c>
      <c r="BJ123" s="100">
        <f>IF(节奏预期!O123="","",节奏预期!O123*装备强化!E$9+装备强化!E$6)</f>
        <v>320</v>
      </c>
      <c r="BK123" s="100">
        <f>IF(节奏预期!P123="","",节奏预期!P123*装备强化!F$9+装备强化!F$6)</f>
        <v>620</v>
      </c>
      <c r="BL123" s="100" t="str">
        <f>IF(节奏预期!Q123="","",节奏预期!Q123*装备强化!G$9+装备强化!G$6)</f>
        <v/>
      </c>
      <c r="BM123" s="100" t="str">
        <f>IF(节奏预期!R123="","",节奏预期!R123*装备强化!H$9+装备强化!H$6)</f>
        <v/>
      </c>
      <c r="BN123" s="14">
        <f>SUMPRODUCT(BI123:BM123,节奏预期!$D123:$H123)/SUM(节奏预期!$D123:$H123)</f>
        <v>403.33333333333331</v>
      </c>
      <c r="BO123" s="94">
        <f>IF(节奏预期!D123="","",IF(节奏预期!I123="",0,装备强化!D$4*节奏预期!I123))</f>
        <v>3.6</v>
      </c>
      <c r="BP123" s="94">
        <f>IF(节奏预期!E123="","",IF(节奏预期!J123="",0,装备强化!E$4*节奏预期!J123))</f>
        <v>6.8</v>
      </c>
      <c r="BQ123" s="94">
        <f>IF(节奏预期!F123="","",IF(节奏预期!K123="",0,装备强化!F$4*节奏预期!K123))</f>
        <v>12.6</v>
      </c>
      <c r="BR123" s="94">
        <f>IF(节奏预期!G123="","",IF(节奏预期!L123="",0,装备强化!G$4*节奏预期!L123))</f>
        <v>21.25</v>
      </c>
      <c r="BS123" s="94">
        <f>IF(节奏预期!H123="","",IF(节奏预期!M123="",0,装备强化!H$4*节奏预期!M123))</f>
        <v>35.970000000000006</v>
      </c>
      <c r="BT123" s="80">
        <f>SUMPRODUCT(BO123:BS123,节奏预期!D123:H123)/SUM(节奏预期!D123:H123)</f>
        <v>8.4111111111111097</v>
      </c>
      <c r="BW123" s="25">
        <v>30</v>
      </c>
    </row>
    <row r="124" spans="10:87" x14ac:dyDescent="0.15">
      <c r="J124" s="46">
        <f>INDEX('[1]资源-装备经验'!Y$6:Y$165,(K124+1)/2,1)</f>
        <v>0</v>
      </c>
      <c r="K124" s="113">
        <v>120</v>
      </c>
      <c r="L124" s="113">
        <v>100</v>
      </c>
      <c r="M124" s="122">
        <f t="shared" si="44"/>
        <v>100</v>
      </c>
      <c r="N124" s="120">
        <f t="shared" si="66"/>
        <v>200</v>
      </c>
      <c r="O124" s="120">
        <f t="shared" si="66"/>
        <v>400</v>
      </c>
      <c r="P124" s="120">
        <f t="shared" si="66"/>
        <v>1000</v>
      </c>
      <c r="Q124" s="120">
        <f t="shared" si="66"/>
        <v>3000</v>
      </c>
      <c r="S124" s="113">
        <v>120</v>
      </c>
      <c r="T124" s="113">
        <f>SUM(M$5:M124)</f>
        <v>3045</v>
      </c>
      <c r="U124" s="113">
        <f>SUM(N$5:N124)</f>
        <v>6090</v>
      </c>
      <c r="V124" s="113">
        <f>SUM(O$5:O124)</f>
        <v>12180</v>
      </c>
      <c r="W124" s="113">
        <f>SUM(P$5:P124)</f>
        <v>30450</v>
      </c>
      <c r="X124" s="113">
        <f>SUM(Q$5:Q124)</f>
        <v>91350</v>
      </c>
      <c r="Z124" s="114">
        <v>120</v>
      </c>
      <c r="AA124" s="114">
        <f t="shared" si="67"/>
        <v>4000</v>
      </c>
      <c r="AB124" s="114">
        <f t="shared" si="68"/>
        <v>8000</v>
      </c>
      <c r="AC124" s="114">
        <f t="shared" si="69"/>
        <v>16000</v>
      </c>
      <c r="AD124" s="114">
        <f t="shared" si="70"/>
        <v>40000</v>
      </c>
      <c r="AE124" s="114">
        <f t="shared" si="71"/>
        <v>120000</v>
      </c>
      <c r="AG124" s="114">
        <v>120</v>
      </c>
      <c r="AH124" s="113">
        <f>SUM(AA$5:AA124)</f>
        <v>121800</v>
      </c>
      <c r="AI124" s="113">
        <f>SUM(AB$5:AB124)</f>
        <v>243600</v>
      </c>
      <c r="AJ124" s="113">
        <f>SUM(AC$5:AC124)</f>
        <v>487200</v>
      </c>
      <c r="AK124" s="113">
        <f>SUM(AD$5:AD124)</f>
        <v>1218000</v>
      </c>
      <c r="AL124" s="113">
        <f>SUM(AE$5:AE124)</f>
        <v>3654000</v>
      </c>
      <c r="AO124" s="46">
        <v>6</v>
      </c>
      <c r="AP124" s="37">
        <f>节奏预期!B124</f>
        <v>30</v>
      </c>
      <c r="AQ124" s="114">
        <f>IFERROR(INDEX(AH$5:AH$304,MATCH(节奏预期!N124,$AG$5:$AG$304,0))*节奏预期!D124,0)</f>
        <v>0</v>
      </c>
      <c r="AR124" s="114">
        <f>IFERROR(INDEX(AI$5:AI$304,MATCH(节奏预期!O124,$AG$5:$AG$304,0))*节奏预期!E124,0)</f>
        <v>0</v>
      </c>
      <c r="AS124" s="114">
        <f>IFERROR(INDEX(AJ$5:AJ$304,MATCH(节奏预期!P124,$AG$5:$AG$304,0))*节奏预期!F124,0)</f>
        <v>908800</v>
      </c>
      <c r="AT124" s="114">
        <f>IFERROR(INDEX(AK$5:AK$304,MATCH(节奏预期!Q124,$AG$5:$AG$304,0))*节奏预期!G124,0)</f>
        <v>284000</v>
      </c>
      <c r="AU124" s="114">
        <f>IFERROR(INDEX(AL$5:AL$304,MATCH(节奏预期!R124,$AG$5:$AG$304,0))*节奏预期!H124,0)</f>
        <v>0</v>
      </c>
      <c r="AV124" s="136">
        <f t="shared" ref="AV124:AV137" si="73">MAX(SUM(AQ124:AU124),AV123)</f>
        <v>1192800</v>
      </c>
      <c r="AW124" s="114">
        <f>IFERROR(INDEX(T$5:T$304,MATCH(节奏预期!N124,$S$5:$S$304,0))*节奏预期!D124,0)</f>
        <v>0</v>
      </c>
      <c r="AX124" s="114">
        <f>IFERROR(INDEX(U$5:U$304,MATCH(节奏预期!O124,$S$5:$S$304,0))*节奏预期!E124,0)</f>
        <v>0</v>
      </c>
      <c r="AY124" s="114">
        <f>IFERROR(INDEX(V$5:V$304,MATCH(节奏预期!P124,$S$5:$S$304,0))*节奏预期!F124,0)</f>
        <v>22720</v>
      </c>
      <c r="AZ124" s="114">
        <f>IFERROR(INDEX(W$5:W$304,MATCH(节奏预期!Q124,$S$5:$S$304,0))*节奏预期!G124,0)</f>
        <v>7100</v>
      </c>
      <c r="BA124" s="114">
        <f>IFERROR(INDEX(X$5:X$304,MATCH(节奏预期!R124,$S$5:$S$304,0))*节奏预期!H124,0)</f>
        <v>0</v>
      </c>
      <c r="BB124" s="136">
        <f t="shared" ref="BB124:BB137" si="74">MAX(SUM(AW124:BA124),BB123)</f>
        <v>29820</v>
      </c>
      <c r="BC124" s="100" t="str">
        <f>IF(节奏预期!N124="","",节奏预期!N124*装备强化!D$8+装备强化!D$5)</f>
        <v/>
      </c>
      <c r="BD124" s="100">
        <f>IF(节奏预期!O124="","",节奏预期!O124*装备强化!E$8+装备强化!E$5)</f>
        <v>380</v>
      </c>
      <c r="BE124" s="100">
        <f>IF(节奏预期!P124="","",节奏预期!P124*装备强化!F$8+装备强化!F$5)</f>
        <v>980</v>
      </c>
      <c r="BF124" s="100">
        <f>IF(节奏预期!Q124="","",节奏预期!Q124*装备强化!G$8+装备强化!G$5)</f>
        <v>1760</v>
      </c>
      <c r="BG124" s="100" t="str">
        <f>IF(节奏预期!R124="","",节奏预期!R124*装备强化!H$8+装备强化!H$5)</f>
        <v/>
      </c>
      <c r="BH124" s="14">
        <f>SUMPRODUCT(BC124:BG124,节奏预期!$D124:$H124)/SUM(节奏预期!$D124:$H124)</f>
        <v>1066.6666666666667</v>
      </c>
      <c r="BI124" s="13" t="str">
        <f>IF(节奏预期!N124="","",节奏预期!N124*装备强化!D$9+装备强化!D$6)</f>
        <v/>
      </c>
      <c r="BJ124" s="100">
        <f>IF(节奏预期!O124="","",节奏预期!O124*装备强化!E$9+装备强化!E$6)</f>
        <v>380</v>
      </c>
      <c r="BK124" s="100">
        <f>IF(节奏预期!P124="","",节奏预期!P124*装备强化!F$9+装备强化!F$6)</f>
        <v>980</v>
      </c>
      <c r="BL124" s="100">
        <f>IF(节奏预期!Q124="","",节奏预期!Q124*装备强化!G$9+装备强化!G$6)</f>
        <v>1760</v>
      </c>
      <c r="BM124" s="100" t="str">
        <f>IF(节奏预期!R124="","",节奏预期!R124*装备强化!H$9+装备强化!H$6)</f>
        <v/>
      </c>
      <c r="BN124" s="14">
        <f>SUMPRODUCT(BI124:BM124,节奏预期!$D124:$H124)/SUM(节奏预期!$D124:$H124)</f>
        <v>1066.6666666666667</v>
      </c>
      <c r="BO124" s="94">
        <f>IF(节奏预期!D124="","",IF(节奏预期!I124="",0,装备强化!D$4*节奏预期!I124))</f>
        <v>3.6</v>
      </c>
      <c r="BP124" s="94">
        <f>IF(节奏预期!E124="","",IF(节奏预期!J124="",0,装备强化!E$4*节奏预期!J124))</f>
        <v>8</v>
      </c>
      <c r="BQ124" s="94">
        <f>IF(节奏预期!F124="","",IF(节奏预期!K124="",0,装备强化!F$4*节奏预期!K124))</f>
        <v>14.4</v>
      </c>
      <c r="BR124" s="94">
        <f>IF(节奏预期!G124="","",IF(节奏预期!L124="",0,装备强化!G$4*节奏预期!L124))</f>
        <v>23.799999999999997</v>
      </c>
      <c r="BS124" s="94">
        <f>IF(节奏预期!H124="","",IF(节奏预期!M124="",0,装备强化!H$4*节奏预期!M124))</f>
        <v>40.26</v>
      </c>
      <c r="BT124" s="80">
        <f>SUMPRODUCT(BO124:BS124,节奏预期!D124:H124)/SUM(节奏预期!D124:H124)</f>
        <v>15.444444444444445</v>
      </c>
      <c r="BW124" s="25">
        <v>31</v>
      </c>
    </row>
    <row r="125" spans="10:87" x14ac:dyDescent="0.15">
      <c r="J125" s="46">
        <f>INDEX('[1]资源-装备经验'!Y$6:Y$165,(K125+1)/2,1)</f>
        <v>0</v>
      </c>
      <c r="K125" s="113">
        <v>121</v>
      </c>
      <c r="L125" s="121">
        <v>100</v>
      </c>
      <c r="M125" s="122">
        <f t="shared" si="44"/>
        <v>100</v>
      </c>
      <c r="N125" s="120">
        <f t="shared" si="66"/>
        <v>200</v>
      </c>
      <c r="O125" s="120">
        <f t="shared" si="66"/>
        <v>400</v>
      </c>
      <c r="P125" s="120">
        <f t="shared" si="66"/>
        <v>1000</v>
      </c>
      <c r="Q125" s="120">
        <f t="shared" si="66"/>
        <v>3000</v>
      </c>
      <c r="S125" s="113">
        <v>121</v>
      </c>
      <c r="T125" s="113">
        <f>SUM(M$5:M125)</f>
        <v>3145</v>
      </c>
      <c r="U125" s="113">
        <f>SUM(N$5:N125)</f>
        <v>6290</v>
      </c>
      <c r="V125" s="113">
        <f>SUM(O$5:O125)</f>
        <v>12580</v>
      </c>
      <c r="W125" s="113">
        <f>SUM(P$5:P125)</f>
        <v>31450</v>
      </c>
      <c r="X125" s="113">
        <f>SUM(Q$5:Q125)</f>
        <v>94350</v>
      </c>
      <c r="Z125" s="114">
        <v>121</v>
      </c>
      <c r="AA125" s="114">
        <f t="shared" si="67"/>
        <v>4000</v>
      </c>
      <c r="AB125" s="114">
        <f t="shared" si="68"/>
        <v>8000</v>
      </c>
      <c r="AC125" s="114">
        <f t="shared" si="69"/>
        <v>16000</v>
      </c>
      <c r="AD125" s="114">
        <f t="shared" si="70"/>
        <v>40000</v>
      </c>
      <c r="AE125" s="114">
        <f t="shared" si="71"/>
        <v>120000</v>
      </c>
      <c r="AG125" s="114">
        <v>121</v>
      </c>
      <c r="AH125" s="113">
        <f>SUM(AA$5:AA125)</f>
        <v>125800</v>
      </c>
      <c r="AI125" s="113">
        <f>SUM(AB$5:AB125)</f>
        <v>251600</v>
      </c>
      <c r="AJ125" s="113">
        <f>SUM(AC$5:AC125)</f>
        <v>503200</v>
      </c>
      <c r="AK125" s="113">
        <f>SUM(AD$5:AD125)</f>
        <v>1258000</v>
      </c>
      <c r="AL125" s="113">
        <f>SUM(AE$5:AE125)</f>
        <v>3774000</v>
      </c>
      <c r="AO125" s="46">
        <v>7</v>
      </c>
      <c r="AP125" s="37">
        <f>节奏预期!B125</f>
        <v>40</v>
      </c>
      <c r="AQ125" s="114">
        <f>IFERROR(INDEX(AH$5:AH$304,MATCH(节奏预期!N125,$AG$5:$AG$304,0))*节奏预期!D125,0)</f>
        <v>0</v>
      </c>
      <c r="AR125" s="114">
        <f>IFERROR(INDEX(AI$5:AI$304,MATCH(节奏预期!O125,$AG$5:$AG$304,0))*节奏预期!E125,0)</f>
        <v>0</v>
      </c>
      <c r="AS125" s="114">
        <f>IFERROR(INDEX(AJ$5:AJ$304,MATCH(节奏预期!P125,$AG$5:$AG$304,0))*节奏预期!F125,0)</f>
        <v>0</v>
      </c>
      <c r="AT125" s="114">
        <f>IFERROR(INDEX(AK$5:AK$304,MATCH(节奏预期!Q125,$AG$5:$AG$304,0))*节奏预期!G125,0)</f>
        <v>4320000</v>
      </c>
      <c r="AU125" s="114">
        <f>IFERROR(INDEX(AL$5:AL$304,MATCH(节奏预期!R125,$AG$5:$AG$304,0))*节奏预期!H125,0)</f>
        <v>0</v>
      </c>
      <c r="AV125" s="136">
        <f t="shared" si="73"/>
        <v>4320000</v>
      </c>
      <c r="AW125" s="114">
        <f>IFERROR(INDEX(T$5:T$304,MATCH(节奏预期!N125,$S$5:$S$304,0))*节奏预期!D125,0)</f>
        <v>0</v>
      </c>
      <c r="AX125" s="114">
        <f>IFERROR(INDEX(U$5:U$304,MATCH(节奏预期!O125,$S$5:$S$304,0))*节奏预期!E125,0)</f>
        <v>0</v>
      </c>
      <c r="AY125" s="114">
        <f>IFERROR(INDEX(V$5:V$304,MATCH(节奏预期!P125,$S$5:$S$304,0))*节奏预期!F125,0)</f>
        <v>0</v>
      </c>
      <c r="AZ125" s="114">
        <f>IFERROR(INDEX(W$5:W$304,MATCH(节奏预期!Q125,$S$5:$S$304,0))*节奏预期!G125,0)</f>
        <v>108000</v>
      </c>
      <c r="BA125" s="114">
        <f>IFERROR(INDEX(X$5:X$304,MATCH(节奏预期!R125,$S$5:$S$304,0))*节奏预期!H125,0)</f>
        <v>0</v>
      </c>
      <c r="BB125" s="136">
        <f t="shared" si="74"/>
        <v>108000</v>
      </c>
      <c r="BC125" s="100" t="str">
        <f>IF(节奏预期!N125="","",节奏预期!N125*装备强化!D$8+装备强化!D$5)</f>
        <v/>
      </c>
      <c r="BD125" s="100">
        <f>IF(节奏预期!O125="","",节奏预期!O125*装备强化!E$8+装备强化!E$5)</f>
        <v>380</v>
      </c>
      <c r="BE125" s="100">
        <f>IF(节奏预期!P125="","",节奏预期!P125*装备强化!F$8+装备强化!F$5)</f>
        <v>1220</v>
      </c>
      <c r="BF125" s="100">
        <f>IF(节奏预期!Q125="","",节奏预期!Q125*装备强化!G$8+装备强化!G$5)</f>
        <v>2180</v>
      </c>
      <c r="BG125" s="100" t="str">
        <f>IF(节奏预期!R125="","",节奏预期!R125*装备强化!H$8+装备强化!H$5)</f>
        <v/>
      </c>
      <c r="BH125" s="14">
        <f>SUMPRODUCT(BC125:BG125,节奏预期!$D125:$H125)/SUM(节奏预期!$D125:$H125)</f>
        <v>2180</v>
      </c>
      <c r="BI125" s="13" t="str">
        <f>IF(节奏预期!N125="","",节奏预期!N125*装备强化!D$9+装备强化!D$6)</f>
        <v/>
      </c>
      <c r="BJ125" s="100">
        <f>IF(节奏预期!O125="","",节奏预期!O125*装备强化!E$9+装备强化!E$6)</f>
        <v>380</v>
      </c>
      <c r="BK125" s="100">
        <f>IF(节奏预期!P125="","",节奏预期!P125*装备强化!F$9+装备强化!F$6)</f>
        <v>1220</v>
      </c>
      <c r="BL125" s="100">
        <f>IF(节奏预期!Q125="","",节奏预期!Q125*装备强化!G$9+装备强化!G$6)</f>
        <v>2180</v>
      </c>
      <c r="BM125" s="100" t="str">
        <f>IF(节奏预期!R125="","",节奏预期!R125*装备强化!H$9+装备强化!H$6)</f>
        <v/>
      </c>
      <c r="BN125" s="14">
        <f>SUMPRODUCT(BI125:BM125,节奏预期!$D125:$H125)/SUM(节奏预期!$D125:$H125)</f>
        <v>2180</v>
      </c>
      <c r="BO125" s="94">
        <f>IF(节奏预期!D125="","",IF(节奏预期!I125="",0,装备强化!D$4*节奏预期!I125))</f>
        <v>3.6</v>
      </c>
      <c r="BP125" s="94">
        <f>IF(节奏预期!E125="","",IF(节奏预期!J125="",0,装备强化!E$4*节奏预期!J125))</f>
        <v>8</v>
      </c>
      <c r="BQ125" s="94">
        <f>IF(节奏预期!F125="","",IF(节奏预期!K125="",0,装备强化!F$4*节奏预期!K125))</f>
        <v>16.2</v>
      </c>
      <c r="BR125" s="94">
        <f>IF(节奏预期!G125="","",IF(节奏预期!L125="",0,装备强化!G$4*节奏预期!L125))</f>
        <v>26.35</v>
      </c>
      <c r="BS125" s="94">
        <f>IF(节奏预期!H125="","",IF(节奏预期!M125="",0,装备强化!H$4*节奏预期!M125))</f>
        <v>44.550000000000004</v>
      </c>
      <c r="BT125" s="80">
        <f>SUMPRODUCT(BO125:BS125,节奏预期!D125:H125)/SUM(节奏预期!D125:H125)</f>
        <v>26.35</v>
      </c>
      <c r="BW125" s="25">
        <v>32</v>
      </c>
    </row>
    <row r="126" spans="10:87" x14ac:dyDescent="0.15">
      <c r="J126" s="46">
        <f>INDEX('[1]资源-装备经验'!Y$6:Y$165,(K126+1)/2,1)</f>
        <v>0</v>
      </c>
      <c r="K126" s="113">
        <v>122</v>
      </c>
      <c r="L126" s="121">
        <v>100</v>
      </c>
      <c r="M126" s="122">
        <f t="shared" si="44"/>
        <v>100</v>
      </c>
      <c r="N126" s="120">
        <f t="shared" si="66"/>
        <v>200</v>
      </c>
      <c r="O126" s="120">
        <f t="shared" si="66"/>
        <v>400</v>
      </c>
      <c r="P126" s="120">
        <f t="shared" si="66"/>
        <v>1000</v>
      </c>
      <c r="Q126" s="120">
        <f t="shared" si="66"/>
        <v>3000</v>
      </c>
      <c r="S126" s="113">
        <v>122</v>
      </c>
      <c r="T126" s="113">
        <f>SUM(M$5:M126)</f>
        <v>3245</v>
      </c>
      <c r="U126" s="113">
        <f>SUM(N$5:N126)</f>
        <v>6490</v>
      </c>
      <c r="V126" s="113">
        <f>SUM(O$5:O126)</f>
        <v>12980</v>
      </c>
      <c r="W126" s="113">
        <f>SUM(P$5:P126)</f>
        <v>32450</v>
      </c>
      <c r="X126" s="113">
        <f>SUM(Q$5:Q126)</f>
        <v>97350</v>
      </c>
      <c r="Z126" s="114">
        <v>122</v>
      </c>
      <c r="AA126" s="114">
        <f t="shared" si="67"/>
        <v>4000</v>
      </c>
      <c r="AB126" s="114">
        <f t="shared" si="68"/>
        <v>8000</v>
      </c>
      <c r="AC126" s="114">
        <f t="shared" si="69"/>
        <v>16000</v>
      </c>
      <c r="AD126" s="114">
        <f t="shared" si="70"/>
        <v>40000</v>
      </c>
      <c r="AE126" s="114">
        <f t="shared" si="71"/>
        <v>120000</v>
      </c>
      <c r="AG126" s="114">
        <v>122</v>
      </c>
      <c r="AH126" s="113">
        <f>SUM(AA$5:AA126)</f>
        <v>129800</v>
      </c>
      <c r="AI126" s="113">
        <f>SUM(AB$5:AB126)</f>
        <v>259600</v>
      </c>
      <c r="AJ126" s="113">
        <f>SUM(AC$5:AC126)</f>
        <v>519200</v>
      </c>
      <c r="AK126" s="113">
        <f>SUM(AD$5:AD126)</f>
        <v>1298000</v>
      </c>
      <c r="AL126" s="113">
        <f>SUM(AE$5:AE126)</f>
        <v>3894000</v>
      </c>
      <c r="AO126" s="46">
        <v>8</v>
      </c>
      <c r="AP126" s="37">
        <f>节奏预期!B126</f>
        <v>50</v>
      </c>
      <c r="AQ126" s="114">
        <f>IFERROR(INDEX(AH$5:AH$304,MATCH(节奏预期!N126,$AG$5:$AG$304,0))*节奏预期!D126,0)</f>
        <v>0</v>
      </c>
      <c r="AR126" s="114">
        <f>IFERROR(INDEX(AI$5:AI$304,MATCH(节奏预期!O126,$AG$5:$AG$304,0))*节奏预期!E126,0)</f>
        <v>0</v>
      </c>
      <c r="AS126" s="114">
        <f>IFERROR(INDEX(AJ$5:AJ$304,MATCH(节奏预期!P126,$AG$5:$AG$304,0))*节奏预期!F126,0)</f>
        <v>0</v>
      </c>
      <c r="AT126" s="114">
        <f>IFERROR(INDEX(AK$5:AK$304,MATCH(节奏预期!Q126,$AG$5:$AG$304,0))*节奏预期!G126,0)</f>
        <v>7980000</v>
      </c>
      <c r="AU126" s="114">
        <f>IFERROR(INDEX(AL$5:AL$304,MATCH(节奏预期!R126,$AG$5:$AG$304,0))*节奏预期!H126,0)</f>
        <v>3420000</v>
      </c>
      <c r="AV126" s="136">
        <f t="shared" si="73"/>
        <v>11400000</v>
      </c>
      <c r="AW126" s="114">
        <f>IFERROR(INDEX(T$5:T$304,MATCH(节奏预期!N126,$S$5:$S$304,0))*节奏预期!D126,0)</f>
        <v>0</v>
      </c>
      <c r="AX126" s="114">
        <f>IFERROR(INDEX(U$5:U$304,MATCH(节奏预期!O126,$S$5:$S$304,0))*节奏预期!E126,0)</f>
        <v>0</v>
      </c>
      <c r="AY126" s="114">
        <f>IFERROR(INDEX(V$5:V$304,MATCH(节奏预期!P126,$S$5:$S$304,0))*节奏预期!F126,0)</f>
        <v>0</v>
      </c>
      <c r="AZ126" s="114">
        <f>IFERROR(INDEX(W$5:W$304,MATCH(节奏预期!Q126,$S$5:$S$304,0))*节奏预期!G126,0)</f>
        <v>199500</v>
      </c>
      <c r="BA126" s="114">
        <f>IFERROR(INDEX(X$5:X$304,MATCH(节奏预期!R126,$S$5:$S$304,0))*节奏预期!H126,0)</f>
        <v>85500</v>
      </c>
      <c r="BB126" s="136">
        <f t="shared" si="74"/>
        <v>285000</v>
      </c>
      <c r="BC126" s="100" t="str">
        <f>IF(节奏预期!N126="","",节奏预期!N126*装备强化!D$8+装备强化!D$5)</f>
        <v/>
      </c>
      <c r="BD126" s="100" t="str">
        <f>IF(节奏预期!O126="","",节奏预期!O126*装备强化!E$8+装备强化!E$5)</f>
        <v/>
      </c>
      <c r="BE126" s="100">
        <f>IF(节奏预期!P126="","",节奏预期!P126*装备强化!F$8+装备强化!F$5)</f>
        <v>1220</v>
      </c>
      <c r="BF126" s="100">
        <f>IF(节奏预期!Q126="","",节奏预期!Q126*装备强化!G$8+装备强化!G$5)</f>
        <v>2600</v>
      </c>
      <c r="BG126" s="100">
        <f>IF(节奏预期!R126="","",节奏预期!R126*装备强化!H$8+装备强化!H$5)</f>
        <v>4280</v>
      </c>
      <c r="BH126" s="14">
        <f>SUMPRODUCT(BC126:BG126,节奏预期!$D126:$H126)/SUM(节奏预期!$D126:$H126)</f>
        <v>2810</v>
      </c>
      <c r="BI126" s="13" t="str">
        <f>IF(节奏预期!N126="","",节奏预期!N126*装备强化!D$9+装备强化!D$6)</f>
        <v/>
      </c>
      <c r="BJ126" s="100" t="str">
        <f>IF(节奏预期!O126="","",节奏预期!O126*装备强化!E$9+装备强化!E$6)</f>
        <v/>
      </c>
      <c r="BK126" s="100">
        <f>IF(节奏预期!P126="","",节奏预期!P126*装备强化!F$9+装备强化!F$6)</f>
        <v>1220</v>
      </c>
      <c r="BL126" s="100">
        <f>IF(节奏预期!Q126="","",节奏预期!Q126*装备强化!G$9+装备强化!G$6)</f>
        <v>2600</v>
      </c>
      <c r="BM126" s="100">
        <f>IF(节奏预期!R126="","",节奏预期!R126*装备强化!H$9+装备强化!H$6)</f>
        <v>4280</v>
      </c>
      <c r="BN126" s="14">
        <f>SUMPRODUCT(BI126:BM126,节奏预期!$D126:$H126)/SUM(节奏预期!$D126:$H126)</f>
        <v>2810</v>
      </c>
      <c r="BO126" s="94">
        <f>IF(节奏预期!D126="","",IF(节奏预期!I126="",0,装备强化!D$4*节奏预期!I126))</f>
        <v>3.6</v>
      </c>
      <c r="BP126" s="94">
        <f>IF(节奏预期!E126="","",IF(节奏预期!J126="",0,装备强化!E$4*节奏预期!J126))</f>
        <v>8</v>
      </c>
      <c r="BQ126" s="94">
        <f>IF(节奏预期!F126="","",IF(节奏预期!K126="",0,装备强化!F$4*节奏预期!K126))</f>
        <v>18</v>
      </c>
      <c r="BR126" s="94">
        <f>IF(节奏预期!G126="","",IF(节奏预期!L126="",0,装备强化!G$4*节奏预期!L126))</f>
        <v>28.9</v>
      </c>
      <c r="BS126" s="94">
        <f>IF(节奏预期!H126="","",IF(节奏预期!M126="",0,装备强化!H$4*节奏预期!M126))</f>
        <v>48.839999999999996</v>
      </c>
      <c r="BT126" s="80">
        <f>SUMPRODUCT(BO126:BS126,节奏预期!D126:H126)/SUM(节奏预期!D126:H126)</f>
        <v>31.392499999999998</v>
      </c>
      <c r="BW126" s="25">
        <v>33</v>
      </c>
    </row>
    <row r="127" spans="10:87" x14ac:dyDescent="0.15">
      <c r="J127" s="46">
        <f>INDEX('[1]资源-装备经验'!Y$6:Y$165,(K127+1)/2,1)</f>
        <v>0</v>
      </c>
      <c r="K127" s="113">
        <v>123</v>
      </c>
      <c r="L127" s="121">
        <v>100</v>
      </c>
      <c r="M127" s="122">
        <f t="shared" si="44"/>
        <v>100</v>
      </c>
      <c r="N127" s="120">
        <f t="shared" si="66"/>
        <v>200</v>
      </c>
      <c r="O127" s="120">
        <f t="shared" si="66"/>
        <v>400</v>
      </c>
      <c r="P127" s="120">
        <f t="shared" si="66"/>
        <v>1000</v>
      </c>
      <c r="Q127" s="120">
        <f t="shared" si="66"/>
        <v>3000</v>
      </c>
      <c r="S127" s="113">
        <v>123</v>
      </c>
      <c r="T127" s="113">
        <f>SUM(M$5:M127)</f>
        <v>3345</v>
      </c>
      <c r="U127" s="113">
        <f>SUM(N$5:N127)</f>
        <v>6690</v>
      </c>
      <c r="V127" s="113">
        <f>SUM(O$5:O127)</f>
        <v>13380</v>
      </c>
      <c r="W127" s="113">
        <f>SUM(P$5:P127)</f>
        <v>33450</v>
      </c>
      <c r="X127" s="113">
        <f>SUM(Q$5:Q127)</f>
        <v>100350</v>
      </c>
      <c r="Z127" s="114">
        <v>123</v>
      </c>
      <c r="AA127" s="114">
        <f t="shared" si="67"/>
        <v>4000</v>
      </c>
      <c r="AB127" s="114">
        <f t="shared" si="68"/>
        <v>8000</v>
      </c>
      <c r="AC127" s="114">
        <f t="shared" si="69"/>
        <v>16000</v>
      </c>
      <c r="AD127" s="114">
        <f t="shared" si="70"/>
        <v>40000</v>
      </c>
      <c r="AE127" s="114">
        <f t="shared" si="71"/>
        <v>120000</v>
      </c>
      <c r="AG127" s="114">
        <v>123</v>
      </c>
      <c r="AH127" s="113">
        <f>SUM(AA$5:AA127)</f>
        <v>133800</v>
      </c>
      <c r="AI127" s="113">
        <f>SUM(AB$5:AB127)</f>
        <v>267600</v>
      </c>
      <c r="AJ127" s="113">
        <f>SUM(AC$5:AC127)</f>
        <v>535200</v>
      </c>
      <c r="AK127" s="113">
        <f>SUM(AD$5:AD127)</f>
        <v>1338000</v>
      </c>
      <c r="AL127" s="113">
        <f>SUM(AE$5:AE127)</f>
        <v>4014000</v>
      </c>
      <c r="AO127" s="46">
        <v>9</v>
      </c>
      <c r="AP127" s="37">
        <f>节奏预期!B127</f>
        <v>60</v>
      </c>
      <c r="AQ127" s="114">
        <f>IFERROR(INDEX(AH$5:AH$304,MATCH(节奏预期!N127,$AG$5:$AG$304,0))*节奏预期!D127,0)</f>
        <v>0</v>
      </c>
      <c r="AR127" s="114">
        <f>IFERROR(INDEX(AI$5:AI$304,MATCH(节奏预期!O127,$AG$5:$AG$304,0))*节奏预期!E127,0)</f>
        <v>0</v>
      </c>
      <c r="AS127" s="114">
        <f>IFERROR(INDEX(AJ$5:AJ$304,MATCH(节奏预期!P127,$AG$5:$AG$304,0))*节奏预期!F127,0)</f>
        <v>0</v>
      </c>
      <c r="AT127" s="114">
        <f>IFERROR(INDEX(AK$5:AK$304,MATCH(节奏预期!Q127,$AG$5:$AG$304,0))*节奏预期!G127,0)</f>
        <v>14616000</v>
      </c>
      <c r="AU127" s="114">
        <f>IFERROR(INDEX(AL$5:AL$304,MATCH(节奏预期!R127,$AG$5:$AG$304,0))*节奏预期!H127,0)</f>
        <v>21924000</v>
      </c>
      <c r="AV127" s="136">
        <f t="shared" si="73"/>
        <v>36540000</v>
      </c>
      <c r="AW127" s="114">
        <f>IFERROR(INDEX(T$5:T$304,MATCH(节奏预期!N127,$S$5:$S$304,0))*节奏预期!D127,0)</f>
        <v>0</v>
      </c>
      <c r="AX127" s="114">
        <f>IFERROR(INDEX(U$5:U$304,MATCH(节奏预期!O127,$S$5:$S$304,0))*节奏预期!E127,0)</f>
        <v>0</v>
      </c>
      <c r="AY127" s="114">
        <f>IFERROR(INDEX(V$5:V$304,MATCH(节奏预期!P127,$S$5:$S$304,0))*节奏预期!F127,0)</f>
        <v>0</v>
      </c>
      <c r="AZ127" s="114">
        <f>IFERROR(INDEX(W$5:W$304,MATCH(节奏预期!Q127,$S$5:$S$304,0))*节奏预期!G127,0)</f>
        <v>365400</v>
      </c>
      <c r="BA127" s="114">
        <f>IFERROR(INDEX(X$5:X$304,MATCH(节奏预期!R127,$S$5:$S$304,0))*节奏预期!H127,0)</f>
        <v>548100</v>
      </c>
      <c r="BB127" s="136">
        <f t="shared" si="74"/>
        <v>913500</v>
      </c>
      <c r="BC127" s="100" t="str">
        <f>IF(节奏预期!N127="","",节奏预期!N127*装备强化!D$8+装备强化!D$5)</f>
        <v/>
      </c>
      <c r="BD127" s="100" t="str">
        <f>IF(节奏预期!O127="","",节奏预期!O127*装备强化!E$8+装备强化!E$5)</f>
        <v/>
      </c>
      <c r="BE127" s="100" t="str">
        <f>IF(节奏预期!P127="","",节奏预期!P127*装备强化!F$8+装备强化!F$5)</f>
        <v/>
      </c>
      <c r="BF127" s="100">
        <f>IF(节奏预期!Q127="","",节奏预期!Q127*装备强化!G$8+装备强化!G$5)</f>
        <v>3020</v>
      </c>
      <c r="BG127" s="100">
        <f>IF(节奏预期!R127="","",节奏预期!R127*装备强化!H$8+装备强化!H$5)</f>
        <v>4940</v>
      </c>
      <c r="BH127" s="14">
        <f>SUMPRODUCT(BC127:BG127,节奏预期!$D127:$H127)/SUM(节奏预期!$D127:$H127)</f>
        <v>3660</v>
      </c>
      <c r="BI127" s="13" t="str">
        <f>IF(节奏预期!N127="","",节奏预期!N127*装备强化!D$9+装备强化!D$6)</f>
        <v/>
      </c>
      <c r="BJ127" s="100" t="str">
        <f>IF(节奏预期!O127="","",节奏预期!O127*装备强化!E$9+装备强化!E$6)</f>
        <v/>
      </c>
      <c r="BK127" s="100" t="str">
        <f>IF(节奏预期!P127="","",节奏预期!P127*装备强化!F$9+装备强化!F$6)</f>
        <v/>
      </c>
      <c r="BL127" s="100">
        <f>IF(节奏预期!Q127="","",节奏预期!Q127*装备强化!G$9+装备强化!G$6)</f>
        <v>3020</v>
      </c>
      <c r="BM127" s="100">
        <f>IF(节奏预期!R127="","",节奏预期!R127*装备强化!H$9+装备强化!H$6)</f>
        <v>4940</v>
      </c>
      <c r="BN127" s="14">
        <f>SUMPRODUCT(BI127:BM127,节奏预期!$D127:$H127)/SUM(节奏预期!$D127:$H127)</f>
        <v>3660</v>
      </c>
      <c r="BO127" s="94">
        <f>IF(节奏预期!D127="","",IF(节奏预期!I127="",0,装备强化!D$4*节奏预期!I127))</f>
        <v>3.6</v>
      </c>
      <c r="BP127" s="94">
        <f>IF(节奏预期!E127="","",IF(节奏预期!J127="",0,装备强化!E$4*节奏预期!J127))</f>
        <v>8</v>
      </c>
      <c r="BQ127" s="94">
        <f>IF(节奏预期!F127="","",IF(节奏预期!K127="",0,装备强化!F$4*节奏预期!K127))</f>
        <v>18</v>
      </c>
      <c r="BR127" s="94">
        <f>IF(节奏预期!G127="","",IF(节奏预期!L127="",0,装备强化!G$4*节奏预期!L127))</f>
        <v>31.450000000000003</v>
      </c>
      <c r="BS127" s="94">
        <f>IF(节奏预期!H127="","",IF(节奏预期!M127="",0,装备强化!H$4*节奏预期!M127))</f>
        <v>53.13</v>
      </c>
      <c r="BT127" s="80">
        <f>SUMPRODUCT(BO127:BS127,节奏预期!D127:H127)/SUM(节奏预期!D127:H127)</f>
        <v>38.676666666666669</v>
      </c>
      <c r="BW127" s="25">
        <v>34</v>
      </c>
    </row>
    <row r="128" spans="10:87" x14ac:dyDescent="0.15">
      <c r="J128" s="46">
        <f>INDEX('[1]资源-装备经验'!Y$6:Y$165,(K128+1)/2,1)</f>
        <v>0</v>
      </c>
      <c r="K128" s="113">
        <v>124</v>
      </c>
      <c r="L128" s="121">
        <v>100</v>
      </c>
      <c r="M128" s="122">
        <f t="shared" si="44"/>
        <v>100</v>
      </c>
      <c r="N128" s="120">
        <f t="shared" si="66"/>
        <v>200</v>
      </c>
      <c r="O128" s="120">
        <f t="shared" si="66"/>
        <v>400</v>
      </c>
      <c r="P128" s="120">
        <f t="shared" si="66"/>
        <v>1000</v>
      </c>
      <c r="Q128" s="120">
        <f t="shared" si="66"/>
        <v>3000</v>
      </c>
      <c r="S128" s="113">
        <v>124</v>
      </c>
      <c r="T128" s="113">
        <f>SUM(M$5:M128)</f>
        <v>3445</v>
      </c>
      <c r="U128" s="113">
        <f>SUM(N$5:N128)</f>
        <v>6890</v>
      </c>
      <c r="V128" s="113">
        <f>SUM(O$5:O128)</f>
        <v>13780</v>
      </c>
      <c r="W128" s="113">
        <f>SUM(P$5:P128)</f>
        <v>34450</v>
      </c>
      <c r="X128" s="113">
        <f>SUM(Q$5:Q128)</f>
        <v>103350</v>
      </c>
      <c r="Z128" s="114">
        <v>124</v>
      </c>
      <c r="AA128" s="114">
        <f t="shared" si="67"/>
        <v>4000</v>
      </c>
      <c r="AB128" s="114">
        <f t="shared" si="68"/>
        <v>8000</v>
      </c>
      <c r="AC128" s="114">
        <f t="shared" si="69"/>
        <v>16000</v>
      </c>
      <c r="AD128" s="114">
        <f t="shared" si="70"/>
        <v>40000</v>
      </c>
      <c r="AE128" s="114">
        <f t="shared" si="71"/>
        <v>120000</v>
      </c>
      <c r="AG128" s="114">
        <v>124</v>
      </c>
      <c r="AH128" s="113">
        <f>SUM(AA$5:AA128)</f>
        <v>137800</v>
      </c>
      <c r="AI128" s="113">
        <f>SUM(AB$5:AB128)</f>
        <v>275600</v>
      </c>
      <c r="AJ128" s="113">
        <f>SUM(AC$5:AC128)</f>
        <v>551200</v>
      </c>
      <c r="AK128" s="113">
        <f>SUM(AD$5:AD128)</f>
        <v>1378000</v>
      </c>
      <c r="AL128" s="113">
        <f>SUM(AE$5:AE128)</f>
        <v>4134000</v>
      </c>
      <c r="AO128" s="46">
        <v>10</v>
      </c>
      <c r="AP128" s="37">
        <f>节奏预期!B128</f>
        <v>70</v>
      </c>
      <c r="AQ128" s="114">
        <f>IFERROR(INDEX(AH$5:AH$304,MATCH(节奏预期!N128,$AG$5:$AG$304,0))*节奏预期!D128,0)</f>
        <v>0</v>
      </c>
      <c r="AR128" s="114">
        <f>IFERROR(INDEX(AI$5:AI$304,MATCH(节奏预期!O128,$AG$5:$AG$304,0))*节奏预期!E128,0)</f>
        <v>0</v>
      </c>
      <c r="AS128" s="114">
        <f>IFERROR(INDEX(AJ$5:AJ$304,MATCH(节奏预期!P128,$AG$5:$AG$304,0))*节奏预期!F128,0)</f>
        <v>0</v>
      </c>
      <c r="AT128" s="114">
        <f>IFERROR(INDEX(AK$5:AK$304,MATCH(节奏预期!Q128,$AG$5:$AG$304,0))*节奏预期!G128,0)</f>
        <v>7308000</v>
      </c>
      <c r="AU128" s="114">
        <f>IFERROR(INDEX(AL$5:AL$304,MATCH(节奏预期!R128,$AG$5:$AG$304,0))*节奏预期!H128,0)</f>
        <v>76680000</v>
      </c>
      <c r="AV128" s="136">
        <f t="shared" si="73"/>
        <v>83988000</v>
      </c>
      <c r="AW128" s="114">
        <f>IFERROR(INDEX(T$5:T$304,MATCH(节奏预期!N128,$S$5:$S$304,0))*节奏预期!D128,0)</f>
        <v>0</v>
      </c>
      <c r="AX128" s="114">
        <f>IFERROR(INDEX(U$5:U$304,MATCH(节奏预期!O128,$S$5:$S$304,0))*节奏预期!E128,0)</f>
        <v>0</v>
      </c>
      <c r="AY128" s="114">
        <f>IFERROR(INDEX(V$5:V$304,MATCH(节奏预期!P128,$S$5:$S$304,0))*节奏预期!F128,0)</f>
        <v>0</v>
      </c>
      <c r="AZ128" s="114">
        <f>IFERROR(INDEX(W$5:W$304,MATCH(节奏预期!Q128,$S$5:$S$304,0))*节奏预期!G128,0)</f>
        <v>182700</v>
      </c>
      <c r="BA128" s="114">
        <f>IFERROR(INDEX(X$5:X$304,MATCH(节奏预期!R128,$S$5:$S$304,0))*节奏预期!H128,0)</f>
        <v>1917000</v>
      </c>
      <c r="BB128" s="136">
        <f t="shared" si="74"/>
        <v>2099700</v>
      </c>
      <c r="BC128" s="100" t="str">
        <f>IF(节奏预期!N128="","",节奏预期!N128*装备强化!D$8+装备强化!D$5)</f>
        <v/>
      </c>
      <c r="BD128" s="100" t="str">
        <f>IF(节奏预期!O128="","",节奏预期!O128*装备强化!E$8+装备强化!E$5)</f>
        <v/>
      </c>
      <c r="BE128" s="100" t="str">
        <f>IF(节奏预期!P128="","",节奏预期!P128*装备强化!F$8+装备强化!F$5)</f>
        <v/>
      </c>
      <c r="BF128" s="100">
        <f>IF(节奏预期!Q128="","",节奏预期!Q128*装备强化!G$8+装备强化!G$5)</f>
        <v>3020</v>
      </c>
      <c r="BG128" s="100">
        <f>IF(节奏预期!R128="","",节奏预期!R128*装备强化!H$8+装备强化!H$5)</f>
        <v>5600</v>
      </c>
      <c r="BH128" s="14">
        <f>SUMPRODUCT(BC128:BG128,节奏预期!$D128:$H128)/SUM(节奏预期!$D128:$H128)</f>
        <v>4740</v>
      </c>
      <c r="BI128" s="13" t="str">
        <f>IF(节奏预期!N128="","",节奏预期!N128*装备强化!D$9+装备强化!D$6)</f>
        <v/>
      </c>
      <c r="BJ128" s="100" t="str">
        <f>IF(节奏预期!O128="","",节奏预期!O128*装备强化!E$9+装备强化!E$6)</f>
        <v/>
      </c>
      <c r="BK128" s="100" t="str">
        <f>IF(节奏预期!P128="","",节奏预期!P128*装备强化!F$9+装备强化!F$6)</f>
        <v/>
      </c>
      <c r="BL128" s="100">
        <f>IF(节奏预期!Q128="","",节奏预期!Q128*装备强化!G$9+装备强化!G$6)</f>
        <v>3020</v>
      </c>
      <c r="BM128" s="100">
        <f>IF(节奏预期!R128="","",节奏预期!R128*装备强化!H$9+装备强化!H$6)</f>
        <v>5600</v>
      </c>
      <c r="BN128" s="14">
        <f>SUMPRODUCT(BI128:BM128,节奏预期!$D128:$H128)/SUM(节奏预期!$D128:$H128)</f>
        <v>4740</v>
      </c>
      <c r="BO128" s="94">
        <f>IF(节奏预期!D128="","",IF(节奏预期!I128="",0,装备强化!D$4*节奏预期!I128))</f>
        <v>3.6</v>
      </c>
      <c r="BP128" s="94">
        <f>IF(节奏预期!E128="","",IF(节奏预期!J128="",0,装备强化!E$4*节奏预期!J128))</f>
        <v>8</v>
      </c>
      <c r="BQ128" s="94">
        <f>IF(节奏预期!F128="","",IF(节奏预期!K128="",0,装备强化!F$4*节奏预期!K128))</f>
        <v>18</v>
      </c>
      <c r="BR128" s="94">
        <f>IF(节奏预期!G128="","",IF(节奏预期!L128="",0,装备强化!G$4*节奏预期!L128))</f>
        <v>34</v>
      </c>
      <c r="BS128" s="94">
        <f>IF(节奏预期!H128="","",IF(节奏预期!M128="",0,装备强化!H$4*节奏预期!M128))</f>
        <v>57.42</v>
      </c>
      <c r="BT128" s="80">
        <f>SUMPRODUCT(BO128:BS128,节奏预期!D128:H128)/SUM(节奏预期!D128:H128)</f>
        <v>49.61333333333333</v>
      </c>
      <c r="BW128" s="25">
        <v>35</v>
      </c>
    </row>
    <row r="129" spans="10:96" x14ac:dyDescent="0.15">
      <c r="J129" s="46">
        <f>INDEX('[1]资源-装备经验'!Y$6:Y$165,(K129+1)/2,1)</f>
        <v>0</v>
      </c>
      <c r="K129" s="113">
        <v>125</v>
      </c>
      <c r="L129" s="121">
        <v>100</v>
      </c>
      <c r="M129" s="122">
        <f t="shared" si="44"/>
        <v>100</v>
      </c>
      <c r="N129" s="120">
        <f t="shared" si="66"/>
        <v>200</v>
      </c>
      <c r="O129" s="120">
        <f t="shared" si="66"/>
        <v>400</v>
      </c>
      <c r="P129" s="120">
        <f t="shared" si="66"/>
        <v>1000</v>
      </c>
      <c r="Q129" s="120">
        <f t="shared" si="66"/>
        <v>3000</v>
      </c>
      <c r="S129" s="113">
        <v>125</v>
      </c>
      <c r="T129" s="113">
        <f>SUM(M$5:M129)</f>
        <v>3545</v>
      </c>
      <c r="U129" s="113">
        <f>SUM(N$5:N129)</f>
        <v>7090</v>
      </c>
      <c r="V129" s="113">
        <f>SUM(O$5:O129)</f>
        <v>14180</v>
      </c>
      <c r="W129" s="113">
        <f>SUM(P$5:P129)</f>
        <v>35450</v>
      </c>
      <c r="X129" s="113">
        <f>SUM(Q$5:Q129)</f>
        <v>106350</v>
      </c>
      <c r="Z129" s="114">
        <v>125</v>
      </c>
      <c r="AA129" s="114">
        <f t="shared" si="67"/>
        <v>4000</v>
      </c>
      <c r="AB129" s="114">
        <f t="shared" si="68"/>
        <v>8000</v>
      </c>
      <c r="AC129" s="114">
        <f t="shared" si="69"/>
        <v>16000</v>
      </c>
      <c r="AD129" s="114">
        <f t="shared" si="70"/>
        <v>40000</v>
      </c>
      <c r="AE129" s="114">
        <f t="shared" si="71"/>
        <v>120000</v>
      </c>
      <c r="AG129" s="114">
        <v>125</v>
      </c>
      <c r="AH129" s="113">
        <f>SUM(AA$5:AA129)</f>
        <v>141800</v>
      </c>
      <c r="AI129" s="113">
        <f>SUM(AB$5:AB129)</f>
        <v>283600</v>
      </c>
      <c r="AJ129" s="113">
        <f>SUM(AC$5:AC129)</f>
        <v>567200</v>
      </c>
      <c r="AK129" s="113">
        <f>SUM(AD$5:AD129)</f>
        <v>1418000</v>
      </c>
      <c r="AL129" s="113">
        <f>SUM(AE$5:AE129)</f>
        <v>4254000</v>
      </c>
      <c r="AO129" s="46">
        <v>11</v>
      </c>
      <c r="AP129" s="37">
        <f>节奏预期!B129</f>
        <v>80</v>
      </c>
      <c r="AQ129" s="114">
        <f>IFERROR(INDEX(AH$5:AH$304,MATCH(节奏预期!N129,$AG$5:$AG$304,0))*节奏预期!D129,0)</f>
        <v>0</v>
      </c>
      <c r="AR129" s="114">
        <f>IFERROR(INDEX(AI$5:AI$304,MATCH(节奏预期!O129,$AG$5:$AG$304,0))*节奏预期!E129,0)</f>
        <v>0</v>
      </c>
      <c r="AS129" s="114">
        <f>IFERROR(INDEX(AJ$5:AJ$304,MATCH(节奏预期!P129,$AG$5:$AG$304,0))*节奏预期!F129,0)</f>
        <v>0</v>
      </c>
      <c r="AT129" s="114">
        <f>IFERROR(INDEX(AK$5:AK$304,MATCH(节奏预期!Q129,$AG$5:$AG$304,0))*节奏预期!G129,0)</f>
        <v>0</v>
      </c>
      <c r="AU129" s="114">
        <f>IFERROR(INDEX(AL$5:AL$304,MATCH(节奏预期!R129,$AG$5:$AG$304,0))*节奏预期!H129,0)</f>
        <v>210492000</v>
      </c>
      <c r="AV129" s="136">
        <f t="shared" si="73"/>
        <v>210492000</v>
      </c>
      <c r="AW129" s="114">
        <f>IFERROR(INDEX(T$5:T$304,MATCH(节奏预期!N129,$S$5:$S$304,0))*节奏预期!D129,0)</f>
        <v>0</v>
      </c>
      <c r="AX129" s="114">
        <f>IFERROR(INDEX(U$5:U$304,MATCH(节奏预期!O129,$S$5:$S$304,0))*节奏预期!E129,0)</f>
        <v>0</v>
      </c>
      <c r="AY129" s="114">
        <f>IFERROR(INDEX(V$5:V$304,MATCH(节奏预期!P129,$S$5:$S$304,0))*节奏预期!F129,0)</f>
        <v>0</v>
      </c>
      <c r="AZ129" s="114">
        <f>IFERROR(INDEX(W$5:W$304,MATCH(节奏预期!Q129,$S$5:$S$304,0))*节奏预期!G129,0)</f>
        <v>0</v>
      </c>
      <c r="BA129" s="114">
        <f>IFERROR(INDEX(X$5:X$304,MATCH(节奏预期!R129,$S$5:$S$304,0))*节奏预期!H129,0)</f>
        <v>5262300</v>
      </c>
      <c r="BB129" s="136">
        <f t="shared" si="74"/>
        <v>5262300</v>
      </c>
      <c r="BC129" s="100" t="str">
        <f>IF(节奏预期!N129="","",节奏预期!N129*装备强化!D$8+装备强化!D$5)</f>
        <v/>
      </c>
      <c r="BD129" s="100" t="str">
        <f>IF(节奏预期!O129="","",节奏预期!O129*装备强化!E$8+装备强化!E$5)</f>
        <v/>
      </c>
      <c r="BE129" s="100" t="str">
        <f>IF(节奏预期!P129="","",节奏预期!P129*装备强化!F$8+装备强化!F$5)</f>
        <v/>
      </c>
      <c r="BF129" s="100" t="str">
        <f>IF(节奏预期!Q129="","",节奏预期!Q129*装备强化!G$8+装备强化!G$5)</f>
        <v/>
      </c>
      <c r="BG129" s="100">
        <f>IF(节奏预期!R129="","",节奏预期!R129*装备强化!H$8+装备强化!H$5)</f>
        <v>6260</v>
      </c>
      <c r="BH129" s="14">
        <f>SUMPRODUCT(BC129:BG129,节奏预期!$D129:$H129)/SUM(节奏预期!$D129:$H129)</f>
        <v>6260</v>
      </c>
      <c r="BI129" s="13" t="str">
        <f>IF(节奏预期!N129="","",节奏预期!N129*装备强化!D$9+装备强化!D$6)</f>
        <v/>
      </c>
      <c r="BJ129" s="100" t="str">
        <f>IF(节奏预期!O129="","",节奏预期!O129*装备强化!E$9+装备强化!E$6)</f>
        <v/>
      </c>
      <c r="BK129" s="100" t="str">
        <f>IF(节奏预期!P129="","",节奏预期!P129*装备强化!F$9+装备强化!F$6)</f>
        <v/>
      </c>
      <c r="BL129" s="100" t="str">
        <f>IF(节奏预期!Q129="","",节奏预期!Q129*装备强化!G$9+装备强化!G$6)</f>
        <v/>
      </c>
      <c r="BM129" s="100">
        <f>IF(节奏预期!R129="","",节奏预期!R129*装备强化!H$9+装备强化!H$6)</f>
        <v>6260</v>
      </c>
      <c r="BN129" s="14">
        <f>SUMPRODUCT(BI129:BM129,节奏预期!$D129:$H129)/SUM(节奏预期!$D129:$H129)</f>
        <v>6260</v>
      </c>
      <c r="BO129" s="94">
        <f>IF(节奏预期!D129="","",IF(节奏预期!I129="",0,装备强化!D$4*节奏预期!I129))</f>
        <v>3.6</v>
      </c>
      <c r="BP129" s="94">
        <f>IF(节奏预期!E129="","",IF(节奏预期!J129="",0,装备强化!E$4*节奏预期!J129))</f>
        <v>8</v>
      </c>
      <c r="BQ129" s="94">
        <f>IF(节奏预期!F129="","",IF(节奏预期!K129="",0,装备强化!F$4*节奏预期!K129))</f>
        <v>18</v>
      </c>
      <c r="BR129" s="94">
        <f>IF(节奏预期!G129="","",IF(节奏预期!L129="",0,装备强化!G$4*节奏预期!L129))</f>
        <v>34</v>
      </c>
      <c r="BS129" s="94">
        <f>IF(节奏预期!H129="","",IF(节奏预期!M129="",0,装备强化!H$4*节奏预期!M129))</f>
        <v>61.71</v>
      </c>
      <c r="BT129" s="80">
        <f>SUMPRODUCT(BO129:BS129,节奏预期!D129:H129)/SUM(节奏预期!D129:H129)</f>
        <v>61.71</v>
      </c>
      <c r="BW129" s="25">
        <v>36</v>
      </c>
    </row>
    <row r="130" spans="10:96" x14ac:dyDescent="0.15">
      <c r="J130" s="46">
        <f>INDEX('[1]资源-装备经验'!Y$6:Y$165,(K130+1)/2,1)</f>
        <v>0</v>
      </c>
      <c r="K130" s="113">
        <v>126</v>
      </c>
      <c r="L130" s="121">
        <v>100</v>
      </c>
      <c r="M130" s="122">
        <f t="shared" si="44"/>
        <v>100</v>
      </c>
      <c r="N130" s="120">
        <f t="shared" si="66"/>
        <v>200</v>
      </c>
      <c r="O130" s="120">
        <f t="shared" si="66"/>
        <v>400</v>
      </c>
      <c r="P130" s="120">
        <f t="shared" si="66"/>
        <v>1000</v>
      </c>
      <c r="Q130" s="120">
        <f t="shared" si="66"/>
        <v>3000</v>
      </c>
      <c r="S130" s="113">
        <v>126</v>
      </c>
      <c r="T130" s="113">
        <f>SUM(M$5:M130)</f>
        <v>3645</v>
      </c>
      <c r="U130" s="113">
        <f>SUM(N$5:N130)</f>
        <v>7290</v>
      </c>
      <c r="V130" s="113">
        <f>SUM(O$5:O130)</f>
        <v>14580</v>
      </c>
      <c r="W130" s="113">
        <f>SUM(P$5:P130)</f>
        <v>36450</v>
      </c>
      <c r="X130" s="113">
        <f>SUM(Q$5:Q130)</f>
        <v>109350</v>
      </c>
      <c r="Z130" s="114">
        <v>126</v>
      </c>
      <c r="AA130" s="114">
        <f t="shared" si="67"/>
        <v>4000</v>
      </c>
      <c r="AB130" s="114">
        <f t="shared" si="68"/>
        <v>8000</v>
      </c>
      <c r="AC130" s="114">
        <f t="shared" si="69"/>
        <v>16000</v>
      </c>
      <c r="AD130" s="114">
        <f t="shared" si="70"/>
        <v>40000</v>
      </c>
      <c r="AE130" s="114">
        <f t="shared" si="71"/>
        <v>120000</v>
      </c>
      <c r="AG130" s="114">
        <v>126</v>
      </c>
      <c r="AH130" s="113">
        <f>SUM(AA$5:AA130)</f>
        <v>145800</v>
      </c>
      <c r="AI130" s="113">
        <f>SUM(AB$5:AB130)</f>
        <v>291600</v>
      </c>
      <c r="AJ130" s="113">
        <f>SUM(AC$5:AC130)</f>
        <v>583200</v>
      </c>
      <c r="AK130" s="113">
        <f>SUM(AD$5:AD130)</f>
        <v>1458000</v>
      </c>
      <c r="AL130" s="113">
        <f>SUM(AE$5:AE130)</f>
        <v>4374000</v>
      </c>
      <c r="AO130" s="46">
        <v>12</v>
      </c>
      <c r="AP130" s="37">
        <f>节奏预期!B130</f>
        <v>90</v>
      </c>
      <c r="AQ130" s="114">
        <f>IFERROR(INDEX(AH$5:AH$304,MATCH(节奏预期!N130,$AG$5:$AG$304,0))*节奏预期!D130,0)</f>
        <v>0</v>
      </c>
      <c r="AR130" s="114">
        <f>IFERROR(INDEX(AI$5:AI$304,MATCH(节奏预期!O130,$AG$5:$AG$304,0))*节奏预期!E130,0)</f>
        <v>0</v>
      </c>
      <c r="AS130" s="114">
        <f>IFERROR(INDEX(AJ$5:AJ$304,MATCH(节奏预期!P130,$AG$5:$AG$304,0))*节奏预期!F130,0)</f>
        <v>0</v>
      </c>
      <c r="AT130" s="114">
        <f>IFERROR(INDEX(AK$5:AK$304,MATCH(节奏预期!Q130,$AG$5:$AG$304,0))*节奏预期!G130,0)</f>
        <v>0</v>
      </c>
      <c r="AU130" s="114">
        <f>IFERROR(INDEX(AL$5:AL$304,MATCH(节奏预期!R130,$AG$5:$AG$304,0))*节奏预期!H130,0)</f>
        <v>486972000</v>
      </c>
      <c r="AV130" s="136">
        <f t="shared" si="73"/>
        <v>486972000</v>
      </c>
      <c r="AW130" s="114">
        <f>IFERROR(INDEX(T$5:T$304,MATCH(节奏预期!N130,$S$5:$S$304,0))*节奏预期!D130,0)</f>
        <v>0</v>
      </c>
      <c r="AX130" s="114">
        <f>IFERROR(INDEX(U$5:U$304,MATCH(节奏预期!O130,$S$5:$S$304,0))*节奏预期!E130,0)</f>
        <v>0</v>
      </c>
      <c r="AY130" s="114">
        <f>IFERROR(INDEX(V$5:V$304,MATCH(节奏预期!P130,$S$5:$S$304,0))*节奏预期!F130,0)</f>
        <v>0</v>
      </c>
      <c r="AZ130" s="114">
        <f>IFERROR(INDEX(W$5:W$304,MATCH(节奏预期!Q130,$S$5:$S$304,0))*节奏预期!G130,0)</f>
        <v>0</v>
      </c>
      <c r="BA130" s="114">
        <f>IFERROR(INDEX(X$5:X$304,MATCH(节奏预期!R130,$S$5:$S$304,0))*节奏预期!H130,0)</f>
        <v>12174300</v>
      </c>
      <c r="BB130" s="136">
        <f t="shared" si="74"/>
        <v>12174300</v>
      </c>
      <c r="BC130" s="100" t="str">
        <f>IF(节奏预期!N130="","",节奏预期!N130*装备强化!D$8+装备强化!D$5)</f>
        <v/>
      </c>
      <c r="BD130" s="100" t="str">
        <f>IF(节奏预期!O130="","",节奏预期!O130*装备强化!E$8+装备强化!E$5)</f>
        <v/>
      </c>
      <c r="BE130" s="100" t="str">
        <f>IF(节奏预期!P130="","",节奏预期!P130*装备强化!F$8+装备强化!F$5)</f>
        <v/>
      </c>
      <c r="BF130" s="100" t="str">
        <f>IF(节奏预期!Q130="","",节奏预期!Q130*装备强化!G$8+装备强化!G$5)</f>
        <v/>
      </c>
      <c r="BG130" s="100">
        <f>IF(节奏预期!R130="","",节奏预期!R130*装备强化!H$8+装备强化!H$5)</f>
        <v>6920</v>
      </c>
      <c r="BH130" s="14">
        <f>SUMPRODUCT(BC130:BG130,节奏预期!$D130:$H130)/SUM(节奏预期!$D130:$H130)</f>
        <v>6920</v>
      </c>
      <c r="BI130" s="13" t="str">
        <f>IF(节奏预期!N130="","",节奏预期!N130*装备强化!D$9+装备强化!D$6)</f>
        <v/>
      </c>
      <c r="BJ130" s="100" t="str">
        <f>IF(节奏预期!O130="","",节奏预期!O130*装备强化!E$9+装备强化!E$6)</f>
        <v/>
      </c>
      <c r="BK130" s="100" t="str">
        <f>IF(节奏预期!P130="","",节奏预期!P130*装备强化!F$9+装备强化!F$6)</f>
        <v/>
      </c>
      <c r="BL130" s="100" t="str">
        <f>IF(节奏预期!Q130="","",节奏预期!Q130*装备强化!G$9+装备强化!G$6)</f>
        <v/>
      </c>
      <c r="BM130" s="100">
        <f>IF(节奏预期!R130="","",节奏预期!R130*装备强化!H$9+装备强化!H$6)</f>
        <v>6920</v>
      </c>
      <c r="BN130" s="14">
        <f>SUMPRODUCT(BI130:BM130,节奏预期!$D130:$H130)/SUM(节奏预期!$D130:$H130)</f>
        <v>6920</v>
      </c>
      <c r="BO130" s="94">
        <f>IF(节奏预期!D130="","",IF(节奏预期!I130="",0,装备强化!D$4*节奏预期!I130))</f>
        <v>3.6</v>
      </c>
      <c r="BP130" s="94">
        <f>IF(节奏预期!E130="","",IF(节奏预期!J130="",0,装备强化!E$4*节奏预期!J130))</f>
        <v>8</v>
      </c>
      <c r="BQ130" s="94">
        <f>IF(节奏预期!F130="","",IF(节奏预期!K130="",0,装备强化!F$4*节奏预期!K130))</f>
        <v>18</v>
      </c>
      <c r="BR130" s="94">
        <f>IF(节奏预期!G130="","",IF(节奏预期!L130="",0,装备强化!G$4*节奏预期!L130))</f>
        <v>34</v>
      </c>
      <c r="BS130" s="94">
        <f>IF(节奏预期!H130="","",IF(节奏预期!M130="",0,装备强化!H$4*节奏预期!M130))</f>
        <v>66</v>
      </c>
      <c r="BT130" s="80">
        <f>SUMPRODUCT(BO130:BS130,节奏预期!D130:H130)/SUM(节奏预期!D130:H130)</f>
        <v>66</v>
      </c>
      <c r="BW130" s="25">
        <v>37</v>
      </c>
    </row>
    <row r="131" spans="10:96" x14ac:dyDescent="0.15">
      <c r="J131" s="46">
        <f>INDEX('[1]资源-装备经验'!Y$6:Y$165,(K131+1)/2,1)</f>
        <v>0</v>
      </c>
      <c r="K131" s="113">
        <v>127</v>
      </c>
      <c r="L131" s="121">
        <v>100</v>
      </c>
      <c r="M131" s="122">
        <f t="shared" si="44"/>
        <v>100</v>
      </c>
      <c r="N131" s="120">
        <f t="shared" si="66"/>
        <v>200</v>
      </c>
      <c r="O131" s="120">
        <f t="shared" si="66"/>
        <v>400</v>
      </c>
      <c r="P131" s="120">
        <f t="shared" si="66"/>
        <v>1000</v>
      </c>
      <c r="Q131" s="120">
        <f t="shared" si="66"/>
        <v>3000</v>
      </c>
      <c r="S131" s="113">
        <v>127</v>
      </c>
      <c r="T131" s="113">
        <f>SUM(M$5:M131)</f>
        <v>3745</v>
      </c>
      <c r="U131" s="113">
        <f>SUM(N$5:N131)</f>
        <v>7490</v>
      </c>
      <c r="V131" s="113">
        <f>SUM(O$5:O131)</f>
        <v>14980</v>
      </c>
      <c r="W131" s="113">
        <f>SUM(P$5:P131)</f>
        <v>37450</v>
      </c>
      <c r="X131" s="113">
        <f>SUM(Q$5:Q131)</f>
        <v>112350</v>
      </c>
      <c r="Z131" s="114">
        <v>127</v>
      </c>
      <c r="AA131" s="114">
        <f t="shared" si="67"/>
        <v>4000</v>
      </c>
      <c r="AB131" s="114">
        <f t="shared" si="68"/>
        <v>8000</v>
      </c>
      <c r="AC131" s="114">
        <f t="shared" si="69"/>
        <v>16000</v>
      </c>
      <c r="AD131" s="114">
        <f t="shared" si="70"/>
        <v>40000</v>
      </c>
      <c r="AE131" s="114">
        <f t="shared" si="71"/>
        <v>120000</v>
      </c>
      <c r="AG131" s="114">
        <v>127</v>
      </c>
      <c r="AH131" s="113">
        <f>SUM(AA$5:AA131)</f>
        <v>149800</v>
      </c>
      <c r="AI131" s="113">
        <f>SUM(AB$5:AB131)</f>
        <v>299600</v>
      </c>
      <c r="AJ131" s="113">
        <f>SUM(AC$5:AC131)</f>
        <v>599200</v>
      </c>
      <c r="AK131" s="113">
        <f>SUM(AD$5:AD131)</f>
        <v>1498000</v>
      </c>
      <c r="AL131" s="113">
        <f>SUM(AE$5:AE131)</f>
        <v>4494000</v>
      </c>
      <c r="AO131" s="46">
        <v>13</v>
      </c>
      <c r="AP131" s="129">
        <f>节奏预期!B131</f>
        <v>100</v>
      </c>
      <c r="AQ131" s="128">
        <f>IFERROR(INDEX(AH$5:AH$304,MATCH(节奏预期!N131,$AG$5:$AG$304,0))*节奏预期!D131,0)</f>
        <v>0</v>
      </c>
      <c r="AR131" s="128">
        <f>IFERROR(INDEX(AI$5:AI$304,MATCH(节奏预期!O131,$AG$5:$AG$304,0))*节奏预期!E131,0)</f>
        <v>0</v>
      </c>
      <c r="AS131" s="128">
        <f>IFERROR(INDEX(AJ$5:AJ$304,MATCH(节奏预期!P131,$AG$5:$AG$304,0))*节奏预期!F131,0)</f>
        <v>0</v>
      </c>
      <c r="AT131" s="128">
        <f>IFERROR(INDEX(AK$5:AK$304,MATCH(节奏预期!Q131,$AG$5:$AG$304,0))*节奏预期!G131,0)</f>
        <v>0</v>
      </c>
      <c r="AU131" s="128">
        <f>IFERROR(INDEX(AL$5:AL$304,MATCH(节奏预期!R131,$AG$5:$AG$304,0))*节奏预期!H131,0)</f>
        <v>1117692000</v>
      </c>
      <c r="AV131" s="136">
        <f t="shared" si="73"/>
        <v>1117692000</v>
      </c>
      <c r="AW131" s="128">
        <f>IFERROR(INDEX(T$5:T$304,MATCH(节奏预期!N131,$S$5:$S$304,0))*节奏预期!D131,0)</f>
        <v>0</v>
      </c>
      <c r="AX131" s="128">
        <f>IFERROR(INDEX(U$5:U$304,MATCH(节奏预期!O131,$S$5:$S$304,0))*节奏预期!E131,0)</f>
        <v>0</v>
      </c>
      <c r="AY131" s="128">
        <f>IFERROR(INDEX(V$5:V$304,MATCH(节奏预期!P131,$S$5:$S$304,0))*节奏预期!F131,0)</f>
        <v>0</v>
      </c>
      <c r="AZ131" s="128">
        <f>IFERROR(INDEX(W$5:W$304,MATCH(节奏预期!Q131,$S$5:$S$304,0))*节奏预期!G131,0)</f>
        <v>0</v>
      </c>
      <c r="BA131" s="128">
        <f>IFERROR(INDEX(X$5:X$304,MATCH(节奏预期!R131,$S$5:$S$304,0))*节奏预期!H131,0)</f>
        <v>27942300</v>
      </c>
      <c r="BB131" s="136">
        <f t="shared" si="74"/>
        <v>27942300</v>
      </c>
      <c r="BC131" s="126" t="str">
        <f>IF(节奏预期!N131="","",节奏预期!N131*装备强化!D$8+装备强化!D$5)</f>
        <v/>
      </c>
      <c r="BD131" s="126" t="str">
        <f>IF(节奏预期!O131="","",节奏预期!O131*装备强化!E$8+装备强化!E$5)</f>
        <v/>
      </c>
      <c r="BE131" s="126" t="str">
        <f>IF(节奏预期!P131="","",节奏预期!P131*装备强化!F$8+装备强化!F$5)</f>
        <v/>
      </c>
      <c r="BF131" s="126" t="str">
        <f>IF(节奏预期!Q131="","",节奏预期!Q131*装备强化!G$8+装备强化!G$5)</f>
        <v/>
      </c>
      <c r="BG131" s="126">
        <f>IF(节奏预期!R131="","",节奏预期!R131*装备强化!H$8+装备强化!H$5)</f>
        <v>7580</v>
      </c>
      <c r="BH131" s="14">
        <f>SUMPRODUCT(BC131:BG131,节奏预期!$D131:$H131)/SUM(节奏预期!$D131:$H131)</f>
        <v>7580</v>
      </c>
      <c r="BI131" s="13" t="str">
        <f>IF(节奏预期!N131="","",节奏预期!N131*装备强化!D$9+装备强化!D$6)</f>
        <v/>
      </c>
      <c r="BJ131" s="126" t="str">
        <f>IF(节奏预期!O131="","",节奏预期!O131*装备强化!E$9+装备强化!E$6)</f>
        <v/>
      </c>
      <c r="BK131" s="126" t="str">
        <f>IF(节奏预期!P131="","",节奏预期!P131*装备强化!F$9+装备强化!F$6)</f>
        <v/>
      </c>
      <c r="BL131" s="126" t="str">
        <f>IF(节奏预期!Q131="","",节奏预期!Q131*装备强化!G$9+装备强化!G$6)</f>
        <v/>
      </c>
      <c r="BM131" s="126">
        <f>IF(节奏预期!R131="","",节奏预期!R131*装备强化!H$9+装备强化!H$6)</f>
        <v>7580</v>
      </c>
      <c r="BN131" s="14">
        <f>SUMPRODUCT(BI131:BM131,节奏预期!$D131:$H131)/SUM(节奏预期!$D131:$H131)</f>
        <v>7580</v>
      </c>
      <c r="BO131" s="128">
        <f>IF(节奏预期!D131="","",IF(节奏预期!I131="",0,装备强化!D$4*节奏预期!I131))</f>
        <v>3.6</v>
      </c>
      <c r="BP131" s="128">
        <f>IF(节奏预期!E131="","",IF(节奏预期!J131="",0,装备强化!E$4*节奏预期!J131))</f>
        <v>8</v>
      </c>
      <c r="BQ131" s="128">
        <f>IF(节奏预期!F131="","",IF(节奏预期!K131="",0,装备强化!F$4*节奏预期!K131))</f>
        <v>18</v>
      </c>
      <c r="BR131" s="128">
        <f>IF(节奏预期!G131="","",IF(节奏预期!L131="",0,装备强化!G$4*节奏预期!L131))</f>
        <v>34</v>
      </c>
      <c r="BS131" s="128">
        <f>IF(节奏预期!H131="","",IF(节奏预期!M131="",0,装备强化!H$4*节奏预期!M131))</f>
        <v>66</v>
      </c>
      <c r="BT131" s="80">
        <f>SUMPRODUCT(BO131:BS131,节奏预期!D131:H131)/SUM(节奏预期!D131:H131)</f>
        <v>66</v>
      </c>
      <c r="BW131" s="25">
        <v>38</v>
      </c>
    </row>
    <row r="132" spans="10:96" x14ac:dyDescent="0.15">
      <c r="J132" s="46">
        <f>INDEX('[1]资源-装备经验'!Y$6:Y$165,(K132+1)/2,1)</f>
        <v>0</v>
      </c>
      <c r="K132" s="113">
        <v>128</v>
      </c>
      <c r="L132" s="121">
        <v>100</v>
      </c>
      <c r="M132" s="122">
        <f t="shared" si="44"/>
        <v>100</v>
      </c>
      <c r="N132" s="120">
        <f t="shared" si="66"/>
        <v>200</v>
      </c>
      <c r="O132" s="120">
        <f t="shared" si="66"/>
        <v>400</v>
      </c>
      <c r="P132" s="120">
        <f t="shared" si="66"/>
        <v>1000</v>
      </c>
      <c r="Q132" s="120">
        <f t="shared" si="66"/>
        <v>3000</v>
      </c>
      <c r="S132" s="113">
        <v>128</v>
      </c>
      <c r="T132" s="113">
        <f>SUM(M$5:M132)</f>
        <v>3845</v>
      </c>
      <c r="U132" s="113">
        <f>SUM(N$5:N132)</f>
        <v>7690</v>
      </c>
      <c r="V132" s="113">
        <f>SUM(O$5:O132)</f>
        <v>15380</v>
      </c>
      <c r="W132" s="113">
        <f>SUM(P$5:P132)</f>
        <v>38450</v>
      </c>
      <c r="X132" s="113">
        <f>SUM(Q$5:Q132)</f>
        <v>115350</v>
      </c>
      <c r="Z132" s="114">
        <v>128</v>
      </c>
      <c r="AA132" s="114">
        <f t="shared" si="67"/>
        <v>4000</v>
      </c>
      <c r="AB132" s="114">
        <f t="shared" si="68"/>
        <v>8000</v>
      </c>
      <c r="AC132" s="114">
        <f t="shared" si="69"/>
        <v>16000</v>
      </c>
      <c r="AD132" s="114">
        <f t="shared" si="70"/>
        <v>40000</v>
      </c>
      <c r="AE132" s="114">
        <f t="shared" si="71"/>
        <v>120000</v>
      </c>
      <c r="AG132" s="114">
        <v>128</v>
      </c>
      <c r="AH132" s="113">
        <f>SUM(AA$5:AA132)</f>
        <v>153800</v>
      </c>
      <c r="AI132" s="113">
        <f>SUM(AB$5:AB132)</f>
        <v>307600</v>
      </c>
      <c r="AJ132" s="113">
        <f>SUM(AC$5:AC132)</f>
        <v>615200</v>
      </c>
      <c r="AK132" s="113">
        <f>SUM(AD$5:AD132)</f>
        <v>1538000</v>
      </c>
      <c r="AL132" s="113">
        <f>SUM(AE$5:AE132)</f>
        <v>4614000</v>
      </c>
      <c r="AO132" s="46">
        <v>14</v>
      </c>
      <c r="AP132" s="129">
        <f>节奏预期!B132</f>
        <v>110</v>
      </c>
      <c r="AQ132" s="128">
        <f>IFERROR(INDEX(AH$5:AH$304,MATCH(节奏预期!N132,$AG$5:$AG$304,0))*节奏预期!D132,0)</f>
        <v>0</v>
      </c>
      <c r="AR132" s="128">
        <f>IFERROR(INDEX(AI$5:AI$304,MATCH(节奏预期!O132,$AG$5:$AG$304,0))*节奏预期!E132,0)</f>
        <v>0</v>
      </c>
      <c r="AS132" s="128">
        <f>IFERROR(INDEX(AJ$5:AJ$304,MATCH(节奏预期!P132,$AG$5:$AG$304,0))*节奏预期!F132,0)</f>
        <v>0</v>
      </c>
      <c r="AT132" s="128">
        <f>IFERROR(INDEX(AK$5:AK$304,MATCH(节奏预期!Q132,$AG$5:$AG$304,0))*节奏预期!G132,0)</f>
        <v>0</v>
      </c>
      <c r="AU132" s="128">
        <f>IFERROR(INDEX(AL$5:AL$304,MATCH(节奏预期!R132,$AG$5:$AG$304,0))*节奏预期!H132,0)</f>
        <v>2478492000</v>
      </c>
      <c r="AV132" s="136">
        <f t="shared" si="73"/>
        <v>2478492000</v>
      </c>
      <c r="AW132" s="128">
        <f>IFERROR(INDEX(T$5:T$304,MATCH(节奏预期!N132,$S$5:$S$304,0))*节奏预期!D132,0)</f>
        <v>0</v>
      </c>
      <c r="AX132" s="128">
        <f>IFERROR(INDEX(U$5:U$304,MATCH(节奏预期!O132,$S$5:$S$304,0))*节奏预期!E132,0)</f>
        <v>0</v>
      </c>
      <c r="AY132" s="128">
        <f>IFERROR(INDEX(V$5:V$304,MATCH(节奏预期!P132,$S$5:$S$304,0))*节奏预期!F132,0)</f>
        <v>0</v>
      </c>
      <c r="AZ132" s="128">
        <f>IFERROR(INDEX(W$5:W$304,MATCH(节奏预期!Q132,$S$5:$S$304,0))*节奏预期!G132,0)</f>
        <v>0</v>
      </c>
      <c r="BA132" s="128">
        <f>IFERROR(INDEX(X$5:X$304,MATCH(节奏预期!R132,$S$5:$S$304,0))*节奏预期!H132,0)</f>
        <v>61962300</v>
      </c>
      <c r="BB132" s="136">
        <f t="shared" si="74"/>
        <v>61962300</v>
      </c>
      <c r="BC132" s="126" t="str">
        <f>IF(节奏预期!N132="","",节奏预期!N132*装备强化!D$8+装备强化!D$5)</f>
        <v/>
      </c>
      <c r="BD132" s="126" t="str">
        <f>IF(节奏预期!O132="","",节奏预期!O132*装备强化!E$8+装备强化!E$5)</f>
        <v/>
      </c>
      <c r="BE132" s="126" t="str">
        <f>IF(节奏预期!P132="","",节奏预期!P132*装备强化!F$8+装备强化!F$5)</f>
        <v/>
      </c>
      <c r="BF132" s="126" t="str">
        <f>IF(节奏预期!Q132="","",节奏预期!Q132*装备强化!G$8+装备强化!G$5)</f>
        <v/>
      </c>
      <c r="BG132" s="126">
        <f>IF(节奏预期!R132="","",节奏预期!R132*装备强化!H$8+装备强化!H$5)</f>
        <v>8240</v>
      </c>
      <c r="BH132" s="14">
        <f>SUMPRODUCT(BC132:BG132,节奏预期!$D132:$H132)/SUM(节奏预期!$D132:$H132)</f>
        <v>8240</v>
      </c>
      <c r="BI132" s="13" t="str">
        <f>IF(节奏预期!N132="","",节奏预期!N132*装备强化!D$9+装备强化!D$6)</f>
        <v/>
      </c>
      <c r="BJ132" s="126" t="str">
        <f>IF(节奏预期!O132="","",节奏预期!O132*装备强化!E$9+装备强化!E$6)</f>
        <v/>
      </c>
      <c r="BK132" s="126" t="str">
        <f>IF(节奏预期!P132="","",节奏预期!P132*装备强化!F$9+装备强化!F$6)</f>
        <v/>
      </c>
      <c r="BL132" s="126" t="str">
        <f>IF(节奏预期!Q132="","",节奏预期!Q132*装备强化!G$9+装备强化!G$6)</f>
        <v/>
      </c>
      <c r="BM132" s="126">
        <f>IF(节奏预期!R132="","",节奏预期!R132*装备强化!H$9+装备强化!H$6)</f>
        <v>8240</v>
      </c>
      <c r="BN132" s="14">
        <f>SUMPRODUCT(BI132:BM132,节奏预期!$D132:$H132)/SUM(节奏预期!$D132:$H132)</f>
        <v>8240</v>
      </c>
      <c r="BO132" s="128">
        <f>IF(节奏预期!D132="","",IF(节奏预期!I132="",0,装备强化!D$4*节奏预期!I132))</f>
        <v>3.6</v>
      </c>
      <c r="BP132" s="128">
        <f>IF(节奏预期!E132="","",IF(节奏预期!J132="",0,装备强化!E$4*节奏预期!J132))</f>
        <v>8</v>
      </c>
      <c r="BQ132" s="128">
        <f>IF(节奏预期!F132="","",IF(节奏预期!K132="",0,装备强化!F$4*节奏预期!K132))</f>
        <v>18</v>
      </c>
      <c r="BR132" s="128">
        <f>IF(节奏预期!G132="","",IF(节奏预期!L132="",0,装备强化!G$4*节奏预期!L132))</f>
        <v>34</v>
      </c>
      <c r="BS132" s="128">
        <f>IF(节奏预期!H132="","",IF(节奏预期!M132="",0,装备强化!H$4*节奏预期!M132))</f>
        <v>66</v>
      </c>
      <c r="BT132" s="80">
        <f>SUMPRODUCT(BO132:BS132,节奏预期!D132:H132)/SUM(节奏预期!D132:H132)</f>
        <v>66</v>
      </c>
      <c r="BW132" s="25">
        <v>39</v>
      </c>
    </row>
    <row r="133" spans="10:96" x14ac:dyDescent="0.15">
      <c r="J133" s="46">
        <f>INDEX('[1]资源-装备经验'!Y$6:Y$165,(K133+1)/2,1)</f>
        <v>0</v>
      </c>
      <c r="K133" s="113">
        <v>129</v>
      </c>
      <c r="L133" s="121">
        <v>100</v>
      </c>
      <c r="M133" s="122">
        <f t="shared" si="44"/>
        <v>100</v>
      </c>
      <c r="N133" s="120">
        <f t="shared" si="66"/>
        <v>200</v>
      </c>
      <c r="O133" s="120">
        <f t="shared" si="66"/>
        <v>400</v>
      </c>
      <c r="P133" s="120">
        <f t="shared" si="66"/>
        <v>1000</v>
      </c>
      <c r="Q133" s="120">
        <f t="shared" si="66"/>
        <v>3000</v>
      </c>
      <c r="S133" s="113">
        <v>129</v>
      </c>
      <c r="T133" s="113">
        <f>SUM(M$5:M133)</f>
        <v>3945</v>
      </c>
      <c r="U133" s="113">
        <f>SUM(N$5:N133)</f>
        <v>7890</v>
      </c>
      <c r="V133" s="113">
        <f>SUM(O$5:O133)</f>
        <v>15780</v>
      </c>
      <c r="W133" s="113">
        <f>SUM(P$5:P133)</f>
        <v>39450</v>
      </c>
      <c r="X133" s="113">
        <f>SUM(Q$5:Q133)</f>
        <v>118350</v>
      </c>
      <c r="Z133" s="114">
        <v>129</v>
      </c>
      <c r="AA133" s="114">
        <f t="shared" ref="AA133:AA196" si="75">M133*$D$16</f>
        <v>4000</v>
      </c>
      <c r="AB133" s="114">
        <f t="shared" ref="AB133:AB196" si="76">N133*$D$16</f>
        <v>8000</v>
      </c>
      <c r="AC133" s="114">
        <f t="shared" ref="AC133:AC196" si="77">O133*$D$16</f>
        <v>16000</v>
      </c>
      <c r="AD133" s="114">
        <f t="shared" ref="AD133:AD196" si="78">P133*$D$16</f>
        <v>40000</v>
      </c>
      <c r="AE133" s="114">
        <f t="shared" ref="AE133:AE196" si="79">Q133*$D$16</f>
        <v>120000</v>
      </c>
      <c r="AG133" s="114">
        <v>129</v>
      </c>
      <c r="AH133" s="113">
        <f>SUM(AA$5:AA133)</f>
        <v>157800</v>
      </c>
      <c r="AI133" s="113">
        <f>SUM(AB$5:AB133)</f>
        <v>315600</v>
      </c>
      <c r="AJ133" s="113">
        <f>SUM(AC$5:AC133)</f>
        <v>631200</v>
      </c>
      <c r="AK133" s="113">
        <f>SUM(AD$5:AD133)</f>
        <v>1578000</v>
      </c>
      <c r="AL133" s="113">
        <f>SUM(AE$5:AE133)</f>
        <v>4734000</v>
      </c>
      <c r="AO133" s="46">
        <v>15</v>
      </c>
      <c r="AP133" s="129">
        <f>节奏预期!B133</f>
        <v>120</v>
      </c>
      <c r="AQ133" s="128">
        <f>IFERROR(INDEX(AH$5:AH$304,MATCH(节奏预期!N133,$AG$5:$AG$304,0))*节奏预期!D133,0)</f>
        <v>0</v>
      </c>
      <c r="AR133" s="128">
        <f>IFERROR(INDEX(AI$5:AI$304,MATCH(节奏预期!O133,$AG$5:$AG$304,0))*节奏预期!E133,0)</f>
        <v>0</v>
      </c>
      <c r="AS133" s="128">
        <f>IFERROR(INDEX(AJ$5:AJ$304,MATCH(节奏预期!P133,$AG$5:$AG$304,0))*节奏预期!F133,0)</f>
        <v>0</v>
      </c>
      <c r="AT133" s="128">
        <f>IFERROR(INDEX(AK$5:AK$304,MATCH(节奏预期!Q133,$AG$5:$AG$304,0))*节奏预期!G133,0)</f>
        <v>0</v>
      </c>
      <c r="AU133" s="128">
        <f>IFERROR(INDEX(AL$5:AL$304,MATCH(节奏预期!R133,$AG$5:$AG$304,0))*节奏预期!H133,0)</f>
        <v>5601852000</v>
      </c>
      <c r="AV133" s="136">
        <f t="shared" si="73"/>
        <v>5601852000</v>
      </c>
      <c r="AW133" s="128">
        <f>IFERROR(INDEX(T$5:T$304,MATCH(节奏预期!N133,$S$5:$S$304,0))*节奏预期!D133,0)</f>
        <v>0</v>
      </c>
      <c r="AX133" s="128">
        <f>IFERROR(INDEX(U$5:U$304,MATCH(节奏预期!O133,$S$5:$S$304,0))*节奏预期!E133,0)</f>
        <v>0</v>
      </c>
      <c r="AY133" s="128">
        <f>IFERROR(INDEX(V$5:V$304,MATCH(节奏预期!P133,$S$5:$S$304,0))*节奏预期!F133,0)</f>
        <v>0</v>
      </c>
      <c r="AZ133" s="128">
        <f>IFERROR(INDEX(W$5:W$304,MATCH(节奏预期!Q133,$S$5:$S$304,0))*节奏预期!G133,0)</f>
        <v>0</v>
      </c>
      <c r="BA133" s="128">
        <f>IFERROR(INDEX(X$5:X$304,MATCH(节奏预期!R133,$S$5:$S$304,0))*节奏预期!H133,0)</f>
        <v>140046300</v>
      </c>
      <c r="BB133" s="136">
        <f t="shared" si="74"/>
        <v>140046300</v>
      </c>
      <c r="BC133" s="126" t="str">
        <f>IF(节奏预期!N133="","",节奏预期!N133*装备强化!D$8+装备强化!D$5)</f>
        <v/>
      </c>
      <c r="BD133" s="126" t="str">
        <f>IF(节奏预期!O133="","",节奏预期!O133*装备强化!E$8+装备强化!E$5)</f>
        <v/>
      </c>
      <c r="BE133" s="126" t="str">
        <f>IF(节奏预期!P133="","",节奏预期!P133*装备强化!F$8+装备强化!F$5)</f>
        <v/>
      </c>
      <c r="BF133" s="126" t="str">
        <f>IF(节奏预期!Q133="","",节奏预期!Q133*装备强化!G$8+装备强化!G$5)</f>
        <v/>
      </c>
      <c r="BG133" s="126">
        <f>IF(节奏预期!R133="","",节奏预期!R133*装备强化!H$8+装备强化!H$5)</f>
        <v>8900</v>
      </c>
      <c r="BH133" s="14">
        <f>SUMPRODUCT(BC133:BG133,节奏预期!$D133:$H133)/SUM(节奏预期!$D133:$H133)</f>
        <v>8900</v>
      </c>
      <c r="BI133" s="13" t="str">
        <f>IF(节奏预期!N133="","",节奏预期!N133*装备强化!D$9+装备强化!D$6)</f>
        <v/>
      </c>
      <c r="BJ133" s="126" t="str">
        <f>IF(节奏预期!O133="","",节奏预期!O133*装备强化!E$9+装备强化!E$6)</f>
        <v/>
      </c>
      <c r="BK133" s="126" t="str">
        <f>IF(节奏预期!P133="","",节奏预期!P133*装备强化!F$9+装备强化!F$6)</f>
        <v/>
      </c>
      <c r="BL133" s="126" t="str">
        <f>IF(节奏预期!Q133="","",节奏预期!Q133*装备强化!G$9+装备强化!G$6)</f>
        <v/>
      </c>
      <c r="BM133" s="126">
        <f>IF(节奏预期!R133="","",节奏预期!R133*装备强化!H$9+装备强化!H$6)</f>
        <v>8900</v>
      </c>
      <c r="BN133" s="14">
        <f>SUMPRODUCT(BI133:BM133,节奏预期!$D133:$H133)/SUM(节奏预期!$D133:$H133)</f>
        <v>8900</v>
      </c>
      <c r="BO133" s="128">
        <f>IF(节奏预期!D133="","",IF(节奏预期!I133="",0,装备强化!D$4*节奏预期!I133))</f>
        <v>3.6</v>
      </c>
      <c r="BP133" s="128">
        <f>IF(节奏预期!E133="","",IF(节奏预期!J133="",0,装备强化!E$4*节奏预期!J133))</f>
        <v>8</v>
      </c>
      <c r="BQ133" s="128">
        <f>IF(节奏预期!F133="","",IF(节奏预期!K133="",0,装备强化!F$4*节奏预期!K133))</f>
        <v>18</v>
      </c>
      <c r="BR133" s="128">
        <f>IF(节奏预期!G133="","",IF(节奏预期!L133="",0,装备强化!G$4*节奏预期!L133))</f>
        <v>34</v>
      </c>
      <c r="BS133" s="128">
        <f>IF(节奏预期!H133="","",IF(节奏预期!M133="",0,装备强化!H$4*节奏预期!M133))</f>
        <v>66</v>
      </c>
      <c r="BT133" s="80">
        <f>SUMPRODUCT(BO133:BS133,节奏预期!D133:H133)/SUM(节奏预期!D133:H133)</f>
        <v>66</v>
      </c>
      <c r="BW133" s="25">
        <v>40</v>
      </c>
    </row>
    <row r="134" spans="10:96" x14ac:dyDescent="0.15">
      <c r="J134" s="46">
        <f>INDEX('[1]资源-装备经验'!Y$6:Y$165,(K134+1)/2,1)</f>
        <v>0</v>
      </c>
      <c r="K134" s="113">
        <v>130</v>
      </c>
      <c r="L134" s="121">
        <v>120</v>
      </c>
      <c r="M134" s="122">
        <f t="shared" ref="M134:M197" si="80">L134*$M$1</f>
        <v>120</v>
      </c>
      <c r="N134" s="120">
        <f t="shared" ref="N134:Q165" si="81">$M134*N$1</f>
        <v>240</v>
      </c>
      <c r="O134" s="120">
        <f t="shared" si="81"/>
        <v>480</v>
      </c>
      <c r="P134" s="120">
        <f t="shared" si="81"/>
        <v>1200</v>
      </c>
      <c r="Q134" s="120">
        <f t="shared" si="81"/>
        <v>3600</v>
      </c>
      <c r="S134" s="113">
        <v>130</v>
      </c>
      <c r="T134" s="113">
        <f>SUM(M$5:M134)</f>
        <v>4065</v>
      </c>
      <c r="U134" s="113">
        <f>SUM(N$5:N134)</f>
        <v>8130</v>
      </c>
      <c r="V134" s="113">
        <f>SUM(O$5:O134)</f>
        <v>16260</v>
      </c>
      <c r="W134" s="113">
        <f>SUM(P$5:P134)</f>
        <v>40650</v>
      </c>
      <c r="X134" s="113">
        <f>SUM(Q$5:Q134)</f>
        <v>121950</v>
      </c>
      <c r="Z134" s="114">
        <v>130</v>
      </c>
      <c r="AA134" s="114">
        <f t="shared" si="75"/>
        <v>4800</v>
      </c>
      <c r="AB134" s="114">
        <f t="shared" si="76"/>
        <v>9600</v>
      </c>
      <c r="AC134" s="114">
        <f t="shared" si="77"/>
        <v>19200</v>
      </c>
      <c r="AD134" s="114">
        <f t="shared" si="78"/>
        <v>48000</v>
      </c>
      <c r="AE134" s="114">
        <f t="shared" si="79"/>
        <v>144000</v>
      </c>
      <c r="AG134" s="114">
        <v>130</v>
      </c>
      <c r="AH134" s="113">
        <f>SUM(AA$5:AA134)</f>
        <v>162600</v>
      </c>
      <c r="AI134" s="113">
        <f>SUM(AB$5:AB134)</f>
        <v>325200</v>
      </c>
      <c r="AJ134" s="113">
        <f>SUM(AC$5:AC134)</f>
        <v>650400</v>
      </c>
      <c r="AK134" s="113">
        <f>SUM(AD$5:AD134)</f>
        <v>1626000</v>
      </c>
      <c r="AL134" s="113">
        <f>SUM(AE$5:AE134)</f>
        <v>4878000</v>
      </c>
      <c r="AO134" s="46">
        <v>16</v>
      </c>
      <c r="AP134" s="129">
        <f>节奏预期!B134</f>
        <v>130</v>
      </c>
      <c r="AQ134" s="128">
        <f>IFERROR(INDEX(AH$5:AH$304,MATCH(节奏预期!N134,$AG$5:$AG$304,0))*节奏预期!D134,0)</f>
        <v>0</v>
      </c>
      <c r="AR134" s="128">
        <f>IFERROR(INDEX(AI$5:AI$304,MATCH(节奏预期!O134,$AG$5:$AG$304,0))*节奏预期!E134,0)</f>
        <v>0</v>
      </c>
      <c r="AS134" s="128">
        <f>IFERROR(INDEX(AJ$5:AJ$304,MATCH(节奏预期!P134,$AG$5:$AG$304,0))*节奏预期!F134,0)</f>
        <v>0</v>
      </c>
      <c r="AT134" s="128">
        <f>IFERROR(INDEX(AK$5:AK$304,MATCH(节奏预期!Q134,$AG$5:$AG$304,0))*节奏预期!G134,0)</f>
        <v>0</v>
      </c>
      <c r="AU134" s="128">
        <f>IFERROR(INDEX(AL$5:AL$304,MATCH(节奏预期!R134,$AG$5:$AG$304,0))*节奏预期!H134,0)</f>
        <v>12816252000</v>
      </c>
      <c r="AV134" s="136">
        <f t="shared" si="73"/>
        <v>12816252000</v>
      </c>
      <c r="AW134" s="128">
        <f>IFERROR(INDEX(T$5:T$304,MATCH(节奏预期!N134,$S$5:$S$304,0))*节奏预期!D134,0)</f>
        <v>0</v>
      </c>
      <c r="AX134" s="128">
        <f>IFERROR(INDEX(U$5:U$304,MATCH(节奏预期!O134,$S$5:$S$304,0))*节奏预期!E134,0)</f>
        <v>0</v>
      </c>
      <c r="AY134" s="128">
        <f>IFERROR(INDEX(V$5:V$304,MATCH(节奏预期!P134,$S$5:$S$304,0))*节奏预期!F134,0)</f>
        <v>0</v>
      </c>
      <c r="AZ134" s="128">
        <f>IFERROR(INDEX(W$5:W$304,MATCH(节奏预期!Q134,$S$5:$S$304,0))*节奏预期!G134,0)</f>
        <v>0</v>
      </c>
      <c r="BA134" s="128">
        <f>IFERROR(INDEX(X$5:X$304,MATCH(节奏预期!R134,$S$5:$S$304,0))*节奏预期!H134,0)</f>
        <v>320406300</v>
      </c>
      <c r="BB134" s="136">
        <f t="shared" si="74"/>
        <v>320406300</v>
      </c>
      <c r="BC134" s="126" t="str">
        <f>IF(节奏预期!N134="","",节奏预期!N134*装备强化!D$8+装备强化!D$5)</f>
        <v/>
      </c>
      <c r="BD134" s="126" t="str">
        <f>IF(节奏预期!O134="","",节奏预期!O134*装备强化!E$8+装备强化!E$5)</f>
        <v/>
      </c>
      <c r="BE134" s="126" t="str">
        <f>IF(节奏预期!P134="","",节奏预期!P134*装备强化!F$8+装备强化!F$5)</f>
        <v/>
      </c>
      <c r="BF134" s="126" t="str">
        <f>IF(节奏预期!Q134="","",节奏预期!Q134*装备强化!G$8+装备强化!G$5)</f>
        <v/>
      </c>
      <c r="BG134" s="126">
        <f>IF(节奏预期!R134="","",节奏预期!R134*装备强化!H$8+装备强化!H$5)</f>
        <v>9560</v>
      </c>
      <c r="BH134" s="14">
        <f>SUMPRODUCT(BC134:BG134,节奏预期!$D134:$H134)/SUM(节奏预期!$D134:$H134)</f>
        <v>9560</v>
      </c>
      <c r="BI134" s="13" t="str">
        <f>IF(节奏预期!N134="","",节奏预期!N134*装备强化!D$9+装备强化!D$6)</f>
        <v/>
      </c>
      <c r="BJ134" s="126" t="str">
        <f>IF(节奏预期!O134="","",节奏预期!O134*装备强化!E$9+装备强化!E$6)</f>
        <v/>
      </c>
      <c r="BK134" s="126" t="str">
        <f>IF(节奏预期!P134="","",节奏预期!P134*装备强化!F$9+装备强化!F$6)</f>
        <v/>
      </c>
      <c r="BL134" s="126" t="str">
        <f>IF(节奏预期!Q134="","",节奏预期!Q134*装备强化!G$9+装备强化!G$6)</f>
        <v/>
      </c>
      <c r="BM134" s="126">
        <f>IF(节奏预期!R134="","",节奏预期!R134*装备强化!H$9+装备强化!H$6)</f>
        <v>9560</v>
      </c>
      <c r="BN134" s="14">
        <f>SUMPRODUCT(BI134:BM134,节奏预期!$D134:$H134)/SUM(节奏预期!$D134:$H134)</f>
        <v>9560</v>
      </c>
      <c r="BO134" s="128">
        <f>IF(节奏预期!D134="","",IF(节奏预期!I134="",0,装备强化!D$4*节奏预期!I134))</f>
        <v>3.6</v>
      </c>
      <c r="BP134" s="128">
        <f>IF(节奏预期!E134="","",IF(节奏预期!J134="",0,装备强化!E$4*节奏预期!J134))</f>
        <v>8</v>
      </c>
      <c r="BQ134" s="128">
        <f>IF(节奏预期!F134="","",IF(节奏预期!K134="",0,装备强化!F$4*节奏预期!K134))</f>
        <v>18</v>
      </c>
      <c r="BR134" s="128">
        <f>IF(节奏预期!G134="","",IF(节奏预期!L134="",0,装备强化!G$4*节奏预期!L134))</f>
        <v>34</v>
      </c>
      <c r="BS134" s="128">
        <f>IF(节奏预期!H134="","",IF(节奏预期!M134="",0,装备强化!H$4*节奏预期!M134))</f>
        <v>66</v>
      </c>
      <c r="BT134" s="80">
        <f>SUMPRODUCT(BO134:BS134,节奏预期!D134:H134)/SUM(节奏预期!D134:H134)</f>
        <v>66</v>
      </c>
      <c r="BW134" s="25">
        <v>41</v>
      </c>
    </row>
    <row r="135" spans="10:96" x14ac:dyDescent="0.15">
      <c r="J135" s="46">
        <f>INDEX('[1]资源-装备经验'!Y$6:Y$165,(K135+1)/2,1)</f>
        <v>0</v>
      </c>
      <c r="K135" s="113">
        <v>131</v>
      </c>
      <c r="L135" s="121">
        <v>120</v>
      </c>
      <c r="M135" s="122">
        <f t="shared" si="80"/>
        <v>120</v>
      </c>
      <c r="N135" s="120">
        <f t="shared" si="81"/>
        <v>240</v>
      </c>
      <c r="O135" s="120">
        <f t="shared" si="81"/>
        <v>480</v>
      </c>
      <c r="P135" s="120">
        <f t="shared" si="81"/>
        <v>1200</v>
      </c>
      <c r="Q135" s="120">
        <f t="shared" si="81"/>
        <v>3600</v>
      </c>
      <c r="S135" s="113">
        <v>131</v>
      </c>
      <c r="T135" s="113">
        <f>SUM(M$5:M135)</f>
        <v>4185</v>
      </c>
      <c r="U135" s="113">
        <f>SUM(N$5:N135)</f>
        <v>8370</v>
      </c>
      <c r="V135" s="113">
        <f>SUM(O$5:O135)</f>
        <v>16740</v>
      </c>
      <c r="W135" s="113">
        <f>SUM(P$5:P135)</f>
        <v>41850</v>
      </c>
      <c r="X135" s="113">
        <f>SUM(Q$5:Q135)</f>
        <v>125550</v>
      </c>
      <c r="Z135" s="114">
        <v>131</v>
      </c>
      <c r="AA135" s="114">
        <f t="shared" si="75"/>
        <v>4800</v>
      </c>
      <c r="AB135" s="114">
        <f t="shared" si="76"/>
        <v>9600</v>
      </c>
      <c r="AC135" s="114">
        <f t="shared" si="77"/>
        <v>19200</v>
      </c>
      <c r="AD135" s="114">
        <f t="shared" si="78"/>
        <v>48000</v>
      </c>
      <c r="AE135" s="114">
        <f t="shared" si="79"/>
        <v>144000</v>
      </c>
      <c r="AG135" s="114">
        <v>131</v>
      </c>
      <c r="AH135" s="113">
        <f>SUM(AA$5:AA135)</f>
        <v>167400</v>
      </c>
      <c r="AI135" s="113">
        <f>SUM(AB$5:AB135)</f>
        <v>334800</v>
      </c>
      <c r="AJ135" s="113">
        <f>SUM(AC$5:AC135)</f>
        <v>669600</v>
      </c>
      <c r="AK135" s="113">
        <f>SUM(AD$5:AD135)</f>
        <v>1674000</v>
      </c>
      <c r="AL135" s="113">
        <f>SUM(AE$5:AE135)</f>
        <v>5022000</v>
      </c>
      <c r="AO135" s="46">
        <v>17</v>
      </c>
      <c r="AP135" s="129">
        <f>节奏预期!B135</f>
        <v>140</v>
      </c>
      <c r="AQ135" s="128">
        <f>IFERROR(INDEX(AH$5:AH$304,MATCH(节奏预期!N135,$AG$5:$AG$304,0))*节奏预期!D135,0)</f>
        <v>0</v>
      </c>
      <c r="AR135" s="128">
        <f>IFERROR(INDEX(AI$5:AI$304,MATCH(节奏预期!O135,$AG$5:$AG$304,0))*节奏预期!E135,0)</f>
        <v>0</v>
      </c>
      <c r="AS135" s="128">
        <f>IFERROR(INDEX(AJ$5:AJ$304,MATCH(节奏预期!P135,$AG$5:$AG$304,0))*节奏预期!F135,0)</f>
        <v>0</v>
      </c>
      <c r="AT135" s="128">
        <f>IFERROR(INDEX(AK$5:AK$304,MATCH(节奏预期!Q135,$AG$5:$AG$304,0))*节奏预期!G135,0)</f>
        <v>0</v>
      </c>
      <c r="AU135" s="128">
        <f>IFERROR(INDEX(AL$5:AL$304,MATCH(节奏预期!R135,$AG$5:$AG$304,0))*节奏预期!H135,0)</f>
        <v>31176252000</v>
      </c>
      <c r="AV135" s="136">
        <f t="shared" si="73"/>
        <v>31176252000</v>
      </c>
      <c r="AW135" s="128">
        <f>IFERROR(INDEX(T$5:T$304,MATCH(节奏预期!N135,$S$5:$S$304,0))*节奏预期!D135,0)</f>
        <v>0</v>
      </c>
      <c r="AX135" s="128">
        <f>IFERROR(INDEX(U$5:U$304,MATCH(节奏预期!O135,$S$5:$S$304,0))*节奏预期!E135,0)</f>
        <v>0</v>
      </c>
      <c r="AY135" s="128">
        <f>IFERROR(INDEX(V$5:V$304,MATCH(节奏预期!P135,$S$5:$S$304,0))*节奏预期!F135,0)</f>
        <v>0</v>
      </c>
      <c r="AZ135" s="128">
        <f>IFERROR(INDEX(W$5:W$304,MATCH(节奏预期!Q135,$S$5:$S$304,0))*节奏预期!G135,0)</f>
        <v>0</v>
      </c>
      <c r="BA135" s="128">
        <f>IFERROR(INDEX(X$5:X$304,MATCH(节奏预期!R135,$S$5:$S$304,0))*节奏预期!H135,0)</f>
        <v>779406300</v>
      </c>
      <c r="BB135" s="136">
        <f t="shared" si="74"/>
        <v>779406300</v>
      </c>
      <c r="BC135" s="126" t="str">
        <f>IF(节奏预期!N135="","",节奏预期!N135*装备强化!D$8+装备强化!D$5)</f>
        <v/>
      </c>
      <c r="BD135" s="126" t="str">
        <f>IF(节奏预期!O135="","",节奏预期!O135*装备强化!E$8+装备强化!E$5)</f>
        <v/>
      </c>
      <c r="BE135" s="126" t="str">
        <f>IF(节奏预期!P135="","",节奏预期!P135*装备强化!F$8+装备强化!F$5)</f>
        <v/>
      </c>
      <c r="BF135" s="126" t="str">
        <f>IF(节奏预期!Q135="","",节奏预期!Q135*装备强化!G$8+装备强化!G$5)</f>
        <v/>
      </c>
      <c r="BG135" s="126">
        <f>IF(节奏预期!R135="","",节奏预期!R135*装备强化!H$8+装备强化!H$5)</f>
        <v>10220</v>
      </c>
      <c r="BH135" s="14">
        <f>SUMPRODUCT(BC135:BG135,节奏预期!$D135:$H135)/SUM(节奏预期!$D135:$H135)</f>
        <v>10220</v>
      </c>
      <c r="BI135" s="13" t="str">
        <f>IF(节奏预期!N135="","",节奏预期!N135*装备强化!D$9+装备强化!D$6)</f>
        <v/>
      </c>
      <c r="BJ135" s="126" t="str">
        <f>IF(节奏预期!O135="","",节奏预期!O135*装备强化!E$9+装备强化!E$6)</f>
        <v/>
      </c>
      <c r="BK135" s="126" t="str">
        <f>IF(节奏预期!P135="","",节奏预期!P135*装备强化!F$9+装备强化!F$6)</f>
        <v/>
      </c>
      <c r="BL135" s="126" t="str">
        <f>IF(节奏预期!Q135="","",节奏预期!Q135*装备强化!G$9+装备强化!G$6)</f>
        <v/>
      </c>
      <c r="BM135" s="126">
        <f>IF(节奏预期!R135="","",节奏预期!R135*装备强化!H$9+装备强化!H$6)</f>
        <v>10220</v>
      </c>
      <c r="BN135" s="14">
        <f>SUMPRODUCT(BI135:BM135,节奏预期!$D135:$H135)/SUM(节奏预期!$D135:$H135)</f>
        <v>10220</v>
      </c>
      <c r="BO135" s="128">
        <f>IF(节奏预期!D135="","",IF(节奏预期!I135="",0,装备强化!D$4*节奏预期!I135))</f>
        <v>3.6</v>
      </c>
      <c r="BP135" s="128">
        <f>IF(节奏预期!E135="","",IF(节奏预期!J135="",0,装备强化!E$4*节奏预期!J135))</f>
        <v>8</v>
      </c>
      <c r="BQ135" s="128">
        <f>IF(节奏预期!F135="","",IF(节奏预期!K135="",0,装备强化!F$4*节奏预期!K135))</f>
        <v>18</v>
      </c>
      <c r="BR135" s="128">
        <f>IF(节奏预期!G135="","",IF(节奏预期!L135="",0,装备强化!G$4*节奏预期!L135))</f>
        <v>34</v>
      </c>
      <c r="BS135" s="128">
        <f>IF(节奏预期!H135="","",IF(节奏预期!M135="",0,装备强化!H$4*节奏预期!M135))</f>
        <v>66</v>
      </c>
      <c r="BT135" s="80">
        <f>SUMPRODUCT(BO135:BS135,节奏预期!D135:H135)/SUM(节奏预期!D135:H135)</f>
        <v>66</v>
      </c>
      <c r="BW135" s="25">
        <v>42</v>
      </c>
    </row>
    <row r="136" spans="10:96" x14ac:dyDescent="0.15">
      <c r="J136" s="46">
        <f>INDEX('[1]资源-装备经验'!Y$6:Y$165,(K136+1)/2,1)</f>
        <v>0</v>
      </c>
      <c r="K136" s="113">
        <v>132</v>
      </c>
      <c r="L136" s="121">
        <v>120</v>
      </c>
      <c r="M136" s="122">
        <f t="shared" si="80"/>
        <v>120</v>
      </c>
      <c r="N136" s="120">
        <f t="shared" si="81"/>
        <v>240</v>
      </c>
      <c r="O136" s="120">
        <f t="shared" si="81"/>
        <v>480</v>
      </c>
      <c r="P136" s="120">
        <f t="shared" si="81"/>
        <v>1200</v>
      </c>
      <c r="Q136" s="120">
        <f t="shared" si="81"/>
        <v>3600</v>
      </c>
      <c r="S136" s="113">
        <v>132</v>
      </c>
      <c r="T136" s="113">
        <f>SUM(M$5:M136)</f>
        <v>4305</v>
      </c>
      <c r="U136" s="113">
        <f>SUM(N$5:N136)</f>
        <v>8610</v>
      </c>
      <c r="V136" s="113">
        <f>SUM(O$5:O136)</f>
        <v>17220</v>
      </c>
      <c r="W136" s="113">
        <f>SUM(P$5:P136)</f>
        <v>43050</v>
      </c>
      <c r="X136" s="113">
        <f>SUM(Q$5:Q136)</f>
        <v>129150</v>
      </c>
      <c r="Z136" s="114">
        <v>132</v>
      </c>
      <c r="AA136" s="114">
        <f t="shared" si="75"/>
        <v>4800</v>
      </c>
      <c r="AB136" s="114">
        <f t="shared" si="76"/>
        <v>9600</v>
      </c>
      <c r="AC136" s="114">
        <f t="shared" si="77"/>
        <v>19200</v>
      </c>
      <c r="AD136" s="114">
        <f t="shared" si="78"/>
        <v>48000</v>
      </c>
      <c r="AE136" s="114">
        <f t="shared" si="79"/>
        <v>144000</v>
      </c>
      <c r="AG136" s="114">
        <v>132</v>
      </c>
      <c r="AH136" s="113">
        <f>SUM(AA$5:AA136)</f>
        <v>172200</v>
      </c>
      <c r="AI136" s="113">
        <f>SUM(AB$5:AB136)</f>
        <v>344400</v>
      </c>
      <c r="AJ136" s="113">
        <f>SUM(AC$5:AC136)</f>
        <v>688800</v>
      </c>
      <c r="AK136" s="113">
        <f>SUM(AD$5:AD136)</f>
        <v>1722000</v>
      </c>
      <c r="AL136" s="113">
        <f>SUM(AE$5:AE136)</f>
        <v>5166000</v>
      </c>
      <c r="AO136" s="46">
        <v>18</v>
      </c>
      <c r="AP136" s="129">
        <f>节奏预期!B136</f>
        <v>150</v>
      </c>
      <c r="AQ136" s="128">
        <f>IFERROR(INDEX(AH$5:AH$304,MATCH(节奏预期!N136,$AG$5:$AG$304,0))*节奏预期!D136,0)</f>
        <v>0</v>
      </c>
      <c r="AR136" s="128">
        <f>IFERROR(INDEX(AI$5:AI$304,MATCH(节奏预期!O136,$AG$5:$AG$304,0))*节奏预期!E136,0)</f>
        <v>0</v>
      </c>
      <c r="AS136" s="128">
        <f>IFERROR(INDEX(AJ$5:AJ$304,MATCH(节奏预期!P136,$AG$5:$AG$304,0))*节奏预期!F136,0)</f>
        <v>0</v>
      </c>
      <c r="AT136" s="128">
        <f>IFERROR(INDEX(AK$5:AK$304,MATCH(节奏预期!Q136,$AG$5:$AG$304,0))*节奏预期!G136,0)</f>
        <v>0</v>
      </c>
      <c r="AU136" s="128">
        <f>IFERROR(INDEX(AL$5:AL$304,MATCH(节奏预期!R136,$AG$5:$AG$304,0))*节奏预期!H136,0)</f>
        <v>75240252000</v>
      </c>
      <c r="AV136" s="136">
        <f t="shared" si="73"/>
        <v>75240252000</v>
      </c>
      <c r="AW136" s="128">
        <f>IFERROR(INDEX(T$5:T$304,MATCH(节奏预期!N136,$S$5:$S$304,0))*节奏预期!D136,0)</f>
        <v>0</v>
      </c>
      <c r="AX136" s="128">
        <f>IFERROR(INDEX(U$5:U$304,MATCH(节奏预期!O136,$S$5:$S$304,0))*节奏预期!E136,0)</f>
        <v>0</v>
      </c>
      <c r="AY136" s="128">
        <f>IFERROR(INDEX(V$5:V$304,MATCH(节奏预期!P136,$S$5:$S$304,0))*节奏预期!F136,0)</f>
        <v>0</v>
      </c>
      <c r="AZ136" s="128">
        <f>IFERROR(INDEX(W$5:W$304,MATCH(节奏预期!Q136,$S$5:$S$304,0))*节奏预期!G136,0)</f>
        <v>0</v>
      </c>
      <c r="BA136" s="128">
        <f>IFERROR(INDEX(X$5:X$304,MATCH(节奏预期!R136,$S$5:$S$304,0))*节奏预期!H136,0)</f>
        <v>1881006300</v>
      </c>
      <c r="BB136" s="136">
        <f t="shared" si="74"/>
        <v>1881006300</v>
      </c>
      <c r="BC136" s="126" t="str">
        <f>IF(节奏预期!N136="","",节奏预期!N136*装备强化!D$8+装备强化!D$5)</f>
        <v/>
      </c>
      <c r="BD136" s="126" t="str">
        <f>IF(节奏预期!O136="","",节奏预期!O136*装备强化!E$8+装备强化!E$5)</f>
        <v/>
      </c>
      <c r="BE136" s="126" t="str">
        <f>IF(节奏预期!P136="","",节奏预期!P136*装备强化!F$8+装备强化!F$5)</f>
        <v/>
      </c>
      <c r="BF136" s="126" t="str">
        <f>IF(节奏预期!Q136="","",节奏预期!Q136*装备强化!G$8+装备强化!G$5)</f>
        <v/>
      </c>
      <c r="BG136" s="126">
        <f>IF(节奏预期!R136="","",节奏预期!R136*装备强化!H$8+装备强化!H$5)</f>
        <v>10880</v>
      </c>
      <c r="BH136" s="14">
        <f>SUMPRODUCT(BC136:BG136,节奏预期!$D136:$H136)/SUM(节奏预期!$D136:$H136)</f>
        <v>10880</v>
      </c>
      <c r="BI136" s="13" t="str">
        <f>IF(节奏预期!N136="","",节奏预期!N136*装备强化!D$9+装备强化!D$6)</f>
        <v/>
      </c>
      <c r="BJ136" s="126" t="str">
        <f>IF(节奏预期!O136="","",节奏预期!O136*装备强化!E$9+装备强化!E$6)</f>
        <v/>
      </c>
      <c r="BK136" s="126" t="str">
        <f>IF(节奏预期!P136="","",节奏预期!P136*装备强化!F$9+装备强化!F$6)</f>
        <v/>
      </c>
      <c r="BL136" s="126" t="str">
        <f>IF(节奏预期!Q136="","",节奏预期!Q136*装备强化!G$9+装备强化!G$6)</f>
        <v/>
      </c>
      <c r="BM136" s="126">
        <f>IF(节奏预期!R136="","",节奏预期!R136*装备强化!H$9+装备强化!H$6)</f>
        <v>10880</v>
      </c>
      <c r="BN136" s="14">
        <f>SUMPRODUCT(BI136:BM136,节奏预期!$D136:$H136)/SUM(节奏预期!$D136:$H136)</f>
        <v>10880</v>
      </c>
      <c r="BO136" s="128">
        <f>IF(节奏预期!D136="","",IF(节奏预期!I136="",0,装备强化!D$4*节奏预期!I136))</f>
        <v>3.6</v>
      </c>
      <c r="BP136" s="128">
        <f>IF(节奏预期!E136="","",IF(节奏预期!J136="",0,装备强化!E$4*节奏预期!J136))</f>
        <v>8</v>
      </c>
      <c r="BQ136" s="128">
        <f>IF(节奏预期!F136="","",IF(节奏预期!K136="",0,装备强化!F$4*节奏预期!K136))</f>
        <v>18</v>
      </c>
      <c r="BR136" s="128">
        <f>IF(节奏预期!G136="","",IF(节奏预期!L136="",0,装备强化!G$4*节奏预期!L136))</f>
        <v>34</v>
      </c>
      <c r="BS136" s="128">
        <f>IF(节奏预期!H136="","",IF(节奏预期!M136="",0,装备强化!H$4*节奏预期!M136))</f>
        <v>66</v>
      </c>
      <c r="BT136" s="80">
        <f>SUMPRODUCT(BO136:BS136,节奏预期!D136:H136)/SUM(节奏预期!D136:H136)</f>
        <v>66</v>
      </c>
      <c r="BW136" s="25">
        <v>43</v>
      </c>
    </row>
    <row r="137" spans="10:96" x14ac:dyDescent="0.15">
      <c r="J137" s="46">
        <f>INDEX('[1]资源-装备经验'!Y$6:Y$165,(K137+1)/2,1)</f>
        <v>0</v>
      </c>
      <c r="K137" s="113">
        <v>133</v>
      </c>
      <c r="L137" s="121">
        <v>120</v>
      </c>
      <c r="M137" s="122">
        <f t="shared" si="80"/>
        <v>120</v>
      </c>
      <c r="N137" s="120">
        <f t="shared" si="81"/>
        <v>240</v>
      </c>
      <c r="O137" s="120">
        <f t="shared" si="81"/>
        <v>480</v>
      </c>
      <c r="P137" s="120">
        <f t="shared" si="81"/>
        <v>1200</v>
      </c>
      <c r="Q137" s="120">
        <f t="shared" si="81"/>
        <v>3600</v>
      </c>
      <c r="S137" s="113">
        <v>133</v>
      </c>
      <c r="T137" s="113">
        <f>SUM(M$5:M137)</f>
        <v>4425</v>
      </c>
      <c r="U137" s="113">
        <f>SUM(N$5:N137)</f>
        <v>8850</v>
      </c>
      <c r="V137" s="113">
        <f>SUM(O$5:O137)</f>
        <v>17700</v>
      </c>
      <c r="W137" s="113">
        <f>SUM(P$5:P137)</f>
        <v>44250</v>
      </c>
      <c r="X137" s="113">
        <f>SUM(Q$5:Q137)</f>
        <v>132750</v>
      </c>
      <c r="Z137" s="114">
        <v>133</v>
      </c>
      <c r="AA137" s="114">
        <f t="shared" si="75"/>
        <v>4800</v>
      </c>
      <c r="AB137" s="114">
        <f t="shared" si="76"/>
        <v>9600</v>
      </c>
      <c r="AC137" s="114">
        <f t="shared" si="77"/>
        <v>19200</v>
      </c>
      <c r="AD137" s="114">
        <f t="shared" si="78"/>
        <v>48000</v>
      </c>
      <c r="AE137" s="114">
        <f t="shared" si="79"/>
        <v>144000</v>
      </c>
      <c r="AG137" s="114">
        <v>133</v>
      </c>
      <c r="AH137" s="113">
        <f>SUM(AA$5:AA137)</f>
        <v>177000</v>
      </c>
      <c r="AI137" s="113">
        <f>SUM(AB$5:AB137)</f>
        <v>354000</v>
      </c>
      <c r="AJ137" s="113">
        <f>SUM(AC$5:AC137)</f>
        <v>708000</v>
      </c>
      <c r="AK137" s="113">
        <f>SUM(AD$5:AD137)</f>
        <v>1770000</v>
      </c>
      <c r="AL137" s="113">
        <f>SUM(AE$5:AE137)</f>
        <v>5310000</v>
      </c>
      <c r="AO137" s="46">
        <v>19</v>
      </c>
      <c r="AP137" s="129">
        <f>节奏预期!B137</f>
        <v>160</v>
      </c>
      <c r="AQ137" s="128">
        <f>IFERROR(INDEX(AH$5:AH$304,MATCH(节奏预期!N137,$AG$5:$AG$304,0))*节奏预期!D137,0)</f>
        <v>0</v>
      </c>
      <c r="AR137" s="128">
        <f>IFERROR(INDEX(AI$5:AI$304,MATCH(节奏预期!O137,$AG$5:$AG$304,0))*节奏预期!E137,0)</f>
        <v>0</v>
      </c>
      <c r="AS137" s="128">
        <f>IFERROR(INDEX(AJ$5:AJ$304,MATCH(节奏预期!P137,$AG$5:$AG$304,0))*节奏预期!F137,0)</f>
        <v>0</v>
      </c>
      <c r="AT137" s="128">
        <f>IFERROR(INDEX(AK$5:AK$304,MATCH(节奏预期!Q137,$AG$5:$AG$304,0))*节奏预期!G137,0)</f>
        <v>0</v>
      </c>
      <c r="AU137" s="128">
        <f>IFERROR(INDEX(AL$5:AL$304,MATCH(节奏预期!R137,$AG$5:$AG$304,0))*节奏预期!H137,0)</f>
        <v>0</v>
      </c>
      <c r="AV137" s="136">
        <f t="shared" si="73"/>
        <v>75240252000</v>
      </c>
      <c r="AW137" s="128">
        <f>IFERROR(INDEX(T$5:T$304,MATCH(节奏预期!N137,$S$5:$S$304,0))*节奏预期!D137,0)</f>
        <v>0</v>
      </c>
      <c r="AX137" s="128">
        <f>IFERROR(INDEX(U$5:U$304,MATCH(节奏预期!O137,$S$5:$S$304,0))*节奏预期!E137,0)</f>
        <v>0</v>
      </c>
      <c r="AY137" s="128">
        <f>IFERROR(INDEX(V$5:V$304,MATCH(节奏预期!P137,$S$5:$S$304,0))*节奏预期!F137,0)</f>
        <v>0</v>
      </c>
      <c r="AZ137" s="128">
        <f>IFERROR(INDEX(W$5:W$304,MATCH(节奏预期!Q137,$S$5:$S$304,0))*节奏预期!G137,0)</f>
        <v>0</v>
      </c>
      <c r="BA137" s="128">
        <f>IFERROR(INDEX(X$5:X$304,MATCH(节奏预期!R137,$S$5:$S$304,0))*节奏预期!H137,0)</f>
        <v>0</v>
      </c>
      <c r="BB137" s="136">
        <f t="shared" si="74"/>
        <v>1881006300</v>
      </c>
      <c r="BC137" s="126" t="str">
        <f>IF(节奏预期!N137="","",节奏预期!N137*装备强化!D$8+装备强化!D$5)</f>
        <v/>
      </c>
      <c r="BD137" s="126" t="str">
        <f>IF(节奏预期!O137="","",节奏预期!O137*装备强化!E$8+装备强化!E$5)</f>
        <v/>
      </c>
      <c r="BE137" s="126" t="str">
        <f>IF(节奏预期!P137="","",节奏预期!P137*装备强化!F$8+装备强化!F$5)</f>
        <v/>
      </c>
      <c r="BF137" s="126" t="str">
        <f>IF(节奏预期!Q137="","",节奏预期!Q137*装备强化!G$8+装备强化!G$5)</f>
        <v/>
      </c>
      <c r="BG137" s="126">
        <f>IF(节奏预期!R137="","",节奏预期!R137*装备强化!H$8+装备强化!H$5)</f>
        <v>11540</v>
      </c>
      <c r="BH137" s="14">
        <f>SUMPRODUCT(BC137:BG137,节奏预期!$D137:$H137)/SUM(节奏预期!$D137:$H137)</f>
        <v>11540</v>
      </c>
      <c r="BI137" s="13" t="str">
        <f>IF(节奏预期!N137="","",节奏预期!N137*装备强化!D$9+装备强化!D$6)</f>
        <v/>
      </c>
      <c r="BJ137" s="126" t="str">
        <f>IF(节奏预期!O137="","",节奏预期!O137*装备强化!E$9+装备强化!E$6)</f>
        <v/>
      </c>
      <c r="BK137" s="126" t="str">
        <f>IF(节奏预期!P137="","",节奏预期!P137*装备强化!F$9+装备强化!F$6)</f>
        <v/>
      </c>
      <c r="BL137" s="126" t="str">
        <f>IF(节奏预期!Q137="","",节奏预期!Q137*装备强化!G$9+装备强化!G$6)</f>
        <v/>
      </c>
      <c r="BM137" s="126">
        <f>IF(节奏预期!R137="","",节奏预期!R137*装备强化!H$9+装备强化!H$6)</f>
        <v>11540</v>
      </c>
      <c r="BN137" s="14">
        <f>SUMPRODUCT(BI137:BM137,节奏预期!$D137:$H137)/SUM(节奏预期!$D137:$H137)</f>
        <v>11540</v>
      </c>
      <c r="BO137" s="128">
        <f>IF(节奏预期!D137="","",IF(节奏预期!I137="",0,装备强化!D$4*节奏预期!I137))</f>
        <v>3.6</v>
      </c>
      <c r="BP137" s="128">
        <f>IF(节奏预期!E137="","",IF(节奏预期!J137="",0,装备强化!E$4*节奏预期!J137))</f>
        <v>8</v>
      </c>
      <c r="BQ137" s="128">
        <f>IF(节奏预期!F137="","",IF(节奏预期!K137="",0,装备强化!F$4*节奏预期!K137))</f>
        <v>18</v>
      </c>
      <c r="BR137" s="128">
        <f>IF(节奏预期!G137="","",IF(节奏预期!L137="",0,装备强化!G$4*节奏预期!L137))</f>
        <v>34</v>
      </c>
      <c r="BS137" s="128">
        <f>IF(节奏预期!H137="","",IF(节奏预期!M137="",0,装备强化!H$4*节奏预期!M137))</f>
        <v>66</v>
      </c>
      <c r="BT137" s="80">
        <f>SUMPRODUCT(BO137:BS137,节奏预期!D137:H137)/SUM(节奏预期!D137:H137)</f>
        <v>66</v>
      </c>
      <c r="BW137" s="25">
        <v>44</v>
      </c>
    </row>
    <row r="138" spans="10:96" x14ac:dyDescent="0.15">
      <c r="J138" s="46">
        <f>INDEX('[1]资源-装备经验'!Y$6:Y$165,(K138+1)/2,1)</f>
        <v>0</v>
      </c>
      <c r="K138" s="113">
        <v>134</v>
      </c>
      <c r="L138" s="121">
        <v>120</v>
      </c>
      <c r="M138" s="122">
        <f t="shared" si="80"/>
        <v>120</v>
      </c>
      <c r="N138" s="120">
        <f t="shared" si="81"/>
        <v>240</v>
      </c>
      <c r="O138" s="120">
        <f t="shared" si="81"/>
        <v>480</v>
      </c>
      <c r="P138" s="120">
        <f t="shared" si="81"/>
        <v>1200</v>
      </c>
      <c r="Q138" s="120">
        <f t="shared" si="81"/>
        <v>3600</v>
      </c>
      <c r="S138" s="113">
        <v>134</v>
      </c>
      <c r="T138" s="113">
        <f>SUM(M$5:M138)</f>
        <v>4545</v>
      </c>
      <c r="U138" s="113">
        <f>SUM(N$5:N138)</f>
        <v>9090</v>
      </c>
      <c r="V138" s="113">
        <f>SUM(O$5:O138)</f>
        <v>18180</v>
      </c>
      <c r="W138" s="113">
        <f>SUM(P$5:P138)</f>
        <v>45450</v>
      </c>
      <c r="X138" s="113">
        <f>SUM(Q$5:Q138)</f>
        <v>136350</v>
      </c>
      <c r="Z138" s="114">
        <v>134</v>
      </c>
      <c r="AA138" s="114">
        <f t="shared" si="75"/>
        <v>4800</v>
      </c>
      <c r="AB138" s="114">
        <f t="shared" si="76"/>
        <v>9600</v>
      </c>
      <c r="AC138" s="114">
        <f t="shared" si="77"/>
        <v>19200</v>
      </c>
      <c r="AD138" s="114">
        <f t="shared" si="78"/>
        <v>48000</v>
      </c>
      <c r="AE138" s="114">
        <f t="shared" si="79"/>
        <v>144000</v>
      </c>
      <c r="AG138" s="114">
        <v>134</v>
      </c>
      <c r="AH138" s="113">
        <f>SUM(AA$5:AA138)</f>
        <v>181800</v>
      </c>
      <c r="AI138" s="113">
        <f>SUM(AB$5:AB138)</f>
        <v>363600</v>
      </c>
      <c r="AJ138" s="113">
        <f>SUM(AC$5:AC138)</f>
        <v>727200</v>
      </c>
      <c r="AK138" s="113">
        <f>SUM(AD$5:AD138)</f>
        <v>1818000</v>
      </c>
      <c r="AL138" s="113">
        <f>SUM(AE$5:AE138)</f>
        <v>5454000</v>
      </c>
      <c r="AO138" s="46">
        <v>20</v>
      </c>
      <c r="BW138" s="25">
        <v>45</v>
      </c>
    </row>
    <row r="139" spans="10:96" x14ac:dyDescent="0.15">
      <c r="J139" s="46">
        <f>INDEX('[1]资源-装备经验'!Y$6:Y$165,(K139+1)/2,1)</f>
        <v>0</v>
      </c>
      <c r="K139" s="113">
        <v>135</v>
      </c>
      <c r="L139" s="121">
        <v>120</v>
      </c>
      <c r="M139" s="122">
        <f t="shared" si="80"/>
        <v>120</v>
      </c>
      <c r="N139" s="120">
        <f t="shared" si="81"/>
        <v>240</v>
      </c>
      <c r="O139" s="120">
        <f t="shared" si="81"/>
        <v>480</v>
      </c>
      <c r="P139" s="120">
        <f t="shared" si="81"/>
        <v>1200</v>
      </c>
      <c r="Q139" s="120">
        <f t="shared" si="81"/>
        <v>3600</v>
      </c>
      <c r="S139" s="113">
        <v>135</v>
      </c>
      <c r="T139" s="113">
        <f>SUM(M$5:M139)</f>
        <v>4665</v>
      </c>
      <c r="U139" s="113">
        <f>SUM(N$5:N139)</f>
        <v>9330</v>
      </c>
      <c r="V139" s="113">
        <f>SUM(O$5:O139)</f>
        <v>18660</v>
      </c>
      <c r="W139" s="113">
        <f>SUM(P$5:P139)</f>
        <v>46650</v>
      </c>
      <c r="X139" s="113">
        <f>SUM(Q$5:Q139)</f>
        <v>139950</v>
      </c>
      <c r="Z139" s="114">
        <v>135</v>
      </c>
      <c r="AA139" s="114">
        <f t="shared" si="75"/>
        <v>4800</v>
      </c>
      <c r="AB139" s="114">
        <f t="shared" si="76"/>
        <v>9600</v>
      </c>
      <c r="AC139" s="114">
        <f t="shared" si="77"/>
        <v>19200</v>
      </c>
      <c r="AD139" s="114">
        <f t="shared" si="78"/>
        <v>48000</v>
      </c>
      <c r="AE139" s="114">
        <f t="shared" si="79"/>
        <v>144000</v>
      </c>
      <c r="AG139" s="114">
        <v>135</v>
      </c>
      <c r="AH139" s="113">
        <f>SUM(AA$5:AA139)</f>
        <v>186600</v>
      </c>
      <c r="AI139" s="113">
        <f>SUM(AB$5:AB139)</f>
        <v>373200</v>
      </c>
      <c r="AJ139" s="113">
        <f>SUM(AC$5:AC139)</f>
        <v>746400</v>
      </c>
      <c r="AK139" s="113">
        <f>SUM(AD$5:AD139)</f>
        <v>1866000</v>
      </c>
      <c r="AL139" s="113">
        <f>SUM(AE$5:AE139)</f>
        <v>5598000</v>
      </c>
      <c r="AO139" s="46">
        <v>21</v>
      </c>
      <c r="BW139" s="25">
        <v>1</v>
      </c>
      <c r="BX139" s="54" t="s">
        <v>239</v>
      </c>
      <c r="BY139" s="195" t="s">
        <v>231</v>
      </c>
      <c r="BZ139" s="195"/>
      <c r="CA139" s="195"/>
      <c r="CB139" s="195" t="s">
        <v>232</v>
      </c>
      <c r="CC139" s="195"/>
      <c r="CD139" s="195"/>
      <c r="CE139" s="195"/>
      <c r="CI139" s="73" t="s">
        <v>359</v>
      </c>
      <c r="CJ139" s="183" t="s">
        <v>349</v>
      </c>
      <c r="CK139" s="183"/>
      <c r="CL139" s="183"/>
      <c r="CM139" s="183"/>
      <c r="CO139" s="70" t="s">
        <v>358</v>
      </c>
      <c r="CP139" s="184" t="s">
        <v>351</v>
      </c>
      <c r="CQ139" s="185"/>
    </row>
    <row r="140" spans="10:96" x14ac:dyDescent="0.15">
      <c r="J140" s="46">
        <f>INDEX('[1]资源-装备经验'!Y$6:Y$165,(K140+1)/2,1)</f>
        <v>0</v>
      </c>
      <c r="K140" s="113">
        <v>136</v>
      </c>
      <c r="L140" s="121">
        <v>120</v>
      </c>
      <c r="M140" s="122">
        <f t="shared" si="80"/>
        <v>120</v>
      </c>
      <c r="N140" s="120">
        <f t="shared" si="81"/>
        <v>240</v>
      </c>
      <c r="O140" s="120">
        <f t="shared" si="81"/>
        <v>480</v>
      </c>
      <c r="P140" s="120">
        <f t="shared" si="81"/>
        <v>1200</v>
      </c>
      <c r="Q140" s="120">
        <f t="shared" si="81"/>
        <v>3600</v>
      </c>
      <c r="S140" s="113">
        <v>136</v>
      </c>
      <c r="T140" s="113">
        <f>SUM(M$5:M140)</f>
        <v>4785</v>
      </c>
      <c r="U140" s="113">
        <f>SUM(N$5:N140)</f>
        <v>9570</v>
      </c>
      <c r="V140" s="113">
        <f>SUM(O$5:O140)</f>
        <v>19140</v>
      </c>
      <c r="W140" s="113">
        <f>SUM(P$5:P140)</f>
        <v>47850</v>
      </c>
      <c r="X140" s="113">
        <f>SUM(Q$5:Q140)</f>
        <v>143550</v>
      </c>
      <c r="Z140" s="114">
        <v>136</v>
      </c>
      <c r="AA140" s="114">
        <f t="shared" si="75"/>
        <v>4800</v>
      </c>
      <c r="AB140" s="114">
        <f t="shared" si="76"/>
        <v>9600</v>
      </c>
      <c r="AC140" s="114">
        <f t="shared" si="77"/>
        <v>19200</v>
      </c>
      <c r="AD140" s="114">
        <f t="shared" si="78"/>
        <v>48000</v>
      </c>
      <c r="AE140" s="114">
        <f t="shared" si="79"/>
        <v>144000</v>
      </c>
      <c r="AG140" s="114">
        <v>136</v>
      </c>
      <c r="AH140" s="113">
        <f>SUM(AA$5:AA140)</f>
        <v>191400</v>
      </c>
      <c r="AI140" s="113">
        <f>SUM(AB$5:AB140)</f>
        <v>382800</v>
      </c>
      <c r="AJ140" s="113">
        <f>SUM(AC$5:AC140)</f>
        <v>765600</v>
      </c>
      <c r="AK140" s="113">
        <f>SUM(AD$5:AD140)</f>
        <v>1914000</v>
      </c>
      <c r="AL140" s="113">
        <f>SUM(AE$5:AE140)</f>
        <v>5742000</v>
      </c>
      <c r="AO140" s="46">
        <v>22</v>
      </c>
      <c r="BW140" s="25">
        <v>2</v>
      </c>
      <c r="BX140" s="51" t="s">
        <v>398</v>
      </c>
      <c r="BY140" s="47" t="s">
        <v>233</v>
      </c>
      <c r="BZ140" s="47" t="s">
        <v>234</v>
      </c>
      <c r="CA140" s="47" t="s">
        <v>235</v>
      </c>
      <c r="CB140" s="47" t="s">
        <v>233</v>
      </c>
      <c r="CC140" s="47" t="s">
        <v>234</v>
      </c>
      <c r="CD140" s="47" t="s">
        <v>235</v>
      </c>
      <c r="CE140" s="51" t="s">
        <v>236</v>
      </c>
      <c r="CI140" s="51" t="s">
        <v>398</v>
      </c>
      <c r="CJ140" s="71" t="s">
        <v>362</v>
      </c>
      <c r="CK140" s="71" t="s">
        <v>364</v>
      </c>
      <c r="CL140" s="71" t="s">
        <v>363</v>
      </c>
      <c r="CM140" s="71" t="s">
        <v>352</v>
      </c>
      <c r="CO140" s="51" t="s">
        <v>398</v>
      </c>
      <c r="CP140" s="51" t="s">
        <v>365</v>
      </c>
      <c r="CQ140" s="71" t="s">
        <v>353</v>
      </c>
      <c r="CR140" s="71" t="s">
        <v>370</v>
      </c>
    </row>
    <row r="141" spans="10:96" x14ac:dyDescent="0.15">
      <c r="J141" s="46">
        <f>INDEX('[1]资源-装备经验'!Y$6:Y$165,(K141+1)/2,1)</f>
        <v>0</v>
      </c>
      <c r="K141" s="113">
        <v>137</v>
      </c>
      <c r="L141" s="121">
        <v>120</v>
      </c>
      <c r="M141" s="122">
        <f t="shared" si="80"/>
        <v>120</v>
      </c>
      <c r="N141" s="120">
        <f t="shared" si="81"/>
        <v>240</v>
      </c>
      <c r="O141" s="120">
        <f t="shared" si="81"/>
        <v>480</v>
      </c>
      <c r="P141" s="120">
        <f t="shared" si="81"/>
        <v>1200</v>
      </c>
      <c r="Q141" s="120">
        <f t="shared" si="81"/>
        <v>3600</v>
      </c>
      <c r="S141" s="113">
        <v>137</v>
      </c>
      <c r="T141" s="113">
        <f>SUM(M$5:M141)</f>
        <v>4905</v>
      </c>
      <c r="U141" s="113">
        <f>SUM(N$5:N141)</f>
        <v>9810</v>
      </c>
      <c r="V141" s="113">
        <f>SUM(O$5:O141)</f>
        <v>19620</v>
      </c>
      <c r="W141" s="113">
        <f>SUM(P$5:P141)</f>
        <v>49050</v>
      </c>
      <c r="X141" s="113">
        <f>SUM(Q$5:Q141)</f>
        <v>147150</v>
      </c>
      <c r="Z141" s="114">
        <v>137</v>
      </c>
      <c r="AA141" s="114">
        <f t="shared" si="75"/>
        <v>4800</v>
      </c>
      <c r="AB141" s="114">
        <f t="shared" si="76"/>
        <v>9600</v>
      </c>
      <c r="AC141" s="114">
        <f t="shared" si="77"/>
        <v>19200</v>
      </c>
      <c r="AD141" s="114">
        <f t="shared" si="78"/>
        <v>48000</v>
      </c>
      <c r="AE141" s="114">
        <f t="shared" si="79"/>
        <v>144000</v>
      </c>
      <c r="AG141" s="114">
        <v>137</v>
      </c>
      <c r="AH141" s="113">
        <f>SUM(AA$5:AA141)</f>
        <v>196200</v>
      </c>
      <c r="AI141" s="113">
        <f>SUM(AB$5:AB141)</f>
        <v>392400</v>
      </c>
      <c r="AJ141" s="113">
        <f>SUM(AC$5:AC141)</f>
        <v>784800</v>
      </c>
      <c r="AK141" s="113">
        <f>SUM(AD$5:AD141)</f>
        <v>1962000</v>
      </c>
      <c r="AL141" s="113">
        <f>SUM(AE$5:AE141)</f>
        <v>5886000</v>
      </c>
      <c r="AO141" s="46">
        <v>23</v>
      </c>
      <c r="BW141" s="25">
        <v>3</v>
      </c>
      <c r="BX141" s="47">
        <v>10</v>
      </c>
      <c r="BY141" s="52">
        <f t="shared" ref="BY141" si="82">BT93</f>
        <v>4.2666666666666666</v>
      </c>
      <c r="BZ141" s="52">
        <f t="shared" ref="BZ141" si="83">BH93</f>
        <v>140</v>
      </c>
      <c r="CA141" s="52">
        <f t="shared" ref="CA141" si="84">BN93</f>
        <v>140</v>
      </c>
      <c r="CB141" s="77">
        <f>BY141*(INDEX([2]大r将兵属性验证!V$7:V$166,$BX141,1)+INDEX([2]大r将兵属性验证!$AP$7:$AP$166,$BX141,1))</f>
        <v>1640247.0050589694</v>
      </c>
      <c r="CC141" s="77">
        <f>BZ141*INDEX([2]大r将兵属性验证!W$7:W$166,$BX141,1)</f>
        <v>1397583.0375430787</v>
      </c>
      <c r="CD141" s="77">
        <f>CA141*INDEX([2]大r将兵属性验证!X$7:X$166,$BX141,1)</f>
        <v>1397583.0375430787</v>
      </c>
      <c r="CE141" s="52">
        <f>SUM(CB141:CD141)</f>
        <v>4435413.0801451271</v>
      </c>
      <c r="CI141" s="71">
        <v>10</v>
      </c>
      <c r="CJ141" s="75">
        <f t="shared" ref="CJ141:CJ156" si="85">$BB93</f>
        <v>1200</v>
      </c>
      <c r="CK141" s="76">
        <f>CJ141*INDEX('[1]功能-付费相关'!$BL$6:$BL$165,$CI141,1)</f>
        <v>480.18751016944702</v>
      </c>
      <c r="CL141" s="75">
        <f t="shared" ref="CL141:CL156" si="86">$AV93</f>
        <v>48000</v>
      </c>
      <c r="CM141" s="76">
        <f>CL141*INDEX('[1]功能-付费相关'!$AT$6:$AT$165,$CI141,1)</f>
        <v>120</v>
      </c>
      <c r="CO141" s="71">
        <v>10</v>
      </c>
      <c r="CP141" s="71">
        <f>CK141</f>
        <v>480.18751016944702</v>
      </c>
      <c r="CQ141" s="71">
        <f t="shared" ref="CQ141" si="87">CM141</f>
        <v>120</v>
      </c>
      <c r="CR141" s="84">
        <f>SUM(CP141:CQ141)</f>
        <v>600.18751016944702</v>
      </c>
    </row>
    <row r="142" spans="10:96" x14ac:dyDescent="0.15">
      <c r="J142" s="46">
        <f>INDEX('[1]资源-装备经验'!Y$6:Y$165,(K142+1)/2,1)</f>
        <v>0</v>
      </c>
      <c r="K142" s="113">
        <v>138</v>
      </c>
      <c r="L142" s="121">
        <v>120</v>
      </c>
      <c r="M142" s="122">
        <f t="shared" si="80"/>
        <v>120</v>
      </c>
      <c r="N142" s="120">
        <f t="shared" si="81"/>
        <v>240</v>
      </c>
      <c r="O142" s="120">
        <f t="shared" si="81"/>
        <v>480</v>
      </c>
      <c r="P142" s="120">
        <f t="shared" si="81"/>
        <v>1200</v>
      </c>
      <c r="Q142" s="120">
        <f t="shared" si="81"/>
        <v>3600</v>
      </c>
      <c r="S142" s="113">
        <v>138</v>
      </c>
      <c r="T142" s="113">
        <f>SUM(M$5:M142)</f>
        <v>5025</v>
      </c>
      <c r="U142" s="113">
        <f>SUM(N$5:N142)</f>
        <v>10050</v>
      </c>
      <c r="V142" s="113">
        <f>SUM(O$5:O142)</f>
        <v>20100</v>
      </c>
      <c r="W142" s="113">
        <f>SUM(P$5:P142)</f>
        <v>50250</v>
      </c>
      <c r="X142" s="113">
        <f>SUM(Q$5:Q142)</f>
        <v>150750</v>
      </c>
      <c r="Z142" s="114">
        <v>138</v>
      </c>
      <c r="AA142" s="114">
        <f t="shared" si="75"/>
        <v>4800</v>
      </c>
      <c r="AB142" s="114">
        <f t="shared" si="76"/>
        <v>9600</v>
      </c>
      <c r="AC142" s="114">
        <f t="shared" si="77"/>
        <v>19200</v>
      </c>
      <c r="AD142" s="114">
        <f t="shared" si="78"/>
        <v>48000</v>
      </c>
      <c r="AE142" s="114">
        <f t="shared" si="79"/>
        <v>144000</v>
      </c>
      <c r="AG142" s="114">
        <v>138</v>
      </c>
      <c r="AH142" s="113">
        <f>SUM(AA$5:AA142)</f>
        <v>201000</v>
      </c>
      <c r="AI142" s="113">
        <f>SUM(AB$5:AB142)</f>
        <v>402000</v>
      </c>
      <c r="AJ142" s="113">
        <f>SUM(AC$5:AC142)</f>
        <v>804000</v>
      </c>
      <c r="AK142" s="113">
        <f>SUM(AD$5:AD142)</f>
        <v>2010000</v>
      </c>
      <c r="AL142" s="113">
        <f>SUM(AE$5:AE142)</f>
        <v>6030000</v>
      </c>
      <c r="AO142" s="46">
        <v>24</v>
      </c>
      <c r="BW142" s="25">
        <v>4</v>
      </c>
      <c r="BX142" s="47">
        <v>20</v>
      </c>
      <c r="BY142" s="52">
        <f t="shared" ref="BY142:BY156" si="88">BT94</f>
        <v>8.4111111111111097</v>
      </c>
      <c r="BZ142" s="52">
        <f t="shared" ref="BZ142:BZ156" si="89">BH94</f>
        <v>403.33333333333331</v>
      </c>
      <c r="CA142" s="52">
        <f t="shared" ref="CA142:CA156" si="90">BN94</f>
        <v>403.33333333333331</v>
      </c>
      <c r="CB142" s="109">
        <f>(BY142-BY141)*(INDEX([2]大r将兵属性验证!V$7:V$166,$BX142,1)+INDEX([2]大r将兵属性验证!$AP$7:$AP$166,$BX142,1))+CB141</f>
        <v>7629031.2865477065</v>
      </c>
      <c r="CC142" s="109">
        <f>(BZ142-BZ141)*INDEX([2]大r将兵属性验证!W$7:W$166,$BX142,1)+CC141</f>
        <v>9025257.4998613186</v>
      </c>
      <c r="CD142" s="109">
        <f>(CA142-CA141)*INDEX([2]大r将兵属性验证!X$7:X$166,$BX142,1)+CD141</f>
        <v>9025257.4998613186</v>
      </c>
      <c r="CE142" s="52">
        <f t="shared" ref="CE142:CE149" si="91">SUM(CB142:CD142)</f>
        <v>25679546.286270343</v>
      </c>
      <c r="CI142" s="71">
        <v>20</v>
      </c>
      <c r="CJ142" s="75">
        <f t="shared" si="85"/>
        <v>6900</v>
      </c>
      <c r="CK142" s="75">
        <f>(CJ142-CJ141)*INDEX('[1]功能-付费相关'!$BL$6:$BL$165,$CI142,1)+CK141</f>
        <v>1880.4565243888142</v>
      </c>
      <c r="CL142" s="75">
        <f t="shared" si="86"/>
        <v>276000</v>
      </c>
      <c r="CM142" s="75">
        <f>(CL142-CL141)*INDEX('[1]功能-付费相关'!$AT$6:$AT$165,$CI142,1)+CM141</f>
        <v>595</v>
      </c>
      <c r="CO142" s="71">
        <v>20</v>
      </c>
      <c r="CP142" s="138">
        <f t="shared" ref="CP142:CP156" si="92">CK142</f>
        <v>1880.4565243888142</v>
      </c>
      <c r="CQ142" s="138">
        <f t="shared" ref="CQ142:CQ156" si="93">CM142</f>
        <v>595</v>
      </c>
      <c r="CR142" s="84">
        <f t="shared" ref="CR142:CR156" si="94">SUM(CP142:CQ142)</f>
        <v>2475.4565243888142</v>
      </c>
    </row>
    <row r="143" spans="10:96" x14ac:dyDescent="0.15">
      <c r="J143" s="46">
        <f>INDEX('[1]资源-装备经验'!Y$6:Y$165,(K143+1)/2,1)</f>
        <v>0</v>
      </c>
      <c r="K143" s="113">
        <v>139</v>
      </c>
      <c r="L143" s="121">
        <v>120</v>
      </c>
      <c r="M143" s="122">
        <f t="shared" si="80"/>
        <v>120</v>
      </c>
      <c r="N143" s="120">
        <f t="shared" si="81"/>
        <v>240</v>
      </c>
      <c r="O143" s="120">
        <f t="shared" si="81"/>
        <v>480</v>
      </c>
      <c r="P143" s="120">
        <f t="shared" si="81"/>
        <v>1200</v>
      </c>
      <c r="Q143" s="120">
        <f t="shared" si="81"/>
        <v>3600</v>
      </c>
      <c r="S143" s="113">
        <v>139</v>
      </c>
      <c r="T143" s="113">
        <f>SUM(M$5:M143)</f>
        <v>5145</v>
      </c>
      <c r="U143" s="113">
        <f>SUM(N$5:N143)</f>
        <v>10290</v>
      </c>
      <c r="V143" s="113">
        <f>SUM(O$5:O143)</f>
        <v>20580</v>
      </c>
      <c r="W143" s="113">
        <f>SUM(P$5:P143)</f>
        <v>51450</v>
      </c>
      <c r="X143" s="113">
        <f>SUM(Q$5:Q143)</f>
        <v>154350</v>
      </c>
      <c r="Z143" s="114">
        <v>139</v>
      </c>
      <c r="AA143" s="114">
        <f t="shared" si="75"/>
        <v>4800</v>
      </c>
      <c r="AB143" s="114">
        <f t="shared" si="76"/>
        <v>9600</v>
      </c>
      <c r="AC143" s="114">
        <f t="shared" si="77"/>
        <v>19200</v>
      </c>
      <c r="AD143" s="114">
        <f t="shared" si="78"/>
        <v>48000</v>
      </c>
      <c r="AE143" s="114">
        <f t="shared" si="79"/>
        <v>144000</v>
      </c>
      <c r="AG143" s="114">
        <v>139</v>
      </c>
      <c r="AH143" s="113">
        <f>SUM(AA$5:AA143)</f>
        <v>205800</v>
      </c>
      <c r="AI143" s="113">
        <f>SUM(AB$5:AB143)</f>
        <v>411600</v>
      </c>
      <c r="AJ143" s="113">
        <f>SUM(AC$5:AC143)</f>
        <v>823200</v>
      </c>
      <c r="AK143" s="113">
        <f>SUM(AD$5:AD143)</f>
        <v>2058000</v>
      </c>
      <c r="AL143" s="113">
        <f>SUM(AE$5:AE143)</f>
        <v>6174000</v>
      </c>
      <c r="AO143" s="46">
        <v>25</v>
      </c>
      <c r="BW143" s="25">
        <v>5</v>
      </c>
      <c r="BX143" s="47">
        <v>30</v>
      </c>
      <c r="BY143" s="52">
        <f t="shared" si="88"/>
        <v>15.444444444444445</v>
      </c>
      <c r="BZ143" s="52">
        <f t="shared" si="89"/>
        <v>1066.6666666666667</v>
      </c>
      <c r="CA143" s="52">
        <f t="shared" si="90"/>
        <v>1066.6666666666667</v>
      </c>
      <c r="CB143" s="109">
        <f>(BY143-BY142)*(INDEX([2]大r将兵属性验证!V$7:V$166,$BX143,1)+INDEX([2]大r将兵属性验证!$AP$7:$AP$166,$BX143,1))+CB142</f>
        <v>37294844.954316199</v>
      </c>
      <c r="CC143" s="109">
        <f>(BZ143-BZ142)*INDEX([2]大r将兵属性验证!W$7:W$166,$BX143,1)+CC142</f>
        <v>55896309.337114394</v>
      </c>
      <c r="CD143" s="109">
        <f>(CA143-CA142)*INDEX([2]大r将兵属性验证!X$7:X$166,$BX143,1)+CD142</f>
        <v>55896309.337114394</v>
      </c>
      <c r="CE143" s="52">
        <f t="shared" si="91"/>
        <v>149087463.62854499</v>
      </c>
      <c r="CI143" s="71">
        <v>30</v>
      </c>
      <c r="CJ143" s="75">
        <f t="shared" si="85"/>
        <v>29820</v>
      </c>
      <c r="CK143" s="75">
        <f>(CJ143-CJ142)*INDEX('[1]功能-付费相关'!$BL$6:$BL$165,$CI143,1)+CK142</f>
        <v>5337.1291120346905</v>
      </c>
      <c r="CL143" s="75">
        <f t="shared" si="86"/>
        <v>1192800</v>
      </c>
      <c r="CM143" s="75">
        <f>(CL143-CL142)*INDEX('[1]功能-付费相关'!$AT$6:$AT$165,$CI143,1)+CM142</f>
        <v>2232.1428571428569</v>
      </c>
      <c r="CO143" s="71">
        <v>30</v>
      </c>
      <c r="CP143" s="138">
        <f t="shared" si="92"/>
        <v>5337.1291120346905</v>
      </c>
      <c r="CQ143" s="138">
        <f t="shared" si="93"/>
        <v>2232.1428571428569</v>
      </c>
      <c r="CR143" s="84">
        <f t="shared" si="94"/>
        <v>7569.2719691775474</v>
      </c>
    </row>
    <row r="144" spans="10:96" x14ac:dyDescent="0.15">
      <c r="J144" s="46">
        <f>INDEX('[1]资源-装备经验'!Y$6:Y$165,(K144+1)/2,1)</f>
        <v>0</v>
      </c>
      <c r="K144" s="113">
        <v>140</v>
      </c>
      <c r="L144" s="121">
        <v>180</v>
      </c>
      <c r="M144" s="122">
        <f t="shared" si="80"/>
        <v>180</v>
      </c>
      <c r="N144" s="120">
        <f t="shared" si="81"/>
        <v>360</v>
      </c>
      <c r="O144" s="120">
        <f t="shared" si="81"/>
        <v>720</v>
      </c>
      <c r="P144" s="120">
        <f t="shared" si="81"/>
        <v>1800</v>
      </c>
      <c r="Q144" s="120">
        <f t="shared" si="81"/>
        <v>5400</v>
      </c>
      <c r="S144" s="113">
        <v>140</v>
      </c>
      <c r="T144" s="113">
        <f>SUM(M$5:M144)</f>
        <v>5325</v>
      </c>
      <c r="U144" s="113">
        <f>SUM(N$5:N144)</f>
        <v>10650</v>
      </c>
      <c r="V144" s="113">
        <f>SUM(O$5:O144)</f>
        <v>21300</v>
      </c>
      <c r="W144" s="113">
        <f>SUM(P$5:P144)</f>
        <v>53250</v>
      </c>
      <c r="X144" s="113">
        <f>SUM(Q$5:Q144)</f>
        <v>159750</v>
      </c>
      <c r="Z144" s="114">
        <v>140</v>
      </c>
      <c r="AA144" s="114">
        <f t="shared" si="75"/>
        <v>7200</v>
      </c>
      <c r="AB144" s="114">
        <f t="shared" si="76"/>
        <v>14400</v>
      </c>
      <c r="AC144" s="114">
        <f t="shared" si="77"/>
        <v>28800</v>
      </c>
      <c r="AD144" s="114">
        <f t="shared" si="78"/>
        <v>72000</v>
      </c>
      <c r="AE144" s="114">
        <f t="shared" si="79"/>
        <v>216000</v>
      </c>
      <c r="AG144" s="114">
        <v>140</v>
      </c>
      <c r="AH144" s="113">
        <f>SUM(AA$5:AA144)</f>
        <v>213000</v>
      </c>
      <c r="AI144" s="113">
        <f>SUM(AB$5:AB144)</f>
        <v>426000</v>
      </c>
      <c r="AJ144" s="113">
        <f>SUM(AC$5:AC144)</f>
        <v>852000</v>
      </c>
      <c r="AK144" s="113">
        <f>SUM(AD$5:AD144)</f>
        <v>2130000</v>
      </c>
      <c r="AL144" s="113">
        <f>SUM(AE$5:AE144)</f>
        <v>6390000</v>
      </c>
      <c r="AO144" s="46">
        <v>26</v>
      </c>
      <c r="BW144" s="25">
        <v>6</v>
      </c>
      <c r="BX144" s="47">
        <v>40</v>
      </c>
      <c r="BY144" s="52">
        <f t="shared" si="88"/>
        <v>26.35</v>
      </c>
      <c r="BZ144" s="52">
        <f t="shared" si="89"/>
        <v>2180</v>
      </c>
      <c r="CA144" s="52">
        <f t="shared" si="90"/>
        <v>2180</v>
      </c>
      <c r="CB144" s="109">
        <f>(BY144-BY143)*(INDEX([2]大r将兵属性验证!V$7:V$166,$BX144,1)+INDEX([2]大r将兵属性验证!$AP$7:$AP$166,$BX144,1))+CB143</f>
        <v>172762925.23978174</v>
      </c>
      <c r="CC144" s="109">
        <f>(BZ144-BZ143)*INDEX([2]大r将兵属性验证!W$7:W$166,$BX144,1)+CC143</f>
        <v>266291323.16082019</v>
      </c>
      <c r="CD144" s="109">
        <f>(CA144-CA143)*INDEX([2]大r将兵属性验证!X$7:X$166,$BX144,1)+CD143</f>
        <v>266291323.16082019</v>
      </c>
      <c r="CE144" s="52">
        <f t="shared" si="91"/>
        <v>705345571.56142211</v>
      </c>
      <c r="CI144" s="71">
        <v>40</v>
      </c>
      <c r="CJ144" s="75">
        <f t="shared" si="85"/>
        <v>108000</v>
      </c>
      <c r="CK144" s="75">
        <f>(CJ144-CJ143)*INDEX('[1]功能-付费相关'!$BL$6:$BL$165,$CI144,1)+CK143</f>
        <v>12575.591259843608</v>
      </c>
      <c r="CL144" s="75">
        <f t="shared" si="86"/>
        <v>4320000</v>
      </c>
      <c r="CM144" s="75">
        <f>(CL144-CL143)*INDEX('[1]功能-付费相关'!$AT$6:$AT$165,$CI144,1)+CM143</f>
        <v>7118.3928571428569</v>
      </c>
      <c r="CO144" s="71">
        <v>40</v>
      </c>
      <c r="CP144" s="138">
        <f t="shared" si="92"/>
        <v>12575.591259843608</v>
      </c>
      <c r="CQ144" s="138">
        <f t="shared" si="93"/>
        <v>7118.3928571428569</v>
      </c>
      <c r="CR144" s="84">
        <f t="shared" si="94"/>
        <v>19693.984116986467</v>
      </c>
    </row>
    <row r="145" spans="10:96" x14ac:dyDescent="0.15">
      <c r="J145" s="46">
        <f>INDEX('[1]资源-装备经验'!Y$6:Y$165,(K145+1)/2,1)</f>
        <v>0</v>
      </c>
      <c r="K145" s="113">
        <v>141</v>
      </c>
      <c r="L145" s="121">
        <v>180</v>
      </c>
      <c r="M145" s="122">
        <f t="shared" si="80"/>
        <v>180</v>
      </c>
      <c r="N145" s="120">
        <f t="shared" si="81"/>
        <v>360</v>
      </c>
      <c r="O145" s="120">
        <f t="shared" si="81"/>
        <v>720</v>
      </c>
      <c r="P145" s="120">
        <f t="shared" si="81"/>
        <v>1800</v>
      </c>
      <c r="Q145" s="120">
        <f t="shared" si="81"/>
        <v>5400</v>
      </c>
      <c r="S145" s="113">
        <v>141</v>
      </c>
      <c r="T145" s="113">
        <f>SUM(M$5:M145)</f>
        <v>5505</v>
      </c>
      <c r="U145" s="113">
        <f>SUM(N$5:N145)</f>
        <v>11010</v>
      </c>
      <c r="V145" s="113">
        <f>SUM(O$5:O145)</f>
        <v>22020</v>
      </c>
      <c r="W145" s="113">
        <f>SUM(P$5:P145)</f>
        <v>55050</v>
      </c>
      <c r="X145" s="113">
        <f>SUM(Q$5:Q145)</f>
        <v>165150</v>
      </c>
      <c r="Z145" s="114">
        <v>141</v>
      </c>
      <c r="AA145" s="114">
        <f t="shared" si="75"/>
        <v>7200</v>
      </c>
      <c r="AB145" s="114">
        <f t="shared" si="76"/>
        <v>14400</v>
      </c>
      <c r="AC145" s="114">
        <f t="shared" si="77"/>
        <v>28800</v>
      </c>
      <c r="AD145" s="114">
        <f t="shared" si="78"/>
        <v>72000</v>
      </c>
      <c r="AE145" s="114">
        <f t="shared" si="79"/>
        <v>216000</v>
      </c>
      <c r="AG145" s="114">
        <v>141</v>
      </c>
      <c r="AH145" s="113">
        <f>SUM(AA$5:AA145)</f>
        <v>220200</v>
      </c>
      <c r="AI145" s="113">
        <f>SUM(AB$5:AB145)</f>
        <v>440400</v>
      </c>
      <c r="AJ145" s="113">
        <f>SUM(AC$5:AC145)</f>
        <v>880800</v>
      </c>
      <c r="AK145" s="113">
        <f>SUM(AD$5:AD145)</f>
        <v>2202000</v>
      </c>
      <c r="AL145" s="113">
        <f>SUM(AE$5:AE145)</f>
        <v>6606000</v>
      </c>
      <c r="AO145" s="46">
        <v>27</v>
      </c>
      <c r="BW145" s="25">
        <v>7</v>
      </c>
      <c r="BX145" s="47">
        <v>50</v>
      </c>
      <c r="BY145" s="52">
        <f t="shared" si="88"/>
        <v>31.392499999999998</v>
      </c>
      <c r="BZ145" s="52">
        <f t="shared" si="89"/>
        <v>2810</v>
      </c>
      <c r="CA145" s="52">
        <f t="shared" si="90"/>
        <v>2810</v>
      </c>
      <c r="CB145" s="109">
        <f>(BY145-BY144)*(INDEX([2]大r将兵属性验证!V$7:V$166,$BX145,1)+INDEX([2]大r将兵属性验证!$AP$7:$AP$166,$BX145,1))+CB144</f>
        <v>303507352.9036507</v>
      </c>
      <c r="CC145" s="109">
        <f>(BZ145-BZ144)*INDEX([2]大r将兵属性验证!W$7:W$166,$BX145,1)+CC144</f>
        <v>484939248.31656981</v>
      </c>
      <c r="CD145" s="109">
        <f>(CA145-CA144)*INDEX([2]大r将兵属性验证!X$7:X$166,$BX145,1)+CD144</f>
        <v>484939248.31656981</v>
      </c>
      <c r="CE145" s="52">
        <f t="shared" si="91"/>
        <v>1273385849.5367904</v>
      </c>
      <c r="CI145" s="71">
        <v>50</v>
      </c>
      <c r="CJ145" s="75">
        <f t="shared" si="85"/>
        <v>285000</v>
      </c>
      <c r="CK145" s="75">
        <f>(CJ145-CJ144)*INDEX('[1]功能-付费相关'!$BL$6:$BL$165,$CI145,1)+CK144</f>
        <v>25632.848789910135</v>
      </c>
      <c r="CL145" s="75">
        <f t="shared" si="86"/>
        <v>11400000</v>
      </c>
      <c r="CM145" s="75">
        <f>(CL145-CL144)*INDEX('[1]功能-付费相关'!$AT$6:$AT$165,$CI145,1)+CM144</f>
        <v>16951.726190476191</v>
      </c>
      <c r="CO145" s="71">
        <v>50</v>
      </c>
      <c r="CP145" s="138">
        <f t="shared" si="92"/>
        <v>25632.848789910135</v>
      </c>
      <c r="CQ145" s="138">
        <f t="shared" si="93"/>
        <v>16951.726190476191</v>
      </c>
      <c r="CR145" s="84">
        <f t="shared" si="94"/>
        <v>42584.574980386329</v>
      </c>
    </row>
    <row r="146" spans="10:96" x14ac:dyDescent="0.15">
      <c r="J146" s="46">
        <f>INDEX('[1]资源-装备经验'!Y$6:Y$165,(K146+1)/2,1)</f>
        <v>0</v>
      </c>
      <c r="K146" s="113">
        <v>142</v>
      </c>
      <c r="L146" s="121">
        <v>180</v>
      </c>
      <c r="M146" s="122">
        <f t="shared" si="80"/>
        <v>180</v>
      </c>
      <c r="N146" s="120">
        <f t="shared" si="81"/>
        <v>360</v>
      </c>
      <c r="O146" s="120">
        <f t="shared" si="81"/>
        <v>720</v>
      </c>
      <c r="P146" s="120">
        <f t="shared" si="81"/>
        <v>1800</v>
      </c>
      <c r="Q146" s="120">
        <f t="shared" si="81"/>
        <v>5400</v>
      </c>
      <c r="S146" s="113">
        <v>142</v>
      </c>
      <c r="T146" s="113">
        <f>SUM(M$5:M146)</f>
        <v>5685</v>
      </c>
      <c r="U146" s="113">
        <f>SUM(N$5:N146)</f>
        <v>11370</v>
      </c>
      <c r="V146" s="113">
        <f>SUM(O$5:O146)</f>
        <v>22740</v>
      </c>
      <c r="W146" s="113">
        <f>SUM(P$5:P146)</f>
        <v>56850</v>
      </c>
      <c r="X146" s="113">
        <f>SUM(Q$5:Q146)</f>
        <v>170550</v>
      </c>
      <c r="Z146" s="114">
        <v>142</v>
      </c>
      <c r="AA146" s="114">
        <f t="shared" si="75"/>
        <v>7200</v>
      </c>
      <c r="AB146" s="114">
        <f t="shared" si="76"/>
        <v>14400</v>
      </c>
      <c r="AC146" s="114">
        <f t="shared" si="77"/>
        <v>28800</v>
      </c>
      <c r="AD146" s="114">
        <f t="shared" si="78"/>
        <v>72000</v>
      </c>
      <c r="AE146" s="114">
        <f t="shared" si="79"/>
        <v>216000</v>
      </c>
      <c r="AG146" s="114">
        <v>142</v>
      </c>
      <c r="AH146" s="113">
        <f>SUM(AA$5:AA146)</f>
        <v>227400</v>
      </c>
      <c r="AI146" s="113">
        <f>SUM(AB$5:AB146)</f>
        <v>454800</v>
      </c>
      <c r="AJ146" s="113">
        <f>SUM(AC$5:AC146)</f>
        <v>909600</v>
      </c>
      <c r="AK146" s="113">
        <f>SUM(AD$5:AD146)</f>
        <v>2274000</v>
      </c>
      <c r="AL146" s="113">
        <f>SUM(AE$5:AE146)</f>
        <v>6822000</v>
      </c>
      <c r="AO146" s="46">
        <v>28</v>
      </c>
      <c r="BW146" s="25">
        <v>8</v>
      </c>
      <c r="BX146" s="47">
        <v>60</v>
      </c>
      <c r="BY146" s="52">
        <f t="shared" si="88"/>
        <v>38.676666666666669</v>
      </c>
      <c r="BZ146" s="52">
        <f t="shared" si="89"/>
        <v>3660</v>
      </c>
      <c r="CA146" s="52">
        <f t="shared" si="90"/>
        <v>3660</v>
      </c>
      <c r="CB146" s="109">
        <f>(BY146-BY145)*(INDEX([2]大r将兵属性验证!V$7:V$166,$BX146,1)+INDEX([2]大r将兵属性验证!$AP$7:$AP$166,$BX146,1))+CB145</f>
        <v>753627712.20369399</v>
      </c>
      <c r="CC146" s="109">
        <f>(BZ146-BZ145)*INDEX([2]大r将兵属性验证!W$7:W$166,$BX146,1)+CC145</f>
        <v>1117625024.1686175</v>
      </c>
      <c r="CD146" s="109">
        <f>(CA146-CA145)*INDEX([2]大r将兵属性验证!X$7:X$166,$BX146,1)+CD145</f>
        <v>1117625024.1686175</v>
      </c>
      <c r="CE146" s="52">
        <f t="shared" si="91"/>
        <v>2988877760.5409288</v>
      </c>
      <c r="CI146" s="71">
        <v>60</v>
      </c>
      <c r="CJ146" s="75">
        <f t="shared" si="85"/>
        <v>913500</v>
      </c>
      <c r="CK146" s="75">
        <f>(CJ146-CJ145)*INDEX('[1]功能-付费相关'!$BL$6:$BL$165,$CI146,1)+CK145</f>
        <v>63667.747837617571</v>
      </c>
      <c r="CL146" s="75">
        <f t="shared" si="86"/>
        <v>36540000</v>
      </c>
      <c r="CM146" s="75">
        <f>(CL146-CL145)*INDEX('[1]功能-付费相关'!$AT$6:$AT$165,$CI146,1)+CM145</f>
        <v>48376.726190476191</v>
      </c>
      <c r="CO146" s="71">
        <v>60</v>
      </c>
      <c r="CP146" s="138">
        <f t="shared" si="92"/>
        <v>63667.747837617571</v>
      </c>
      <c r="CQ146" s="138">
        <f t="shared" si="93"/>
        <v>48376.726190476191</v>
      </c>
      <c r="CR146" s="84">
        <f t="shared" si="94"/>
        <v>112044.47402809377</v>
      </c>
    </row>
    <row r="147" spans="10:96" x14ac:dyDescent="0.15">
      <c r="J147" s="46">
        <f>INDEX('[1]资源-装备经验'!Y$6:Y$165,(K147+1)/2,1)</f>
        <v>0</v>
      </c>
      <c r="K147" s="113">
        <v>143</v>
      </c>
      <c r="L147" s="121">
        <v>180</v>
      </c>
      <c r="M147" s="122">
        <f t="shared" si="80"/>
        <v>180</v>
      </c>
      <c r="N147" s="120">
        <f t="shared" si="81"/>
        <v>360</v>
      </c>
      <c r="O147" s="120">
        <f t="shared" si="81"/>
        <v>720</v>
      </c>
      <c r="P147" s="120">
        <f t="shared" si="81"/>
        <v>1800</v>
      </c>
      <c r="Q147" s="120">
        <f t="shared" si="81"/>
        <v>5400</v>
      </c>
      <c r="S147" s="113">
        <v>143</v>
      </c>
      <c r="T147" s="113">
        <f>SUM(M$5:M147)</f>
        <v>5865</v>
      </c>
      <c r="U147" s="113">
        <f>SUM(N$5:N147)</f>
        <v>11730</v>
      </c>
      <c r="V147" s="113">
        <f>SUM(O$5:O147)</f>
        <v>23460</v>
      </c>
      <c r="W147" s="113">
        <f>SUM(P$5:P147)</f>
        <v>58650</v>
      </c>
      <c r="X147" s="113">
        <f>SUM(Q$5:Q147)</f>
        <v>175950</v>
      </c>
      <c r="Z147" s="114">
        <v>143</v>
      </c>
      <c r="AA147" s="114">
        <f t="shared" si="75"/>
        <v>7200</v>
      </c>
      <c r="AB147" s="114">
        <f t="shared" si="76"/>
        <v>14400</v>
      </c>
      <c r="AC147" s="114">
        <f t="shared" si="77"/>
        <v>28800</v>
      </c>
      <c r="AD147" s="114">
        <f t="shared" si="78"/>
        <v>72000</v>
      </c>
      <c r="AE147" s="114">
        <f t="shared" si="79"/>
        <v>216000</v>
      </c>
      <c r="AG147" s="114">
        <v>143</v>
      </c>
      <c r="AH147" s="113">
        <f>SUM(AA$5:AA147)</f>
        <v>234600</v>
      </c>
      <c r="AI147" s="113">
        <f>SUM(AB$5:AB147)</f>
        <v>469200</v>
      </c>
      <c r="AJ147" s="113">
        <f>SUM(AC$5:AC147)</f>
        <v>938400</v>
      </c>
      <c r="AK147" s="113">
        <f>SUM(AD$5:AD147)</f>
        <v>2346000</v>
      </c>
      <c r="AL147" s="113">
        <f>SUM(AE$5:AE147)</f>
        <v>7038000</v>
      </c>
      <c r="AO147" s="46">
        <v>29</v>
      </c>
      <c r="BW147" s="25">
        <v>9</v>
      </c>
      <c r="BX147" s="47">
        <v>70</v>
      </c>
      <c r="BY147" s="52">
        <f t="shared" si="88"/>
        <v>49.61333333333333</v>
      </c>
      <c r="BZ147" s="52">
        <f t="shared" si="89"/>
        <v>4740</v>
      </c>
      <c r="CA147" s="52">
        <f t="shared" si="90"/>
        <v>4740</v>
      </c>
      <c r="CB147" s="109">
        <f>(BY147-BY146)*(INDEX([2]大r将兵属性验证!V$7:V$166,$BX147,1)+INDEX([2]大r将兵属性验证!$AP$7:$AP$166,$BX147,1))+CB146</f>
        <v>2906704619.3851628</v>
      </c>
      <c r="CC147" s="109">
        <f>(BZ147-BZ146)*INDEX([2]大r将兵属性验证!W$7:W$166,$BX147,1)+CC146</f>
        <v>2917541799.7111406</v>
      </c>
      <c r="CD147" s="109">
        <f>(CA147-CA146)*INDEX([2]大r将兵属性验证!X$7:X$166,$BX147,1)+CD146</f>
        <v>2917541799.7111406</v>
      </c>
      <c r="CE147" s="52">
        <f t="shared" si="91"/>
        <v>8741788218.8074455</v>
      </c>
      <c r="CI147" s="71">
        <v>70</v>
      </c>
      <c r="CJ147" s="75">
        <f t="shared" si="85"/>
        <v>2099700</v>
      </c>
      <c r="CK147" s="75">
        <f>(CJ147-CJ146)*INDEX('[1]功能-付费相关'!$BL$6:$BL$165,$CI147,1)+CK146</f>
        <v>122556.61337433985</v>
      </c>
      <c r="CL147" s="75">
        <f t="shared" si="86"/>
        <v>83988000</v>
      </c>
      <c r="CM147" s="75">
        <f>(CL147-CL146)*INDEX('[1]功能-付费相关'!$AT$6:$AT$165,$CI147,1)+CM146</f>
        <v>102294.90800865801</v>
      </c>
      <c r="CO147" s="71">
        <v>70</v>
      </c>
      <c r="CP147" s="138">
        <f t="shared" si="92"/>
        <v>122556.61337433985</v>
      </c>
      <c r="CQ147" s="138">
        <f t="shared" si="93"/>
        <v>102294.90800865801</v>
      </c>
      <c r="CR147" s="84">
        <f t="shared" si="94"/>
        <v>224851.52138299786</v>
      </c>
    </row>
    <row r="148" spans="10:96" x14ac:dyDescent="0.15">
      <c r="J148" s="46">
        <f>INDEX('[1]资源-装备经验'!Y$6:Y$165,(K148+1)/2,1)</f>
        <v>0</v>
      </c>
      <c r="K148" s="113">
        <v>144</v>
      </c>
      <c r="L148" s="121">
        <v>180</v>
      </c>
      <c r="M148" s="122">
        <f t="shared" si="80"/>
        <v>180</v>
      </c>
      <c r="N148" s="120">
        <f t="shared" si="81"/>
        <v>360</v>
      </c>
      <c r="O148" s="120">
        <f t="shared" si="81"/>
        <v>720</v>
      </c>
      <c r="P148" s="120">
        <f t="shared" si="81"/>
        <v>1800</v>
      </c>
      <c r="Q148" s="120">
        <f t="shared" si="81"/>
        <v>5400</v>
      </c>
      <c r="S148" s="113">
        <v>144</v>
      </c>
      <c r="T148" s="113">
        <f>SUM(M$5:M148)</f>
        <v>6045</v>
      </c>
      <c r="U148" s="113">
        <f>SUM(N$5:N148)</f>
        <v>12090</v>
      </c>
      <c r="V148" s="113">
        <f>SUM(O$5:O148)</f>
        <v>24180</v>
      </c>
      <c r="W148" s="113">
        <f>SUM(P$5:P148)</f>
        <v>60450</v>
      </c>
      <c r="X148" s="113">
        <f>SUM(Q$5:Q148)</f>
        <v>181350</v>
      </c>
      <c r="Z148" s="114">
        <v>144</v>
      </c>
      <c r="AA148" s="114">
        <f t="shared" si="75"/>
        <v>7200</v>
      </c>
      <c r="AB148" s="114">
        <f t="shared" si="76"/>
        <v>14400</v>
      </c>
      <c r="AC148" s="114">
        <f t="shared" si="77"/>
        <v>28800</v>
      </c>
      <c r="AD148" s="114">
        <f t="shared" si="78"/>
        <v>72000</v>
      </c>
      <c r="AE148" s="114">
        <f t="shared" si="79"/>
        <v>216000</v>
      </c>
      <c r="AG148" s="114">
        <v>144</v>
      </c>
      <c r="AH148" s="113">
        <f>SUM(AA$5:AA148)</f>
        <v>241800</v>
      </c>
      <c r="AI148" s="113">
        <f>SUM(AB$5:AB148)</f>
        <v>483600</v>
      </c>
      <c r="AJ148" s="113">
        <f>SUM(AC$5:AC148)</f>
        <v>967200</v>
      </c>
      <c r="AK148" s="113">
        <f>SUM(AD$5:AD148)</f>
        <v>2418000</v>
      </c>
      <c r="AL148" s="113">
        <f>SUM(AE$5:AE148)</f>
        <v>7254000</v>
      </c>
      <c r="BW148" s="25">
        <v>10</v>
      </c>
      <c r="BX148" s="47">
        <v>80</v>
      </c>
      <c r="BY148" s="52">
        <f t="shared" si="88"/>
        <v>61.71</v>
      </c>
      <c r="BZ148" s="52">
        <f t="shared" si="89"/>
        <v>6260</v>
      </c>
      <c r="CA148" s="52">
        <f t="shared" si="90"/>
        <v>6260</v>
      </c>
      <c r="CB148" s="109">
        <f>(BY148-BY147)*(INDEX([2]大r将兵属性验证!V$7:V$166,$BX148,1)+INDEX([2]大r将兵属性验证!$AP$7:$AP$166,$BX148,1))+CB147</f>
        <v>9311759853.350565</v>
      </c>
      <c r="CC148" s="109">
        <f>(BZ148-BZ147)*INDEX([2]大r将兵属性验证!W$7:W$166,$BX148,1)+CC147</f>
        <v>8487044000.0886059</v>
      </c>
      <c r="CD148" s="109">
        <f>(CA148-CA147)*INDEX([2]大r将兵属性验证!X$7:X$166,$BX148,1)+CD147</f>
        <v>8487044000.0886059</v>
      </c>
      <c r="CE148" s="52">
        <f t="shared" si="91"/>
        <v>26285847853.527779</v>
      </c>
      <c r="CI148" s="71">
        <v>80</v>
      </c>
      <c r="CJ148" s="75">
        <f t="shared" si="85"/>
        <v>5262300</v>
      </c>
      <c r="CK148" s="75">
        <f>(CJ148-CJ147)*INDEX('[1]功能-付费相关'!$BL$6:$BL$165,$CI148,1)+CK147</f>
        <v>251357.19293908821</v>
      </c>
      <c r="CL148" s="75">
        <f t="shared" si="86"/>
        <v>210492000</v>
      </c>
      <c r="CM148" s="75">
        <f>(CL148-CL147)*INDEX('[1]功能-付费相关'!$AT$6:$AT$165,$CI148,1)+CM147</f>
        <v>234069.90800865801</v>
      </c>
      <c r="CO148" s="71">
        <v>80</v>
      </c>
      <c r="CP148" s="138">
        <f t="shared" si="92"/>
        <v>251357.19293908821</v>
      </c>
      <c r="CQ148" s="138">
        <f t="shared" si="93"/>
        <v>234069.90800865801</v>
      </c>
      <c r="CR148" s="84">
        <f t="shared" si="94"/>
        <v>485427.10094774619</v>
      </c>
    </row>
    <row r="149" spans="10:96" x14ac:dyDescent="0.15">
      <c r="J149" s="46">
        <f>INDEX('[1]资源-装备经验'!Y$6:Y$165,(K149+1)/2,1)</f>
        <v>0</v>
      </c>
      <c r="K149" s="113">
        <v>145</v>
      </c>
      <c r="L149" s="121">
        <v>180</v>
      </c>
      <c r="M149" s="122">
        <f t="shared" si="80"/>
        <v>180</v>
      </c>
      <c r="N149" s="120">
        <f t="shared" si="81"/>
        <v>360</v>
      </c>
      <c r="O149" s="120">
        <f t="shared" si="81"/>
        <v>720</v>
      </c>
      <c r="P149" s="120">
        <f t="shared" si="81"/>
        <v>1800</v>
      </c>
      <c r="Q149" s="120">
        <f t="shared" si="81"/>
        <v>5400</v>
      </c>
      <c r="S149" s="113">
        <v>145</v>
      </c>
      <c r="T149" s="113">
        <f>SUM(M$5:M149)</f>
        <v>6225</v>
      </c>
      <c r="U149" s="113">
        <f>SUM(N$5:N149)</f>
        <v>12450</v>
      </c>
      <c r="V149" s="113">
        <f>SUM(O$5:O149)</f>
        <v>24900</v>
      </c>
      <c r="W149" s="113">
        <f>SUM(P$5:P149)</f>
        <v>62250</v>
      </c>
      <c r="X149" s="113">
        <f>SUM(Q$5:Q149)</f>
        <v>186750</v>
      </c>
      <c r="Z149" s="114">
        <v>145</v>
      </c>
      <c r="AA149" s="114">
        <f t="shared" si="75"/>
        <v>7200</v>
      </c>
      <c r="AB149" s="114">
        <f t="shared" si="76"/>
        <v>14400</v>
      </c>
      <c r="AC149" s="114">
        <f t="shared" si="77"/>
        <v>28800</v>
      </c>
      <c r="AD149" s="114">
        <f t="shared" si="78"/>
        <v>72000</v>
      </c>
      <c r="AE149" s="114">
        <f t="shared" si="79"/>
        <v>216000</v>
      </c>
      <c r="AG149" s="114">
        <v>145</v>
      </c>
      <c r="AH149" s="113">
        <f>SUM(AA$5:AA149)</f>
        <v>249000</v>
      </c>
      <c r="AI149" s="113">
        <f>SUM(AB$5:AB149)</f>
        <v>498000</v>
      </c>
      <c r="AJ149" s="113">
        <f>SUM(AC$5:AC149)</f>
        <v>996000</v>
      </c>
      <c r="AK149" s="113">
        <f>SUM(AD$5:AD149)</f>
        <v>2490000</v>
      </c>
      <c r="AL149" s="113">
        <f>SUM(AE$5:AE149)</f>
        <v>7470000</v>
      </c>
      <c r="BW149" s="25">
        <v>11</v>
      </c>
      <c r="BX149" s="47">
        <v>90</v>
      </c>
      <c r="BY149" s="52">
        <f t="shared" si="88"/>
        <v>66</v>
      </c>
      <c r="BZ149" s="52">
        <f t="shared" si="89"/>
        <v>6920</v>
      </c>
      <c r="CA149" s="52">
        <f t="shared" si="90"/>
        <v>6920</v>
      </c>
      <c r="CB149" s="109">
        <f>(BY149-BY148)*(INDEX([2]大r将兵属性验证!V$7:V$166,$BX149,1)+INDEX([2]大r将兵属性验证!$AP$7:$AP$166,$BX149,1))+CB148</f>
        <v>15214049945.166996</v>
      </c>
      <c r="CC149" s="109">
        <f>(BZ149-BZ148)*INDEX([2]大r将兵属性验证!W$7:W$166,$BX149,1)+CC148</f>
        <v>13689922164.10342</v>
      </c>
      <c r="CD149" s="109">
        <f>(CA149-CA148)*INDEX([2]大r将兵属性验证!X$7:X$166,$BX149,1)+CD148</f>
        <v>13689922164.10342</v>
      </c>
      <c r="CE149" s="52">
        <f t="shared" si="91"/>
        <v>42593894273.37384</v>
      </c>
      <c r="CI149" s="71">
        <v>90</v>
      </c>
      <c r="CJ149" s="75">
        <f t="shared" si="85"/>
        <v>12174300</v>
      </c>
      <c r="CK149" s="75">
        <f>(CJ149-CJ148)*INDEX('[1]功能-付费相关'!$BL$6:$BL$165,$CI149,1)+CK148</f>
        <v>482284.64429963671</v>
      </c>
      <c r="CL149" s="75">
        <f t="shared" si="86"/>
        <v>486972000</v>
      </c>
      <c r="CM149" s="75">
        <f>(CL149-CL148)*INDEX('[1]功能-付费相关'!$AT$6:$AT$165,$CI149,1)+CM148</f>
        <v>499916.06185481185</v>
      </c>
      <c r="CO149" s="71">
        <v>90</v>
      </c>
      <c r="CP149" s="138">
        <f t="shared" si="92"/>
        <v>482284.64429963671</v>
      </c>
      <c r="CQ149" s="138">
        <f t="shared" si="93"/>
        <v>499916.06185481185</v>
      </c>
      <c r="CR149" s="84">
        <f t="shared" si="94"/>
        <v>982200.70615444856</v>
      </c>
    </row>
    <row r="150" spans="10:96" x14ac:dyDescent="0.15">
      <c r="J150" s="46">
        <f>INDEX('[1]资源-装备经验'!Y$6:Y$165,(K150+1)/2,1)</f>
        <v>0</v>
      </c>
      <c r="K150" s="113">
        <v>146</v>
      </c>
      <c r="L150" s="121">
        <v>180</v>
      </c>
      <c r="M150" s="122">
        <f t="shared" si="80"/>
        <v>180</v>
      </c>
      <c r="N150" s="120">
        <f t="shared" si="81"/>
        <v>360</v>
      </c>
      <c r="O150" s="120">
        <f t="shared" si="81"/>
        <v>720</v>
      </c>
      <c r="P150" s="120">
        <f t="shared" si="81"/>
        <v>1800</v>
      </c>
      <c r="Q150" s="120">
        <f t="shared" si="81"/>
        <v>5400</v>
      </c>
      <c r="S150" s="113">
        <v>146</v>
      </c>
      <c r="T150" s="113">
        <f>SUM(M$5:M150)</f>
        <v>6405</v>
      </c>
      <c r="U150" s="113">
        <f>SUM(N$5:N150)</f>
        <v>12810</v>
      </c>
      <c r="V150" s="113">
        <f>SUM(O$5:O150)</f>
        <v>25620</v>
      </c>
      <c r="W150" s="113">
        <f>SUM(P$5:P150)</f>
        <v>64050</v>
      </c>
      <c r="X150" s="113">
        <f>SUM(Q$5:Q150)</f>
        <v>192150</v>
      </c>
      <c r="Z150" s="114">
        <v>146</v>
      </c>
      <c r="AA150" s="114">
        <f t="shared" si="75"/>
        <v>7200</v>
      </c>
      <c r="AB150" s="114">
        <f t="shared" si="76"/>
        <v>14400</v>
      </c>
      <c r="AC150" s="114">
        <f t="shared" si="77"/>
        <v>28800</v>
      </c>
      <c r="AD150" s="114">
        <f t="shared" si="78"/>
        <v>72000</v>
      </c>
      <c r="AE150" s="114">
        <f t="shared" si="79"/>
        <v>216000</v>
      </c>
      <c r="AG150" s="114">
        <v>146</v>
      </c>
      <c r="AH150" s="113">
        <f>SUM(AA$5:AA150)</f>
        <v>256200</v>
      </c>
      <c r="AI150" s="113">
        <f>SUM(AB$5:AB150)</f>
        <v>512400</v>
      </c>
      <c r="AJ150" s="113">
        <f>SUM(AC$5:AC150)</f>
        <v>1024800</v>
      </c>
      <c r="AK150" s="113">
        <f>SUM(AD$5:AD150)</f>
        <v>2562000</v>
      </c>
      <c r="AL150" s="113">
        <f>SUM(AE$5:AE150)</f>
        <v>7686000</v>
      </c>
      <c r="BW150" s="25">
        <v>12</v>
      </c>
      <c r="BX150" s="128">
        <v>100</v>
      </c>
      <c r="BY150" s="52">
        <f t="shared" si="88"/>
        <v>66</v>
      </c>
      <c r="BZ150" s="52">
        <f t="shared" si="89"/>
        <v>7580</v>
      </c>
      <c r="CA150" s="52">
        <f t="shared" si="90"/>
        <v>7580</v>
      </c>
      <c r="CB150" s="109">
        <f>(BY150-BY149)*(INDEX([2]大r将兵属性验证!V$7:V$166,$BX150,1)+INDEX([2]大r将兵属性验证!$AP$7:$AP$166,$BX150,1))+CB149</f>
        <v>15214049945.166996</v>
      </c>
      <c r="CC150" s="109">
        <f>(BZ150-BZ149)*INDEX([2]大r将兵属性验证!W$7:W$166,$BX150,1)+CC149</f>
        <v>21480022232.518555</v>
      </c>
      <c r="CD150" s="109">
        <f>(CA150-CA149)*INDEX([2]大r将兵属性验证!X$7:X$166,$BX150,1)+CD149</f>
        <v>21480022232.518555</v>
      </c>
      <c r="CE150" s="52">
        <f t="shared" ref="CE150:CE156" si="95">SUM(CB150:CD150)</f>
        <v>58174094410.204102</v>
      </c>
      <c r="CI150" s="128">
        <v>100</v>
      </c>
      <c r="CJ150" s="75">
        <f t="shared" si="85"/>
        <v>27942300</v>
      </c>
      <c r="CK150" s="75">
        <f>(CJ150-CJ149)*INDEX('[1]功能-付费相关'!$BL$6:$BL$165,$CI150,1)+CK149</f>
        <v>914446.79350661754</v>
      </c>
      <c r="CL150" s="75">
        <f t="shared" si="86"/>
        <v>1117692000</v>
      </c>
      <c r="CM150" s="75">
        <f>(CL150-CL149)*INDEX('[1]功能-付费相关'!$AT$6:$AT$165,$CI150,1)+CM149</f>
        <v>1063058.9189976691</v>
      </c>
      <c r="CO150" s="128">
        <v>100</v>
      </c>
      <c r="CP150" s="138">
        <f t="shared" si="92"/>
        <v>914446.79350661754</v>
      </c>
      <c r="CQ150" s="138">
        <f t="shared" si="93"/>
        <v>1063058.9189976691</v>
      </c>
      <c r="CR150" s="84">
        <f t="shared" si="94"/>
        <v>1977505.7125042868</v>
      </c>
    </row>
    <row r="151" spans="10:96" x14ac:dyDescent="0.15">
      <c r="J151" s="46">
        <f>INDEX('[1]资源-装备经验'!Y$6:Y$165,(K151+1)/2,1)</f>
        <v>0</v>
      </c>
      <c r="K151" s="113">
        <v>147</v>
      </c>
      <c r="L151" s="121">
        <v>180</v>
      </c>
      <c r="M151" s="122">
        <f t="shared" si="80"/>
        <v>180</v>
      </c>
      <c r="N151" s="120">
        <f t="shared" si="81"/>
        <v>360</v>
      </c>
      <c r="O151" s="120">
        <f t="shared" si="81"/>
        <v>720</v>
      </c>
      <c r="P151" s="120">
        <f t="shared" si="81"/>
        <v>1800</v>
      </c>
      <c r="Q151" s="120">
        <f t="shared" si="81"/>
        <v>5400</v>
      </c>
      <c r="S151" s="113">
        <v>147</v>
      </c>
      <c r="T151" s="113">
        <f>SUM(M$5:M151)</f>
        <v>6585</v>
      </c>
      <c r="U151" s="113">
        <f>SUM(N$5:N151)</f>
        <v>13170</v>
      </c>
      <c r="V151" s="113">
        <f>SUM(O$5:O151)</f>
        <v>26340</v>
      </c>
      <c r="W151" s="113">
        <f>SUM(P$5:P151)</f>
        <v>65850</v>
      </c>
      <c r="X151" s="113">
        <f>SUM(Q$5:Q151)</f>
        <v>197550</v>
      </c>
      <c r="Z151" s="114">
        <v>147</v>
      </c>
      <c r="AA151" s="114">
        <f t="shared" si="75"/>
        <v>7200</v>
      </c>
      <c r="AB151" s="114">
        <f t="shared" si="76"/>
        <v>14400</v>
      </c>
      <c r="AC151" s="114">
        <f t="shared" si="77"/>
        <v>28800</v>
      </c>
      <c r="AD151" s="114">
        <f t="shared" si="78"/>
        <v>72000</v>
      </c>
      <c r="AE151" s="114">
        <f t="shared" si="79"/>
        <v>216000</v>
      </c>
      <c r="AG151" s="114">
        <v>147</v>
      </c>
      <c r="AH151" s="113">
        <f>SUM(AA$5:AA151)</f>
        <v>263400</v>
      </c>
      <c r="AI151" s="113">
        <f>SUM(AB$5:AB151)</f>
        <v>526800</v>
      </c>
      <c r="AJ151" s="113">
        <f>SUM(AC$5:AC151)</f>
        <v>1053600</v>
      </c>
      <c r="AK151" s="113">
        <f>SUM(AD$5:AD151)</f>
        <v>2634000</v>
      </c>
      <c r="AL151" s="113">
        <f>SUM(AE$5:AE151)</f>
        <v>7902000</v>
      </c>
      <c r="BW151" s="25">
        <v>13</v>
      </c>
      <c r="BX151" s="128">
        <v>110</v>
      </c>
      <c r="BY151" s="52">
        <f t="shared" si="88"/>
        <v>66</v>
      </c>
      <c r="BZ151" s="52">
        <f t="shared" si="89"/>
        <v>8240</v>
      </c>
      <c r="CA151" s="52">
        <f t="shared" si="90"/>
        <v>8240</v>
      </c>
      <c r="CB151" s="109">
        <f>(BY151-BY150)*(INDEX([2]大r将兵属性验证!V$7:V$166,$BX151,1)+INDEX([2]大r将兵属性验证!$AP$7:$AP$166,$BX151,1))+CB150</f>
        <v>15214049945.166996</v>
      </c>
      <c r="CC151" s="109">
        <f>(BZ151-BZ150)*INDEX([2]大r将兵属性验证!W$7:W$166,$BX151,1)+CC150</f>
        <v>31262696154.352005</v>
      </c>
      <c r="CD151" s="109">
        <f>(CA151-CA150)*INDEX([2]大r将兵属性验证!X$7:X$166,$BX151,1)+CD150</f>
        <v>31262696154.352005</v>
      </c>
      <c r="CE151" s="52">
        <f t="shared" si="95"/>
        <v>77739442253.871002</v>
      </c>
      <c r="CI151" s="128">
        <v>110</v>
      </c>
      <c r="CJ151" s="75">
        <f t="shared" si="85"/>
        <v>61962300</v>
      </c>
      <c r="CK151" s="75">
        <f>(CJ151-CJ150)*INDEX('[1]功能-付费相关'!$BL$6:$BL$165,$CI151,1)+CK150</f>
        <v>1679343.3522551591</v>
      </c>
      <c r="CL151" s="75">
        <f t="shared" si="86"/>
        <v>2478492000</v>
      </c>
      <c r="CM151" s="75">
        <f>(CL151-CL150)*INDEX('[1]功能-付费相关'!$AT$6:$AT$165,$CI151,1)+CM150</f>
        <v>2197058.9189976691</v>
      </c>
      <c r="CO151" s="128">
        <v>110</v>
      </c>
      <c r="CP151" s="138">
        <f t="shared" si="92"/>
        <v>1679343.3522551591</v>
      </c>
      <c r="CQ151" s="138">
        <f t="shared" si="93"/>
        <v>2197058.9189976691</v>
      </c>
      <c r="CR151" s="84">
        <f t="shared" si="94"/>
        <v>3876402.2712528282</v>
      </c>
    </row>
    <row r="152" spans="10:96" x14ac:dyDescent="0.15">
      <c r="J152" s="46">
        <f>INDEX('[1]资源-装备经验'!Y$6:Y$165,(K152+1)/2,1)</f>
        <v>0</v>
      </c>
      <c r="K152" s="113">
        <v>148</v>
      </c>
      <c r="L152" s="121">
        <v>180</v>
      </c>
      <c r="M152" s="122">
        <f t="shared" si="80"/>
        <v>180</v>
      </c>
      <c r="N152" s="120">
        <f t="shared" si="81"/>
        <v>360</v>
      </c>
      <c r="O152" s="120">
        <f t="shared" si="81"/>
        <v>720</v>
      </c>
      <c r="P152" s="120">
        <f t="shared" si="81"/>
        <v>1800</v>
      </c>
      <c r="Q152" s="120">
        <f t="shared" si="81"/>
        <v>5400</v>
      </c>
      <c r="S152" s="113">
        <v>148</v>
      </c>
      <c r="T152" s="113">
        <f>SUM(M$5:M152)</f>
        <v>6765</v>
      </c>
      <c r="U152" s="113">
        <f>SUM(N$5:N152)</f>
        <v>13530</v>
      </c>
      <c r="V152" s="113">
        <f>SUM(O$5:O152)</f>
        <v>27060</v>
      </c>
      <c r="W152" s="113">
        <f>SUM(P$5:P152)</f>
        <v>67650</v>
      </c>
      <c r="X152" s="113">
        <f>SUM(Q$5:Q152)</f>
        <v>202950</v>
      </c>
      <c r="Z152" s="114">
        <v>148</v>
      </c>
      <c r="AA152" s="114">
        <f t="shared" si="75"/>
        <v>7200</v>
      </c>
      <c r="AB152" s="114">
        <f t="shared" si="76"/>
        <v>14400</v>
      </c>
      <c r="AC152" s="114">
        <f t="shared" si="77"/>
        <v>28800</v>
      </c>
      <c r="AD152" s="114">
        <f t="shared" si="78"/>
        <v>72000</v>
      </c>
      <c r="AE152" s="114">
        <f t="shared" si="79"/>
        <v>216000</v>
      </c>
      <c r="AG152" s="114">
        <v>148</v>
      </c>
      <c r="AH152" s="113">
        <f>SUM(AA$5:AA152)</f>
        <v>270600</v>
      </c>
      <c r="AI152" s="113">
        <f>SUM(AB$5:AB152)</f>
        <v>541200</v>
      </c>
      <c r="AJ152" s="113">
        <f>SUM(AC$5:AC152)</f>
        <v>1082400</v>
      </c>
      <c r="AK152" s="113">
        <f>SUM(AD$5:AD152)</f>
        <v>2706000</v>
      </c>
      <c r="AL152" s="113">
        <f>SUM(AE$5:AE152)</f>
        <v>8118000</v>
      </c>
      <c r="BW152" s="25">
        <v>14</v>
      </c>
      <c r="BX152" s="128">
        <v>120</v>
      </c>
      <c r="BY152" s="52">
        <f t="shared" si="88"/>
        <v>66</v>
      </c>
      <c r="BZ152" s="52">
        <f t="shared" si="89"/>
        <v>8900</v>
      </c>
      <c r="CA152" s="52">
        <f t="shared" si="90"/>
        <v>8900</v>
      </c>
      <c r="CB152" s="109">
        <f>(BY152-BY151)*(INDEX([2]大r将兵属性验证!V$7:V$166,$BX152,1)+INDEX([2]大r将兵属性验证!$AP$7:$AP$166,$BX152,1))+CB151</f>
        <v>15214049945.166996</v>
      </c>
      <c r="CC152" s="109">
        <f>(BZ152-BZ151)*INDEX([2]大r将兵属性验证!W$7:W$166,$BX152,1)+CC151</f>
        <v>43457639993.1689</v>
      </c>
      <c r="CD152" s="109">
        <f>(CA152-CA151)*INDEX([2]大r将兵属性验证!X$7:X$166,$BX152,1)+CD151</f>
        <v>43457639993.1689</v>
      </c>
      <c r="CE152" s="52">
        <f t="shared" si="95"/>
        <v>102129329931.50479</v>
      </c>
      <c r="CI152" s="128">
        <v>120</v>
      </c>
      <c r="CJ152" s="75">
        <f t="shared" si="85"/>
        <v>140046300</v>
      </c>
      <c r="CK152" s="75">
        <f>(CJ152-CJ151)*INDEX('[1]功能-付费相关'!$BL$6:$BL$165,$CI152,1)+CK151</f>
        <v>3119563.0052407132</v>
      </c>
      <c r="CL152" s="75">
        <f t="shared" si="86"/>
        <v>5601852000</v>
      </c>
      <c r="CM152" s="75">
        <f>(CL152-CL151)*INDEX('[1]功能-付费相关'!$AT$6:$AT$165,$CI152,1)+CM151</f>
        <v>4637183.9189976696</v>
      </c>
      <c r="CO152" s="128">
        <v>120</v>
      </c>
      <c r="CP152" s="138">
        <f t="shared" si="92"/>
        <v>3119563.0052407132</v>
      </c>
      <c r="CQ152" s="138">
        <f t="shared" si="93"/>
        <v>4637183.9189976696</v>
      </c>
      <c r="CR152" s="84">
        <f t="shared" si="94"/>
        <v>7756746.9242383828</v>
      </c>
    </row>
    <row r="153" spans="10:96" x14ac:dyDescent="0.15">
      <c r="J153" s="46">
        <f>INDEX('[1]资源-装备经验'!Y$6:Y$165,(K153+1)/2,1)</f>
        <v>0</v>
      </c>
      <c r="K153" s="113">
        <v>149</v>
      </c>
      <c r="L153" s="121">
        <v>180</v>
      </c>
      <c r="M153" s="122">
        <f t="shared" si="80"/>
        <v>180</v>
      </c>
      <c r="N153" s="120">
        <f t="shared" si="81"/>
        <v>360</v>
      </c>
      <c r="O153" s="120">
        <f t="shared" si="81"/>
        <v>720</v>
      </c>
      <c r="P153" s="120">
        <f t="shared" si="81"/>
        <v>1800</v>
      </c>
      <c r="Q153" s="120">
        <f t="shared" si="81"/>
        <v>5400</v>
      </c>
      <c r="S153" s="113">
        <v>149</v>
      </c>
      <c r="T153" s="113">
        <f>SUM(M$5:M153)</f>
        <v>6945</v>
      </c>
      <c r="U153" s="113">
        <f>SUM(N$5:N153)</f>
        <v>13890</v>
      </c>
      <c r="V153" s="113">
        <f>SUM(O$5:O153)</f>
        <v>27780</v>
      </c>
      <c r="W153" s="113">
        <f>SUM(P$5:P153)</f>
        <v>69450</v>
      </c>
      <c r="X153" s="113">
        <f>SUM(Q$5:Q153)</f>
        <v>208350</v>
      </c>
      <c r="Z153" s="114">
        <v>149</v>
      </c>
      <c r="AA153" s="114">
        <f t="shared" si="75"/>
        <v>7200</v>
      </c>
      <c r="AB153" s="114">
        <f t="shared" si="76"/>
        <v>14400</v>
      </c>
      <c r="AC153" s="114">
        <f t="shared" si="77"/>
        <v>28800</v>
      </c>
      <c r="AD153" s="114">
        <f t="shared" si="78"/>
        <v>72000</v>
      </c>
      <c r="AE153" s="114">
        <f t="shared" si="79"/>
        <v>216000</v>
      </c>
      <c r="AG153" s="114">
        <v>149</v>
      </c>
      <c r="AH153" s="113">
        <f>SUM(AA$5:AA153)</f>
        <v>277800</v>
      </c>
      <c r="AI153" s="113">
        <f>SUM(AB$5:AB153)</f>
        <v>555600</v>
      </c>
      <c r="AJ153" s="113">
        <f>SUM(AC$5:AC153)</f>
        <v>1111200</v>
      </c>
      <c r="AK153" s="113">
        <f>SUM(AD$5:AD153)</f>
        <v>2778000</v>
      </c>
      <c r="AL153" s="113">
        <f>SUM(AE$5:AE153)</f>
        <v>8334000</v>
      </c>
      <c r="BW153" s="25">
        <v>15</v>
      </c>
      <c r="BX153" s="128">
        <v>130</v>
      </c>
      <c r="BY153" s="52">
        <f t="shared" si="88"/>
        <v>66</v>
      </c>
      <c r="BZ153" s="52">
        <f t="shared" si="89"/>
        <v>9560</v>
      </c>
      <c r="CA153" s="52">
        <f t="shared" si="90"/>
        <v>9560</v>
      </c>
      <c r="CB153" s="109">
        <f>(BY153-BY152)*(INDEX([2]大r将兵属性验证!V$7:V$166,$BX153,1)+INDEX([2]大r将兵属性验证!$AP$7:$AP$166,$BX153,1))+CB152</f>
        <v>15214049945.166996</v>
      </c>
      <c r="CC153" s="109">
        <f>(BZ153-BZ152)*INDEX([2]大r将兵属性验证!W$7:W$166,$BX153,1)+CC152</f>
        <v>58263307203.265182</v>
      </c>
      <c r="CD153" s="109">
        <f>(CA153-CA152)*INDEX([2]大r将兵属性验证!X$7:X$166,$BX153,1)+CD152</f>
        <v>58263307203.265182</v>
      </c>
      <c r="CE153" s="52">
        <f t="shared" si="95"/>
        <v>131740664351.69736</v>
      </c>
      <c r="CI153" s="128">
        <v>130</v>
      </c>
      <c r="CJ153" s="75">
        <f t="shared" si="85"/>
        <v>320406300</v>
      </c>
      <c r="CK153" s="75">
        <f>(CJ153-CJ152)*INDEX('[1]功能-付费相关'!$BL$6:$BL$165,$CI153,1)+CK152</f>
        <v>5848573.3954228982</v>
      </c>
      <c r="CL153" s="75">
        <f t="shared" si="86"/>
        <v>12816252000</v>
      </c>
      <c r="CM153" s="75">
        <f>(CL153-CL152)*INDEX('[1]功能-付费相关'!$AT$6:$AT$165,$CI153,1)+CM152</f>
        <v>9941889.8013506103</v>
      </c>
      <c r="CO153" s="128">
        <v>130</v>
      </c>
      <c r="CP153" s="138">
        <f t="shared" si="92"/>
        <v>5848573.3954228982</v>
      </c>
      <c r="CQ153" s="138">
        <f t="shared" si="93"/>
        <v>9941889.8013506103</v>
      </c>
      <c r="CR153" s="84">
        <f t="shared" si="94"/>
        <v>15790463.196773509</v>
      </c>
    </row>
    <row r="154" spans="10:96" x14ac:dyDescent="0.15">
      <c r="J154" s="46">
        <f>INDEX('[1]资源-装备经验'!Y$6:Y$165,(K154+1)/2,1)</f>
        <v>0</v>
      </c>
      <c r="K154" s="113">
        <v>150</v>
      </c>
      <c r="L154" s="121">
        <v>240</v>
      </c>
      <c r="M154" s="122">
        <f t="shared" si="80"/>
        <v>240</v>
      </c>
      <c r="N154" s="120">
        <f t="shared" si="81"/>
        <v>480</v>
      </c>
      <c r="O154" s="120">
        <f t="shared" si="81"/>
        <v>960</v>
      </c>
      <c r="P154" s="120">
        <f t="shared" si="81"/>
        <v>2400</v>
      </c>
      <c r="Q154" s="120">
        <f t="shared" si="81"/>
        <v>7200</v>
      </c>
      <c r="S154" s="113">
        <v>150</v>
      </c>
      <c r="T154" s="113">
        <f>SUM(M$5:M154)</f>
        <v>7185</v>
      </c>
      <c r="U154" s="113">
        <f>SUM(N$5:N154)</f>
        <v>14370</v>
      </c>
      <c r="V154" s="113">
        <f>SUM(O$5:O154)</f>
        <v>28740</v>
      </c>
      <c r="W154" s="113">
        <f>SUM(P$5:P154)</f>
        <v>71850</v>
      </c>
      <c r="X154" s="113">
        <f>SUM(Q$5:Q154)</f>
        <v>215550</v>
      </c>
      <c r="Z154" s="114">
        <v>150</v>
      </c>
      <c r="AA154" s="114">
        <f t="shared" si="75"/>
        <v>9600</v>
      </c>
      <c r="AB154" s="114">
        <f t="shared" si="76"/>
        <v>19200</v>
      </c>
      <c r="AC154" s="114">
        <f t="shared" si="77"/>
        <v>38400</v>
      </c>
      <c r="AD154" s="114">
        <f t="shared" si="78"/>
        <v>96000</v>
      </c>
      <c r="AE154" s="114">
        <f t="shared" si="79"/>
        <v>288000</v>
      </c>
      <c r="AG154" s="114">
        <v>150</v>
      </c>
      <c r="AH154" s="113">
        <f>SUM(AA$5:AA154)</f>
        <v>287400</v>
      </c>
      <c r="AI154" s="113">
        <f>SUM(AB$5:AB154)</f>
        <v>574800</v>
      </c>
      <c r="AJ154" s="113">
        <f>SUM(AC$5:AC154)</f>
        <v>1149600</v>
      </c>
      <c r="AK154" s="113">
        <f>SUM(AD$5:AD154)</f>
        <v>2874000</v>
      </c>
      <c r="AL154" s="113">
        <f>SUM(AE$5:AE154)</f>
        <v>8622000</v>
      </c>
      <c r="BW154" s="25">
        <v>16</v>
      </c>
      <c r="BX154" s="128">
        <v>140</v>
      </c>
      <c r="BY154" s="52">
        <f t="shared" si="88"/>
        <v>66</v>
      </c>
      <c r="BZ154" s="52">
        <f t="shared" si="89"/>
        <v>10220</v>
      </c>
      <c r="CA154" s="52">
        <f t="shared" si="90"/>
        <v>10220</v>
      </c>
      <c r="CB154" s="109">
        <f>(BY154-BY153)*(INDEX([2]大r将兵属性验证!V$7:V$166,$BX154,1)+INDEX([2]大r将兵属性验证!$AP$7:$AP$166,$BX154,1))+CB153</f>
        <v>15214049945.166996</v>
      </c>
      <c r="CC154" s="109">
        <f>(BZ154-BZ153)*INDEX([2]大r将兵属性验证!W$7:W$166,$BX154,1)+CC153</f>
        <v>75683335164.101212</v>
      </c>
      <c r="CD154" s="109">
        <f>(CA154-CA153)*INDEX([2]大r将兵属性验证!X$7:X$166,$BX154,1)+CD153</f>
        <v>75683335164.101212</v>
      </c>
      <c r="CE154" s="52">
        <f t="shared" si="95"/>
        <v>166580720273.36942</v>
      </c>
      <c r="CI154" s="128">
        <v>140</v>
      </c>
      <c r="CJ154" s="75">
        <f t="shared" si="85"/>
        <v>779406300</v>
      </c>
      <c r="CK154" s="75">
        <f>(CJ154-CJ153)*INDEX('[1]功能-付费相关'!$BL$6:$BL$165,$CI154,1)+CK153</f>
        <v>11545963.152424246</v>
      </c>
      <c r="CL154" s="75">
        <f t="shared" si="86"/>
        <v>31176252000</v>
      </c>
      <c r="CM154" s="75">
        <f>(CL154-CL153)*INDEX('[1]功能-付费相关'!$AT$6:$AT$165,$CI154,1)+CM153</f>
        <v>22691889.801350608</v>
      </c>
      <c r="CO154" s="128">
        <v>140</v>
      </c>
      <c r="CP154" s="138">
        <f t="shared" si="92"/>
        <v>11545963.152424246</v>
      </c>
      <c r="CQ154" s="138">
        <f t="shared" si="93"/>
        <v>22691889.801350608</v>
      </c>
      <c r="CR154" s="84">
        <f t="shared" si="94"/>
        <v>34237852.953774855</v>
      </c>
    </row>
    <row r="155" spans="10:96" x14ac:dyDescent="0.15">
      <c r="J155" s="46">
        <f>INDEX('[1]资源-装备经验'!Y$6:Y$165,(K155+1)/2,1)</f>
        <v>0</v>
      </c>
      <c r="K155" s="113">
        <v>151</v>
      </c>
      <c r="L155" s="121">
        <v>240</v>
      </c>
      <c r="M155" s="122">
        <f t="shared" si="80"/>
        <v>240</v>
      </c>
      <c r="N155" s="120">
        <f t="shared" si="81"/>
        <v>480</v>
      </c>
      <c r="O155" s="120">
        <f t="shared" si="81"/>
        <v>960</v>
      </c>
      <c r="P155" s="120">
        <f t="shared" si="81"/>
        <v>2400</v>
      </c>
      <c r="Q155" s="120">
        <f t="shared" si="81"/>
        <v>7200</v>
      </c>
      <c r="S155" s="113">
        <v>151</v>
      </c>
      <c r="T155" s="113">
        <f>SUM(M$5:M155)</f>
        <v>7425</v>
      </c>
      <c r="U155" s="113">
        <f>SUM(N$5:N155)</f>
        <v>14850</v>
      </c>
      <c r="V155" s="113">
        <f>SUM(O$5:O155)</f>
        <v>29700</v>
      </c>
      <c r="W155" s="113">
        <f>SUM(P$5:P155)</f>
        <v>74250</v>
      </c>
      <c r="X155" s="113">
        <f>SUM(Q$5:Q155)</f>
        <v>222750</v>
      </c>
      <c r="Z155" s="114">
        <v>151</v>
      </c>
      <c r="AA155" s="114">
        <f t="shared" si="75"/>
        <v>9600</v>
      </c>
      <c r="AB155" s="114">
        <f t="shared" si="76"/>
        <v>19200</v>
      </c>
      <c r="AC155" s="114">
        <f t="shared" si="77"/>
        <v>38400</v>
      </c>
      <c r="AD155" s="114">
        <f t="shared" si="78"/>
        <v>96000</v>
      </c>
      <c r="AE155" s="114">
        <f t="shared" si="79"/>
        <v>288000</v>
      </c>
      <c r="AG155" s="114">
        <v>151</v>
      </c>
      <c r="AH155" s="113">
        <f>SUM(AA$5:AA155)</f>
        <v>297000</v>
      </c>
      <c r="AI155" s="113">
        <f>SUM(AB$5:AB155)</f>
        <v>594000</v>
      </c>
      <c r="AJ155" s="113">
        <f>SUM(AC$5:AC155)</f>
        <v>1188000</v>
      </c>
      <c r="AK155" s="113">
        <f>SUM(AD$5:AD155)</f>
        <v>2970000</v>
      </c>
      <c r="AL155" s="113">
        <f>SUM(AE$5:AE155)</f>
        <v>8910000</v>
      </c>
      <c r="BW155" s="25">
        <v>17</v>
      </c>
      <c r="BX155" s="128">
        <v>150</v>
      </c>
      <c r="BY155" s="52">
        <f t="shared" si="88"/>
        <v>66</v>
      </c>
      <c r="BZ155" s="52">
        <f t="shared" si="89"/>
        <v>10880</v>
      </c>
      <c r="CA155" s="52">
        <f t="shared" si="90"/>
        <v>10880</v>
      </c>
      <c r="CB155" s="109">
        <f>(BY155-BY154)*(INDEX([2]大r将兵属性验证!V$7:V$166,$BX155,1)+INDEX([2]大r将兵属性验证!$AP$7:$AP$166,$BX155,1))+CB154</f>
        <v>15214049945.166996</v>
      </c>
      <c r="CC155" s="109">
        <f>(BZ155-BZ154)*INDEX([2]大r将兵属性验证!W$7:W$166,$BX155,1)+CC154</f>
        <v>96995601841.656265</v>
      </c>
      <c r="CD155" s="109">
        <f>(CA155-CA154)*INDEX([2]大r将兵属性验证!X$7:X$166,$BX155,1)+CD154</f>
        <v>96995601841.656265</v>
      </c>
      <c r="CE155" s="52">
        <f t="shared" si="95"/>
        <v>209205253628.47952</v>
      </c>
      <c r="CI155" s="128">
        <v>150</v>
      </c>
      <c r="CJ155" s="75">
        <f t="shared" si="85"/>
        <v>1881006300</v>
      </c>
      <c r="CK155" s="75">
        <f>(CJ155-CJ154)*INDEX('[1]功能-付费相关'!$BL$6:$BL$165,$CI155,1)+CK154</f>
        <v>22763188.754541479</v>
      </c>
      <c r="CL155" s="75">
        <f t="shared" si="86"/>
        <v>75240252000</v>
      </c>
      <c r="CM155" s="75">
        <f>(CL155-CL154)*INDEX('[1]功能-付费相关'!$AT$6:$AT$165,$CI155,1)+CM154</f>
        <v>51681363.485561132</v>
      </c>
      <c r="CO155" s="128">
        <v>150</v>
      </c>
      <c r="CP155" s="138">
        <f t="shared" si="92"/>
        <v>22763188.754541479</v>
      </c>
      <c r="CQ155" s="138">
        <f t="shared" si="93"/>
        <v>51681363.485561132</v>
      </c>
      <c r="CR155" s="84">
        <f t="shared" si="94"/>
        <v>74444552.240102619</v>
      </c>
    </row>
    <row r="156" spans="10:96" x14ac:dyDescent="0.15">
      <c r="J156" s="46">
        <f>INDEX('[1]资源-装备经验'!Y$6:Y$165,(K156+1)/2,1)</f>
        <v>0</v>
      </c>
      <c r="K156" s="113">
        <v>152</v>
      </c>
      <c r="L156" s="121">
        <v>240</v>
      </c>
      <c r="M156" s="122">
        <f t="shared" si="80"/>
        <v>240</v>
      </c>
      <c r="N156" s="120">
        <f t="shared" si="81"/>
        <v>480</v>
      </c>
      <c r="O156" s="120">
        <f t="shared" si="81"/>
        <v>960</v>
      </c>
      <c r="P156" s="120">
        <f t="shared" si="81"/>
        <v>2400</v>
      </c>
      <c r="Q156" s="120">
        <f t="shared" si="81"/>
        <v>7200</v>
      </c>
      <c r="S156" s="113">
        <v>152</v>
      </c>
      <c r="T156" s="113">
        <f>SUM(M$5:M156)</f>
        <v>7665</v>
      </c>
      <c r="U156" s="113">
        <f>SUM(N$5:N156)</f>
        <v>15330</v>
      </c>
      <c r="V156" s="113">
        <f>SUM(O$5:O156)</f>
        <v>30660</v>
      </c>
      <c r="W156" s="113">
        <f>SUM(P$5:P156)</f>
        <v>76650</v>
      </c>
      <c r="X156" s="113">
        <f>SUM(Q$5:Q156)</f>
        <v>229950</v>
      </c>
      <c r="Z156" s="114">
        <v>152</v>
      </c>
      <c r="AA156" s="114">
        <f t="shared" si="75"/>
        <v>9600</v>
      </c>
      <c r="AB156" s="114">
        <f t="shared" si="76"/>
        <v>19200</v>
      </c>
      <c r="AC156" s="114">
        <f t="shared" si="77"/>
        <v>38400</v>
      </c>
      <c r="AD156" s="114">
        <f t="shared" si="78"/>
        <v>96000</v>
      </c>
      <c r="AE156" s="114">
        <f t="shared" si="79"/>
        <v>288000</v>
      </c>
      <c r="AG156" s="114">
        <v>152</v>
      </c>
      <c r="AH156" s="113">
        <f>SUM(AA$5:AA156)</f>
        <v>306600</v>
      </c>
      <c r="AI156" s="113">
        <f>SUM(AB$5:AB156)</f>
        <v>613200</v>
      </c>
      <c r="AJ156" s="113">
        <f>SUM(AC$5:AC156)</f>
        <v>1226400</v>
      </c>
      <c r="AK156" s="113">
        <f>SUM(AD$5:AD156)</f>
        <v>3066000</v>
      </c>
      <c r="AL156" s="113">
        <f>SUM(AE$5:AE156)</f>
        <v>9198000</v>
      </c>
      <c r="BW156" s="25">
        <v>18</v>
      </c>
      <c r="BX156" s="128">
        <v>160</v>
      </c>
      <c r="BY156" s="52">
        <f t="shared" si="88"/>
        <v>66</v>
      </c>
      <c r="BZ156" s="52">
        <f t="shared" si="89"/>
        <v>11540</v>
      </c>
      <c r="CA156" s="52">
        <f t="shared" si="90"/>
        <v>11540</v>
      </c>
      <c r="CB156" s="109">
        <f>(BY156-BY155)*(INDEX([2]大r将兵属性验证!V$7:V$166,$BX156,1)+INDEX([2]大r将兵属性验证!$AP$7:$AP$166,$BX156,1))+CB155</f>
        <v>15214049945.166996</v>
      </c>
      <c r="CC156" s="109">
        <f>(BZ156-BZ155)*INDEX([2]大r将兵属性验证!W$7:W$166,$BX156,1)+CC155</f>
        <v>120177620718.01807</v>
      </c>
      <c r="CD156" s="109">
        <f>(CA156-CA155)*INDEX([2]大r将兵属性验证!X$7:X$166,$BX156,1)+CD155</f>
        <v>120177620718.01807</v>
      </c>
      <c r="CE156" s="52">
        <f t="shared" si="95"/>
        <v>255569291381.20313</v>
      </c>
      <c r="CI156" s="128">
        <v>160</v>
      </c>
      <c r="CJ156" s="75">
        <f t="shared" si="85"/>
        <v>1881006300</v>
      </c>
      <c r="CK156" s="75">
        <f>(CJ156-CJ155)*INDEX('[1]功能-付费相关'!$BL$6:$BL$165,$CI156,1)+CK155</f>
        <v>22763188.754541479</v>
      </c>
      <c r="CL156" s="75">
        <f t="shared" si="86"/>
        <v>75240252000</v>
      </c>
      <c r="CM156" s="75">
        <f>(CL156-CL155)*INDEX('[1]功能-付费相关'!$AT$6:$AT$165,$CI156,1)+CM155</f>
        <v>51681363.485561132</v>
      </c>
      <c r="CO156" s="128">
        <v>160</v>
      </c>
      <c r="CP156" s="138">
        <f t="shared" si="92"/>
        <v>22763188.754541479</v>
      </c>
      <c r="CQ156" s="138">
        <f t="shared" si="93"/>
        <v>51681363.485561132</v>
      </c>
      <c r="CR156" s="84">
        <f t="shared" si="94"/>
        <v>74444552.240102619</v>
      </c>
    </row>
    <row r="157" spans="10:96" x14ac:dyDescent="0.15">
      <c r="J157" s="46">
        <f>INDEX('[1]资源-装备经验'!Y$6:Y$165,(K157+1)/2,1)</f>
        <v>0</v>
      </c>
      <c r="K157" s="113">
        <v>153</v>
      </c>
      <c r="L157" s="121">
        <v>240</v>
      </c>
      <c r="M157" s="122">
        <f t="shared" si="80"/>
        <v>240</v>
      </c>
      <c r="N157" s="120">
        <f t="shared" si="81"/>
        <v>480</v>
      </c>
      <c r="O157" s="120">
        <f t="shared" si="81"/>
        <v>960</v>
      </c>
      <c r="P157" s="120">
        <f t="shared" si="81"/>
        <v>2400</v>
      </c>
      <c r="Q157" s="120">
        <f t="shared" si="81"/>
        <v>7200</v>
      </c>
      <c r="S157" s="113">
        <v>153</v>
      </c>
      <c r="T157" s="113">
        <f>SUM(M$5:M157)</f>
        <v>7905</v>
      </c>
      <c r="U157" s="113">
        <f>SUM(N$5:N157)</f>
        <v>15810</v>
      </c>
      <c r="V157" s="113">
        <f>SUM(O$5:O157)</f>
        <v>31620</v>
      </c>
      <c r="W157" s="113">
        <f>SUM(P$5:P157)</f>
        <v>79050</v>
      </c>
      <c r="X157" s="113">
        <f>SUM(Q$5:Q157)</f>
        <v>237150</v>
      </c>
      <c r="Z157" s="114">
        <v>153</v>
      </c>
      <c r="AA157" s="114">
        <f t="shared" si="75"/>
        <v>9600</v>
      </c>
      <c r="AB157" s="114">
        <f t="shared" si="76"/>
        <v>19200</v>
      </c>
      <c r="AC157" s="114">
        <f t="shared" si="77"/>
        <v>38400</v>
      </c>
      <c r="AD157" s="114">
        <f t="shared" si="78"/>
        <v>96000</v>
      </c>
      <c r="AE157" s="114">
        <f t="shared" si="79"/>
        <v>288000</v>
      </c>
      <c r="AG157" s="114">
        <v>153</v>
      </c>
      <c r="AH157" s="113">
        <f>SUM(AA$5:AA157)</f>
        <v>316200</v>
      </c>
      <c r="AI157" s="113">
        <f>SUM(AB$5:AB157)</f>
        <v>632400</v>
      </c>
      <c r="AJ157" s="113">
        <f>SUM(AC$5:AC157)</f>
        <v>1264800</v>
      </c>
      <c r="AK157" s="113">
        <f>SUM(AD$5:AD157)</f>
        <v>3162000</v>
      </c>
      <c r="AL157" s="113">
        <f>SUM(AE$5:AE157)</f>
        <v>9486000</v>
      </c>
      <c r="BW157" s="25">
        <v>19</v>
      </c>
    </row>
    <row r="158" spans="10:96" x14ac:dyDescent="0.15">
      <c r="J158" s="46">
        <f>INDEX('[1]资源-装备经验'!Y$6:Y$165,(K158+1)/2,1)</f>
        <v>0</v>
      </c>
      <c r="K158" s="113">
        <v>154</v>
      </c>
      <c r="L158" s="121">
        <v>240</v>
      </c>
      <c r="M158" s="122">
        <f t="shared" si="80"/>
        <v>240</v>
      </c>
      <c r="N158" s="120">
        <f t="shared" si="81"/>
        <v>480</v>
      </c>
      <c r="O158" s="120">
        <f t="shared" si="81"/>
        <v>960</v>
      </c>
      <c r="P158" s="120">
        <f t="shared" si="81"/>
        <v>2400</v>
      </c>
      <c r="Q158" s="120">
        <f t="shared" si="81"/>
        <v>7200</v>
      </c>
      <c r="S158" s="113">
        <v>154</v>
      </c>
      <c r="T158" s="113">
        <f>SUM(M$5:M158)</f>
        <v>8145</v>
      </c>
      <c r="U158" s="113">
        <f>SUM(N$5:N158)</f>
        <v>16290</v>
      </c>
      <c r="V158" s="113">
        <f>SUM(O$5:O158)</f>
        <v>32580</v>
      </c>
      <c r="W158" s="113">
        <f>SUM(P$5:P158)</f>
        <v>81450</v>
      </c>
      <c r="X158" s="113">
        <f>SUM(Q$5:Q158)</f>
        <v>244350</v>
      </c>
      <c r="Z158" s="114">
        <v>154</v>
      </c>
      <c r="AA158" s="114">
        <f t="shared" si="75"/>
        <v>9600</v>
      </c>
      <c r="AB158" s="114">
        <f t="shared" si="76"/>
        <v>19200</v>
      </c>
      <c r="AC158" s="114">
        <f t="shared" si="77"/>
        <v>38400</v>
      </c>
      <c r="AD158" s="114">
        <f t="shared" si="78"/>
        <v>96000</v>
      </c>
      <c r="AE158" s="114">
        <f t="shared" si="79"/>
        <v>288000</v>
      </c>
      <c r="AG158" s="114">
        <v>154</v>
      </c>
      <c r="AH158" s="113">
        <f>SUM(AA$5:AA158)</f>
        <v>325800</v>
      </c>
      <c r="AI158" s="113">
        <f>SUM(AB$5:AB158)</f>
        <v>651600</v>
      </c>
      <c r="AJ158" s="113">
        <f>SUM(AC$5:AC158)</f>
        <v>1303200</v>
      </c>
      <c r="AK158" s="113">
        <f>SUM(AD$5:AD158)</f>
        <v>3258000</v>
      </c>
      <c r="AL158" s="113">
        <f>SUM(AE$5:AE158)</f>
        <v>9774000</v>
      </c>
      <c r="BW158" s="25">
        <v>20</v>
      </c>
    </row>
    <row r="159" spans="10:96" x14ac:dyDescent="0.15">
      <c r="J159" s="46">
        <f>INDEX('[1]资源-装备经验'!Y$6:Y$165,(K159+1)/2,1)</f>
        <v>0</v>
      </c>
      <c r="K159" s="113">
        <v>155</v>
      </c>
      <c r="L159" s="121">
        <v>240</v>
      </c>
      <c r="M159" s="122">
        <f t="shared" si="80"/>
        <v>240</v>
      </c>
      <c r="N159" s="120">
        <f t="shared" si="81"/>
        <v>480</v>
      </c>
      <c r="O159" s="120">
        <f t="shared" si="81"/>
        <v>960</v>
      </c>
      <c r="P159" s="120">
        <f t="shared" si="81"/>
        <v>2400</v>
      </c>
      <c r="Q159" s="120">
        <f t="shared" si="81"/>
        <v>7200</v>
      </c>
      <c r="S159" s="113">
        <v>155</v>
      </c>
      <c r="T159" s="113">
        <f>SUM(M$5:M159)</f>
        <v>8385</v>
      </c>
      <c r="U159" s="113">
        <f>SUM(N$5:N159)</f>
        <v>16770</v>
      </c>
      <c r="V159" s="113">
        <f>SUM(O$5:O159)</f>
        <v>33540</v>
      </c>
      <c r="W159" s="113">
        <f>SUM(P$5:P159)</f>
        <v>83850</v>
      </c>
      <c r="X159" s="113">
        <f>SUM(Q$5:Q159)</f>
        <v>251550</v>
      </c>
      <c r="Z159" s="114">
        <v>155</v>
      </c>
      <c r="AA159" s="114">
        <f t="shared" si="75"/>
        <v>9600</v>
      </c>
      <c r="AB159" s="114">
        <f t="shared" si="76"/>
        <v>19200</v>
      </c>
      <c r="AC159" s="114">
        <f t="shared" si="77"/>
        <v>38400</v>
      </c>
      <c r="AD159" s="114">
        <f t="shared" si="78"/>
        <v>96000</v>
      </c>
      <c r="AE159" s="114">
        <f t="shared" si="79"/>
        <v>288000</v>
      </c>
      <c r="AG159" s="114">
        <v>155</v>
      </c>
      <c r="AH159" s="113">
        <f>SUM(AA$5:AA159)</f>
        <v>335400</v>
      </c>
      <c r="AI159" s="113">
        <f>SUM(AB$5:AB159)</f>
        <v>670800</v>
      </c>
      <c r="AJ159" s="113">
        <f>SUM(AC$5:AC159)</f>
        <v>1341600</v>
      </c>
      <c r="AK159" s="113">
        <f>SUM(AD$5:AD159)</f>
        <v>3354000</v>
      </c>
      <c r="AL159" s="113">
        <f>SUM(AE$5:AE159)</f>
        <v>10062000</v>
      </c>
      <c r="BW159" s="25">
        <v>21</v>
      </c>
    </row>
    <row r="160" spans="10:96" x14ac:dyDescent="0.15">
      <c r="J160" s="46">
        <f>INDEX('[1]资源-装备经验'!Y$6:Y$165,(K160+1)/2,1)</f>
        <v>0</v>
      </c>
      <c r="K160" s="113">
        <v>156</v>
      </c>
      <c r="L160" s="121">
        <v>240</v>
      </c>
      <c r="M160" s="122">
        <f t="shared" si="80"/>
        <v>240</v>
      </c>
      <c r="N160" s="120">
        <f t="shared" si="81"/>
        <v>480</v>
      </c>
      <c r="O160" s="120">
        <f t="shared" si="81"/>
        <v>960</v>
      </c>
      <c r="P160" s="120">
        <f t="shared" si="81"/>
        <v>2400</v>
      </c>
      <c r="Q160" s="120">
        <f t="shared" si="81"/>
        <v>7200</v>
      </c>
      <c r="S160" s="113">
        <v>156</v>
      </c>
      <c r="T160" s="113">
        <f>SUM(M$5:M160)</f>
        <v>8625</v>
      </c>
      <c r="U160" s="113">
        <f>SUM(N$5:N160)</f>
        <v>17250</v>
      </c>
      <c r="V160" s="113">
        <f>SUM(O$5:O160)</f>
        <v>34500</v>
      </c>
      <c r="W160" s="113">
        <f>SUM(P$5:P160)</f>
        <v>86250</v>
      </c>
      <c r="X160" s="113">
        <f>SUM(Q$5:Q160)</f>
        <v>258750</v>
      </c>
      <c r="Z160" s="114">
        <v>156</v>
      </c>
      <c r="AA160" s="114">
        <f t="shared" si="75"/>
        <v>9600</v>
      </c>
      <c r="AB160" s="114">
        <f t="shared" si="76"/>
        <v>19200</v>
      </c>
      <c r="AC160" s="114">
        <f t="shared" si="77"/>
        <v>38400</v>
      </c>
      <c r="AD160" s="114">
        <f t="shared" si="78"/>
        <v>96000</v>
      </c>
      <c r="AE160" s="114">
        <f t="shared" si="79"/>
        <v>288000</v>
      </c>
      <c r="AG160" s="114">
        <v>156</v>
      </c>
      <c r="AH160" s="113">
        <f>SUM(AA$5:AA160)</f>
        <v>345000</v>
      </c>
      <c r="AI160" s="113">
        <f>SUM(AB$5:AB160)</f>
        <v>690000</v>
      </c>
      <c r="AJ160" s="113">
        <f>SUM(AC$5:AC160)</f>
        <v>1380000</v>
      </c>
      <c r="AK160" s="113">
        <f>SUM(AD$5:AD160)</f>
        <v>3450000</v>
      </c>
      <c r="AL160" s="113">
        <f>SUM(AE$5:AE160)</f>
        <v>10350000</v>
      </c>
      <c r="BW160" s="25">
        <v>22</v>
      </c>
    </row>
    <row r="161" spans="10:87" x14ac:dyDescent="0.15">
      <c r="J161" s="46">
        <f>INDEX('[1]资源-装备经验'!Y$6:Y$165,(K161+1)/2,1)</f>
        <v>0</v>
      </c>
      <c r="K161" s="113">
        <v>157</v>
      </c>
      <c r="L161" s="121">
        <v>240</v>
      </c>
      <c r="M161" s="122">
        <f t="shared" si="80"/>
        <v>240</v>
      </c>
      <c r="N161" s="120">
        <f t="shared" si="81"/>
        <v>480</v>
      </c>
      <c r="O161" s="120">
        <f t="shared" si="81"/>
        <v>960</v>
      </c>
      <c r="P161" s="120">
        <f t="shared" si="81"/>
        <v>2400</v>
      </c>
      <c r="Q161" s="120">
        <f t="shared" si="81"/>
        <v>7200</v>
      </c>
      <c r="S161" s="113">
        <v>157</v>
      </c>
      <c r="T161" s="113">
        <f>SUM(M$5:M161)</f>
        <v>8865</v>
      </c>
      <c r="U161" s="113">
        <f>SUM(N$5:N161)</f>
        <v>17730</v>
      </c>
      <c r="V161" s="113">
        <f>SUM(O$5:O161)</f>
        <v>35460</v>
      </c>
      <c r="W161" s="113">
        <f>SUM(P$5:P161)</f>
        <v>88650</v>
      </c>
      <c r="X161" s="113">
        <f>SUM(Q$5:Q161)</f>
        <v>265950</v>
      </c>
      <c r="Z161" s="114">
        <v>157</v>
      </c>
      <c r="AA161" s="114">
        <f t="shared" si="75"/>
        <v>9600</v>
      </c>
      <c r="AB161" s="114">
        <f t="shared" si="76"/>
        <v>19200</v>
      </c>
      <c r="AC161" s="114">
        <f t="shared" si="77"/>
        <v>38400</v>
      </c>
      <c r="AD161" s="114">
        <f t="shared" si="78"/>
        <v>96000</v>
      </c>
      <c r="AE161" s="114">
        <f t="shared" si="79"/>
        <v>288000</v>
      </c>
      <c r="AG161" s="114">
        <v>157</v>
      </c>
      <c r="AH161" s="113">
        <f>SUM(AA$5:AA161)</f>
        <v>354600</v>
      </c>
      <c r="AI161" s="113">
        <f>SUM(AB$5:AB161)</f>
        <v>709200</v>
      </c>
      <c r="AJ161" s="113">
        <f>SUM(AC$5:AC161)</f>
        <v>1418400</v>
      </c>
      <c r="AK161" s="113">
        <f>SUM(AD$5:AD161)</f>
        <v>3546000</v>
      </c>
      <c r="AL161" s="113">
        <f>SUM(AE$5:AE161)</f>
        <v>10638000</v>
      </c>
      <c r="BW161" s="25">
        <v>23</v>
      </c>
    </row>
    <row r="162" spans="10:87" x14ac:dyDescent="0.15">
      <c r="J162" s="46">
        <f>INDEX('[1]资源-装备经验'!Y$6:Y$165,(K162+1)/2,1)</f>
        <v>0</v>
      </c>
      <c r="K162" s="113">
        <v>158</v>
      </c>
      <c r="L162" s="121">
        <v>240</v>
      </c>
      <c r="M162" s="122">
        <f t="shared" si="80"/>
        <v>240</v>
      </c>
      <c r="N162" s="120">
        <f t="shared" si="81"/>
        <v>480</v>
      </c>
      <c r="O162" s="120">
        <f t="shared" si="81"/>
        <v>960</v>
      </c>
      <c r="P162" s="120">
        <f t="shared" si="81"/>
        <v>2400</v>
      </c>
      <c r="Q162" s="120">
        <f t="shared" si="81"/>
        <v>7200</v>
      </c>
      <c r="S162" s="113">
        <v>158</v>
      </c>
      <c r="T162" s="113">
        <f>SUM(M$5:M162)</f>
        <v>9105</v>
      </c>
      <c r="U162" s="113">
        <f>SUM(N$5:N162)</f>
        <v>18210</v>
      </c>
      <c r="V162" s="113">
        <f>SUM(O$5:O162)</f>
        <v>36420</v>
      </c>
      <c r="W162" s="113">
        <f>SUM(P$5:P162)</f>
        <v>91050</v>
      </c>
      <c r="X162" s="113">
        <f>SUM(Q$5:Q162)</f>
        <v>273150</v>
      </c>
      <c r="Z162" s="114">
        <v>158</v>
      </c>
      <c r="AA162" s="114">
        <f t="shared" si="75"/>
        <v>9600</v>
      </c>
      <c r="AB162" s="114">
        <f t="shared" si="76"/>
        <v>19200</v>
      </c>
      <c r="AC162" s="114">
        <f t="shared" si="77"/>
        <v>38400</v>
      </c>
      <c r="AD162" s="114">
        <f t="shared" si="78"/>
        <v>96000</v>
      </c>
      <c r="AE162" s="114">
        <f t="shared" si="79"/>
        <v>288000</v>
      </c>
      <c r="AG162" s="114">
        <v>158</v>
      </c>
      <c r="AH162" s="113">
        <f>SUM(AA$5:AA162)</f>
        <v>364200</v>
      </c>
      <c r="AI162" s="113">
        <f>SUM(AB$5:AB162)</f>
        <v>728400</v>
      </c>
      <c r="AJ162" s="113">
        <f>SUM(AC$5:AC162)</f>
        <v>1456800</v>
      </c>
      <c r="AK162" s="113">
        <f>SUM(AD$5:AD162)</f>
        <v>3642000</v>
      </c>
      <c r="AL162" s="113">
        <f>SUM(AE$5:AE162)</f>
        <v>10926000</v>
      </c>
      <c r="BW162" s="25">
        <v>24</v>
      </c>
    </row>
    <row r="163" spans="10:87" x14ac:dyDescent="0.15">
      <c r="J163" s="46">
        <f>INDEX('[1]资源-装备经验'!Y$6:Y$165,(K163+1)/2,1)</f>
        <v>0</v>
      </c>
      <c r="K163" s="113">
        <v>159</v>
      </c>
      <c r="L163" s="121">
        <v>240</v>
      </c>
      <c r="M163" s="122">
        <f t="shared" si="80"/>
        <v>240</v>
      </c>
      <c r="N163" s="120">
        <f t="shared" si="81"/>
        <v>480</v>
      </c>
      <c r="O163" s="120">
        <f t="shared" si="81"/>
        <v>960</v>
      </c>
      <c r="P163" s="120">
        <f t="shared" si="81"/>
        <v>2400</v>
      </c>
      <c r="Q163" s="120">
        <f t="shared" si="81"/>
        <v>7200</v>
      </c>
      <c r="S163" s="113">
        <v>159</v>
      </c>
      <c r="T163" s="113">
        <f>SUM(M$5:M163)</f>
        <v>9345</v>
      </c>
      <c r="U163" s="113">
        <f>SUM(N$5:N163)</f>
        <v>18690</v>
      </c>
      <c r="V163" s="113">
        <f>SUM(O$5:O163)</f>
        <v>37380</v>
      </c>
      <c r="W163" s="113">
        <f>SUM(P$5:P163)</f>
        <v>93450</v>
      </c>
      <c r="X163" s="113">
        <f>SUM(Q$5:Q163)</f>
        <v>280350</v>
      </c>
      <c r="Z163" s="114">
        <v>159</v>
      </c>
      <c r="AA163" s="114">
        <f t="shared" si="75"/>
        <v>9600</v>
      </c>
      <c r="AB163" s="114">
        <f t="shared" si="76"/>
        <v>19200</v>
      </c>
      <c r="AC163" s="114">
        <f t="shared" si="77"/>
        <v>38400</v>
      </c>
      <c r="AD163" s="114">
        <f t="shared" si="78"/>
        <v>96000</v>
      </c>
      <c r="AE163" s="114">
        <f t="shared" si="79"/>
        <v>288000</v>
      </c>
      <c r="AG163" s="114">
        <v>159</v>
      </c>
      <c r="AH163" s="113">
        <f>SUM(AA$5:AA163)</f>
        <v>373800</v>
      </c>
      <c r="AI163" s="113">
        <f>SUM(AB$5:AB163)</f>
        <v>747600</v>
      </c>
      <c r="AJ163" s="113">
        <f>SUM(AC$5:AC163)</f>
        <v>1495200</v>
      </c>
      <c r="AK163" s="113">
        <f>SUM(AD$5:AD163)</f>
        <v>3738000</v>
      </c>
      <c r="AL163" s="113">
        <f>SUM(AE$5:AE163)</f>
        <v>11214000</v>
      </c>
      <c r="BW163" s="25">
        <v>25</v>
      </c>
    </row>
    <row r="164" spans="10:87" x14ac:dyDescent="0.15">
      <c r="J164" s="46">
        <f>INDEX('[1]资源-装备经验'!Y$6:Y$165,(K164+1)/2,1)</f>
        <v>0</v>
      </c>
      <c r="K164" s="113">
        <v>160</v>
      </c>
      <c r="L164" s="113">
        <v>400</v>
      </c>
      <c r="M164" s="122">
        <f t="shared" si="80"/>
        <v>400</v>
      </c>
      <c r="N164" s="120">
        <f t="shared" si="81"/>
        <v>800</v>
      </c>
      <c r="O164" s="120">
        <f t="shared" si="81"/>
        <v>1600</v>
      </c>
      <c r="P164" s="120">
        <f t="shared" si="81"/>
        <v>4000</v>
      </c>
      <c r="Q164" s="120">
        <f t="shared" si="81"/>
        <v>12000</v>
      </c>
      <c r="S164" s="113">
        <v>160</v>
      </c>
      <c r="T164" s="113">
        <f>SUM(M$5:M164)</f>
        <v>9745</v>
      </c>
      <c r="U164" s="113">
        <f>SUM(N$5:N164)</f>
        <v>19490</v>
      </c>
      <c r="V164" s="113">
        <f>SUM(O$5:O164)</f>
        <v>38980</v>
      </c>
      <c r="W164" s="113">
        <f>SUM(P$5:P164)</f>
        <v>97450</v>
      </c>
      <c r="X164" s="113">
        <f>SUM(Q$5:Q164)</f>
        <v>292350</v>
      </c>
      <c r="Z164" s="114">
        <v>160</v>
      </c>
      <c r="AA164" s="114">
        <f t="shared" si="75"/>
        <v>16000</v>
      </c>
      <c r="AB164" s="114">
        <f t="shared" si="76"/>
        <v>32000</v>
      </c>
      <c r="AC164" s="114">
        <f t="shared" si="77"/>
        <v>64000</v>
      </c>
      <c r="AD164" s="114">
        <f t="shared" si="78"/>
        <v>160000</v>
      </c>
      <c r="AE164" s="114">
        <f t="shared" si="79"/>
        <v>480000</v>
      </c>
      <c r="AG164" s="114">
        <v>160</v>
      </c>
      <c r="AH164" s="113">
        <f>SUM(AA$5:AA164)</f>
        <v>389800</v>
      </c>
      <c r="AI164" s="113">
        <f>SUM(AB$5:AB164)</f>
        <v>779600</v>
      </c>
      <c r="AJ164" s="113">
        <f>SUM(AC$5:AC164)</f>
        <v>1559200</v>
      </c>
      <c r="AK164" s="113">
        <f>SUM(AD$5:AD164)</f>
        <v>3898000</v>
      </c>
      <c r="AL164" s="113">
        <f>SUM(AE$5:AE164)</f>
        <v>11694000</v>
      </c>
      <c r="BW164" s="25">
        <v>26</v>
      </c>
      <c r="CI164" s="36"/>
    </row>
    <row r="165" spans="10:87" x14ac:dyDescent="0.15">
      <c r="J165" s="46">
        <f>INDEX('[1]资源-装备经验'!Y$6:Y$165,(K165+1)/2,1)</f>
        <v>0</v>
      </c>
      <c r="K165" s="113">
        <v>161</v>
      </c>
      <c r="L165" s="121">
        <v>400</v>
      </c>
      <c r="M165" s="122">
        <f t="shared" si="80"/>
        <v>400</v>
      </c>
      <c r="N165" s="120">
        <f t="shared" si="81"/>
        <v>800</v>
      </c>
      <c r="O165" s="120">
        <f t="shared" si="81"/>
        <v>1600</v>
      </c>
      <c r="P165" s="120">
        <f t="shared" si="81"/>
        <v>4000</v>
      </c>
      <c r="Q165" s="120">
        <f t="shared" si="81"/>
        <v>12000</v>
      </c>
      <c r="S165" s="113">
        <v>161</v>
      </c>
      <c r="T165" s="113">
        <f>SUM(M$5:M165)</f>
        <v>10145</v>
      </c>
      <c r="U165" s="113">
        <f>SUM(N$5:N165)</f>
        <v>20290</v>
      </c>
      <c r="V165" s="113">
        <f>SUM(O$5:O165)</f>
        <v>40580</v>
      </c>
      <c r="W165" s="113">
        <f>SUM(P$5:P165)</f>
        <v>101450</v>
      </c>
      <c r="X165" s="113">
        <f>SUM(Q$5:Q165)</f>
        <v>304350</v>
      </c>
      <c r="Z165" s="114">
        <v>161</v>
      </c>
      <c r="AA165" s="114">
        <f t="shared" si="75"/>
        <v>16000</v>
      </c>
      <c r="AB165" s="114">
        <f t="shared" si="76"/>
        <v>32000</v>
      </c>
      <c r="AC165" s="114">
        <f t="shared" si="77"/>
        <v>64000</v>
      </c>
      <c r="AD165" s="114">
        <f t="shared" si="78"/>
        <v>160000</v>
      </c>
      <c r="AE165" s="114">
        <f t="shared" si="79"/>
        <v>480000</v>
      </c>
      <c r="AG165" s="114">
        <v>161</v>
      </c>
      <c r="AH165" s="113">
        <f>SUM(AA$5:AA165)</f>
        <v>405800</v>
      </c>
      <c r="AI165" s="113">
        <f>SUM(AB$5:AB165)</f>
        <v>811600</v>
      </c>
      <c r="AJ165" s="113">
        <f>SUM(AC$5:AC165)</f>
        <v>1623200</v>
      </c>
      <c r="AK165" s="113">
        <f>SUM(AD$5:AD165)</f>
        <v>4058000</v>
      </c>
      <c r="AL165" s="113">
        <f>SUM(AE$5:AE165)</f>
        <v>12174000</v>
      </c>
      <c r="BW165" s="25">
        <v>27</v>
      </c>
      <c r="CI165" s="36"/>
    </row>
    <row r="166" spans="10:87" x14ac:dyDescent="0.15">
      <c r="J166" s="46">
        <f>INDEX('[1]资源-装备经验'!Y$6:Y$165,(K166+1)/2,1)</f>
        <v>0</v>
      </c>
      <c r="K166" s="113">
        <v>162</v>
      </c>
      <c r="L166" s="121">
        <v>400</v>
      </c>
      <c r="M166" s="122">
        <f t="shared" si="80"/>
        <v>400</v>
      </c>
      <c r="N166" s="120">
        <f t="shared" ref="N166:Q205" si="96">$M166*N$1</f>
        <v>800</v>
      </c>
      <c r="O166" s="120">
        <f t="shared" si="96"/>
        <v>1600</v>
      </c>
      <c r="P166" s="120">
        <f t="shared" si="96"/>
        <v>4000</v>
      </c>
      <c r="Q166" s="120">
        <f t="shared" si="96"/>
        <v>12000</v>
      </c>
      <c r="S166" s="113">
        <v>162</v>
      </c>
      <c r="T166" s="113">
        <f>SUM(M$5:M166)</f>
        <v>10545</v>
      </c>
      <c r="U166" s="113">
        <f>SUM(N$5:N166)</f>
        <v>21090</v>
      </c>
      <c r="V166" s="113">
        <f>SUM(O$5:O166)</f>
        <v>42180</v>
      </c>
      <c r="W166" s="113">
        <f>SUM(P$5:P166)</f>
        <v>105450</v>
      </c>
      <c r="X166" s="113">
        <f>SUM(Q$5:Q166)</f>
        <v>316350</v>
      </c>
      <c r="Z166" s="114">
        <v>162</v>
      </c>
      <c r="AA166" s="114">
        <f t="shared" si="75"/>
        <v>16000</v>
      </c>
      <c r="AB166" s="114">
        <f t="shared" si="76"/>
        <v>32000</v>
      </c>
      <c r="AC166" s="114">
        <f t="shared" si="77"/>
        <v>64000</v>
      </c>
      <c r="AD166" s="114">
        <f t="shared" si="78"/>
        <v>160000</v>
      </c>
      <c r="AE166" s="114">
        <f t="shared" si="79"/>
        <v>480000</v>
      </c>
      <c r="AG166" s="114">
        <v>162</v>
      </c>
      <c r="AH166" s="113">
        <f>SUM(AA$5:AA166)</f>
        <v>421800</v>
      </c>
      <c r="AI166" s="113">
        <f>SUM(AB$5:AB166)</f>
        <v>843600</v>
      </c>
      <c r="AJ166" s="113">
        <f>SUM(AC$5:AC166)</f>
        <v>1687200</v>
      </c>
      <c r="AK166" s="113">
        <f>SUM(AD$5:AD166)</f>
        <v>4218000</v>
      </c>
      <c r="AL166" s="113">
        <f>SUM(AE$5:AE166)</f>
        <v>12654000</v>
      </c>
      <c r="BW166" s="25">
        <v>28</v>
      </c>
    </row>
    <row r="167" spans="10:87" x14ac:dyDescent="0.15">
      <c r="J167" s="46">
        <f>INDEX('[1]资源-装备经验'!Y$6:Y$165,(K167+1)/2,1)</f>
        <v>0</v>
      </c>
      <c r="K167" s="113">
        <v>163</v>
      </c>
      <c r="L167" s="121">
        <v>400</v>
      </c>
      <c r="M167" s="122">
        <f t="shared" si="80"/>
        <v>400</v>
      </c>
      <c r="N167" s="120">
        <f t="shared" si="96"/>
        <v>800</v>
      </c>
      <c r="O167" s="120">
        <f t="shared" si="96"/>
        <v>1600</v>
      </c>
      <c r="P167" s="120">
        <f t="shared" si="96"/>
        <v>4000</v>
      </c>
      <c r="Q167" s="120">
        <f t="shared" si="96"/>
        <v>12000</v>
      </c>
      <c r="S167" s="113">
        <v>163</v>
      </c>
      <c r="T167" s="113">
        <f>SUM(M$5:M167)</f>
        <v>10945</v>
      </c>
      <c r="U167" s="113">
        <f>SUM(N$5:N167)</f>
        <v>21890</v>
      </c>
      <c r="V167" s="113">
        <f>SUM(O$5:O167)</f>
        <v>43780</v>
      </c>
      <c r="W167" s="113">
        <f>SUM(P$5:P167)</f>
        <v>109450</v>
      </c>
      <c r="X167" s="113">
        <f>SUM(Q$5:Q167)</f>
        <v>328350</v>
      </c>
      <c r="Z167" s="114">
        <v>163</v>
      </c>
      <c r="AA167" s="114">
        <f t="shared" si="75"/>
        <v>16000</v>
      </c>
      <c r="AB167" s="114">
        <f t="shared" si="76"/>
        <v>32000</v>
      </c>
      <c r="AC167" s="114">
        <f t="shared" si="77"/>
        <v>64000</v>
      </c>
      <c r="AD167" s="114">
        <f t="shared" si="78"/>
        <v>160000</v>
      </c>
      <c r="AE167" s="114">
        <f t="shared" si="79"/>
        <v>480000</v>
      </c>
      <c r="AG167" s="114">
        <v>163</v>
      </c>
      <c r="AH167" s="113">
        <f>SUM(AA$5:AA167)</f>
        <v>437800</v>
      </c>
      <c r="AI167" s="113">
        <f>SUM(AB$5:AB167)</f>
        <v>875600</v>
      </c>
      <c r="AJ167" s="113">
        <f>SUM(AC$5:AC167)</f>
        <v>1751200</v>
      </c>
      <c r="AK167" s="113">
        <f>SUM(AD$5:AD167)</f>
        <v>4378000</v>
      </c>
      <c r="AL167" s="113">
        <f>SUM(AE$5:AE167)</f>
        <v>13134000</v>
      </c>
      <c r="BW167" s="25">
        <v>29</v>
      </c>
    </row>
    <row r="168" spans="10:87" x14ac:dyDescent="0.15">
      <c r="J168" s="46">
        <f>INDEX('[1]资源-装备经验'!Y$6:Y$165,(K168+1)/2,1)</f>
        <v>0</v>
      </c>
      <c r="K168" s="113">
        <v>164</v>
      </c>
      <c r="L168" s="121">
        <v>400</v>
      </c>
      <c r="M168" s="122">
        <f t="shared" si="80"/>
        <v>400</v>
      </c>
      <c r="N168" s="120">
        <f t="shared" si="96"/>
        <v>800</v>
      </c>
      <c r="O168" s="120">
        <f t="shared" si="96"/>
        <v>1600</v>
      </c>
      <c r="P168" s="120">
        <f t="shared" si="96"/>
        <v>4000</v>
      </c>
      <c r="Q168" s="120">
        <f t="shared" si="96"/>
        <v>12000</v>
      </c>
      <c r="S168" s="113">
        <v>164</v>
      </c>
      <c r="T168" s="113">
        <f>SUM(M$5:M168)</f>
        <v>11345</v>
      </c>
      <c r="U168" s="113">
        <f>SUM(N$5:N168)</f>
        <v>22690</v>
      </c>
      <c r="V168" s="113">
        <f>SUM(O$5:O168)</f>
        <v>45380</v>
      </c>
      <c r="W168" s="113">
        <f>SUM(P$5:P168)</f>
        <v>113450</v>
      </c>
      <c r="X168" s="113">
        <f>SUM(Q$5:Q168)</f>
        <v>340350</v>
      </c>
      <c r="Z168" s="114">
        <v>164</v>
      </c>
      <c r="AA168" s="114">
        <f t="shared" si="75"/>
        <v>16000</v>
      </c>
      <c r="AB168" s="114">
        <f t="shared" si="76"/>
        <v>32000</v>
      </c>
      <c r="AC168" s="114">
        <f t="shared" si="77"/>
        <v>64000</v>
      </c>
      <c r="AD168" s="114">
        <f t="shared" si="78"/>
        <v>160000</v>
      </c>
      <c r="AE168" s="114">
        <f t="shared" si="79"/>
        <v>480000</v>
      </c>
      <c r="AG168" s="114">
        <v>164</v>
      </c>
      <c r="AH168" s="113">
        <f>SUM(AA$5:AA168)</f>
        <v>453800</v>
      </c>
      <c r="AI168" s="113">
        <f>SUM(AB$5:AB168)</f>
        <v>907600</v>
      </c>
      <c r="AJ168" s="113">
        <f>SUM(AC$5:AC168)</f>
        <v>1815200</v>
      </c>
      <c r="AK168" s="113">
        <f>SUM(AD$5:AD168)</f>
        <v>4538000</v>
      </c>
      <c r="AL168" s="113">
        <f>SUM(AE$5:AE168)</f>
        <v>13614000</v>
      </c>
      <c r="BW168" s="25">
        <v>30</v>
      </c>
    </row>
    <row r="169" spans="10:87" x14ac:dyDescent="0.15">
      <c r="J169" s="46">
        <f>INDEX('[1]资源-装备经验'!Y$6:Y$165,(K169+1)/2,1)</f>
        <v>0</v>
      </c>
      <c r="K169" s="113">
        <v>165</v>
      </c>
      <c r="L169" s="121">
        <v>400</v>
      </c>
      <c r="M169" s="122">
        <f t="shared" si="80"/>
        <v>400</v>
      </c>
      <c r="N169" s="120">
        <f t="shared" si="96"/>
        <v>800</v>
      </c>
      <c r="O169" s="120">
        <f t="shared" si="96"/>
        <v>1600</v>
      </c>
      <c r="P169" s="120">
        <f t="shared" si="96"/>
        <v>4000</v>
      </c>
      <c r="Q169" s="120">
        <f t="shared" si="96"/>
        <v>12000</v>
      </c>
      <c r="S169" s="113">
        <v>165</v>
      </c>
      <c r="T169" s="113">
        <f>SUM(M$5:M169)</f>
        <v>11745</v>
      </c>
      <c r="U169" s="113">
        <f>SUM(N$5:N169)</f>
        <v>23490</v>
      </c>
      <c r="V169" s="113">
        <f>SUM(O$5:O169)</f>
        <v>46980</v>
      </c>
      <c r="W169" s="113">
        <f>SUM(P$5:P169)</f>
        <v>117450</v>
      </c>
      <c r="X169" s="113">
        <f>SUM(Q$5:Q169)</f>
        <v>352350</v>
      </c>
      <c r="Z169" s="114">
        <v>165</v>
      </c>
      <c r="AA169" s="114">
        <f t="shared" si="75"/>
        <v>16000</v>
      </c>
      <c r="AB169" s="114">
        <f t="shared" si="76"/>
        <v>32000</v>
      </c>
      <c r="AC169" s="114">
        <f t="shared" si="77"/>
        <v>64000</v>
      </c>
      <c r="AD169" s="114">
        <f t="shared" si="78"/>
        <v>160000</v>
      </c>
      <c r="AE169" s="114">
        <f t="shared" si="79"/>
        <v>480000</v>
      </c>
      <c r="AG169" s="114">
        <v>165</v>
      </c>
      <c r="AH169" s="113">
        <f>SUM(AA$5:AA169)</f>
        <v>469800</v>
      </c>
      <c r="AI169" s="113">
        <f>SUM(AB$5:AB169)</f>
        <v>939600</v>
      </c>
      <c r="AJ169" s="113">
        <f>SUM(AC$5:AC169)</f>
        <v>1879200</v>
      </c>
      <c r="AK169" s="113">
        <f>SUM(AD$5:AD169)</f>
        <v>4698000</v>
      </c>
      <c r="AL169" s="113">
        <f>SUM(AE$5:AE169)</f>
        <v>14094000</v>
      </c>
      <c r="BW169" s="25">
        <v>31</v>
      </c>
    </row>
    <row r="170" spans="10:87" x14ac:dyDescent="0.15">
      <c r="J170" s="46">
        <f>INDEX('[1]资源-装备经验'!Y$6:Y$165,(K170+1)/2,1)</f>
        <v>0</v>
      </c>
      <c r="K170" s="113">
        <v>166</v>
      </c>
      <c r="L170" s="121">
        <v>400</v>
      </c>
      <c r="M170" s="122">
        <f t="shared" si="80"/>
        <v>400</v>
      </c>
      <c r="N170" s="120">
        <f t="shared" si="96"/>
        <v>800</v>
      </c>
      <c r="O170" s="120">
        <f t="shared" si="96"/>
        <v>1600</v>
      </c>
      <c r="P170" s="120">
        <f t="shared" si="96"/>
        <v>4000</v>
      </c>
      <c r="Q170" s="120">
        <f t="shared" si="96"/>
        <v>12000</v>
      </c>
      <c r="S170" s="113">
        <v>166</v>
      </c>
      <c r="T170" s="113">
        <f>SUM(M$5:M170)</f>
        <v>12145</v>
      </c>
      <c r="U170" s="113">
        <f>SUM(N$5:N170)</f>
        <v>24290</v>
      </c>
      <c r="V170" s="113">
        <f>SUM(O$5:O170)</f>
        <v>48580</v>
      </c>
      <c r="W170" s="113">
        <f>SUM(P$5:P170)</f>
        <v>121450</v>
      </c>
      <c r="X170" s="113">
        <f>SUM(Q$5:Q170)</f>
        <v>364350</v>
      </c>
      <c r="Z170" s="114">
        <v>166</v>
      </c>
      <c r="AA170" s="114">
        <f t="shared" si="75"/>
        <v>16000</v>
      </c>
      <c r="AB170" s="114">
        <f t="shared" si="76"/>
        <v>32000</v>
      </c>
      <c r="AC170" s="114">
        <f t="shared" si="77"/>
        <v>64000</v>
      </c>
      <c r="AD170" s="114">
        <f t="shared" si="78"/>
        <v>160000</v>
      </c>
      <c r="AE170" s="114">
        <f t="shared" si="79"/>
        <v>480000</v>
      </c>
      <c r="AG170" s="114">
        <v>166</v>
      </c>
      <c r="AH170" s="113">
        <f>SUM(AA$5:AA170)</f>
        <v>485800</v>
      </c>
      <c r="AI170" s="113">
        <f>SUM(AB$5:AB170)</f>
        <v>971600</v>
      </c>
      <c r="AJ170" s="113">
        <f>SUM(AC$5:AC170)</f>
        <v>1943200</v>
      </c>
      <c r="AK170" s="113">
        <f>SUM(AD$5:AD170)</f>
        <v>4858000</v>
      </c>
      <c r="AL170" s="113">
        <f>SUM(AE$5:AE170)</f>
        <v>14574000</v>
      </c>
      <c r="BW170" s="25">
        <v>32</v>
      </c>
    </row>
    <row r="171" spans="10:87" x14ac:dyDescent="0.15">
      <c r="J171" s="46">
        <f>INDEX('[1]资源-装备经验'!Y$6:Y$165,(K171+1)/2,1)</f>
        <v>0</v>
      </c>
      <c r="K171" s="113">
        <v>167</v>
      </c>
      <c r="L171" s="121">
        <v>400</v>
      </c>
      <c r="M171" s="122">
        <f t="shared" si="80"/>
        <v>400</v>
      </c>
      <c r="N171" s="120">
        <f t="shared" si="96"/>
        <v>800</v>
      </c>
      <c r="O171" s="120">
        <f t="shared" si="96"/>
        <v>1600</v>
      </c>
      <c r="P171" s="120">
        <f t="shared" si="96"/>
        <v>4000</v>
      </c>
      <c r="Q171" s="120">
        <f t="shared" si="96"/>
        <v>12000</v>
      </c>
      <c r="S171" s="113">
        <v>167</v>
      </c>
      <c r="T171" s="113">
        <f>SUM(M$5:M171)</f>
        <v>12545</v>
      </c>
      <c r="U171" s="113">
        <f>SUM(N$5:N171)</f>
        <v>25090</v>
      </c>
      <c r="V171" s="113">
        <f>SUM(O$5:O171)</f>
        <v>50180</v>
      </c>
      <c r="W171" s="113">
        <f>SUM(P$5:P171)</f>
        <v>125450</v>
      </c>
      <c r="X171" s="113">
        <f>SUM(Q$5:Q171)</f>
        <v>376350</v>
      </c>
      <c r="Z171" s="114">
        <v>167</v>
      </c>
      <c r="AA171" s="114">
        <f t="shared" si="75"/>
        <v>16000</v>
      </c>
      <c r="AB171" s="114">
        <f t="shared" si="76"/>
        <v>32000</v>
      </c>
      <c r="AC171" s="114">
        <f t="shared" si="77"/>
        <v>64000</v>
      </c>
      <c r="AD171" s="114">
        <f t="shared" si="78"/>
        <v>160000</v>
      </c>
      <c r="AE171" s="114">
        <f t="shared" si="79"/>
        <v>480000</v>
      </c>
      <c r="AG171" s="114">
        <v>167</v>
      </c>
      <c r="AH171" s="113">
        <f>SUM(AA$5:AA171)</f>
        <v>501800</v>
      </c>
      <c r="AI171" s="113">
        <f>SUM(AB$5:AB171)</f>
        <v>1003600</v>
      </c>
      <c r="AJ171" s="113">
        <f>SUM(AC$5:AC171)</f>
        <v>2007200</v>
      </c>
      <c r="AK171" s="113">
        <f>SUM(AD$5:AD171)</f>
        <v>5018000</v>
      </c>
      <c r="AL171" s="113">
        <f>SUM(AE$5:AE171)</f>
        <v>15054000</v>
      </c>
      <c r="BW171" s="25">
        <v>33</v>
      </c>
    </row>
    <row r="172" spans="10:87" x14ac:dyDescent="0.15">
      <c r="J172" s="46">
        <f>INDEX('[1]资源-装备经验'!Y$6:Y$165,(K172+1)/2,1)</f>
        <v>0</v>
      </c>
      <c r="K172" s="113">
        <v>168</v>
      </c>
      <c r="L172" s="121">
        <v>400</v>
      </c>
      <c r="M172" s="122">
        <f t="shared" si="80"/>
        <v>400</v>
      </c>
      <c r="N172" s="120">
        <f t="shared" si="96"/>
        <v>800</v>
      </c>
      <c r="O172" s="120">
        <f t="shared" si="96"/>
        <v>1600</v>
      </c>
      <c r="P172" s="120">
        <f t="shared" si="96"/>
        <v>4000</v>
      </c>
      <c r="Q172" s="120">
        <f t="shared" si="96"/>
        <v>12000</v>
      </c>
      <c r="S172" s="113">
        <v>168</v>
      </c>
      <c r="T172" s="113">
        <f>SUM(M$5:M172)</f>
        <v>12945</v>
      </c>
      <c r="U172" s="113">
        <f>SUM(N$5:N172)</f>
        <v>25890</v>
      </c>
      <c r="V172" s="113">
        <f>SUM(O$5:O172)</f>
        <v>51780</v>
      </c>
      <c r="W172" s="113">
        <f>SUM(P$5:P172)</f>
        <v>129450</v>
      </c>
      <c r="X172" s="113">
        <f>SUM(Q$5:Q172)</f>
        <v>388350</v>
      </c>
      <c r="Z172" s="114">
        <v>168</v>
      </c>
      <c r="AA172" s="114">
        <f t="shared" si="75"/>
        <v>16000</v>
      </c>
      <c r="AB172" s="114">
        <f t="shared" si="76"/>
        <v>32000</v>
      </c>
      <c r="AC172" s="114">
        <f t="shared" si="77"/>
        <v>64000</v>
      </c>
      <c r="AD172" s="114">
        <f t="shared" si="78"/>
        <v>160000</v>
      </c>
      <c r="AE172" s="114">
        <f t="shared" si="79"/>
        <v>480000</v>
      </c>
      <c r="AG172" s="114">
        <v>168</v>
      </c>
      <c r="AH172" s="113">
        <f>SUM(AA$5:AA172)</f>
        <v>517800</v>
      </c>
      <c r="AI172" s="113">
        <f>SUM(AB$5:AB172)</f>
        <v>1035600</v>
      </c>
      <c r="AJ172" s="113">
        <f>SUM(AC$5:AC172)</f>
        <v>2071200</v>
      </c>
      <c r="AK172" s="113">
        <f>SUM(AD$5:AD172)</f>
        <v>5178000</v>
      </c>
      <c r="AL172" s="113">
        <f>SUM(AE$5:AE172)</f>
        <v>15534000</v>
      </c>
      <c r="BW172" s="25">
        <v>34</v>
      </c>
    </row>
    <row r="173" spans="10:87" x14ac:dyDescent="0.15">
      <c r="J173" s="46">
        <f>INDEX('[1]资源-装备经验'!Y$6:Y$165,(K173+1)/2,1)</f>
        <v>0</v>
      </c>
      <c r="K173" s="113">
        <v>169</v>
      </c>
      <c r="L173" s="121">
        <v>400</v>
      </c>
      <c r="M173" s="122">
        <f t="shared" si="80"/>
        <v>400</v>
      </c>
      <c r="N173" s="120">
        <f t="shared" si="96"/>
        <v>800</v>
      </c>
      <c r="O173" s="120">
        <f t="shared" si="96"/>
        <v>1600</v>
      </c>
      <c r="P173" s="120">
        <f t="shared" si="96"/>
        <v>4000</v>
      </c>
      <c r="Q173" s="120">
        <f t="shared" si="96"/>
        <v>12000</v>
      </c>
      <c r="S173" s="113">
        <v>169</v>
      </c>
      <c r="T173" s="113">
        <f>SUM(M$5:M173)</f>
        <v>13345</v>
      </c>
      <c r="U173" s="113">
        <f>SUM(N$5:N173)</f>
        <v>26690</v>
      </c>
      <c r="V173" s="113">
        <f>SUM(O$5:O173)</f>
        <v>53380</v>
      </c>
      <c r="W173" s="113">
        <f>SUM(P$5:P173)</f>
        <v>133450</v>
      </c>
      <c r="X173" s="113">
        <f>SUM(Q$5:Q173)</f>
        <v>400350</v>
      </c>
      <c r="Z173" s="114">
        <v>169</v>
      </c>
      <c r="AA173" s="114">
        <f t="shared" si="75"/>
        <v>16000</v>
      </c>
      <c r="AB173" s="114">
        <f t="shared" si="76"/>
        <v>32000</v>
      </c>
      <c r="AC173" s="114">
        <f t="shared" si="77"/>
        <v>64000</v>
      </c>
      <c r="AD173" s="114">
        <f t="shared" si="78"/>
        <v>160000</v>
      </c>
      <c r="AE173" s="114">
        <f t="shared" si="79"/>
        <v>480000</v>
      </c>
      <c r="AG173" s="114">
        <v>169</v>
      </c>
      <c r="AH173" s="113">
        <f>SUM(AA$5:AA173)</f>
        <v>533800</v>
      </c>
      <c r="AI173" s="113">
        <f>SUM(AB$5:AB173)</f>
        <v>1067600</v>
      </c>
      <c r="AJ173" s="113">
        <f>SUM(AC$5:AC173)</f>
        <v>2135200</v>
      </c>
      <c r="AK173" s="113">
        <f>SUM(AD$5:AD173)</f>
        <v>5338000</v>
      </c>
      <c r="AL173" s="113">
        <f>SUM(AE$5:AE173)</f>
        <v>16014000</v>
      </c>
      <c r="BW173" s="25">
        <v>35</v>
      </c>
    </row>
    <row r="174" spans="10:87" x14ac:dyDescent="0.15">
      <c r="J174" s="46">
        <f>INDEX('[1]资源-装备经验'!Y$6:Y$165,(K174+1)/2,1)</f>
        <v>0</v>
      </c>
      <c r="K174" s="113">
        <v>170</v>
      </c>
      <c r="L174" s="121">
        <v>800</v>
      </c>
      <c r="M174" s="122">
        <f t="shared" si="80"/>
        <v>800</v>
      </c>
      <c r="N174" s="120">
        <f t="shared" si="96"/>
        <v>1600</v>
      </c>
      <c r="O174" s="120">
        <f t="shared" si="96"/>
        <v>3200</v>
      </c>
      <c r="P174" s="120">
        <f t="shared" si="96"/>
        <v>8000</v>
      </c>
      <c r="Q174" s="120">
        <f t="shared" si="96"/>
        <v>24000</v>
      </c>
      <c r="S174" s="113">
        <v>170</v>
      </c>
      <c r="T174" s="113">
        <f>SUM(M$5:M174)</f>
        <v>14145</v>
      </c>
      <c r="U174" s="113">
        <f>SUM(N$5:N174)</f>
        <v>28290</v>
      </c>
      <c r="V174" s="113">
        <f>SUM(O$5:O174)</f>
        <v>56580</v>
      </c>
      <c r="W174" s="113">
        <f>SUM(P$5:P174)</f>
        <v>141450</v>
      </c>
      <c r="X174" s="113">
        <f>SUM(Q$5:Q174)</f>
        <v>424350</v>
      </c>
      <c r="Z174" s="114">
        <v>170</v>
      </c>
      <c r="AA174" s="114">
        <f t="shared" si="75"/>
        <v>32000</v>
      </c>
      <c r="AB174" s="114">
        <f t="shared" si="76"/>
        <v>64000</v>
      </c>
      <c r="AC174" s="114">
        <f t="shared" si="77"/>
        <v>128000</v>
      </c>
      <c r="AD174" s="114">
        <f t="shared" si="78"/>
        <v>320000</v>
      </c>
      <c r="AE174" s="114">
        <f t="shared" si="79"/>
        <v>960000</v>
      </c>
      <c r="AG174" s="114">
        <v>170</v>
      </c>
      <c r="AH174" s="113">
        <f>SUM(AA$5:AA174)</f>
        <v>565800</v>
      </c>
      <c r="AI174" s="113">
        <f>SUM(AB$5:AB174)</f>
        <v>1131600</v>
      </c>
      <c r="AJ174" s="113">
        <f>SUM(AC$5:AC174)</f>
        <v>2263200</v>
      </c>
      <c r="AK174" s="113">
        <f>SUM(AD$5:AD174)</f>
        <v>5658000</v>
      </c>
      <c r="AL174" s="113">
        <f>SUM(AE$5:AE174)</f>
        <v>16974000</v>
      </c>
      <c r="BW174" s="25">
        <v>36</v>
      </c>
    </row>
    <row r="175" spans="10:87" x14ac:dyDescent="0.15">
      <c r="J175" s="46">
        <f>INDEX('[1]资源-装备经验'!Y$6:Y$165,(K175+1)/2,1)</f>
        <v>0</v>
      </c>
      <c r="K175" s="113">
        <v>171</v>
      </c>
      <c r="L175" s="133">
        <v>800</v>
      </c>
      <c r="M175" s="122">
        <f t="shared" si="80"/>
        <v>800</v>
      </c>
      <c r="N175" s="120">
        <f t="shared" si="96"/>
        <v>1600</v>
      </c>
      <c r="O175" s="120">
        <f t="shared" si="96"/>
        <v>3200</v>
      </c>
      <c r="P175" s="120">
        <f t="shared" si="96"/>
        <v>8000</v>
      </c>
      <c r="Q175" s="120">
        <f t="shared" si="96"/>
        <v>24000</v>
      </c>
      <c r="S175" s="113">
        <v>171</v>
      </c>
      <c r="T175" s="113">
        <f>SUM(M$5:M175)</f>
        <v>14945</v>
      </c>
      <c r="U175" s="113">
        <f>SUM(N$5:N175)</f>
        <v>29890</v>
      </c>
      <c r="V175" s="113">
        <f>SUM(O$5:O175)</f>
        <v>59780</v>
      </c>
      <c r="W175" s="113">
        <f>SUM(P$5:P175)</f>
        <v>149450</v>
      </c>
      <c r="X175" s="113">
        <f>SUM(Q$5:Q175)</f>
        <v>448350</v>
      </c>
      <c r="Z175" s="114">
        <v>171</v>
      </c>
      <c r="AA175" s="114">
        <f t="shared" si="75"/>
        <v>32000</v>
      </c>
      <c r="AB175" s="114">
        <f t="shared" si="76"/>
        <v>64000</v>
      </c>
      <c r="AC175" s="114">
        <f t="shared" si="77"/>
        <v>128000</v>
      </c>
      <c r="AD175" s="114">
        <f t="shared" si="78"/>
        <v>320000</v>
      </c>
      <c r="AE175" s="114">
        <f t="shared" si="79"/>
        <v>960000</v>
      </c>
      <c r="AG175" s="114">
        <v>171</v>
      </c>
      <c r="AH175" s="113">
        <f>SUM(AA$5:AA175)</f>
        <v>597800</v>
      </c>
      <c r="AI175" s="113">
        <f>SUM(AB$5:AB175)</f>
        <v>1195600</v>
      </c>
      <c r="AJ175" s="113">
        <f>SUM(AC$5:AC175)</f>
        <v>2391200</v>
      </c>
      <c r="AK175" s="113">
        <f>SUM(AD$5:AD175)</f>
        <v>5978000</v>
      </c>
      <c r="AL175" s="113">
        <f>SUM(AE$5:AE175)</f>
        <v>17934000</v>
      </c>
      <c r="BW175" s="25">
        <v>37</v>
      </c>
    </row>
    <row r="176" spans="10:87" x14ac:dyDescent="0.15">
      <c r="J176" s="46">
        <f>INDEX('[1]资源-装备经验'!Y$6:Y$165,(K176+1)/2,1)</f>
        <v>0</v>
      </c>
      <c r="K176" s="113">
        <v>172</v>
      </c>
      <c r="L176" s="133">
        <v>800</v>
      </c>
      <c r="M176" s="122">
        <f t="shared" si="80"/>
        <v>800</v>
      </c>
      <c r="N176" s="120">
        <f t="shared" si="96"/>
        <v>1600</v>
      </c>
      <c r="O176" s="120">
        <f t="shared" si="96"/>
        <v>3200</v>
      </c>
      <c r="P176" s="120">
        <f t="shared" si="96"/>
        <v>8000</v>
      </c>
      <c r="Q176" s="120">
        <f t="shared" si="96"/>
        <v>24000</v>
      </c>
      <c r="S176" s="113">
        <v>172</v>
      </c>
      <c r="T176" s="113">
        <f>SUM(M$5:M176)</f>
        <v>15745</v>
      </c>
      <c r="U176" s="113">
        <f>SUM(N$5:N176)</f>
        <v>31490</v>
      </c>
      <c r="V176" s="113">
        <f>SUM(O$5:O176)</f>
        <v>62980</v>
      </c>
      <c r="W176" s="113">
        <f>SUM(P$5:P176)</f>
        <v>157450</v>
      </c>
      <c r="X176" s="113">
        <f>SUM(Q$5:Q176)</f>
        <v>472350</v>
      </c>
      <c r="Z176" s="114">
        <v>172</v>
      </c>
      <c r="AA176" s="114">
        <f t="shared" si="75"/>
        <v>32000</v>
      </c>
      <c r="AB176" s="114">
        <f t="shared" si="76"/>
        <v>64000</v>
      </c>
      <c r="AC176" s="114">
        <f t="shared" si="77"/>
        <v>128000</v>
      </c>
      <c r="AD176" s="114">
        <f t="shared" si="78"/>
        <v>320000</v>
      </c>
      <c r="AE176" s="114">
        <f t="shared" si="79"/>
        <v>960000</v>
      </c>
      <c r="AG176" s="114">
        <v>172</v>
      </c>
      <c r="AH176" s="113">
        <f>SUM(AA$5:AA176)</f>
        <v>629800</v>
      </c>
      <c r="AI176" s="113">
        <f>SUM(AB$5:AB176)</f>
        <v>1259600</v>
      </c>
      <c r="AJ176" s="113">
        <f>SUM(AC$5:AC176)</f>
        <v>2519200</v>
      </c>
      <c r="AK176" s="113">
        <f>SUM(AD$5:AD176)</f>
        <v>6298000</v>
      </c>
      <c r="AL176" s="113">
        <f>SUM(AE$5:AE176)</f>
        <v>18894000</v>
      </c>
      <c r="BW176" s="25">
        <v>38</v>
      </c>
    </row>
    <row r="177" spans="10:96" x14ac:dyDescent="0.15">
      <c r="J177" s="46">
        <f>INDEX('[1]资源-装备经验'!Y$6:Y$165,(K177+1)/2,1)</f>
        <v>0</v>
      </c>
      <c r="K177" s="113">
        <v>173</v>
      </c>
      <c r="L177" s="133">
        <v>800</v>
      </c>
      <c r="M177" s="122">
        <f t="shared" si="80"/>
        <v>800</v>
      </c>
      <c r="N177" s="120">
        <f t="shared" si="96"/>
        <v>1600</v>
      </c>
      <c r="O177" s="120">
        <f t="shared" si="96"/>
        <v>3200</v>
      </c>
      <c r="P177" s="120">
        <f t="shared" si="96"/>
        <v>8000</v>
      </c>
      <c r="Q177" s="120">
        <f t="shared" si="96"/>
        <v>24000</v>
      </c>
      <c r="S177" s="113">
        <v>173</v>
      </c>
      <c r="T177" s="113">
        <f>SUM(M$5:M177)</f>
        <v>16545</v>
      </c>
      <c r="U177" s="113">
        <f>SUM(N$5:N177)</f>
        <v>33090</v>
      </c>
      <c r="V177" s="113">
        <f>SUM(O$5:O177)</f>
        <v>66180</v>
      </c>
      <c r="W177" s="113">
        <f>SUM(P$5:P177)</f>
        <v>165450</v>
      </c>
      <c r="X177" s="113">
        <f>SUM(Q$5:Q177)</f>
        <v>496350</v>
      </c>
      <c r="Z177" s="114">
        <v>173</v>
      </c>
      <c r="AA177" s="114">
        <f t="shared" si="75"/>
        <v>32000</v>
      </c>
      <c r="AB177" s="114">
        <f t="shared" si="76"/>
        <v>64000</v>
      </c>
      <c r="AC177" s="114">
        <f t="shared" si="77"/>
        <v>128000</v>
      </c>
      <c r="AD177" s="114">
        <f t="shared" si="78"/>
        <v>320000</v>
      </c>
      <c r="AE177" s="114">
        <f t="shared" si="79"/>
        <v>960000</v>
      </c>
      <c r="AG177" s="114">
        <v>173</v>
      </c>
      <c r="AH177" s="113">
        <f>SUM(AA$5:AA177)</f>
        <v>661800</v>
      </c>
      <c r="AI177" s="113">
        <f>SUM(AB$5:AB177)</f>
        <v>1323600</v>
      </c>
      <c r="AJ177" s="113">
        <f>SUM(AC$5:AC177)</f>
        <v>2647200</v>
      </c>
      <c r="AK177" s="113">
        <f>SUM(AD$5:AD177)</f>
        <v>6618000</v>
      </c>
      <c r="AL177" s="113">
        <f>SUM(AE$5:AE177)</f>
        <v>19854000</v>
      </c>
      <c r="BW177" s="25">
        <v>39</v>
      </c>
    </row>
    <row r="178" spans="10:96" x14ac:dyDescent="0.15">
      <c r="J178" s="46">
        <f>INDEX('[1]资源-装备经验'!Y$6:Y$165,(K178+1)/2,1)</f>
        <v>0</v>
      </c>
      <c r="K178" s="113">
        <v>174</v>
      </c>
      <c r="L178" s="133">
        <v>800</v>
      </c>
      <c r="M178" s="122">
        <f t="shared" si="80"/>
        <v>800</v>
      </c>
      <c r="N178" s="120">
        <f t="shared" si="96"/>
        <v>1600</v>
      </c>
      <c r="O178" s="120">
        <f t="shared" si="96"/>
        <v>3200</v>
      </c>
      <c r="P178" s="120">
        <f t="shared" si="96"/>
        <v>8000</v>
      </c>
      <c r="Q178" s="120">
        <f t="shared" si="96"/>
        <v>24000</v>
      </c>
      <c r="S178" s="113">
        <v>174</v>
      </c>
      <c r="T178" s="113">
        <f>SUM(M$5:M178)</f>
        <v>17345</v>
      </c>
      <c r="U178" s="113">
        <f>SUM(N$5:N178)</f>
        <v>34690</v>
      </c>
      <c r="V178" s="113">
        <f>SUM(O$5:O178)</f>
        <v>69380</v>
      </c>
      <c r="W178" s="113">
        <f>SUM(P$5:P178)</f>
        <v>173450</v>
      </c>
      <c r="X178" s="113">
        <f>SUM(Q$5:Q178)</f>
        <v>520350</v>
      </c>
      <c r="Z178" s="114">
        <v>174</v>
      </c>
      <c r="AA178" s="114">
        <f t="shared" si="75"/>
        <v>32000</v>
      </c>
      <c r="AB178" s="114">
        <f t="shared" si="76"/>
        <v>64000</v>
      </c>
      <c r="AC178" s="114">
        <f t="shared" si="77"/>
        <v>128000</v>
      </c>
      <c r="AD178" s="114">
        <f t="shared" si="78"/>
        <v>320000</v>
      </c>
      <c r="AE178" s="114">
        <f t="shared" si="79"/>
        <v>960000</v>
      </c>
      <c r="AG178" s="114">
        <v>174</v>
      </c>
      <c r="AH178" s="113">
        <f>SUM(AA$5:AA178)</f>
        <v>693800</v>
      </c>
      <c r="AI178" s="113">
        <f>SUM(AB$5:AB178)</f>
        <v>1387600</v>
      </c>
      <c r="AJ178" s="113">
        <f>SUM(AC$5:AC178)</f>
        <v>2775200</v>
      </c>
      <c r="AK178" s="113">
        <f>SUM(AD$5:AD178)</f>
        <v>6938000</v>
      </c>
      <c r="AL178" s="113">
        <f>SUM(AE$5:AE178)</f>
        <v>20814000</v>
      </c>
      <c r="BW178" s="25">
        <v>40</v>
      </c>
    </row>
    <row r="179" spans="10:96" x14ac:dyDescent="0.15">
      <c r="J179" s="46">
        <f>INDEX('[1]资源-装备经验'!Y$6:Y$165,(K179+1)/2,1)</f>
        <v>0</v>
      </c>
      <c r="K179" s="113">
        <v>175</v>
      </c>
      <c r="L179" s="133">
        <v>800</v>
      </c>
      <c r="M179" s="122">
        <f t="shared" si="80"/>
        <v>800</v>
      </c>
      <c r="N179" s="120">
        <f t="shared" si="96"/>
        <v>1600</v>
      </c>
      <c r="O179" s="120">
        <f t="shared" si="96"/>
        <v>3200</v>
      </c>
      <c r="P179" s="120">
        <f t="shared" si="96"/>
        <v>8000</v>
      </c>
      <c r="Q179" s="120">
        <f t="shared" si="96"/>
        <v>24000</v>
      </c>
      <c r="S179" s="113">
        <v>175</v>
      </c>
      <c r="T179" s="113">
        <f>SUM(M$5:M179)</f>
        <v>18145</v>
      </c>
      <c r="U179" s="113">
        <f>SUM(N$5:N179)</f>
        <v>36290</v>
      </c>
      <c r="V179" s="113">
        <f>SUM(O$5:O179)</f>
        <v>72580</v>
      </c>
      <c r="W179" s="113">
        <f>SUM(P$5:P179)</f>
        <v>181450</v>
      </c>
      <c r="X179" s="113">
        <f>SUM(Q$5:Q179)</f>
        <v>544350</v>
      </c>
      <c r="Z179" s="114">
        <v>175</v>
      </c>
      <c r="AA179" s="114">
        <f t="shared" si="75"/>
        <v>32000</v>
      </c>
      <c r="AB179" s="114">
        <f t="shared" si="76"/>
        <v>64000</v>
      </c>
      <c r="AC179" s="114">
        <f t="shared" si="77"/>
        <v>128000</v>
      </c>
      <c r="AD179" s="114">
        <f t="shared" si="78"/>
        <v>320000</v>
      </c>
      <c r="AE179" s="114">
        <f t="shared" si="79"/>
        <v>960000</v>
      </c>
      <c r="AG179" s="114">
        <v>175</v>
      </c>
      <c r="AH179" s="113">
        <f>SUM(AA$5:AA179)</f>
        <v>725800</v>
      </c>
      <c r="AI179" s="113">
        <f>SUM(AB$5:AB179)</f>
        <v>1451600</v>
      </c>
      <c r="AJ179" s="113">
        <f>SUM(AC$5:AC179)</f>
        <v>2903200</v>
      </c>
      <c r="AK179" s="113">
        <f>SUM(AD$5:AD179)</f>
        <v>7258000</v>
      </c>
      <c r="AL179" s="113">
        <f>SUM(AE$5:AE179)</f>
        <v>21774000</v>
      </c>
      <c r="BW179" s="25">
        <v>41</v>
      </c>
    </row>
    <row r="180" spans="10:96" x14ac:dyDescent="0.15">
      <c r="J180" s="46">
        <f>INDEX('[1]资源-装备经验'!Y$6:Y$165,(K180+1)/2,1)</f>
        <v>0</v>
      </c>
      <c r="K180" s="113">
        <v>176</v>
      </c>
      <c r="L180" s="133">
        <v>800</v>
      </c>
      <c r="M180" s="122">
        <f t="shared" si="80"/>
        <v>800</v>
      </c>
      <c r="N180" s="120">
        <f t="shared" si="96"/>
        <v>1600</v>
      </c>
      <c r="O180" s="120">
        <f t="shared" si="96"/>
        <v>3200</v>
      </c>
      <c r="P180" s="120">
        <f t="shared" si="96"/>
        <v>8000</v>
      </c>
      <c r="Q180" s="120">
        <f t="shared" si="96"/>
        <v>24000</v>
      </c>
      <c r="S180" s="113">
        <v>176</v>
      </c>
      <c r="T180" s="113">
        <f>SUM(M$5:M180)</f>
        <v>18945</v>
      </c>
      <c r="U180" s="113">
        <f>SUM(N$5:N180)</f>
        <v>37890</v>
      </c>
      <c r="V180" s="113">
        <f>SUM(O$5:O180)</f>
        <v>75780</v>
      </c>
      <c r="W180" s="113">
        <f>SUM(P$5:P180)</f>
        <v>189450</v>
      </c>
      <c r="X180" s="113">
        <f>SUM(Q$5:Q180)</f>
        <v>568350</v>
      </c>
      <c r="Z180" s="114">
        <v>176</v>
      </c>
      <c r="AA180" s="114">
        <f t="shared" si="75"/>
        <v>32000</v>
      </c>
      <c r="AB180" s="114">
        <f t="shared" si="76"/>
        <v>64000</v>
      </c>
      <c r="AC180" s="114">
        <f t="shared" si="77"/>
        <v>128000</v>
      </c>
      <c r="AD180" s="114">
        <f t="shared" si="78"/>
        <v>320000</v>
      </c>
      <c r="AE180" s="114">
        <f t="shared" si="79"/>
        <v>960000</v>
      </c>
      <c r="AG180" s="114">
        <v>176</v>
      </c>
      <c r="AH180" s="113">
        <f>SUM(AA$5:AA180)</f>
        <v>757800</v>
      </c>
      <c r="AI180" s="113">
        <f>SUM(AB$5:AB180)</f>
        <v>1515600</v>
      </c>
      <c r="AJ180" s="113">
        <f>SUM(AC$5:AC180)</f>
        <v>3031200</v>
      </c>
      <c r="AK180" s="113">
        <f>SUM(AD$5:AD180)</f>
        <v>7578000</v>
      </c>
      <c r="AL180" s="113">
        <f>SUM(AE$5:AE180)</f>
        <v>22734000</v>
      </c>
      <c r="BW180" s="25">
        <v>42</v>
      </c>
    </row>
    <row r="181" spans="10:96" x14ac:dyDescent="0.15">
      <c r="J181" s="46">
        <f>INDEX('[1]资源-装备经验'!Y$6:Y$165,(K181+1)/2,1)</f>
        <v>0</v>
      </c>
      <c r="K181" s="113">
        <v>177</v>
      </c>
      <c r="L181" s="133">
        <v>800</v>
      </c>
      <c r="M181" s="122">
        <f t="shared" si="80"/>
        <v>800</v>
      </c>
      <c r="N181" s="120">
        <f t="shared" si="96"/>
        <v>1600</v>
      </c>
      <c r="O181" s="120">
        <f t="shared" si="96"/>
        <v>3200</v>
      </c>
      <c r="P181" s="120">
        <f t="shared" si="96"/>
        <v>8000</v>
      </c>
      <c r="Q181" s="120">
        <f t="shared" si="96"/>
        <v>24000</v>
      </c>
      <c r="S181" s="113">
        <v>177</v>
      </c>
      <c r="T181" s="113">
        <f>SUM(M$5:M181)</f>
        <v>19745</v>
      </c>
      <c r="U181" s="113">
        <f>SUM(N$5:N181)</f>
        <v>39490</v>
      </c>
      <c r="V181" s="113">
        <f>SUM(O$5:O181)</f>
        <v>78980</v>
      </c>
      <c r="W181" s="113">
        <f>SUM(P$5:P181)</f>
        <v>197450</v>
      </c>
      <c r="X181" s="113">
        <f>SUM(Q$5:Q181)</f>
        <v>592350</v>
      </c>
      <c r="Z181" s="114">
        <v>177</v>
      </c>
      <c r="AA181" s="114">
        <f t="shared" si="75"/>
        <v>32000</v>
      </c>
      <c r="AB181" s="114">
        <f t="shared" si="76"/>
        <v>64000</v>
      </c>
      <c r="AC181" s="114">
        <f t="shared" si="77"/>
        <v>128000</v>
      </c>
      <c r="AD181" s="114">
        <f t="shared" si="78"/>
        <v>320000</v>
      </c>
      <c r="AE181" s="114">
        <f t="shared" si="79"/>
        <v>960000</v>
      </c>
      <c r="AG181" s="114">
        <v>177</v>
      </c>
      <c r="AH181" s="113">
        <f>SUM(AA$5:AA181)</f>
        <v>789800</v>
      </c>
      <c r="AI181" s="113">
        <f>SUM(AB$5:AB181)</f>
        <v>1579600</v>
      </c>
      <c r="AJ181" s="113">
        <f>SUM(AC$5:AC181)</f>
        <v>3159200</v>
      </c>
      <c r="AK181" s="113">
        <f>SUM(AD$5:AD181)</f>
        <v>7898000</v>
      </c>
      <c r="AL181" s="113">
        <f>SUM(AE$5:AE181)</f>
        <v>23694000</v>
      </c>
      <c r="BW181" s="25">
        <v>43</v>
      </c>
    </row>
    <row r="182" spans="10:96" x14ac:dyDescent="0.15">
      <c r="J182" s="46">
        <f>INDEX('[1]资源-装备经验'!Y$6:Y$165,(K182+1)/2,1)</f>
        <v>0</v>
      </c>
      <c r="K182" s="113">
        <v>178</v>
      </c>
      <c r="L182" s="133">
        <v>800</v>
      </c>
      <c r="M182" s="122">
        <f t="shared" si="80"/>
        <v>800</v>
      </c>
      <c r="N182" s="120">
        <f t="shared" si="96"/>
        <v>1600</v>
      </c>
      <c r="O182" s="120">
        <f t="shared" si="96"/>
        <v>3200</v>
      </c>
      <c r="P182" s="120">
        <f t="shared" si="96"/>
        <v>8000</v>
      </c>
      <c r="Q182" s="120">
        <f t="shared" si="96"/>
        <v>24000</v>
      </c>
      <c r="S182" s="113">
        <v>178</v>
      </c>
      <c r="T182" s="113">
        <f>SUM(M$5:M182)</f>
        <v>20545</v>
      </c>
      <c r="U182" s="113">
        <f>SUM(N$5:N182)</f>
        <v>41090</v>
      </c>
      <c r="V182" s="113">
        <f>SUM(O$5:O182)</f>
        <v>82180</v>
      </c>
      <c r="W182" s="113">
        <f>SUM(P$5:P182)</f>
        <v>205450</v>
      </c>
      <c r="X182" s="113">
        <f>SUM(Q$5:Q182)</f>
        <v>616350</v>
      </c>
      <c r="Z182" s="114">
        <v>178</v>
      </c>
      <c r="AA182" s="114">
        <f t="shared" si="75"/>
        <v>32000</v>
      </c>
      <c r="AB182" s="114">
        <f t="shared" si="76"/>
        <v>64000</v>
      </c>
      <c r="AC182" s="114">
        <f t="shared" si="77"/>
        <v>128000</v>
      </c>
      <c r="AD182" s="114">
        <f t="shared" si="78"/>
        <v>320000</v>
      </c>
      <c r="AE182" s="114">
        <f t="shared" si="79"/>
        <v>960000</v>
      </c>
      <c r="AG182" s="114">
        <v>178</v>
      </c>
      <c r="AH182" s="113">
        <f>SUM(AA$5:AA182)</f>
        <v>821800</v>
      </c>
      <c r="AI182" s="113">
        <f>SUM(AB$5:AB182)</f>
        <v>1643600</v>
      </c>
      <c r="AJ182" s="113">
        <f>SUM(AC$5:AC182)</f>
        <v>3287200</v>
      </c>
      <c r="AK182" s="113">
        <f>SUM(AD$5:AD182)</f>
        <v>8218000</v>
      </c>
      <c r="AL182" s="113">
        <f>SUM(AE$5:AE182)</f>
        <v>24654000</v>
      </c>
      <c r="BW182" s="25">
        <v>44</v>
      </c>
    </row>
    <row r="183" spans="10:96" x14ac:dyDescent="0.15">
      <c r="J183" s="46">
        <f>INDEX('[1]资源-装备经验'!Y$6:Y$165,(K183+1)/2,1)</f>
        <v>0</v>
      </c>
      <c r="K183" s="113">
        <v>179</v>
      </c>
      <c r="L183" s="133">
        <v>800</v>
      </c>
      <c r="M183" s="122">
        <f t="shared" si="80"/>
        <v>800</v>
      </c>
      <c r="N183" s="120">
        <f t="shared" si="96"/>
        <v>1600</v>
      </c>
      <c r="O183" s="120">
        <f t="shared" si="96"/>
        <v>3200</v>
      </c>
      <c r="P183" s="120">
        <f t="shared" si="96"/>
        <v>8000</v>
      </c>
      <c r="Q183" s="120">
        <f t="shared" si="96"/>
        <v>24000</v>
      </c>
      <c r="S183" s="113">
        <v>179</v>
      </c>
      <c r="T183" s="113">
        <f>SUM(M$5:M183)</f>
        <v>21345</v>
      </c>
      <c r="U183" s="113">
        <f>SUM(N$5:N183)</f>
        <v>42690</v>
      </c>
      <c r="V183" s="113">
        <f>SUM(O$5:O183)</f>
        <v>85380</v>
      </c>
      <c r="W183" s="113">
        <f>SUM(P$5:P183)</f>
        <v>213450</v>
      </c>
      <c r="X183" s="113">
        <f>SUM(Q$5:Q183)</f>
        <v>640350</v>
      </c>
      <c r="Z183" s="114">
        <v>179</v>
      </c>
      <c r="AA183" s="114">
        <f t="shared" si="75"/>
        <v>32000</v>
      </c>
      <c r="AB183" s="114">
        <f t="shared" si="76"/>
        <v>64000</v>
      </c>
      <c r="AC183" s="114">
        <f t="shared" si="77"/>
        <v>128000</v>
      </c>
      <c r="AD183" s="114">
        <f t="shared" si="78"/>
        <v>320000</v>
      </c>
      <c r="AE183" s="114">
        <f t="shared" si="79"/>
        <v>960000</v>
      </c>
      <c r="AG183" s="114">
        <v>179</v>
      </c>
      <c r="AH183" s="113">
        <f>SUM(AA$5:AA183)</f>
        <v>853800</v>
      </c>
      <c r="AI183" s="113">
        <f>SUM(AB$5:AB183)</f>
        <v>1707600</v>
      </c>
      <c r="AJ183" s="113">
        <f>SUM(AC$5:AC183)</f>
        <v>3415200</v>
      </c>
      <c r="AK183" s="113">
        <f>SUM(AD$5:AD183)</f>
        <v>8538000</v>
      </c>
      <c r="AL183" s="113">
        <f>SUM(AE$5:AE183)</f>
        <v>25614000</v>
      </c>
      <c r="BW183" s="25">
        <v>45</v>
      </c>
    </row>
    <row r="184" spans="10:96" x14ac:dyDescent="0.15">
      <c r="J184" s="46">
        <f>INDEX('[1]资源-装备经验'!Y$6:Y$165,(K184+1)/2,1)</f>
        <v>0</v>
      </c>
      <c r="K184" s="113">
        <v>180</v>
      </c>
      <c r="L184" s="133">
        <v>1200</v>
      </c>
      <c r="M184" s="122">
        <f t="shared" si="80"/>
        <v>1200</v>
      </c>
      <c r="N184" s="120">
        <f t="shared" si="96"/>
        <v>2400</v>
      </c>
      <c r="O184" s="120">
        <f t="shared" si="96"/>
        <v>4800</v>
      </c>
      <c r="P184" s="120">
        <f t="shared" si="96"/>
        <v>12000</v>
      </c>
      <c r="Q184" s="120">
        <f t="shared" si="96"/>
        <v>36000</v>
      </c>
      <c r="S184" s="113">
        <v>180</v>
      </c>
      <c r="T184" s="113">
        <f>SUM(M$5:M184)</f>
        <v>22545</v>
      </c>
      <c r="U184" s="113">
        <f>SUM(N$5:N184)</f>
        <v>45090</v>
      </c>
      <c r="V184" s="113">
        <f>SUM(O$5:O184)</f>
        <v>90180</v>
      </c>
      <c r="W184" s="113">
        <f>SUM(P$5:P184)</f>
        <v>225450</v>
      </c>
      <c r="X184" s="113">
        <f>SUM(Q$5:Q184)</f>
        <v>676350</v>
      </c>
      <c r="Z184" s="114">
        <v>180</v>
      </c>
      <c r="AA184" s="114">
        <f t="shared" si="75"/>
        <v>48000</v>
      </c>
      <c r="AB184" s="114">
        <f t="shared" si="76"/>
        <v>96000</v>
      </c>
      <c r="AC184" s="114">
        <f t="shared" si="77"/>
        <v>192000</v>
      </c>
      <c r="AD184" s="114">
        <f t="shared" si="78"/>
        <v>480000</v>
      </c>
      <c r="AE184" s="114">
        <f t="shared" si="79"/>
        <v>1440000</v>
      </c>
      <c r="AG184" s="114">
        <v>180</v>
      </c>
      <c r="AH184" s="113">
        <f>SUM(AA$5:AA184)</f>
        <v>901800</v>
      </c>
      <c r="AI184" s="113">
        <f>SUM(AB$5:AB184)</f>
        <v>1803600</v>
      </c>
      <c r="AJ184" s="113">
        <f>SUM(AC$5:AC184)</f>
        <v>3607200</v>
      </c>
      <c r="AK184" s="113">
        <f>SUM(AD$5:AD184)</f>
        <v>9018000</v>
      </c>
      <c r="AL184" s="113">
        <f>SUM(AE$5:AE184)</f>
        <v>27054000</v>
      </c>
      <c r="BW184" s="25">
        <v>1</v>
      </c>
      <c r="BX184" s="54" t="s">
        <v>240</v>
      </c>
      <c r="BY184" s="195" t="s">
        <v>231</v>
      </c>
      <c r="BZ184" s="195"/>
      <c r="CA184" s="195"/>
      <c r="CB184" s="195" t="s">
        <v>232</v>
      </c>
      <c r="CC184" s="195"/>
      <c r="CD184" s="195"/>
      <c r="CE184" s="195"/>
      <c r="CI184" s="73" t="s">
        <v>360</v>
      </c>
      <c r="CJ184" s="183" t="s">
        <v>357</v>
      </c>
      <c r="CK184" s="183"/>
      <c r="CL184" s="183"/>
      <c r="CM184" s="183"/>
      <c r="CO184" s="70" t="s">
        <v>361</v>
      </c>
      <c r="CP184" s="184" t="s">
        <v>351</v>
      </c>
      <c r="CQ184" s="185"/>
    </row>
    <row r="185" spans="10:96" x14ac:dyDescent="0.15">
      <c r="J185" s="46">
        <f>INDEX('[1]资源-装备经验'!Y$6:Y$165,(K185+1)/2,1)</f>
        <v>0</v>
      </c>
      <c r="K185" s="113">
        <v>181</v>
      </c>
      <c r="L185" s="133">
        <v>1200</v>
      </c>
      <c r="M185" s="122">
        <f t="shared" si="80"/>
        <v>1200</v>
      </c>
      <c r="N185" s="120">
        <f t="shared" si="96"/>
        <v>2400</v>
      </c>
      <c r="O185" s="120">
        <f t="shared" si="96"/>
        <v>4800</v>
      </c>
      <c r="P185" s="120">
        <f t="shared" si="96"/>
        <v>12000</v>
      </c>
      <c r="Q185" s="120">
        <f t="shared" si="96"/>
        <v>36000</v>
      </c>
      <c r="S185" s="113">
        <v>181</v>
      </c>
      <c r="T185" s="113">
        <f>SUM(M$5:M185)</f>
        <v>23745</v>
      </c>
      <c r="U185" s="113">
        <f>SUM(N$5:N185)</f>
        <v>47490</v>
      </c>
      <c r="V185" s="113">
        <f>SUM(O$5:O185)</f>
        <v>94980</v>
      </c>
      <c r="W185" s="113">
        <f>SUM(P$5:P185)</f>
        <v>237450</v>
      </c>
      <c r="X185" s="113">
        <f>SUM(Q$5:Q185)</f>
        <v>712350</v>
      </c>
      <c r="Z185" s="114">
        <v>181</v>
      </c>
      <c r="AA185" s="114">
        <f t="shared" si="75"/>
        <v>48000</v>
      </c>
      <c r="AB185" s="114">
        <f t="shared" si="76"/>
        <v>96000</v>
      </c>
      <c r="AC185" s="114">
        <f t="shared" si="77"/>
        <v>192000</v>
      </c>
      <c r="AD185" s="114">
        <f t="shared" si="78"/>
        <v>480000</v>
      </c>
      <c r="AE185" s="114">
        <f t="shared" si="79"/>
        <v>1440000</v>
      </c>
      <c r="AG185" s="114">
        <v>181</v>
      </c>
      <c r="AH185" s="113">
        <f>SUM(AA$5:AA185)</f>
        <v>949800</v>
      </c>
      <c r="AI185" s="113">
        <f>SUM(AB$5:AB185)</f>
        <v>1899600</v>
      </c>
      <c r="AJ185" s="113">
        <f>SUM(AC$5:AC185)</f>
        <v>3799200</v>
      </c>
      <c r="AK185" s="113">
        <f>SUM(AD$5:AD185)</f>
        <v>9498000</v>
      </c>
      <c r="AL185" s="113">
        <f>SUM(AE$5:AE185)</f>
        <v>28494000</v>
      </c>
      <c r="BW185" s="25">
        <v>2</v>
      </c>
      <c r="BX185" s="51" t="s">
        <v>398</v>
      </c>
      <c r="BY185" s="47" t="s">
        <v>233</v>
      </c>
      <c r="BZ185" s="47" t="s">
        <v>234</v>
      </c>
      <c r="CA185" s="47" t="s">
        <v>235</v>
      </c>
      <c r="CB185" s="47" t="s">
        <v>233</v>
      </c>
      <c r="CC185" s="47" t="s">
        <v>234</v>
      </c>
      <c r="CD185" s="47" t="s">
        <v>235</v>
      </c>
      <c r="CE185" s="51" t="s">
        <v>236</v>
      </c>
      <c r="CI185" s="51" t="s">
        <v>398</v>
      </c>
      <c r="CJ185" s="71" t="s">
        <v>362</v>
      </c>
      <c r="CK185" s="71" t="s">
        <v>364</v>
      </c>
      <c r="CL185" s="71" t="s">
        <v>363</v>
      </c>
      <c r="CM185" s="71" t="s">
        <v>352</v>
      </c>
      <c r="CO185" s="51" t="s">
        <v>398</v>
      </c>
      <c r="CP185" s="51" t="s">
        <v>365</v>
      </c>
      <c r="CQ185" s="71" t="s">
        <v>353</v>
      </c>
      <c r="CR185" s="71" t="s">
        <v>370</v>
      </c>
    </row>
    <row r="186" spans="10:96" x14ac:dyDescent="0.15">
      <c r="J186" s="46">
        <f>INDEX('[1]资源-装备经验'!Y$6:Y$165,(K186+1)/2,1)</f>
        <v>0</v>
      </c>
      <c r="K186" s="113">
        <v>182</v>
      </c>
      <c r="L186" s="133">
        <v>1200</v>
      </c>
      <c r="M186" s="122">
        <f t="shared" si="80"/>
        <v>1200</v>
      </c>
      <c r="N186" s="120">
        <f t="shared" si="96"/>
        <v>2400</v>
      </c>
      <c r="O186" s="120">
        <f t="shared" si="96"/>
        <v>4800</v>
      </c>
      <c r="P186" s="120">
        <f t="shared" si="96"/>
        <v>12000</v>
      </c>
      <c r="Q186" s="120">
        <f t="shared" si="96"/>
        <v>36000</v>
      </c>
      <c r="S186" s="113">
        <v>182</v>
      </c>
      <c r="T186" s="113">
        <f>SUM(M$5:M186)</f>
        <v>24945</v>
      </c>
      <c r="U186" s="113">
        <f>SUM(N$5:N186)</f>
        <v>49890</v>
      </c>
      <c r="V186" s="113">
        <f>SUM(O$5:O186)</f>
        <v>99780</v>
      </c>
      <c r="W186" s="113">
        <f>SUM(P$5:P186)</f>
        <v>249450</v>
      </c>
      <c r="X186" s="113">
        <f>SUM(Q$5:Q186)</f>
        <v>748350</v>
      </c>
      <c r="Z186" s="114">
        <v>182</v>
      </c>
      <c r="AA186" s="114">
        <f t="shared" si="75"/>
        <v>48000</v>
      </c>
      <c r="AB186" s="114">
        <f t="shared" si="76"/>
        <v>96000</v>
      </c>
      <c r="AC186" s="114">
        <f t="shared" si="77"/>
        <v>192000</v>
      </c>
      <c r="AD186" s="114">
        <f t="shared" si="78"/>
        <v>480000</v>
      </c>
      <c r="AE186" s="114">
        <f t="shared" si="79"/>
        <v>1440000</v>
      </c>
      <c r="AG186" s="114">
        <v>182</v>
      </c>
      <c r="AH186" s="113">
        <f>SUM(AA$5:AA186)</f>
        <v>997800</v>
      </c>
      <c r="AI186" s="113">
        <f>SUM(AB$5:AB186)</f>
        <v>1995600</v>
      </c>
      <c r="AJ186" s="113">
        <f>SUM(AC$5:AC186)</f>
        <v>3991200</v>
      </c>
      <c r="AK186" s="113">
        <f>SUM(AD$5:AD186)</f>
        <v>9978000</v>
      </c>
      <c r="AL186" s="113">
        <f>SUM(AE$5:AE186)</f>
        <v>29934000</v>
      </c>
      <c r="BW186" s="25">
        <v>3</v>
      </c>
      <c r="BX186" s="47">
        <v>10</v>
      </c>
      <c r="BY186" s="52">
        <f t="shared" ref="BY186" si="97">BT122</f>
        <v>4.2666666666666666</v>
      </c>
      <c r="BZ186" s="52">
        <f t="shared" ref="BZ186" si="98">BH122</f>
        <v>140</v>
      </c>
      <c r="CA186" s="52">
        <f t="shared" ref="CA186" si="99">BN122</f>
        <v>140</v>
      </c>
      <c r="CB186" s="77">
        <f>BY186*(INDEX([2]超r将兵属性验证!V$7:V$166,$BX186,1)+INDEX([2]超r将兵属性验证!$AP$7:$AP$166,$BX186,1))</f>
        <v>1758231.5180377152</v>
      </c>
      <c r="CC186" s="77">
        <f>BZ186*INDEX([2]超r将兵属性验证!W$7:W$166,$BX186,1)</f>
        <v>1476568.9949911339</v>
      </c>
      <c r="CD186" s="77">
        <f>CA186*INDEX([2]超r将兵属性验证!X$7:X$166,$BX186,1)</f>
        <v>1476568.9949911339</v>
      </c>
      <c r="CE186" s="52">
        <f>SUM(CB186:CD186)</f>
        <v>4711369.5080199828</v>
      </c>
      <c r="CI186" s="71">
        <v>10</v>
      </c>
      <c r="CJ186" s="75">
        <f t="shared" ref="CJ186:CJ201" si="100">$BB122</f>
        <v>1200</v>
      </c>
      <c r="CK186" s="76">
        <f>CJ186*INDEX('[1]功能-付费相关'!$BM$6:$BM$165,$CI186,1)</f>
        <v>480.18751016944702</v>
      </c>
      <c r="CL186" s="75">
        <f t="shared" ref="CL186:CL201" si="101">$AV122</f>
        <v>48000</v>
      </c>
      <c r="CM186" s="76">
        <f>CL186*INDEX('[1]功能-付费相关'!$AU$6:$AU$165,$CI186,1)</f>
        <v>120</v>
      </c>
      <c r="CO186" s="71">
        <v>10</v>
      </c>
      <c r="CP186" s="71">
        <f>CK186</f>
        <v>480.18751016944702</v>
      </c>
      <c r="CQ186" s="71">
        <f t="shared" ref="CQ186" si="102">CM186</f>
        <v>120</v>
      </c>
      <c r="CR186" s="84">
        <f>SUM(CP186:CQ186)</f>
        <v>600.18751016944702</v>
      </c>
    </row>
    <row r="187" spans="10:96" x14ac:dyDescent="0.15">
      <c r="J187" s="46">
        <f>INDEX('[1]资源-装备经验'!Y$6:Y$165,(K187+1)/2,1)</f>
        <v>0</v>
      </c>
      <c r="K187" s="113">
        <v>183</v>
      </c>
      <c r="L187" s="133">
        <v>1200</v>
      </c>
      <c r="M187" s="122">
        <f t="shared" si="80"/>
        <v>1200</v>
      </c>
      <c r="N187" s="120">
        <f t="shared" si="96"/>
        <v>2400</v>
      </c>
      <c r="O187" s="120">
        <f t="shared" si="96"/>
        <v>4800</v>
      </c>
      <c r="P187" s="120">
        <f t="shared" si="96"/>
        <v>12000</v>
      </c>
      <c r="Q187" s="120">
        <f t="shared" si="96"/>
        <v>36000</v>
      </c>
      <c r="S187" s="113">
        <v>183</v>
      </c>
      <c r="T187" s="113">
        <f>SUM(M$5:M187)</f>
        <v>26145</v>
      </c>
      <c r="U187" s="113">
        <f>SUM(N$5:N187)</f>
        <v>52290</v>
      </c>
      <c r="V187" s="113">
        <f>SUM(O$5:O187)</f>
        <v>104580</v>
      </c>
      <c r="W187" s="113">
        <f>SUM(P$5:P187)</f>
        <v>261450</v>
      </c>
      <c r="X187" s="113">
        <f>SUM(Q$5:Q187)</f>
        <v>784350</v>
      </c>
      <c r="Z187" s="114">
        <v>183</v>
      </c>
      <c r="AA187" s="114">
        <f t="shared" si="75"/>
        <v>48000</v>
      </c>
      <c r="AB187" s="114">
        <f t="shared" si="76"/>
        <v>96000</v>
      </c>
      <c r="AC187" s="114">
        <f t="shared" si="77"/>
        <v>192000</v>
      </c>
      <c r="AD187" s="114">
        <f t="shared" si="78"/>
        <v>480000</v>
      </c>
      <c r="AE187" s="114">
        <f t="shared" si="79"/>
        <v>1440000</v>
      </c>
      <c r="AG187" s="114">
        <v>183</v>
      </c>
      <c r="AH187" s="113">
        <f>SUM(AA$5:AA187)</f>
        <v>1045800</v>
      </c>
      <c r="AI187" s="113">
        <f>SUM(AB$5:AB187)</f>
        <v>2091600</v>
      </c>
      <c r="AJ187" s="113">
        <f>SUM(AC$5:AC187)</f>
        <v>4183200</v>
      </c>
      <c r="AK187" s="113">
        <f>SUM(AD$5:AD187)</f>
        <v>10458000</v>
      </c>
      <c r="AL187" s="113">
        <f>SUM(AE$5:AE187)</f>
        <v>31374000</v>
      </c>
      <c r="BW187" s="25">
        <v>4</v>
      </c>
      <c r="BX187" s="47">
        <v>20</v>
      </c>
      <c r="BY187" s="52">
        <f t="shared" ref="BY187:BY201" si="103">BT123</f>
        <v>8.4111111111111097</v>
      </c>
      <c r="BZ187" s="52">
        <f t="shared" ref="BZ187:BZ201" si="104">BH123</f>
        <v>403.33333333333331</v>
      </c>
      <c r="CA187" s="52">
        <f t="shared" ref="CA187:CA201" si="105">BN123</f>
        <v>403.33333333333331</v>
      </c>
      <c r="CB187" s="109">
        <f>(BY187-BY186)*(INDEX([2]超r将兵属性验证!V$7:V$166,$BX187,1)+INDEX([2]超r将兵属性验证!$AP$7:$AP$166,$BX187,1))+CB186</f>
        <v>8281708.8585008057</v>
      </c>
      <c r="CC187" s="109">
        <f>(BZ187-BZ186)*INDEX([2]超r将兵属性验证!W$7:W$166,$BX187,1)+CC186</f>
        <v>9655081.4493620582</v>
      </c>
      <c r="CD187" s="109">
        <f>(CA187-CA186)*INDEX([2]超r将兵属性验证!X$7:X$166,$BX187,1)+CD186</f>
        <v>9655081.4493620582</v>
      </c>
      <c r="CE187" s="52">
        <f t="shared" ref="CE187:CE194" si="106">SUM(CB187:CD187)</f>
        <v>27591871.757224921</v>
      </c>
      <c r="CI187" s="71">
        <v>20</v>
      </c>
      <c r="CJ187" s="75">
        <f t="shared" si="100"/>
        <v>6900</v>
      </c>
      <c r="CK187" s="75">
        <f>(CJ187-CJ186)*INDEX('[1]功能-付费相关'!$BM$6:$BM$165,$CI187,1)+CK186</f>
        <v>1880.4565243888142</v>
      </c>
      <c r="CL187" s="75">
        <f t="shared" si="101"/>
        <v>276000</v>
      </c>
      <c r="CM187" s="75">
        <f>(CL187-CL186)*INDEX('[1]功能-付费相关'!$AU$6:$AU$165,$CI187,1)+CM186</f>
        <v>595</v>
      </c>
      <c r="CO187" s="71">
        <v>20</v>
      </c>
      <c r="CP187" s="138">
        <f t="shared" ref="CP187:CP201" si="107">CK187</f>
        <v>1880.4565243888142</v>
      </c>
      <c r="CQ187" s="138">
        <f t="shared" ref="CQ187:CQ201" si="108">CM187</f>
        <v>595</v>
      </c>
      <c r="CR187" s="84">
        <f t="shared" ref="CR187:CR201" si="109">SUM(CP187:CQ187)</f>
        <v>2475.4565243888142</v>
      </c>
    </row>
    <row r="188" spans="10:96" x14ac:dyDescent="0.15">
      <c r="J188" s="46">
        <f>INDEX('[1]资源-装备经验'!Y$6:Y$165,(K188+1)/2,1)</f>
        <v>0</v>
      </c>
      <c r="K188" s="113">
        <v>184</v>
      </c>
      <c r="L188" s="133">
        <v>1200</v>
      </c>
      <c r="M188" s="122">
        <f t="shared" si="80"/>
        <v>1200</v>
      </c>
      <c r="N188" s="120">
        <f t="shared" si="96"/>
        <v>2400</v>
      </c>
      <c r="O188" s="120">
        <f t="shared" si="96"/>
        <v>4800</v>
      </c>
      <c r="P188" s="120">
        <f t="shared" si="96"/>
        <v>12000</v>
      </c>
      <c r="Q188" s="120">
        <f t="shared" si="96"/>
        <v>36000</v>
      </c>
      <c r="S188" s="113">
        <v>184</v>
      </c>
      <c r="T188" s="113">
        <f>SUM(M$5:M188)</f>
        <v>27345</v>
      </c>
      <c r="U188" s="113">
        <f>SUM(N$5:N188)</f>
        <v>54690</v>
      </c>
      <c r="V188" s="113">
        <f>SUM(O$5:O188)</f>
        <v>109380</v>
      </c>
      <c r="W188" s="113">
        <f>SUM(P$5:P188)</f>
        <v>273450</v>
      </c>
      <c r="X188" s="113">
        <f>SUM(Q$5:Q188)</f>
        <v>820350</v>
      </c>
      <c r="Z188" s="114">
        <v>184</v>
      </c>
      <c r="AA188" s="114">
        <f t="shared" si="75"/>
        <v>48000</v>
      </c>
      <c r="AB188" s="114">
        <f t="shared" si="76"/>
        <v>96000</v>
      </c>
      <c r="AC188" s="114">
        <f t="shared" si="77"/>
        <v>192000</v>
      </c>
      <c r="AD188" s="114">
        <f t="shared" si="78"/>
        <v>480000</v>
      </c>
      <c r="AE188" s="114">
        <f t="shared" si="79"/>
        <v>1440000</v>
      </c>
      <c r="AG188" s="114">
        <v>184</v>
      </c>
      <c r="AH188" s="113">
        <f>SUM(AA$5:AA188)</f>
        <v>1093800</v>
      </c>
      <c r="AI188" s="113">
        <f>SUM(AB$5:AB188)</f>
        <v>2187600</v>
      </c>
      <c r="AJ188" s="113">
        <f>SUM(AC$5:AC188)</f>
        <v>4375200</v>
      </c>
      <c r="AK188" s="113">
        <f>SUM(AD$5:AD188)</f>
        <v>10938000</v>
      </c>
      <c r="AL188" s="113">
        <f>SUM(AE$5:AE188)</f>
        <v>32814000</v>
      </c>
      <c r="BW188" s="25">
        <v>5</v>
      </c>
      <c r="BX188" s="47">
        <v>30</v>
      </c>
      <c r="BY188" s="52">
        <f t="shared" si="103"/>
        <v>15.444444444444445</v>
      </c>
      <c r="BZ188" s="52">
        <f t="shared" si="104"/>
        <v>1066.6666666666667</v>
      </c>
      <c r="CA188" s="52">
        <f t="shared" si="105"/>
        <v>1066.6666666666667</v>
      </c>
      <c r="CB188" s="109">
        <f>(BY188-BY187)*(INDEX([2]超r将兵属性验证!V$7:V$166,$BX188,1)+INDEX([2]超r将兵属性验证!$AP$7:$AP$166,$BX188,1))+CB187</f>
        <v>42302721.587183796</v>
      </c>
      <c r="CC188" s="109">
        <f>(BZ188-BZ187)*INDEX([2]超r将兵属性验证!W$7:W$166,$BX188,1)+CC187</f>
        <v>62910849.43148765</v>
      </c>
      <c r="CD188" s="109">
        <f>(CA188-CA187)*INDEX([2]超r将兵属性验证!X$7:X$166,$BX188,1)+CD187</f>
        <v>62910849.43148765</v>
      </c>
      <c r="CE188" s="52">
        <f t="shared" si="106"/>
        <v>168124420.4501591</v>
      </c>
      <c r="CI188" s="71">
        <v>30</v>
      </c>
      <c r="CJ188" s="75">
        <f t="shared" si="100"/>
        <v>29820</v>
      </c>
      <c r="CK188" s="75">
        <f>(CJ188-CJ187)*INDEX('[1]功能-付费相关'!$BM$6:$BM$165,$CI188,1)+CK187</f>
        <v>5337.1291120346905</v>
      </c>
      <c r="CL188" s="75">
        <f t="shared" si="101"/>
        <v>1192800</v>
      </c>
      <c r="CM188" s="75">
        <f>(CL188-CL187)*INDEX('[1]功能-付费相关'!$AU$6:$AU$165,$CI188,1)+CM187</f>
        <v>2232.1428571428569</v>
      </c>
      <c r="CO188" s="71">
        <v>30</v>
      </c>
      <c r="CP188" s="138">
        <f t="shared" si="107"/>
        <v>5337.1291120346905</v>
      </c>
      <c r="CQ188" s="138">
        <f t="shared" si="108"/>
        <v>2232.1428571428569</v>
      </c>
      <c r="CR188" s="84">
        <f t="shared" si="109"/>
        <v>7569.2719691775474</v>
      </c>
    </row>
    <row r="189" spans="10:96" x14ac:dyDescent="0.15">
      <c r="J189" s="46">
        <f>INDEX('[1]资源-装备经验'!Y$6:Y$165,(K189+1)/2,1)</f>
        <v>0</v>
      </c>
      <c r="K189" s="113">
        <v>185</v>
      </c>
      <c r="L189" s="133">
        <v>1200</v>
      </c>
      <c r="M189" s="122">
        <f t="shared" si="80"/>
        <v>1200</v>
      </c>
      <c r="N189" s="120">
        <f t="shared" si="96"/>
        <v>2400</v>
      </c>
      <c r="O189" s="120">
        <f t="shared" si="96"/>
        <v>4800</v>
      </c>
      <c r="P189" s="120">
        <f t="shared" si="96"/>
        <v>12000</v>
      </c>
      <c r="Q189" s="120">
        <f t="shared" si="96"/>
        <v>36000</v>
      </c>
      <c r="S189" s="113">
        <v>185</v>
      </c>
      <c r="T189" s="113">
        <f>SUM(M$5:M189)</f>
        <v>28545</v>
      </c>
      <c r="U189" s="113">
        <f>SUM(N$5:N189)</f>
        <v>57090</v>
      </c>
      <c r="V189" s="113">
        <f>SUM(O$5:O189)</f>
        <v>114180</v>
      </c>
      <c r="W189" s="113">
        <f>SUM(P$5:P189)</f>
        <v>285450</v>
      </c>
      <c r="X189" s="113">
        <f>SUM(Q$5:Q189)</f>
        <v>856350</v>
      </c>
      <c r="Z189" s="114">
        <v>185</v>
      </c>
      <c r="AA189" s="114">
        <f t="shared" si="75"/>
        <v>48000</v>
      </c>
      <c r="AB189" s="114">
        <f t="shared" si="76"/>
        <v>96000</v>
      </c>
      <c r="AC189" s="114">
        <f t="shared" si="77"/>
        <v>192000</v>
      </c>
      <c r="AD189" s="114">
        <f t="shared" si="78"/>
        <v>480000</v>
      </c>
      <c r="AE189" s="114">
        <f t="shared" si="79"/>
        <v>1440000</v>
      </c>
      <c r="AG189" s="114">
        <v>185</v>
      </c>
      <c r="AH189" s="113">
        <f>SUM(AA$5:AA189)</f>
        <v>1141800</v>
      </c>
      <c r="AI189" s="113">
        <f>SUM(AB$5:AB189)</f>
        <v>2283600</v>
      </c>
      <c r="AJ189" s="113">
        <f>SUM(AC$5:AC189)</f>
        <v>4567200</v>
      </c>
      <c r="AK189" s="113">
        <f>SUM(AD$5:AD189)</f>
        <v>11418000</v>
      </c>
      <c r="AL189" s="113">
        <f>SUM(AE$5:AE189)</f>
        <v>34254000</v>
      </c>
      <c r="BW189" s="25">
        <v>6</v>
      </c>
      <c r="BX189" s="47">
        <v>40</v>
      </c>
      <c r="BY189" s="52">
        <f t="shared" si="103"/>
        <v>26.35</v>
      </c>
      <c r="BZ189" s="52">
        <f t="shared" si="104"/>
        <v>2180</v>
      </c>
      <c r="CA189" s="52">
        <f t="shared" si="105"/>
        <v>2180</v>
      </c>
      <c r="CB189" s="109">
        <f>(BY189-BY188)*(INDEX([2]超r将兵属性验证!V$7:V$166,$BX189,1)+INDEX([2]超r将兵属性验证!$AP$7:$AP$166,$BX189,1))+CB188</f>
        <v>199442564.64196384</v>
      </c>
      <c r="CC189" s="109">
        <f>(BZ189-BZ188)*INDEX([2]超r将兵属性验证!W$7:W$166,$BX189,1)+CC188</f>
        <v>301618663.41182393</v>
      </c>
      <c r="CD189" s="109">
        <f>(CA189-CA188)*INDEX([2]超r将兵属性验证!X$7:X$166,$BX189,1)+CD188</f>
        <v>301618663.41182393</v>
      </c>
      <c r="CE189" s="52">
        <f t="shared" si="106"/>
        <v>802679891.4656117</v>
      </c>
      <c r="CI189" s="71">
        <v>40</v>
      </c>
      <c r="CJ189" s="75">
        <f t="shared" si="100"/>
        <v>108000</v>
      </c>
      <c r="CK189" s="75">
        <f>(CJ189-CJ188)*INDEX('[1]功能-付费相关'!$BM$6:$BM$165,$CI189,1)+CK188</f>
        <v>12575.591259843608</v>
      </c>
      <c r="CL189" s="75">
        <f t="shared" si="101"/>
        <v>4320000</v>
      </c>
      <c r="CM189" s="75">
        <f>(CL189-CL188)*INDEX('[1]功能-付费相关'!$AU$6:$AU$165,$CI189,1)+CM188</f>
        <v>7118.3928571428569</v>
      </c>
      <c r="CO189" s="71">
        <v>40</v>
      </c>
      <c r="CP189" s="138">
        <f t="shared" si="107"/>
        <v>12575.591259843608</v>
      </c>
      <c r="CQ189" s="138">
        <f t="shared" si="108"/>
        <v>7118.3928571428569</v>
      </c>
      <c r="CR189" s="84">
        <f t="shared" si="109"/>
        <v>19693.984116986467</v>
      </c>
    </row>
    <row r="190" spans="10:96" x14ac:dyDescent="0.15">
      <c r="J190" s="46">
        <f>INDEX('[1]资源-装备经验'!Y$6:Y$165,(K190+1)/2,1)</f>
        <v>0</v>
      </c>
      <c r="K190" s="113">
        <v>186</v>
      </c>
      <c r="L190" s="133">
        <v>1200</v>
      </c>
      <c r="M190" s="122">
        <f t="shared" si="80"/>
        <v>1200</v>
      </c>
      <c r="N190" s="120">
        <f t="shared" si="96"/>
        <v>2400</v>
      </c>
      <c r="O190" s="120">
        <f t="shared" si="96"/>
        <v>4800</v>
      </c>
      <c r="P190" s="120">
        <f t="shared" si="96"/>
        <v>12000</v>
      </c>
      <c r="Q190" s="120">
        <f t="shared" si="96"/>
        <v>36000</v>
      </c>
      <c r="S190" s="113">
        <v>186</v>
      </c>
      <c r="T190" s="113">
        <f>SUM(M$5:M190)</f>
        <v>29745</v>
      </c>
      <c r="U190" s="113">
        <f>SUM(N$5:N190)</f>
        <v>59490</v>
      </c>
      <c r="V190" s="113">
        <f>SUM(O$5:O190)</f>
        <v>118980</v>
      </c>
      <c r="W190" s="113">
        <f>SUM(P$5:P190)</f>
        <v>297450</v>
      </c>
      <c r="X190" s="113">
        <f>SUM(Q$5:Q190)</f>
        <v>892350</v>
      </c>
      <c r="Z190" s="114">
        <v>186</v>
      </c>
      <c r="AA190" s="114">
        <f t="shared" si="75"/>
        <v>48000</v>
      </c>
      <c r="AB190" s="114">
        <f t="shared" si="76"/>
        <v>96000</v>
      </c>
      <c r="AC190" s="114">
        <f t="shared" si="77"/>
        <v>192000</v>
      </c>
      <c r="AD190" s="114">
        <f t="shared" si="78"/>
        <v>480000</v>
      </c>
      <c r="AE190" s="114">
        <f t="shared" si="79"/>
        <v>1440000</v>
      </c>
      <c r="AG190" s="114">
        <v>186</v>
      </c>
      <c r="AH190" s="113">
        <f>SUM(AA$5:AA190)</f>
        <v>1189800</v>
      </c>
      <c r="AI190" s="113">
        <f>SUM(AB$5:AB190)</f>
        <v>2379600</v>
      </c>
      <c r="AJ190" s="113">
        <f>SUM(AC$5:AC190)</f>
        <v>4759200</v>
      </c>
      <c r="AK190" s="113">
        <f>SUM(AD$5:AD190)</f>
        <v>11898000</v>
      </c>
      <c r="AL190" s="113">
        <f>SUM(AE$5:AE190)</f>
        <v>35694000</v>
      </c>
      <c r="BW190" s="25">
        <v>7</v>
      </c>
      <c r="BX190" s="47">
        <v>50</v>
      </c>
      <c r="BY190" s="52">
        <f t="shared" si="103"/>
        <v>31.392499999999998</v>
      </c>
      <c r="BZ190" s="52">
        <f t="shared" si="104"/>
        <v>2810</v>
      </c>
      <c r="CA190" s="52">
        <f t="shared" si="105"/>
        <v>2810</v>
      </c>
      <c r="CB190" s="109">
        <f>(BY190-BY189)*(INDEX([2]超r将兵属性验证!V$7:V$166,$BX190,1)+INDEX([2]超r将兵属性验证!$AP$7:$AP$166,$BX190,1))+CB189</f>
        <v>349852593.94959557</v>
      </c>
      <c r="CC190" s="109">
        <f>(BZ190-BZ189)*INDEX([2]超r将兵属性验证!W$7:W$166,$BX190,1)+CC189</f>
        <v>542542874.4062767</v>
      </c>
      <c r="CD190" s="109">
        <f>(CA190-CA189)*INDEX([2]超r将兵属性验证!X$7:X$166,$BX190,1)+CD189</f>
        <v>542542874.4062767</v>
      </c>
      <c r="CE190" s="52">
        <f t="shared" si="106"/>
        <v>1434938342.7621489</v>
      </c>
      <c r="CI190" s="71">
        <v>50</v>
      </c>
      <c r="CJ190" s="75">
        <f t="shared" si="100"/>
        <v>285000</v>
      </c>
      <c r="CK190" s="75">
        <f>(CJ190-CJ189)*INDEX('[1]功能-付费相关'!$BM$6:$BM$165,$CI190,1)+CK189</f>
        <v>25632.848789910135</v>
      </c>
      <c r="CL190" s="75">
        <f t="shared" si="101"/>
        <v>11400000</v>
      </c>
      <c r="CM190" s="75">
        <f>(CL190-CL189)*INDEX('[1]功能-付费相关'!$AU$6:$AU$165,$CI190,1)+CM189</f>
        <v>16951.726190476191</v>
      </c>
      <c r="CO190" s="71">
        <v>50</v>
      </c>
      <c r="CP190" s="138">
        <f t="shared" si="107"/>
        <v>25632.848789910135</v>
      </c>
      <c r="CQ190" s="138">
        <f t="shared" si="108"/>
        <v>16951.726190476191</v>
      </c>
      <c r="CR190" s="84">
        <f t="shared" si="109"/>
        <v>42584.574980386329</v>
      </c>
    </row>
    <row r="191" spans="10:96" x14ac:dyDescent="0.15">
      <c r="J191" s="46">
        <f>INDEX('[1]资源-装备经验'!Y$6:Y$165,(K191+1)/2,1)</f>
        <v>0</v>
      </c>
      <c r="K191" s="113">
        <v>187</v>
      </c>
      <c r="L191" s="133">
        <v>1200</v>
      </c>
      <c r="M191" s="122">
        <f t="shared" si="80"/>
        <v>1200</v>
      </c>
      <c r="N191" s="120">
        <f t="shared" si="96"/>
        <v>2400</v>
      </c>
      <c r="O191" s="120">
        <f t="shared" si="96"/>
        <v>4800</v>
      </c>
      <c r="P191" s="120">
        <f t="shared" si="96"/>
        <v>12000</v>
      </c>
      <c r="Q191" s="120">
        <f t="shared" si="96"/>
        <v>36000</v>
      </c>
      <c r="S191" s="113">
        <v>187</v>
      </c>
      <c r="T191" s="113">
        <f>SUM(M$5:M191)</f>
        <v>30945</v>
      </c>
      <c r="U191" s="113">
        <f>SUM(N$5:N191)</f>
        <v>61890</v>
      </c>
      <c r="V191" s="113">
        <f>SUM(O$5:O191)</f>
        <v>123780</v>
      </c>
      <c r="W191" s="113">
        <f>SUM(P$5:P191)</f>
        <v>309450</v>
      </c>
      <c r="X191" s="113">
        <f>SUM(Q$5:Q191)</f>
        <v>928350</v>
      </c>
      <c r="Z191" s="114">
        <v>187</v>
      </c>
      <c r="AA191" s="114">
        <f t="shared" si="75"/>
        <v>48000</v>
      </c>
      <c r="AB191" s="114">
        <f t="shared" si="76"/>
        <v>96000</v>
      </c>
      <c r="AC191" s="114">
        <f t="shared" si="77"/>
        <v>192000</v>
      </c>
      <c r="AD191" s="114">
        <f t="shared" si="78"/>
        <v>480000</v>
      </c>
      <c r="AE191" s="114">
        <f t="shared" si="79"/>
        <v>1440000</v>
      </c>
      <c r="AG191" s="114">
        <v>187</v>
      </c>
      <c r="AH191" s="113">
        <f>SUM(AA$5:AA191)</f>
        <v>1237800</v>
      </c>
      <c r="AI191" s="113">
        <f>SUM(AB$5:AB191)</f>
        <v>2475600</v>
      </c>
      <c r="AJ191" s="113">
        <f>SUM(AC$5:AC191)</f>
        <v>4951200</v>
      </c>
      <c r="AK191" s="113">
        <f>SUM(AD$5:AD191)</f>
        <v>12378000</v>
      </c>
      <c r="AL191" s="113">
        <f>SUM(AE$5:AE191)</f>
        <v>37134000</v>
      </c>
      <c r="BW191" s="25">
        <v>8</v>
      </c>
      <c r="BX191" s="47">
        <v>60</v>
      </c>
      <c r="BY191" s="52">
        <f t="shared" si="103"/>
        <v>38.676666666666669</v>
      </c>
      <c r="BZ191" s="52">
        <f t="shared" si="104"/>
        <v>3660</v>
      </c>
      <c r="CA191" s="52">
        <f t="shared" si="105"/>
        <v>3660</v>
      </c>
      <c r="CB191" s="109">
        <f>(BY191-BY190)*(INDEX([2]超r将兵属性验证!V$7:V$166,$BX191,1)+INDEX([2]超r将兵属性验证!$AP$7:$AP$166,$BX191,1))+CB190</f>
        <v>862110667.68600917</v>
      </c>
      <c r="CC191" s="109">
        <f>(BZ191-BZ190)*INDEX([2]超r将兵属性验证!W$7:W$166,$BX191,1)+CC190</f>
        <v>1279634829.8081024</v>
      </c>
      <c r="CD191" s="109">
        <f>(CA191-CA190)*INDEX([2]超r将兵属性验证!X$7:X$166,$BX191,1)+CD190</f>
        <v>1279634829.8081024</v>
      </c>
      <c r="CE191" s="52">
        <f t="shared" si="106"/>
        <v>3421380327.3022137</v>
      </c>
      <c r="CI191" s="71">
        <v>60</v>
      </c>
      <c r="CJ191" s="75">
        <f t="shared" si="100"/>
        <v>913500</v>
      </c>
      <c r="CK191" s="75">
        <f>(CJ191-CJ190)*INDEX('[1]功能-付费相关'!$BM$6:$BM$165,$CI191,1)+CK190</f>
        <v>63667.747837617571</v>
      </c>
      <c r="CL191" s="75">
        <f t="shared" si="101"/>
        <v>36540000</v>
      </c>
      <c r="CM191" s="75">
        <f>(CL191-CL190)*INDEX('[1]功能-付费相关'!$AU$6:$AU$165,$CI191,1)+CM190</f>
        <v>48376.726190476191</v>
      </c>
      <c r="CO191" s="71">
        <v>60</v>
      </c>
      <c r="CP191" s="138">
        <f t="shared" si="107"/>
        <v>63667.747837617571</v>
      </c>
      <c r="CQ191" s="138">
        <f t="shared" si="108"/>
        <v>48376.726190476191</v>
      </c>
      <c r="CR191" s="84">
        <f t="shared" si="109"/>
        <v>112044.47402809377</v>
      </c>
    </row>
    <row r="192" spans="10:96" x14ac:dyDescent="0.15">
      <c r="J192" s="46">
        <f>INDEX('[1]资源-装备经验'!Y$6:Y$165,(K192+1)/2,1)</f>
        <v>0</v>
      </c>
      <c r="K192" s="113">
        <v>188</v>
      </c>
      <c r="L192" s="133">
        <v>1200</v>
      </c>
      <c r="M192" s="122">
        <f t="shared" si="80"/>
        <v>1200</v>
      </c>
      <c r="N192" s="120">
        <f t="shared" si="96"/>
        <v>2400</v>
      </c>
      <c r="O192" s="120">
        <f t="shared" si="96"/>
        <v>4800</v>
      </c>
      <c r="P192" s="120">
        <f t="shared" si="96"/>
        <v>12000</v>
      </c>
      <c r="Q192" s="120">
        <f t="shared" si="96"/>
        <v>36000</v>
      </c>
      <c r="S192" s="113">
        <v>188</v>
      </c>
      <c r="T192" s="113">
        <f>SUM(M$5:M192)</f>
        <v>32145</v>
      </c>
      <c r="U192" s="113">
        <f>SUM(N$5:N192)</f>
        <v>64290</v>
      </c>
      <c r="V192" s="113">
        <f>SUM(O$5:O192)</f>
        <v>128580</v>
      </c>
      <c r="W192" s="113">
        <f>SUM(P$5:P192)</f>
        <v>321450</v>
      </c>
      <c r="X192" s="113">
        <f>SUM(Q$5:Q192)</f>
        <v>964350</v>
      </c>
      <c r="Z192" s="114">
        <v>188</v>
      </c>
      <c r="AA192" s="114">
        <f t="shared" si="75"/>
        <v>48000</v>
      </c>
      <c r="AB192" s="114">
        <f t="shared" si="76"/>
        <v>96000</v>
      </c>
      <c r="AC192" s="114">
        <f t="shared" si="77"/>
        <v>192000</v>
      </c>
      <c r="AD192" s="114">
        <f t="shared" si="78"/>
        <v>480000</v>
      </c>
      <c r="AE192" s="114">
        <f t="shared" si="79"/>
        <v>1440000</v>
      </c>
      <c r="AG192" s="114">
        <v>188</v>
      </c>
      <c r="AH192" s="113">
        <f>SUM(AA$5:AA192)</f>
        <v>1285800</v>
      </c>
      <c r="AI192" s="113">
        <f>SUM(AB$5:AB192)</f>
        <v>2571600</v>
      </c>
      <c r="AJ192" s="113">
        <f>SUM(AC$5:AC192)</f>
        <v>5143200</v>
      </c>
      <c r="AK192" s="113">
        <f>SUM(AD$5:AD192)</f>
        <v>12858000</v>
      </c>
      <c r="AL192" s="113">
        <f>SUM(AE$5:AE192)</f>
        <v>38574000</v>
      </c>
      <c r="BW192" s="25">
        <v>9</v>
      </c>
      <c r="BX192" s="47">
        <v>70</v>
      </c>
      <c r="BY192" s="52">
        <f t="shared" si="103"/>
        <v>49.61333333333333</v>
      </c>
      <c r="BZ192" s="52">
        <f t="shared" si="104"/>
        <v>4740</v>
      </c>
      <c r="CA192" s="52">
        <f t="shared" si="105"/>
        <v>4740</v>
      </c>
      <c r="CB192" s="109">
        <f>(BY192-BY191)*(INDEX([2]超r将兵属性验证!V$7:V$166,$BX192,1)+INDEX([2]超r将兵属性验证!$AP$7:$AP$166,$BX192,1))+CB191</f>
        <v>3199796522.4785767</v>
      </c>
      <c r="CC192" s="109">
        <f>(BZ192-BZ191)*INDEX([2]超r将兵属性验证!W$7:W$166,$BX192,1)+CC191</f>
        <v>3291164973.1227827</v>
      </c>
      <c r="CD192" s="109">
        <f>(CA192-CA191)*INDEX([2]超r将兵属性验证!X$7:X$166,$BX192,1)+CD191</f>
        <v>3291164973.1227827</v>
      </c>
      <c r="CE192" s="52">
        <f t="shared" si="106"/>
        <v>9782126468.7241421</v>
      </c>
      <c r="CI192" s="71">
        <v>70</v>
      </c>
      <c r="CJ192" s="75">
        <f t="shared" si="100"/>
        <v>2099700</v>
      </c>
      <c r="CK192" s="75">
        <f>(CJ192-CJ191)*INDEX('[1]功能-付费相关'!$BM$6:$BM$165,$CI192,1)+CK191</f>
        <v>122556.61337433985</v>
      </c>
      <c r="CL192" s="75">
        <f t="shared" si="101"/>
        <v>83988000</v>
      </c>
      <c r="CM192" s="75">
        <f>(CL192-CL191)*INDEX('[1]功能-付费相关'!$AU$6:$AU$165,$CI192,1)+CM191</f>
        <v>102294.90800865801</v>
      </c>
      <c r="CO192" s="71">
        <v>70</v>
      </c>
      <c r="CP192" s="138">
        <f t="shared" si="107"/>
        <v>122556.61337433985</v>
      </c>
      <c r="CQ192" s="138">
        <f t="shared" si="108"/>
        <v>102294.90800865801</v>
      </c>
      <c r="CR192" s="84">
        <f t="shared" si="109"/>
        <v>224851.52138299786</v>
      </c>
    </row>
    <row r="193" spans="10:96" x14ac:dyDescent="0.15">
      <c r="J193" s="46">
        <f>INDEX('[1]资源-装备经验'!Y$6:Y$165,(K193+1)/2,1)</f>
        <v>0</v>
      </c>
      <c r="K193" s="113">
        <v>189</v>
      </c>
      <c r="L193" s="133">
        <v>1200</v>
      </c>
      <c r="M193" s="122">
        <f t="shared" si="80"/>
        <v>1200</v>
      </c>
      <c r="N193" s="120">
        <f t="shared" si="96"/>
        <v>2400</v>
      </c>
      <c r="O193" s="120">
        <f t="shared" si="96"/>
        <v>4800</v>
      </c>
      <c r="P193" s="120">
        <f t="shared" si="96"/>
        <v>12000</v>
      </c>
      <c r="Q193" s="120">
        <f t="shared" si="96"/>
        <v>36000</v>
      </c>
      <c r="S193" s="113">
        <v>189</v>
      </c>
      <c r="T193" s="113">
        <f>SUM(M$5:M193)</f>
        <v>33345</v>
      </c>
      <c r="U193" s="113">
        <f>SUM(N$5:N193)</f>
        <v>66690</v>
      </c>
      <c r="V193" s="113">
        <f>SUM(O$5:O193)</f>
        <v>133380</v>
      </c>
      <c r="W193" s="113">
        <f>SUM(P$5:P193)</f>
        <v>333450</v>
      </c>
      <c r="X193" s="113">
        <f>SUM(Q$5:Q193)</f>
        <v>1000350</v>
      </c>
      <c r="Z193" s="114">
        <v>189</v>
      </c>
      <c r="AA193" s="114">
        <f t="shared" si="75"/>
        <v>48000</v>
      </c>
      <c r="AB193" s="114">
        <f t="shared" si="76"/>
        <v>96000</v>
      </c>
      <c r="AC193" s="114">
        <f t="shared" si="77"/>
        <v>192000</v>
      </c>
      <c r="AD193" s="114">
        <f t="shared" si="78"/>
        <v>480000</v>
      </c>
      <c r="AE193" s="114">
        <f t="shared" si="79"/>
        <v>1440000</v>
      </c>
      <c r="AG193" s="114">
        <v>189</v>
      </c>
      <c r="AH193" s="113">
        <f>SUM(AA$5:AA193)</f>
        <v>1333800</v>
      </c>
      <c r="AI193" s="113">
        <f>SUM(AB$5:AB193)</f>
        <v>2667600</v>
      </c>
      <c r="AJ193" s="113">
        <f>SUM(AC$5:AC193)</f>
        <v>5335200</v>
      </c>
      <c r="AK193" s="113">
        <f>SUM(AD$5:AD193)</f>
        <v>13338000</v>
      </c>
      <c r="AL193" s="113">
        <f>SUM(AE$5:AE193)</f>
        <v>40014000</v>
      </c>
      <c r="BW193" s="25">
        <v>10</v>
      </c>
      <c r="BX193" s="47">
        <v>80</v>
      </c>
      <c r="BY193" s="52">
        <f t="shared" si="103"/>
        <v>61.71</v>
      </c>
      <c r="BZ193" s="52">
        <f t="shared" si="104"/>
        <v>6260</v>
      </c>
      <c r="CA193" s="52">
        <f t="shared" si="105"/>
        <v>6260</v>
      </c>
      <c r="CB193" s="109">
        <f>(BY193-BY192)*(INDEX([2]超r将兵属性验证!V$7:V$166,$BX193,1)+INDEX([2]超r将兵属性验证!$AP$7:$AP$166,$BX193,1))+CB192</f>
        <v>10709568607.422462</v>
      </c>
      <c r="CC193" s="109">
        <f>(BZ193-BZ192)*INDEX([2]超r将兵属性验证!W$7:W$166,$BX193,1)+CC192</f>
        <v>9791199623.6653938</v>
      </c>
      <c r="CD193" s="109">
        <f>(CA193-CA192)*INDEX([2]超r将兵属性验证!X$7:X$166,$BX193,1)+CD192</f>
        <v>9791199623.6653938</v>
      </c>
      <c r="CE193" s="52">
        <f t="shared" si="106"/>
        <v>30291967854.75325</v>
      </c>
      <c r="CI193" s="71">
        <v>80</v>
      </c>
      <c r="CJ193" s="75">
        <f t="shared" si="100"/>
        <v>5262300</v>
      </c>
      <c r="CK193" s="75">
        <f>(CJ193-CJ192)*INDEX('[1]功能-付费相关'!$BM$6:$BM$165,$CI193,1)+CK192</f>
        <v>251357.19293908821</v>
      </c>
      <c r="CL193" s="75">
        <f t="shared" si="101"/>
        <v>210492000</v>
      </c>
      <c r="CM193" s="75">
        <f>(CL193-CL192)*INDEX('[1]功能-付费相关'!$AU$6:$AU$165,$CI193,1)+CM192</f>
        <v>234069.90800865801</v>
      </c>
      <c r="CO193" s="71">
        <v>80</v>
      </c>
      <c r="CP193" s="138">
        <f t="shared" si="107"/>
        <v>251357.19293908821</v>
      </c>
      <c r="CQ193" s="138">
        <f t="shared" si="108"/>
        <v>234069.90800865801</v>
      </c>
      <c r="CR193" s="84">
        <f t="shared" si="109"/>
        <v>485427.10094774619</v>
      </c>
    </row>
    <row r="194" spans="10:96" x14ac:dyDescent="0.15">
      <c r="J194" s="46">
        <f>INDEX('[1]资源-装备经验'!Y$6:Y$165,(K194+1)/2,1)</f>
        <v>0</v>
      </c>
      <c r="K194" s="113">
        <v>190</v>
      </c>
      <c r="L194" s="133">
        <v>1600</v>
      </c>
      <c r="M194" s="122">
        <f t="shared" si="80"/>
        <v>1600</v>
      </c>
      <c r="N194" s="120">
        <f t="shared" si="96"/>
        <v>3200</v>
      </c>
      <c r="O194" s="120">
        <f t="shared" si="96"/>
        <v>6400</v>
      </c>
      <c r="P194" s="120">
        <f t="shared" si="96"/>
        <v>16000</v>
      </c>
      <c r="Q194" s="120">
        <f t="shared" si="96"/>
        <v>48000</v>
      </c>
      <c r="S194" s="113">
        <v>190</v>
      </c>
      <c r="T194" s="113">
        <f>SUM(M$5:M194)</f>
        <v>34945</v>
      </c>
      <c r="U194" s="113">
        <f>SUM(N$5:N194)</f>
        <v>69890</v>
      </c>
      <c r="V194" s="113">
        <f>SUM(O$5:O194)</f>
        <v>139780</v>
      </c>
      <c r="W194" s="113">
        <f>SUM(P$5:P194)</f>
        <v>349450</v>
      </c>
      <c r="X194" s="113">
        <f>SUM(Q$5:Q194)</f>
        <v>1048350</v>
      </c>
      <c r="Z194" s="114">
        <v>190</v>
      </c>
      <c r="AA194" s="114">
        <f t="shared" si="75"/>
        <v>64000</v>
      </c>
      <c r="AB194" s="114">
        <f t="shared" si="76"/>
        <v>128000</v>
      </c>
      <c r="AC194" s="114">
        <f t="shared" si="77"/>
        <v>256000</v>
      </c>
      <c r="AD194" s="114">
        <f t="shared" si="78"/>
        <v>640000</v>
      </c>
      <c r="AE194" s="114">
        <f t="shared" si="79"/>
        <v>1920000</v>
      </c>
      <c r="AG194" s="114">
        <v>190</v>
      </c>
      <c r="AH194" s="113">
        <f>SUM(AA$5:AA194)</f>
        <v>1397800</v>
      </c>
      <c r="AI194" s="113">
        <f>SUM(AB$5:AB194)</f>
        <v>2795600</v>
      </c>
      <c r="AJ194" s="113">
        <f>SUM(AC$5:AC194)</f>
        <v>5591200</v>
      </c>
      <c r="AK194" s="113">
        <f>SUM(AD$5:AD194)</f>
        <v>13978000</v>
      </c>
      <c r="AL194" s="113">
        <f>SUM(AE$5:AE194)</f>
        <v>41934000</v>
      </c>
      <c r="BW194" s="25">
        <v>11</v>
      </c>
      <c r="BX194" s="47">
        <v>90</v>
      </c>
      <c r="BY194" s="52">
        <f t="shared" si="103"/>
        <v>66</v>
      </c>
      <c r="BZ194" s="52">
        <f t="shared" si="104"/>
        <v>6920</v>
      </c>
      <c r="CA194" s="52">
        <f t="shared" si="105"/>
        <v>6920</v>
      </c>
      <c r="CB194" s="109">
        <f>(BY194-BY193)*(INDEX([2]超r将兵属性验证!V$7:V$166,$BX194,1)+INDEX([2]超r将兵属性验证!$AP$7:$AP$166,$BX194,1))+CB193</f>
        <v>17591691818.431877</v>
      </c>
      <c r="CC194" s="109">
        <f>(BZ194-BZ193)*INDEX([2]超r将兵属性验证!W$7:W$166,$BX194,1)+CC193</f>
        <v>15420082057.500948</v>
      </c>
      <c r="CD194" s="109">
        <f>(CA194-CA193)*INDEX([2]超r将兵属性验证!X$7:X$166,$BX194,1)+CD193</f>
        <v>15420082057.500948</v>
      </c>
      <c r="CE194" s="52">
        <f t="shared" si="106"/>
        <v>48431855933.433769</v>
      </c>
      <c r="CI194" s="71">
        <v>90</v>
      </c>
      <c r="CJ194" s="75">
        <f t="shared" si="100"/>
        <v>12174300</v>
      </c>
      <c r="CK194" s="75">
        <f>(CJ194-CJ193)*INDEX('[1]功能-付费相关'!$BM$6:$BM$165,$CI194,1)+CK193</f>
        <v>482284.64429963671</v>
      </c>
      <c r="CL194" s="75">
        <f t="shared" si="101"/>
        <v>486972000</v>
      </c>
      <c r="CM194" s="75">
        <f>(CL194-CL193)*INDEX('[1]功能-付费相关'!$AU$6:$AU$165,$CI194,1)+CM193</f>
        <v>499916.06185481185</v>
      </c>
      <c r="CO194" s="71">
        <v>90</v>
      </c>
      <c r="CP194" s="138">
        <f t="shared" si="107"/>
        <v>482284.64429963671</v>
      </c>
      <c r="CQ194" s="138">
        <f t="shared" si="108"/>
        <v>499916.06185481185</v>
      </c>
      <c r="CR194" s="84">
        <f t="shared" si="109"/>
        <v>982200.70615444856</v>
      </c>
    </row>
    <row r="195" spans="10:96" x14ac:dyDescent="0.15">
      <c r="J195" s="46">
        <f>INDEX('[1]资源-装备经验'!Y$6:Y$165,(K195+1)/2,1)</f>
        <v>0</v>
      </c>
      <c r="K195" s="113">
        <v>191</v>
      </c>
      <c r="L195" s="133">
        <v>1600</v>
      </c>
      <c r="M195" s="122">
        <f t="shared" si="80"/>
        <v>1600</v>
      </c>
      <c r="N195" s="120">
        <f t="shared" si="96"/>
        <v>3200</v>
      </c>
      <c r="O195" s="120">
        <f t="shared" si="96"/>
        <v>6400</v>
      </c>
      <c r="P195" s="120">
        <f t="shared" si="96"/>
        <v>16000</v>
      </c>
      <c r="Q195" s="120">
        <f t="shared" si="96"/>
        <v>48000</v>
      </c>
      <c r="S195" s="113">
        <v>191</v>
      </c>
      <c r="T195" s="113">
        <f>SUM(M$5:M195)</f>
        <v>36545</v>
      </c>
      <c r="U195" s="113">
        <f>SUM(N$5:N195)</f>
        <v>73090</v>
      </c>
      <c r="V195" s="113">
        <f>SUM(O$5:O195)</f>
        <v>146180</v>
      </c>
      <c r="W195" s="113">
        <f>SUM(P$5:P195)</f>
        <v>365450</v>
      </c>
      <c r="X195" s="113">
        <f>SUM(Q$5:Q195)</f>
        <v>1096350</v>
      </c>
      <c r="Z195" s="114">
        <v>191</v>
      </c>
      <c r="AA195" s="114">
        <f t="shared" si="75"/>
        <v>64000</v>
      </c>
      <c r="AB195" s="114">
        <f t="shared" si="76"/>
        <v>128000</v>
      </c>
      <c r="AC195" s="114">
        <f t="shared" si="77"/>
        <v>256000</v>
      </c>
      <c r="AD195" s="114">
        <f t="shared" si="78"/>
        <v>640000</v>
      </c>
      <c r="AE195" s="114">
        <f t="shared" si="79"/>
        <v>1920000</v>
      </c>
      <c r="AG195" s="114">
        <v>191</v>
      </c>
      <c r="AH195" s="113">
        <f>SUM(AA$5:AA195)</f>
        <v>1461800</v>
      </c>
      <c r="AI195" s="113">
        <f>SUM(AB$5:AB195)</f>
        <v>2923600</v>
      </c>
      <c r="AJ195" s="113">
        <f>SUM(AC$5:AC195)</f>
        <v>5847200</v>
      </c>
      <c r="AK195" s="113">
        <f>SUM(AD$5:AD195)</f>
        <v>14618000</v>
      </c>
      <c r="AL195" s="113">
        <f>SUM(AE$5:AE195)</f>
        <v>43854000</v>
      </c>
      <c r="BW195" s="25">
        <v>12</v>
      </c>
      <c r="BX195" s="128">
        <v>100</v>
      </c>
      <c r="BY195" s="52">
        <f t="shared" si="103"/>
        <v>66</v>
      </c>
      <c r="BZ195" s="52">
        <f t="shared" si="104"/>
        <v>7580</v>
      </c>
      <c r="CA195" s="52">
        <f t="shared" si="105"/>
        <v>7580</v>
      </c>
      <c r="CB195" s="109">
        <f>(BY195-BY194)*(INDEX([2]超r将兵属性验证!V$7:V$166,$BX195,1)+INDEX([2]超r将兵属性验证!$AP$7:$AP$166,$BX195,1))+CB194</f>
        <v>17591691818.431877</v>
      </c>
      <c r="CC195" s="109">
        <f>(BZ195-BZ194)*INDEX([2]超r将兵属性验证!W$7:W$166,$BX195,1)+CC194</f>
        <v>23458025450.609623</v>
      </c>
      <c r="CD195" s="109">
        <f>(CA195-CA194)*INDEX([2]超r将兵属性验证!X$7:X$166,$BX195,1)+CD194</f>
        <v>23458025450.609623</v>
      </c>
      <c r="CE195" s="52">
        <f t="shared" ref="CE195:CE201" si="110">SUM(CB195:CD195)</f>
        <v>64507742719.651123</v>
      </c>
      <c r="CI195" s="128">
        <v>100</v>
      </c>
      <c r="CJ195" s="75">
        <f t="shared" si="100"/>
        <v>27942300</v>
      </c>
      <c r="CK195" s="75">
        <f>(CJ195-CJ194)*INDEX('[1]功能-付费相关'!$BM$6:$BM$165,$CI195,1)+CK194</f>
        <v>914446.79350661754</v>
      </c>
      <c r="CL195" s="75">
        <f t="shared" si="101"/>
        <v>1117692000</v>
      </c>
      <c r="CM195" s="75">
        <f>(CL195-CL194)*INDEX('[1]功能-付费相关'!$AU$6:$AU$165,$CI195,1)+CM194</f>
        <v>1063058.9189976691</v>
      </c>
      <c r="CO195" s="128">
        <v>100</v>
      </c>
      <c r="CP195" s="138">
        <f t="shared" si="107"/>
        <v>914446.79350661754</v>
      </c>
      <c r="CQ195" s="138">
        <f t="shared" si="108"/>
        <v>1063058.9189976691</v>
      </c>
      <c r="CR195" s="84">
        <f t="shared" si="109"/>
        <v>1977505.7125042868</v>
      </c>
    </row>
    <row r="196" spans="10:96" x14ac:dyDescent="0.15">
      <c r="J196" s="46">
        <f>INDEX('[1]资源-装备经验'!Y$6:Y$165,(K196+1)/2,1)</f>
        <v>0</v>
      </c>
      <c r="K196" s="113">
        <v>192</v>
      </c>
      <c r="L196" s="133">
        <v>1600</v>
      </c>
      <c r="M196" s="122">
        <f t="shared" si="80"/>
        <v>1600</v>
      </c>
      <c r="N196" s="120">
        <f t="shared" si="96"/>
        <v>3200</v>
      </c>
      <c r="O196" s="120">
        <f t="shared" si="96"/>
        <v>6400</v>
      </c>
      <c r="P196" s="120">
        <f t="shared" si="96"/>
        <v>16000</v>
      </c>
      <c r="Q196" s="120">
        <f t="shared" si="96"/>
        <v>48000</v>
      </c>
      <c r="S196" s="113">
        <v>192</v>
      </c>
      <c r="T196" s="113">
        <f>SUM(M$5:M196)</f>
        <v>38145</v>
      </c>
      <c r="U196" s="113">
        <f>SUM(N$5:N196)</f>
        <v>76290</v>
      </c>
      <c r="V196" s="113">
        <f>SUM(O$5:O196)</f>
        <v>152580</v>
      </c>
      <c r="W196" s="113">
        <f>SUM(P$5:P196)</f>
        <v>381450</v>
      </c>
      <c r="X196" s="113">
        <f>SUM(Q$5:Q196)</f>
        <v>1144350</v>
      </c>
      <c r="Z196" s="114">
        <v>192</v>
      </c>
      <c r="AA196" s="114">
        <f t="shared" si="75"/>
        <v>64000</v>
      </c>
      <c r="AB196" s="114">
        <f t="shared" si="76"/>
        <v>128000</v>
      </c>
      <c r="AC196" s="114">
        <f t="shared" si="77"/>
        <v>256000</v>
      </c>
      <c r="AD196" s="114">
        <f t="shared" si="78"/>
        <v>640000</v>
      </c>
      <c r="AE196" s="114">
        <f t="shared" si="79"/>
        <v>1920000</v>
      </c>
      <c r="AG196" s="114">
        <v>192</v>
      </c>
      <c r="AH196" s="113">
        <f>SUM(AA$5:AA196)</f>
        <v>1525800</v>
      </c>
      <c r="AI196" s="113">
        <f>SUM(AB$5:AB196)</f>
        <v>3051600</v>
      </c>
      <c r="AJ196" s="113">
        <f>SUM(AC$5:AC196)</f>
        <v>6103200</v>
      </c>
      <c r="AK196" s="113">
        <f>SUM(AD$5:AD196)</f>
        <v>15258000</v>
      </c>
      <c r="AL196" s="113">
        <f>SUM(AE$5:AE196)</f>
        <v>45774000</v>
      </c>
      <c r="BW196" s="25">
        <v>13</v>
      </c>
      <c r="BX196" s="128">
        <v>110</v>
      </c>
      <c r="BY196" s="52">
        <f t="shared" si="103"/>
        <v>66</v>
      </c>
      <c r="BZ196" s="52">
        <f t="shared" si="104"/>
        <v>8240</v>
      </c>
      <c r="CA196" s="52">
        <f t="shared" si="105"/>
        <v>8240</v>
      </c>
      <c r="CB196" s="109">
        <f>(BY196-BY195)*(INDEX([2]超r将兵属性验证!V$7:V$166,$BX196,1)+INDEX([2]超r将兵属性验证!$AP$7:$AP$166,$BX196,1))+CB195</f>
        <v>17591691818.431877</v>
      </c>
      <c r="CC196" s="109">
        <f>(BZ196-BZ195)*INDEX([2]超r将兵属性验证!W$7:W$166,$BX196,1)+CC195</f>
        <v>33609373002.561363</v>
      </c>
      <c r="CD196" s="109">
        <f>(CA196-CA195)*INDEX([2]超r将兵属性验证!X$7:X$166,$BX196,1)+CD195</f>
        <v>33609373002.561363</v>
      </c>
      <c r="CE196" s="52">
        <f t="shared" si="110"/>
        <v>84810437823.554596</v>
      </c>
      <c r="CI196" s="128">
        <v>110</v>
      </c>
      <c r="CJ196" s="75">
        <f t="shared" si="100"/>
        <v>61962300</v>
      </c>
      <c r="CK196" s="75">
        <f>(CJ196-CJ195)*INDEX('[1]功能-付费相关'!$BM$6:$BM$165,$CI196,1)+CK195</f>
        <v>1679343.3522551591</v>
      </c>
      <c r="CL196" s="75">
        <f t="shared" si="101"/>
        <v>2478492000</v>
      </c>
      <c r="CM196" s="75">
        <f>(CL196-CL195)*INDEX('[1]功能-付费相关'!$AU$6:$AU$165,$CI196,1)+CM195</f>
        <v>2197058.9189976691</v>
      </c>
      <c r="CO196" s="128">
        <v>110</v>
      </c>
      <c r="CP196" s="138">
        <f t="shared" si="107"/>
        <v>1679343.3522551591</v>
      </c>
      <c r="CQ196" s="138">
        <f t="shared" si="108"/>
        <v>2197058.9189976691</v>
      </c>
      <c r="CR196" s="84">
        <f t="shared" si="109"/>
        <v>3876402.2712528282</v>
      </c>
    </row>
    <row r="197" spans="10:96" x14ac:dyDescent="0.15">
      <c r="J197" s="46">
        <f>INDEX('[1]资源-装备经验'!Y$6:Y$165,(K197+1)/2,1)</f>
        <v>0</v>
      </c>
      <c r="K197" s="113">
        <v>193</v>
      </c>
      <c r="L197" s="133">
        <v>1600</v>
      </c>
      <c r="M197" s="122">
        <f t="shared" si="80"/>
        <v>1600</v>
      </c>
      <c r="N197" s="120">
        <f t="shared" si="96"/>
        <v>3200</v>
      </c>
      <c r="O197" s="120">
        <f t="shared" si="96"/>
        <v>6400</v>
      </c>
      <c r="P197" s="120">
        <f t="shared" si="96"/>
        <v>16000</v>
      </c>
      <c r="Q197" s="120">
        <f t="shared" si="96"/>
        <v>48000</v>
      </c>
      <c r="S197" s="113">
        <v>193</v>
      </c>
      <c r="T197" s="113">
        <f>SUM(M$5:M197)</f>
        <v>39745</v>
      </c>
      <c r="U197" s="113">
        <f>SUM(N$5:N197)</f>
        <v>79490</v>
      </c>
      <c r="V197" s="113">
        <f>SUM(O$5:O197)</f>
        <v>158980</v>
      </c>
      <c r="W197" s="113">
        <f>SUM(P$5:P197)</f>
        <v>397450</v>
      </c>
      <c r="X197" s="113">
        <f>SUM(Q$5:Q197)</f>
        <v>1192350</v>
      </c>
      <c r="Z197" s="114">
        <v>193</v>
      </c>
      <c r="AA197" s="114">
        <f t="shared" ref="AA197:AA204" si="111">M197*$D$16</f>
        <v>64000</v>
      </c>
      <c r="AB197" s="114">
        <f t="shared" ref="AB197:AB204" si="112">N197*$D$16</f>
        <v>128000</v>
      </c>
      <c r="AC197" s="114">
        <f t="shared" ref="AC197:AC204" si="113">O197*$D$16</f>
        <v>256000</v>
      </c>
      <c r="AD197" s="114">
        <f t="shared" ref="AD197:AD204" si="114">P197*$D$16</f>
        <v>640000</v>
      </c>
      <c r="AE197" s="114">
        <f t="shared" ref="AE197:AE204" si="115">Q197*$D$16</f>
        <v>1920000</v>
      </c>
      <c r="AG197" s="114">
        <v>193</v>
      </c>
      <c r="AH197" s="113">
        <f>SUM(AA$5:AA197)</f>
        <v>1589800</v>
      </c>
      <c r="AI197" s="113">
        <f>SUM(AB$5:AB197)</f>
        <v>3179600</v>
      </c>
      <c r="AJ197" s="113">
        <f>SUM(AC$5:AC197)</f>
        <v>6359200</v>
      </c>
      <c r="AK197" s="113">
        <f>SUM(AD$5:AD197)</f>
        <v>15898000</v>
      </c>
      <c r="AL197" s="113">
        <f>SUM(AE$5:AE197)</f>
        <v>47694000</v>
      </c>
      <c r="BW197" s="25">
        <v>14</v>
      </c>
      <c r="BX197" s="128">
        <v>120</v>
      </c>
      <c r="BY197" s="52">
        <f t="shared" si="103"/>
        <v>66</v>
      </c>
      <c r="BZ197" s="52">
        <f t="shared" si="104"/>
        <v>8900</v>
      </c>
      <c r="CA197" s="52">
        <f t="shared" si="105"/>
        <v>8900</v>
      </c>
      <c r="CB197" s="109">
        <f>(BY197-BY196)*(INDEX([2]超r将兵属性验证!V$7:V$166,$BX197,1)+INDEX([2]超r将兵属性验证!$AP$7:$AP$166,$BX197,1))+CB196</f>
        <v>17591691818.431877</v>
      </c>
      <c r="CC197" s="109">
        <f>(BZ197-BZ196)*INDEX([2]超r将兵属性验证!W$7:W$166,$BX197,1)+CC196</f>
        <v>46538335339.149185</v>
      </c>
      <c r="CD197" s="109">
        <f>(CA197-CA196)*INDEX([2]超r将兵属性验证!X$7:X$166,$BX197,1)+CD196</f>
        <v>46538335339.149185</v>
      </c>
      <c r="CE197" s="52">
        <f t="shared" si="110"/>
        <v>110668362496.73026</v>
      </c>
      <c r="CI197" s="128">
        <v>120</v>
      </c>
      <c r="CJ197" s="75">
        <f t="shared" si="100"/>
        <v>140046300</v>
      </c>
      <c r="CK197" s="75">
        <f>(CJ197-CJ196)*INDEX('[1]功能-付费相关'!$BM$6:$BM$165,$CI197,1)+CK196</f>
        <v>3119563.0052407132</v>
      </c>
      <c r="CL197" s="75">
        <f t="shared" si="101"/>
        <v>5601852000</v>
      </c>
      <c r="CM197" s="75">
        <f>(CL197-CL196)*INDEX('[1]功能-付费相关'!$AU$6:$AU$165,$CI197,1)+CM196</f>
        <v>4637183.9189976696</v>
      </c>
      <c r="CO197" s="128">
        <v>120</v>
      </c>
      <c r="CP197" s="138">
        <f t="shared" si="107"/>
        <v>3119563.0052407132</v>
      </c>
      <c r="CQ197" s="138">
        <f t="shared" si="108"/>
        <v>4637183.9189976696</v>
      </c>
      <c r="CR197" s="84">
        <f t="shared" si="109"/>
        <v>7756746.9242383828</v>
      </c>
    </row>
    <row r="198" spans="10:96" x14ac:dyDescent="0.15">
      <c r="J198" s="46">
        <f>INDEX('[1]资源-装备经验'!Y$6:Y$165,(K198+1)/2,1)</f>
        <v>0</v>
      </c>
      <c r="K198" s="113">
        <v>194</v>
      </c>
      <c r="L198" s="133">
        <v>1600</v>
      </c>
      <c r="M198" s="122">
        <f t="shared" ref="M198:M204" si="116">L198*$M$1</f>
        <v>1600</v>
      </c>
      <c r="N198" s="120">
        <f t="shared" si="96"/>
        <v>3200</v>
      </c>
      <c r="O198" s="120">
        <f t="shared" si="96"/>
        <v>6400</v>
      </c>
      <c r="P198" s="120">
        <f t="shared" si="96"/>
        <v>16000</v>
      </c>
      <c r="Q198" s="120">
        <f t="shared" si="96"/>
        <v>48000</v>
      </c>
      <c r="S198" s="113">
        <v>194</v>
      </c>
      <c r="T198" s="113">
        <f>SUM(M$5:M198)</f>
        <v>41345</v>
      </c>
      <c r="U198" s="113">
        <f>SUM(N$5:N198)</f>
        <v>82690</v>
      </c>
      <c r="V198" s="113">
        <f>SUM(O$5:O198)</f>
        <v>165380</v>
      </c>
      <c r="W198" s="113">
        <f>SUM(P$5:P198)</f>
        <v>413450</v>
      </c>
      <c r="X198" s="113">
        <f>SUM(Q$5:Q198)</f>
        <v>1240350</v>
      </c>
      <c r="Z198" s="114">
        <v>194</v>
      </c>
      <c r="AA198" s="114">
        <f t="shared" si="111"/>
        <v>64000</v>
      </c>
      <c r="AB198" s="114">
        <f t="shared" si="112"/>
        <v>128000</v>
      </c>
      <c r="AC198" s="114">
        <f t="shared" si="113"/>
        <v>256000</v>
      </c>
      <c r="AD198" s="114">
        <f t="shared" si="114"/>
        <v>640000</v>
      </c>
      <c r="AE198" s="114">
        <f t="shared" si="115"/>
        <v>1920000</v>
      </c>
      <c r="AG198" s="114">
        <v>194</v>
      </c>
      <c r="AH198" s="113">
        <f>SUM(AA$5:AA198)</f>
        <v>1653800</v>
      </c>
      <c r="AI198" s="113">
        <f>SUM(AB$5:AB198)</f>
        <v>3307600</v>
      </c>
      <c r="AJ198" s="113">
        <f>SUM(AC$5:AC198)</f>
        <v>6615200</v>
      </c>
      <c r="AK198" s="113">
        <f>SUM(AD$5:AD198)</f>
        <v>16538000</v>
      </c>
      <c r="AL198" s="113">
        <f>SUM(AE$5:AE198)</f>
        <v>49614000</v>
      </c>
      <c r="BW198" s="25">
        <v>15</v>
      </c>
      <c r="BX198" s="128">
        <v>130</v>
      </c>
      <c r="BY198" s="52">
        <f t="shared" si="103"/>
        <v>66</v>
      </c>
      <c r="BZ198" s="52">
        <f t="shared" si="104"/>
        <v>9560</v>
      </c>
      <c r="CA198" s="52">
        <f t="shared" si="105"/>
        <v>9560</v>
      </c>
      <c r="CB198" s="109">
        <f>(BY198-BY197)*(INDEX([2]超r将兵属性验证!V$7:V$166,$BX198,1)+INDEX([2]超r将兵属性验证!$AP$7:$AP$166,$BX198,1))+CB197</f>
        <v>17591691818.431877</v>
      </c>
      <c r="CC198" s="109">
        <f>(BZ198-BZ197)*INDEX([2]超r将兵属性验证!W$7:W$166,$BX198,1)+CC197</f>
        <v>62451521883.044846</v>
      </c>
      <c r="CD198" s="109">
        <f>(CA198-CA197)*INDEX([2]超r将兵属性验证!X$7:X$166,$BX198,1)+CD197</f>
        <v>62451521883.044846</v>
      </c>
      <c r="CE198" s="52">
        <f t="shared" si="110"/>
        <v>142494735584.52155</v>
      </c>
      <c r="CI198" s="128">
        <v>130</v>
      </c>
      <c r="CJ198" s="75">
        <f t="shared" si="100"/>
        <v>320406300</v>
      </c>
      <c r="CK198" s="75">
        <f>(CJ198-CJ197)*INDEX('[1]功能-付费相关'!$BM$6:$BM$165,$CI198,1)+CK197</f>
        <v>5848573.3954228982</v>
      </c>
      <c r="CL198" s="75">
        <f t="shared" si="101"/>
        <v>12816252000</v>
      </c>
      <c r="CM198" s="75">
        <f>(CL198-CL197)*INDEX('[1]功能-付费相关'!$AU$6:$AU$165,$CI198,1)+CM197</f>
        <v>9941889.8013506103</v>
      </c>
      <c r="CO198" s="128">
        <v>130</v>
      </c>
      <c r="CP198" s="138">
        <f t="shared" si="107"/>
        <v>5848573.3954228982</v>
      </c>
      <c r="CQ198" s="138">
        <f t="shared" si="108"/>
        <v>9941889.8013506103</v>
      </c>
      <c r="CR198" s="84">
        <f t="shared" si="109"/>
        <v>15790463.196773509</v>
      </c>
    </row>
    <row r="199" spans="10:96" x14ac:dyDescent="0.15">
      <c r="J199" s="46">
        <f>INDEX('[1]资源-装备经验'!Y$6:Y$165,(K199+1)/2,1)</f>
        <v>0</v>
      </c>
      <c r="K199" s="113">
        <v>195</v>
      </c>
      <c r="L199" s="133">
        <v>1600</v>
      </c>
      <c r="M199" s="122">
        <f t="shared" si="116"/>
        <v>1600</v>
      </c>
      <c r="N199" s="120">
        <f t="shared" si="96"/>
        <v>3200</v>
      </c>
      <c r="O199" s="120">
        <f t="shared" si="96"/>
        <v>6400</v>
      </c>
      <c r="P199" s="120">
        <f t="shared" si="96"/>
        <v>16000</v>
      </c>
      <c r="Q199" s="120">
        <f t="shared" si="96"/>
        <v>48000</v>
      </c>
      <c r="S199" s="113">
        <v>195</v>
      </c>
      <c r="T199" s="113">
        <f>SUM(M$5:M199)</f>
        <v>42945</v>
      </c>
      <c r="U199" s="113">
        <f>SUM(N$5:N199)</f>
        <v>85890</v>
      </c>
      <c r="V199" s="113">
        <f>SUM(O$5:O199)</f>
        <v>171780</v>
      </c>
      <c r="W199" s="113">
        <f>SUM(P$5:P199)</f>
        <v>429450</v>
      </c>
      <c r="X199" s="113">
        <f>SUM(Q$5:Q199)</f>
        <v>1288350</v>
      </c>
      <c r="Z199" s="114">
        <v>195</v>
      </c>
      <c r="AA199" s="114">
        <f t="shared" si="111"/>
        <v>64000</v>
      </c>
      <c r="AB199" s="114">
        <f t="shared" si="112"/>
        <v>128000</v>
      </c>
      <c r="AC199" s="114">
        <f t="shared" si="113"/>
        <v>256000</v>
      </c>
      <c r="AD199" s="114">
        <f t="shared" si="114"/>
        <v>640000</v>
      </c>
      <c r="AE199" s="114">
        <f t="shared" si="115"/>
        <v>1920000</v>
      </c>
      <c r="AG199" s="114">
        <v>195</v>
      </c>
      <c r="AH199" s="113">
        <f>SUM(AA$5:AA199)</f>
        <v>1717800</v>
      </c>
      <c r="AI199" s="113">
        <f>SUM(AB$5:AB199)</f>
        <v>3435600</v>
      </c>
      <c r="AJ199" s="113">
        <f>SUM(AC$5:AC199)</f>
        <v>6871200</v>
      </c>
      <c r="AK199" s="113">
        <f>SUM(AD$5:AD199)</f>
        <v>17178000</v>
      </c>
      <c r="AL199" s="113">
        <f>SUM(AE$5:AE199)</f>
        <v>51534000</v>
      </c>
      <c r="BW199" s="25">
        <v>16</v>
      </c>
      <c r="BX199" s="128">
        <v>140</v>
      </c>
      <c r="BY199" s="52">
        <f t="shared" si="103"/>
        <v>66</v>
      </c>
      <c r="BZ199" s="52">
        <f t="shared" si="104"/>
        <v>10220</v>
      </c>
      <c r="CA199" s="52">
        <f t="shared" si="105"/>
        <v>10220</v>
      </c>
      <c r="CB199" s="109">
        <f>(BY199-BY198)*(INDEX([2]超r将兵属性验证!V$7:V$166,$BX199,1)+INDEX([2]超r将兵属性验证!$AP$7:$AP$166,$BX199,1))+CB198</f>
        <v>17591691818.431877</v>
      </c>
      <c r="CC199" s="109">
        <f>(BZ199-BZ198)*INDEX([2]超r将兵属性验证!W$7:W$166,$BX199,1)+CC198</f>
        <v>80947316863.690643</v>
      </c>
      <c r="CD199" s="109">
        <f>(CA199-CA198)*INDEX([2]超r将兵属性验证!X$7:X$166,$BX199,1)+CD198</f>
        <v>80947316863.690643</v>
      </c>
      <c r="CE199" s="52">
        <f t="shared" si="110"/>
        <v>179486325545.81317</v>
      </c>
      <c r="CI199" s="128">
        <v>140</v>
      </c>
      <c r="CJ199" s="75">
        <f t="shared" si="100"/>
        <v>779406300</v>
      </c>
      <c r="CK199" s="75">
        <f>(CJ199-CJ198)*INDEX('[1]功能-付费相关'!$BM$6:$BM$165,$CI199,1)+CK198</f>
        <v>11545963.152424246</v>
      </c>
      <c r="CL199" s="75">
        <f t="shared" si="101"/>
        <v>31176252000</v>
      </c>
      <c r="CM199" s="75">
        <f>(CL199-CL198)*INDEX('[1]功能-付费相关'!$AU$6:$AU$165,$CI199,1)+CM198</f>
        <v>22691889.801350608</v>
      </c>
      <c r="CO199" s="128">
        <v>140</v>
      </c>
      <c r="CP199" s="138">
        <f t="shared" si="107"/>
        <v>11545963.152424246</v>
      </c>
      <c r="CQ199" s="138">
        <f t="shared" si="108"/>
        <v>22691889.801350608</v>
      </c>
      <c r="CR199" s="84">
        <f t="shared" si="109"/>
        <v>34237852.953774855</v>
      </c>
    </row>
    <row r="200" spans="10:96" x14ac:dyDescent="0.15">
      <c r="J200" s="46">
        <f>INDEX('[1]资源-装备经验'!Y$6:Y$165,(K200+1)/2,1)</f>
        <v>0</v>
      </c>
      <c r="K200" s="113">
        <v>196</v>
      </c>
      <c r="L200" s="133">
        <v>1600</v>
      </c>
      <c r="M200" s="122">
        <f t="shared" si="116"/>
        <v>1600</v>
      </c>
      <c r="N200" s="120">
        <f t="shared" si="96"/>
        <v>3200</v>
      </c>
      <c r="O200" s="120">
        <f t="shared" si="96"/>
        <v>6400</v>
      </c>
      <c r="P200" s="120">
        <f t="shared" si="96"/>
        <v>16000</v>
      </c>
      <c r="Q200" s="120">
        <f t="shared" si="96"/>
        <v>48000</v>
      </c>
      <c r="S200" s="113">
        <v>196</v>
      </c>
      <c r="T200" s="113">
        <f>SUM(M$5:M200)</f>
        <v>44545</v>
      </c>
      <c r="U200" s="113">
        <f>SUM(N$5:N200)</f>
        <v>89090</v>
      </c>
      <c r="V200" s="113">
        <f>SUM(O$5:O200)</f>
        <v>178180</v>
      </c>
      <c r="W200" s="113">
        <f>SUM(P$5:P200)</f>
        <v>445450</v>
      </c>
      <c r="X200" s="113">
        <f>SUM(Q$5:Q200)</f>
        <v>1336350</v>
      </c>
      <c r="Z200" s="114">
        <v>196</v>
      </c>
      <c r="AA200" s="114">
        <f t="shared" si="111"/>
        <v>64000</v>
      </c>
      <c r="AB200" s="114">
        <f t="shared" si="112"/>
        <v>128000</v>
      </c>
      <c r="AC200" s="114">
        <f t="shared" si="113"/>
        <v>256000</v>
      </c>
      <c r="AD200" s="114">
        <f t="shared" si="114"/>
        <v>640000</v>
      </c>
      <c r="AE200" s="114">
        <f t="shared" si="115"/>
        <v>1920000</v>
      </c>
      <c r="AG200" s="114">
        <v>196</v>
      </c>
      <c r="AH200" s="113">
        <f>SUM(AA$5:AA200)</f>
        <v>1781800</v>
      </c>
      <c r="AI200" s="113">
        <f>SUM(AB$5:AB200)</f>
        <v>3563600</v>
      </c>
      <c r="AJ200" s="113">
        <f>SUM(AC$5:AC200)</f>
        <v>7127200</v>
      </c>
      <c r="AK200" s="113">
        <f>SUM(AD$5:AD200)</f>
        <v>17818000</v>
      </c>
      <c r="AL200" s="113">
        <f>SUM(AE$5:AE200)</f>
        <v>53454000</v>
      </c>
      <c r="BW200" s="25">
        <v>17</v>
      </c>
      <c r="BX200" s="128">
        <v>150</v>
      </c>
      <c r="BY200" s="52">
        <f t="shared" si="103"/>
        <v>66</v>
      </c>
      <c r="BZ200" s="52">
        <f t="shared" si="104"/>
        <v>10880</v>
      </c>
      <c r="CA200" s="52">
        <f t="shared" si="105"/>
        <v>10880</v>
      </c>
      <c r="CB200" s="109">
        <f>(BY200-BY199)*(INDEX([2]超r将兵属性验证!V$7:V$166,$BX200,1)+INDEX([2]超r将兵属性验证!$AP$7:$AP$166,$BX200,1))+CB199</f>
        <v>17591691818.431877</v>
      </c>
      <c r="CC200" s="109">
        <f>(BZ200-BZ199)*INDEX([2]超r将兵属性验证!W$7:W$166,$BX200,1)+CC199</f>
        <v>102877400666.85007</v>
      </c>
      <c r="CD200" s="109">
        <f>(CA200-CA199)*INDEX([2]超r将兵属性验证!X$7:X$166,$BX200,1)+CD199</f>
        <v>102877400666.85007</v>
      </c>
      <c r="CE200" s="52">
        <f t="shared" si="110"/>
        <v>223346493152.13202</v>
      </c>
      <c r="CI200" s="128">
        <v>150</v>
      </c>
      <c r="CJ200" s="75">
        <f t="shared" si="100"/>
        <v>1881006300</v>
      </c>
      <c r="CK200" s="75">
        <f>(CJ200-CJ199)*INDEX('[1]功能-付费相关'!$BM$6:$BM$165,$CI200,1)+CK199</f>
        <v>22763188.754541479</v>
      </c>
      <c r="CL200" s="75">
        <f t="shared" si="101"/>
        <v>75240252000</v>
      </c>
      <c r="CM200" s="75">
        <f>(CL200-CL199)*INDEX('[1]功能-付费相关'!$AU$6:$AU$165,$CI200,1)+CM199</f>
        <v>51681363.485561132</v>
      </c>
      <c r="CO200" s="128">
        <v>150</v>
      </c>
      <c r="CP200" s="138">
        <f t="shared" si="107"/>
        <v>22763188.754541479</v>
      </c>
      <c r="CQ200" s="138">
        <f t="shared" si="108"/>
        <v>51681363.485561132</v>
      </c>
      <c r="CR200" s="84">
        <f t="shared" si="109"/>
        <v>74444552.240102619</v>
      </c>
    </row>
    <row r="201" spans="10:96" x14ac:dyDescent="0.15">
      <c r="J201" s="46">
        <f>INDEX('[1]资源-装备经验'!Y$6:Y$165,(K201+1)/2,1)</f>
        <v>0</v>
      </c>
      <c r="K201" s="113">
        <v>197</v>
      </c>
      <c r="L201" s="133">
        <v>1600</v>
      </c>
      <c r="M201" s="122">
        <f t="shared" si="116"/>
        <v>1600</v>
      </c>
      <c r="N201" s="120">
        <f t="shared" si="96"/>
        <v>3200</v>
      </c>
      <c r="O201" s="120">
        <f t="shared" si="96"/>
        <v>6400</v>
      </c>
      <c r="P201" s="120">
        <f t="shared" si="96"/>
        <v>16000</v>
      </c>
      <c r="Q201" s="120">
        <f t="shared" si="96"/>
        <v>48000</v>
      </c>
      <c r="S201" s="113">
        <v>197</v>
      </c>
      <c r="T201" s="113">
        <f>SUM(M$5:M201)</f>
        <v>46145</v>
      </c>
      <c r="U201" s="113">
        <f>SUM(N$5:N201)</f>
        <v>92290</v>
      </c>
      <c r="V201" s="113">
        <f>SUM(O$5:O201)</f>
        <v>184580</v>
      </c>
      <c r="W201" s="113">
        <f>SUM(P$5:P201)</f>
        <v>461450</v>
      </c>
      <c r="X201" s="113">
        <f>SUM(Q$5:Q201)</f>
        <v>1384350</v>
      </c>
      <c r="Z201" s="114">
        <v>197</v>
      </c>
      <c r="AA201" s="114">
        <f t="shared" si="111"/>
        <v>64000</v>
      </c>
      <c r="AB201" s="114">
        <f t="shared" si="112"/>
        <v>128000</v>
      </c>
      <c r="AC201" s="114">
        <f t="shared" si="113"/>
        <v>256000</v>
      </c>
      <c r="AD201" s="114">
        <f t="shared" si="114"/>
        <v>640000</v>
      </c>
      <c r="AE201" s="114">
        <f t="shared" si="115"/>
        <v>1920000</v>
      </c>
      <c r="AG201" s="114">
        <v>197</v>
      </c>
      <c r="AH201" s="113">
        <f>SUM(AA$5:AA201)</f>
        <v>1845800</v>
      </c>
      <c r="AI201" s="113">
        <f>SUM(AB$5:AB201)</f>
        <v>3691600</v>
      </c>
      <c r="AJ201" s="113">
        <f>SUM(AC$5:AC201)</f>
        <v>7383200</v>
      </c>
      <c r="AK201" s="113">
        <f>SUM(AD$5:AD201)</f>
        <v>18458000</v>
      </c>
      <c r="AL201" s="113">
        <f>SUM(AE$5:AE201)</f>
        <v>55374000</v>
      </c>
      <c r="BW201" s="25">
        <v>18</v>
      </c>
      <c r="BX201" s="128">
        <v>160</v>
      </c>
      <c r="BY201" s="52">
        <f t="shared" si="103"/>
        <v>66</v>
      </c>
      <c r="BZ201" s="52">
        <f t="shared" si="104"/>
        <v>11540</v>
      </c>
      <c r="CA201" s="52">
        <f t="shared" si="105"/>
        <v>11540</v>
      </c>
      <c r="CB201" s="109">
        <f>(BY201-BY200)*(INDEX([2]超r将兵属性验证!V$7:V$166,$BX201,1)+INDEX([2]超r将兵属性验证!$AP$7:$AP$166,$BX201,1))+CB200</f>
        <v>17591691818.431877</v>
      </c>
      <c r="CC201" s="109">
        <f>(BZ201-BZ200)*INDEX([2]超r将兵属性验证!W$7:W$166,$BX201,1)+CC200</f>
        <v>126135259021.68185</v>
      </c>
      <c r="CD201" s="109">
        <f>(CA201-CA200)*INDEX([2]超r将兵属性验证!X$7:X$166,$BX201,1)+CD200</f>
        <v>126135259021.68185</v>
      </c>
      <c r="CE201" s="52">
        <f t="shared" si="110"/>
        <v>269862209861.79559</v>
      </c>
      <c r="CI201" s="128">
        <v>160</v>
      </c>
      <c r="CJ201" s="75">
        <f t="shared" si="100"/>
        <v>1881006300</v>
      </c>
      <c r="CK201" s="75">
        <f>(CJ201-CJ200)*INDEX('[1]功能-付费相关'!$BM$6:$BM$165,$CI201,1)+CK200</f>
        <v>22763188.754541479</v>
      </c>
      <c r="CL201" s="75">
        <f t="shared" si="101"/>
        <v>75240252000</v>
      </c>
      <c r="CM201" s="75">
        <f>(CL201-CL200)*INDEX('[1]功能-付费相关'!$AU$6:$AU$165,$CI201,1)+CM200</f>
        <v>51681363.485561132</v>
      </c>
      <c r="CO201" s="128">
        <v>160</v>
      </c>
      <c r="CP201" s="138">
        <f t="shared" si="107"/>
        <v>22763188.754541479</v>
      </c>
      <c r="CQ201" s="138">
        <f t="shared" si="108"/>
        <v>51681363.485561132</v>
      </c>
      <c r="CR201" s="84">
        <f t="shared" si="109"/>
        <v>74444552.240102619</v>
      </c>
    </row>
    <row r="202" spans="10:96" x14ac:dyDescent="0.15">
      <c r="J202" s="46">
        <f>INDEX('[1]资源-装备经验'!Y$6:Y$165,(K202+1)/2,1)</f>
        <v>0</v>
      </c>
      <c r="K202" s="113">
        <v>198</v>
      </c>
      <c r="L202" s="133">
        <v>1600</v>
      </c>
      <c r="M202" s="122">
        <f t="shared" si="116"/>
        <v>1600</v>
      </c>
      <c r="N202" s="120">
        <f t="shared" si="96"/>
        <v>3200</v>
      </c>
      <c r="O202" s="120">
        <f t="shared" si="96"/>
        <v>6400</v>
      </c>
      <c r="P202" s="120">
        <f t="shared" si="96"/>
        <v>16000</v>
      </c>
      <c r="Q202" s="120">
        <f t="shared" si="96"/>
        <v>48000</v>
      </c>
      <c r="S202" s="113">
        <v>198</v>
      </c>
      <c r="T202" s="113">
        <f>SUM(M$5:M202)</f>
        <v>47745</v>
      </c>
      <c r="U202" s="113">
        <f>SUM(N$5:N202)</f>
        <v>95490</v>
      </c>
      <c r="V202" s="113">
        <f>SUM(O$5:O202)</f>
        <v>190980</v>
      </c>
      <c r="W202" s="113">
        <f>SUM(P$5:P202)</f>
        <v>477450</v>
      </c>
      <c r="X202" s="113">
        <f>SUM(Q$5:Q202)</f>
        <v>1432350</v>
      </c>
      <c r="Z202" s="114">
        <v>198</v>
      </c>
      <c r="AA202" s="114">
        <f t="shared" si="111"/>
        <v>64000</v>
      </c>
      <c r="AB202" s="114">
        <f t="shared" si="112"/>
        <v>128000</v>
      </c>
      <c r="AC202" s="114">
        <f t="shared" si="113"/>
        <v>256000</v>
      </c>
      <c r="AD202" s="114">
        <f t="shared" si="114"/>
        <v>640000</v>
      </c>
      <c r="AE202" s="114">
        <f t="shared" si="115"/>
        <v>1920000</v>
      </c>
      <c r="AG202" s="114">
        <v>198</v>
      </c>
      <c r="AH202" s="113">
        <f>SUM(AA$5:AA202)</f>
        <v>1909800</v>
      </c>
      <c r="AI202" s="113">
        <f>SUM(AB$5:AB202)</f>
        <v>3819600</v>
      </c>
      <c r="AJ202" s="113">
        <f>SUM(AC$5:AC202)</f>
        <v>7639200</v>
      </c>
      <c r="AK202" s="113">
        <f>SUM(AD$5:AD202)</f>
        <v>19098000</v>
      </c>
      <c r="AL202" s="113">
        <f>SUM(AE$5:AE202)</f>
        <v>57294000</v>
      </c>
      <c r="BW202" s="25">
        <v>19</v>
      </c>
    </row>
    <row r="203" spans="10:96" x14ac:dyDescent="0.15">
      <c r="J203" s="46">
        <f>INDEX('[1]资源-装备经验'!Y$6:Y$165,(K203+1)/2,1)</f>
        <v>0</v>
      </c>
      <c r="K203" s="113">
        <v>199</v>
      </c>
      <c r="L203" s="133">
        <v>1600</v>
      </c>
      <c r="M203" s="122">
        <f t="shared" si="116"/>
        <v>1600</v>
      </c>
      <c r="N203" s="120">
        <f t="shared" si="96"/>
        <v>3200</v>
      </c>
      <c r="O203" s="120">
        <f t="shared" si="96"/>
        <v>6400</v>
      </c>
      <c r="P203" s="120">
        <f t="shared" si="96"/>
        <v>16000</v>
      </c>
      <c r="Q203" s="120">
        <f t="shared" si="96"/>
        <v>48000</v>
      </c>
      <c r="S203" s="113">
        <v>199</v>
      </c>
      <c r="T203" s="113">
        <f>SUM(M$5:M203)</f>
        <v>49345</v>
      </c>
      <c r="U203" s="113">
        <f>SUM(N$5:N203)</f>
        <v>98690</v>
      </c>
      <c r="V203" s="113">
        <f>SUM(O$5:O203)</f>
        <v>197380</v>
      </c>
      <c r="W203" s="113">
        <f>SUM(P$5:P203)</f>
        <v>493450</v>
      </c>
      <c r="X203" s="113">
        <f>SUM(Q$5:Q203)</f>
        <v>1480350</v>
      </c>
      <c r="Z203" s="114">
        <v>199</v>
      </c>
      <c r="AA203" s="114">
        <f t="shared" si="111"/>
        <v>64000</v>
      </c>
      <c r="AB203" s="114">
        <f t="shared" si="112"/>
        <v>128000</v>
      </c>
      <c r="AC203" s="114">
        <f t="shared" si="113"/>
        <v>256000</v>
      </c>
      <c r="AD203" s="114">
        <f t="shared" si="114"/>
        <v>640000</v>
      </c>
      <c r="AE203" s="114">
        <f t="shared" si="115"/>
        <v>1920000</v>
      </c>
      <c r="AG203" s="114">
        <v>199</v>
      </c>
      <c r="AH203" s="113">
        <f>SUM(AA$5:AA203)</f>
        <v>1973800</v>
      </c>
      <c r="AI203" s="113">
        <f>SUM(AB$5:AB203)</f>
        <v>3947600</v>
      </c>
      <c r="AJ203" s="113">
        <f>SUM(AC$5:AC203)</f>
        <v>7895200</v>
      </c>
      <c r="AK203" s="113">
        <f>SUM(AD$5:AD203)</f>
        <v>19738000</v>
      </c>
      <c r="AL203" s="113">
        <f>SUM(AE$5:AE203)</f>
        <v>59214000</v>
      </c>
      <c r="BW203" s="25">
        <v>20</v>
      </c>
    </row>
    <row r="204" spans="10:96" x14ac:dyDescent="0.15">
      <c r="J204" s="46">
        <f>INDEX('[1]资源-装备经验'!Y$6:Y$165,(K204+1)/2,1)</f>
        <v>0</v>
      </c>
      <c r="K204" s="113">
        <v>200</v>
      </c>
      <c r="L204" s="133">
        <v>2400</v>
      </c>
      <c r="M204" s="122">
        <f t="shared" si="116"/>
        <v>2400</v>
      </c>
      <c r="N204" s="120">
        <f t="shared" si="96"/>
        <v>4800</v>
      </c>
      <c r="O204" s="120">
        <f t="shared" si="96"/>
        <v>9600</v>
      </c>
      <c r="P204" s="120">
        <f t="shared" si="96"/>
        <v>24000</v>
      </c>
      <c r="Q204" s="120">
        <f t="shared" si="96"/>
        <v>72000</v>
      </c>
      <c r="S204" s="113">
        <v>200</v>
      </c>
      <c r="T204" s="113">
        <f>SUM(M$5:M204)</f>
        <v>51745</v>
      </c>
      <c r="U204" s="113">
        <f>SUM(N$5:N204)</f>
        <v>103490</v>
      </c>
      <c r="V204" s="113">
        <f>SUM(O$5:O204)</f>
        <v>206980</v>
      </c>
      <c r="W204" s="113">
        <f>SUM(P$5:P204)</f>
        <v>517450</v>
      </c>
      <c r="X204" s="113">
        <f>SUM(Q$5:Q204)</f>
        <v>1552350</v>
      </c>
      <c r="Z204" s="114">
        <v>200</v>
      </c>
      <c r="AA204" s="114">
        <f t="shared" si="111"/>
        <v>96000</v>
      </c>
      <c r="AB204" s="114">
        <f t="shared" si="112"/>
        <v>192000</v>
      </c>
      <c r="AC204" s="114">
        <f t="shared" si="113"/>
        <v>384000</v>
      </c>
      <c r="AD204" s="114">
        <f t="shared" si="114"/>
        <v>960000</v>
      </c>
      <c r="AE204" s="114">
        <f t="shared" si="115"/>
        <v>2880000</v>
      </c>
      <c r="AG204" s="114">
        <v>200</v>
      </c>
      <c r="AH204" s="113">
        <f>SUM(AA$5:AA204)</f>
        <v>2069800</v>
      </c>
      <c r="AI204" s="113">
        <f>SUM(AB$5:AB204)</f>
        <v>4139600</v>
      </c>
      <c r="AJ204" s="113">
        <f>SUM(AC$5:AC204)</f>
        <v>8279200</v>
      </c>
      <c r="AK204" s="113">
        <f>SUM(AD$5:AD204)</f>
        <v>20698000</v>
      </c>
      <c r="AL204" s="113">
        <f>SUM(AE$5:AE204)</f>
        <v>62094000</v>
      </c>
      <c r="BW204" s="25">
        <v>21</v>
      </c>
    </row>
    <row r="205" spans="10:96" x14ac:dyDescent="0.15">
      <c r="J205" s="46">
        <f>INDEX('[1]资源-装备经验'!Y$6:Y$165,(K205+1)/2,1)</f>
        <v>0</v>
      </c>
      <c r="K205" s="126">
        <v>201</v>
      </c>
      <c r="L205" s="133">
        <v>2400</v>
      </c>
      <c r="M205" s="128">
        <f t="shared" ref="M205:M238" si="117">L205*$M$1</f>
        <v>2400</v>
      </c>
      <c r="N205" s="128">
        <f t="shared" si="96"/>
        <v>4800</v>
      </c>
      <c r="O205" s="128">
        <f t="shared" si="96"/>
        <v>9600</v>
      </c>
      <c r="P205" s="128">
        <f t="shared" si="96"/>
        <v>24000</v>
      </c>
      <c r="Q205" s="128">
        <f t="shared" si="96"/>
        <v>72000</v>
      </c>
      <c r="S205" s="126">
        <v>201</v>
      </c>
      <c r="T205" s="126">
        <f>SUM(M$5:M205)</f>
        <v>54145</v>
      </c>
      <c r="U205" s="126">
        <f>SUM(N$5:N205)</f>
        <v>108290</v>
      </c>
      <c r="V205" s="126">
        <f>SUM(O$5:O205)</f>
        <v>216580</v>
      </c>
      <c r="W205" s="126">
        <f>SUM(P$5:P205)</f>
        <v>541450</v>
      </c>
      <c r="X205" s="126">
        <f>SUM(Q$5:Q205)</f>
        <v>1624350</v>
      </c>
      <c r="Z205" s="128">
        <v>201</v>
      </c>
      <c r="AA205" s="128">
        <f t="shared" ref="AA205:AA238" si="118">M205*$D$16</f>
        <v>96000</v>
      </c>
      <c r="AB205" s="128">
        <f t="shared" ref="AB205:AB238" si="119">N205*$D$16</f>
        <v>192000</v>
      </c>
      <c r="AC205" s="128">
        <f t="shared" ref="AC205:AC238" si="120">O205*$D$16</f>
        <v>384000</v>
      </c>
      <c r="AD205" s="128">
        <f t="shared" ref="AD205:AD238" si="121">P205*$D$16</f>
        <v>960000</v>
      </c>
      <c r="AE205" s="128">
        <f t="shared" ref="AE205:AE238" si="122">Q205*$D$16</f>
        <v>2880000</v>
      </c>
      <c r="AG205" s="128">
        <v>201</v>
      </c>
      <c r="AH205" s="126">
        <f>SUM(AA$5:AA205)</f>
        <v>2165800</v>
      </c>
      <c r="AI205" s="126">
        <f>SUM(AB$5:AB205)</f>
        <v>4331600</v>
      </c>
      <c r="AJ205" s="126">
        <f>SUM(AC$5:AC205)</f>
        <v>8663200</v>
      </c>
      <c r="AK205" s="126">
        <f>SUM(AD$5:AD205)</f>
        <v>21658000</v>
      </c>
      <c r="AL205" s="126">
        <f>SUM(AE$5:AE205)</f>
        <v>64974000</v>
      </c>
      <c r="BW205" s="25">
        <v>22</v>
      </c>
    </row>
    <row r="206" spans="10:96" x14ac:dyDescent="0.15">
      <c r="J206" s="46">
        <f>INDEX('[1]资源-装备经验'!Y$6:Y$165,(K206+1)/2,1)</f>
        <v>0</v>
      </c>
      <c r="K206" s="126">
        <v>202</v>
      </c>
      <c r="L206" s="133">
        <v>2400</v>
      </c>
      <c r="M206" s="128">
        <f t="shared" si="117"/>
        <v>2400</v>
      </c>
      <c r="N206" s="128">
        <f t="shared" ref="N206:Q239" si="123">$M206*N$1</f>
        <v>4800</v>
      </c>
      <c r="O206" s="128">
        <f t="shared" si="123"/>
        <v>9600</v>
      </c>
      <c r="P206" s="128">
        <f t="shared" si="123"/>
        <v>24000</v>
      </c>
      <c r="Q206" s="128">
        <f t="shared" si="123"/>
        <v>72000</v>
      </c>
      <c r="S206" s="126">
        <v>202</v>
      </c>
      <c r="T206" s="126">
        <f>SUM(M$5:M206)</f>
        <v>56545</v>
      </c>
      <c r="U206" s="126">
        <f>SUM(N$5:N206)</f>
        <v>113090</v>
      </c>
      <c r="V206" s="126">
        <f>SUM(O$5:O206)</f>
        <v>226180</v>
      </c>
      <c r="W206" s="126">
        <f>SUM(P$5:P206)</f>
        <v>565450</v>
      </c>
      <c r="X206" s="126">
        <f>SUM(Q$5:Q206)</f>
        <v>1696350</v>
      </c>
      <c r="Z206" s="128">
        <v>202</v>
      </c>
      <c r="AA206" s="128">
        <f t="shared" si="118"/>
        <v>96000</v>
      </c>
      <c r="AB206" s="128">
        <f t="shared" si="119"/>
        <v>192000</v>
      </c>
      <c r="AC206" s="128">
        <f t="shared" si="120"/>
        <v>384000</v>
      </c>
      <c r="AD206" s="128">
        <f t="shared" si="121"/>
        <v>960000</v>
      </c>
      <c r="AE206" s="128">
        <f t="shared" si="122"/>
        <v>2880000</v>
      </c>
      <c r="AG206" s="128">
        <v>202</v>
      </c>
      <c r="AH206" s="126">
        <f>SUM(AA$5:AA206)</f>
        <v>2261800</v>
      </c>
      <c r="AI206" s="126">
        <f>SUM(AB$5:AB206)</f>
        <v>4523600</v>
      </c>
      <c r="AJ206" s="126">
        <f>SUM(AC$5:AC206)</f>
        <v>9047200</v>
      </c>
      <c r="AK206" s="126">
        <f>SUM(AD$5:AD206)</f>
        <v>22618000</v>
      </c>
      <c r="AL206" s="126">
        <f>SUM(AE$5:AE206)</f>
        <v>67854000</v>
      </c>
      <c r="BW206" s="25">
        <v>23</v>
      </c>
    </row>
    <row r="207" spans="10:96" x14ac:dyDescent="0.15">
      <c r="J207" s="46">
        <f>INDEX('[1]资源-装备经验'!Y$6:Y$165,(K207+1)/2,1)</f>
        <v>0</v>
      </c>
      <c r="K207" s="126">
        <v>203</v>
      </c>
      <c r="L207" s="133">
        <v>2400</v>
      </c>
      <c r="M207" s="128">
        <f t="shared" si="117"/>
        <v>2400</v>
      </c>
      <c r="N207" s="128">
        <f t="shared" si="123"/>
        <v>4800</v>
      </c>
      <c r="O207" s="128">
        <f t="shared" si="123"/>
        <v>9600</v>
      </c>
      <c r="P207" s="128">
        <f t="shared" si="123"/>
        <v>24000</v>
      </c>
      <c r="Q207" s="128">
        <f t="shared" si="123"/>
        <v>72000</v>
      </c>
      <c r="S207" s="126">
        <v>203</v>
      </c>
      <c r="T207" s="126">
        <f>SUM(M$5:M207)</f>
        <v>58945</v>
      </c>
      <c r="U207" s="126">
        <f>SUM(N$5:N207)</f>
        <v>117890</v>
      </c>
      <c r="V207" s="126">
        <f>SUM(O$5:O207)</f>
        <v>235780</v>
      </c>
      <c r="W207" s="126">
        <f>SUM(P$5:P207)</f>
        <v>589450</v>
      </c>
      <c r="X207" s="126">
        <f>SUM(Q$5:Q207)</f>
        <v>1768350</v>
      </c>
      <c r="Z207" s="128">
        <v>203</v>
      </c>
      <c r="AA207" s="128">
        <f t="shared" si="118"/>
        <v>96000</v>
      </c>
      <c r="AB207" s="128">
        <f t="shared" si="119"/>
        <v>192000</v>
      </c>
      <c r="AC207" s="128">
        <f t="shared" si="120"/>
        <v>384000</v>
      </c>
      <c r="AD207" s="128">
        <f t="shared" si="121"/>
        <v>960000</v>
      </c>
      <c r="AE207" s="128">
        <f t="shared" si="122"/>
        <v>2880000</v>
      </c>
      <c r="AG207" s="128">
        <v>203</v>
      </c>
      <c r="AH207" s="126">
        <f>SUM(AA$5:AA207)</f>
        <v>2357800</v>
      </c>
      <c r="AI207" s="126">
        <f>SUM(AB$5:AB207)</f>
        <v>4715600</v>
      </c>
      <c r="AJ207" s="126">
        <f>SUM(AC$5:AC207)</f>
        <v>9431200</v>
      </c>
      <c r="AK207" s="126">
        <f>SUM(AD$5:AD207)</f>
        <v>23578000</v>
      </c>
      <c r="AL207" s="126">
        <f>SUM(AE$5:AE207)</f>
        <v>70734000</v>
      </c>
      <c r="BW207" s="25">
        <v>24</v>
      </c>
    </row>
    <row r="208" spans="10:96" x14ac:dyDescent="0.15">
      <c r="J208" s="46">
        <f>INDEX('[1]资源-装备经验'!Y$6:Y$165,(K208+1)/2,1)</f>
        <v>0</v>
      </c>
      <c r="K208" s="126">
        <v>204</v>
      </c>
      <c r="L208" s="133">
        <v>2400</v>
      </c>
      <c r="M208" s="128">
        <f t="shared" si="117"/>
        <v>2400</v>
      </c>
      <c r="N208" s="128">
        <f t="shared" si="123"/>
        <v>4800</v>
      </c>
      <c r="O208" s="128">
        <f t="shared" si="123"/>
        <v>9600</v>
      </c>
      <c r="P208" s="128">
        <f t="shared" si="123"/>
        <v>24000</v>
      </c>
      <c r="Q208" s="128">
        <f t="shared" si="123"/>
        <v>72000</v>
      </c>
      <c r="S208" s="126">
        <v>204</v>
      </c>
      <c r="T208" s="126">
        <f>SUM(M$5:M208)</f>
        <v>61345</v>
      </c>
      <c r="U208" s="126">
        <f>SUM(N$5:N208)</f>
        <v>122690</v>
      </c>
      <c r="V208" s="126">
        <f>SUM(O$5:O208)</f>
        <v>245380</v>
      </c>
      <c r="W208" s="126">
        <f>SUM(P$5:P208)</f>
        <v>613450</v>
      </c>
      <c r="X208" s="126">
        <f>SUM(Q$5:Q208)</f>
        <v>1840350</v>
      </c>
      <c r="Z208" s="128">
        <v>204</v>
      </c>
      <c r="AA208" s="128">
        <f t="shared" si="118"/>
        <v>96000</v>
      </c>
      <c r="AB208" s="128">
        <f t="shared" si="119"/>
        <v>192000</v>
      </c>
      <c r="AC208" s="128">
        <f t="shared" si="120"/>
        <v>384000</v>
      </c>
      <c r="AD208" s="128">
        <f t="shared" si="121"/>
        <v>960000</v>
      </c>
      <c r="AE208" s="128">
        <f t="shared" si="122"/>
        <v>2880000</v>
      </c>
      <c r="AG208" s="128">
        <v>204</v>
      </c>
      <c r="AH208" s="126">
        <f>SUM(AA$5:AA208)</f>
        <v>2453800</v>
      </c>
      <c r="AI208" s="126">
        <f>SUM(AB$5:AB208)</f>
        <v>4907600</v>
      </c>
      <c r="AJ208" s="126">
        <f>SUM(AC$5:AC208)</f>
        <v>9815200</v>
      </c>
      <c r="AK208" s="126">
        <f>SUM(AD$5:AD208)</f>
        <v>24538000</v>
      </c>
      <c r="AL208" s="126">
        <f>SUM(AE$5:AE208)</f>
        <v>73614000</v>
      </c>
      <c r="BW208" s="25">
        <v>25</v>
      </c>
    </row>
    <row r="209" spans="10:87" x14ac:dyDescent="0.15">
      <c r="J209" s="46">
        <f>INDEX('[1]资源-装备经验'!Y$6:Y$165,(K209+1)/2,1)</f>
        <v>0</v>
      </c>
      <c r="K209" s="126">
        <v>205</v>
      </c>
      <c r="L209" s="133">
        <v>2400</v>
      </c>
      <c r="M209" s="128">
        <f t="shared" si="117"/>
        <v>2400</v>
      </c>
      <c r="N209" s="128">
        <f t="shared" si="123"/>
        <v>4800</v>
      </c>
      <c r="O209" s="128">
        <f t="shared" si="123"/>
        <v>9600</v>
      </c>
      <c r="P209" s="128">
        <f t="shared" si="123"/>
        <v>24000</v>
      </c>
      <c r="Q209" s="128">
        <f t="shared" si="123"/>
        <v>72000</v>
      </c>
      <c r="S209" s="126">
        <v>205</v>
      </c>
      <c r="T209" s="126">
        <f>SUM(M$5:M209)</f>
        <v>63745</v>
      </c>
      <c r="U209" s="126">
        <f>SUM(N$5:N209)</f>
        <v>127490</v>
      </c>
      <c r="V209" s="126">
        <f>SUM(O$5:O209)</f>
        <v>254980</v>
      </c>
      <c r="W209" s="126">
        <f>SUM(P$5:P209)</f>
        <v>637450</v>
      </c>
      <c r="X209" s="126">
        <f>SUM(Q$5:Q209)</f>
        <v>1912350</v>
      </c>
      <c r="Z209" s="128">
        <v>205</v>
      </c>
      <c r="AA209" s="128">
        <f t="shared" si="118"/>
        <v>96000</v>
      </c>
      <c r="AB209" s="128">
        <f t="shared" si="119"/>
        <v>192000</v>
      </c>
      <c r="AC209" s="128">
        <f t="shared" si="120"/>
        <v>384000</v>
      </c>
      <c r="AD209" s="128">
        <f t="shared" si="121"/>
        <v>960000</v>
      </c>
      <c r="AE209" s="128">
        <f t="shared" si="122"/>
        <v>2880000</v>
      </c>
      <c r="AG209" s="128">
        <v>205</v>
      </c>
      <c r="AH209" s="126">
        <f>SUM(AA$5:AA209)</f>
        <v>2549800</v>
      </c>
      <c r="AI209" s="126">
        <f>SUM(AB$5:AB209)</f>
        <v>5099600</v>
      </c>
      <c r="AJ209" s="126">
        <f>SUM(AC$5:AC209)</f>
        <v>10199200</v>
      </c>
      <c r="AK209" s="126">
        <f>SUM(AD$5:AD209)</f>
        <v>25498000</v>
      </c>
      <c r="AL209" s="126">
        <f>SUM(AE$5:AE209)</f>
        <v>76494000</v>
      </c>
      <c r="BW209" s="25">
        <v>26</v>
      </c>
      <c r="CI209" s="36"/>
    </row>
    <row r="210" spans="10:87" x14ac:dyDescent="0.15">
      <c r="J210" s="46">
        <f>INDEX('[1]资源-装备经验'!Y$6:Y$165,(K210+1)/2,1)</f>
        <v>0</v>
      </c>
      <c r="K210" s="126">
        <v>206</v>
      </c>
      <c r="L210" s="133">
        <v>2400</v>
      </c>
      <c r="M210" s="128">
        <f t="shared" si="117"/>
        <v>2400</v>
      </c>
      <c r="N210" s="128">
        <f t="shared" si="123"/>
        <v>4800</v>
      </c>
      <c r="O210" s="128">
        <f t="shared" si="123"/>
        <v>9600</v>
      </c>
      <c r="P210" s="128">
        <f t="shared" si="123"/>
        <v>24000</v>
      </c>
      <c r="Q210" s="128">
        <f t="shared" si="123"/>
        <v>72000</v>
      </c>
      <c r="S210" s="126">
        <v>206</v>
      </c>
      <c r="T210" s="126">
        <f>SUM(M$5:M210)</f>
        <v>66145</v>
      </c>
      <c r="U210" s="126">
        <f>SUM(N$5:N210)</f>
        <v>132290</v>
      </c>
      <c r="V210" s="126">
        <f>SUM(O$5:O210)</f>
        <v>264580</v>
      </c>
      <c r="W210" s="126">
        <f>SUM(P$5:P210)</f>
        <v>661450</v>
      </c>
      <c r="X210" s="126">
        <f>SUM(Q$5:Q210)</f>
        <v>1984350</v>
      </c>
      <c r="Z210" s="128">
        <v>206</v>
      </c>
      <c r="AA210" s="128">
        <f t="shared" si="118"/>
        <v>96000</v>
      </c>
      <c r="AB210" s="128">
        <f t="shared" si="119"/>
        <v>192000</v>
      </c>
      <c r="AC210" s="128">
        <f t="shared" si="120"/>
        <v>384000</v>
      </c>
      <c r="AD210" s="128">
        <f t="shared" si="121"/>
        <v>960000</v>
      </c>
      <c r="AE210" s="128">
        <f t="shared" si="122"/>
        <v>2880000</v>
      </c>
      <c r="AG210" s="128">
        <v>206</v>
      </c>
      <c r="AH210" s="126">
        <f>SUM(AA$5:AA210)</f>
        <v>2645800</v>
      </c>
      <c r="AI210" s="126">
        <f>SUM(AB$5:AB210)</f>
        <v>5291600</v>
      </c>
      <c r="AJ210" s="126">
        <f>SUM(AC$5:AC210)</f>
        <v>10583200</v>
      </c>
      <c r="AK210" s="126">
        <f>SUM(AD$5:AD210)</f>
        <v>26458000</v>
      </c>
      <c r="AL210" s="126">
        <f>SUM(AE$5:AE210)</f>
        <v>79374000</v>
      </c>
      <c r="BW210" s="25">
        <v>27</v>
      </c>
      <c r="CI210" s="36"/>
    </row>
    <row r="211" spans="10:87" x14ac:dyDescent="0.15">
      <c r="J211" s="46">
        <f>INDEX('[1]资源-装备经验'!Y$6:Y$165,(K211+1)/2,1)</f>
        <v>0</v>
      </c>
      <c r="K211" s="126">
        <v>207</v>
      </c>
      <c r="L211" s="133">
        <v>2400</v>
      </c>
      <c r="M211" s="128">
        <f t="shared" si="117"/>
        <v>2400</v>
      </c>
      <c r="N211" s="128">
        <f t="shared" si="123"/>
        <v>4800</v>
      </c>
      <c r="O211" s="128">
        <f t="shared" si="123"/>
        <v>9600</v>
      </c>
      <c r="P211" s="128">
        <f t="shared" si="123"/>
        <v>24000</v>
      </c>
      <c r="Q211" s="128">
        <f t="shared" si="123"/>
        <v>72000</v>
      </c>
      <c r="S211" s="126">
        <v>207</v>
      </c>
      <c r="T211" s="126">
        <f>SUM(M$5:M211)</f>
        <v>68545</v>
      </c>
      <c r="U211" s="126">
        <f>SUM(N$5:N211)</f>
        <v>137090</v>
      </c>
      <c r="V211" s="126">
        <f>SUM(O$5:O211)</f>
        <v>274180</v>
      </c>
      <c r="W211" s="126">
        <f>SUM(P$5:P211)</f>
        <v>685450</v>
      </c>
      <c r="X211" s="126">
        <f>SUM(Q$5:Q211)</f>
        <v>2056350</v>
      </c>
      <c r="Z211" s="128">
        <v>207</v>
      </c>
      <c r="AA211" s="128">
        <f t="shared" si="118"/>
        <v>96000</v>
      </c>
      <c r="AB211" s="128">
        <f t="shared" si="119"/>
        <v>192000</v>
      </c>
      <c r="AC211" s="128">
        <f t="shared" si="120"/>
        <v>384000</v>
      </c>
      <c r="AD211" s="128">
        <f t="shared" si="121"/>
        <v>960000</v>
      </c>
      <c r="AE211" s="128">
        <f t="shared" si="122"/>
        <v>2880000</v>
      </c>
      <c r="AG211" s="128">
        <v>207</v>
      </c>
      <c r="AH211" s="126">
        <f>SUM(AA$5:AA211)</f>
        <v>2741800</v>
      </c>
      <c r="AI211" s="126">
        <f>SUM(AB$5:AB211)</f>
        <v>5483600</v>
      </c>
      <c r="AJ211" s="126">
        <f>SUM(AC$5:AC211)</f>
        <v>10967200</v>
      </c>
      <c r="AK211" s="126">
        <f>SUM(AD$5:AD211)</f>
        <v>27418000</v>
      </c>
      <c r="AL211" s="126">
        <f>SUM(AE$5:AE211)</f>
        <v>82254000</v>
      </c>
      <c r="BW211" s="25">
        <v>28</v>
      </c>
    </row>
    <row r="212" spans="10:87" x14ac:dyDescent="0.15">
      <c r="J212" s="46">
        <f>INDEX('[1]资源-装备经验'!Y$6:Y$165,(K212+1)/2,1)</f>
        <v>0</v>
      </c>
      <c r="K212" s="126">
        <v>208</v>
      </c>
      <c r="L212" s="133">
        <v>2400</v>
      </c>
      <c r="M212" s="128">
        <f t="shared" si="117"/>
        <v>2400</v>
      </c>
      <c r="N212" s="128">
        <f t="shared" si="123"/>
        <v>4800</v>
      </c>
      <c r="O212" s="128">
        <f t="shared" si="123"/>
        <v>9600</v>
      </c>
      <c r="P212" s="128">
        <f t="shared" si="123"/>
        <v>24000</v>
      </c>
      <c r="Q212" s="128">
        <f t="shared" si="123"/>
        <v>72000</v>
      </c>
      <c r="S212" s="126">
        <v>208</v>
      </c>
      <c r="T212" s="126">
        <f>SUM(M$5:M212)</f>
        <v>70945</v>
      </c>
      <c r="U212" s="126">
        <f>SUM(N$5:N212)</f>
        <v>141890</v>
      </c>
      <c r="V212" s="126">
        <f>SUM(O$5:O212)</f>
        <v>283780</v>
      </c>
      <c r="W212" s="126">
        <f>SUM(P$5:P212)</f>
        <v>709450</v>
      </c>
      <c r="X212" s="126">
        <f>SUM(Q$5:Q212)</f>
        <v>2128350</v>
      </c>
      <c r="Z212" s="128">
        <v>208</v>
      </c>
      <c r="AA212" s="128">
        <f t="shared" si="118"/>
        <v>96000</v>
      </c>
      <c r="AB212" s="128">
        <f t="shared" si="119"/>
        <v>192000</v>
      </c>
      <c r="AC212" s="128">
        <f t="shared" si="120"/>
        <v>384000</v>
      </c>
      <c r="AD212" s="128">
        <f t="shared" si="121"/>
        <v>960000</v>
      </c>
      <c r="AE212" s="128">
        <f t="shared" si="122"/>
        <v>2880000</v>
      </c>
      <c r="AG212" s="128">
        <v>208</v>
      </c>
      <c r="AH212" s="126">
        <f>SUM(AA$5:AA212)</f>
        <v>2837800</v>
      </c>
      <c r="AI212" s="126">
        <f>SUM(AB$5:AB212)</f>
        <v>5675600</v>
      </c>
      <c r="AJ212" s="126">
        <f>SUM(AC$5:AC212)</f>
        <v>11351200</v>
      </c>
      <c r="AK212" s="126">
        <f>SUM(AD$5:AD212)</f>
        <v>28378000</v>
      </c>
      <c r="AL212" s="126">
        <f>SUM(AE$5:AE212)</f>
        <v>85134000</v>
      </c>
      <c r="BW212" s="25">
        <v>29</v>
      </c>
    </row>
    <row r="213" spans="10:87" x14ac:dyDescent="0.15">
      <c r="J213" s="46">
        <f>INDEX('[1]资源-装备经验'!Y$6:Y$165,(K213+1)/2,1)</f>
        <v>0</v>
      </c>
      <c r="K213" s="126">
        <v>209</v>
      </c>
      <c r="L213" s="133">
        <v>2400</v>
      </c>
      <c r="M213" s="128">
        <f t="shared" si="117"/>
        <v>2400</v>
      </c>
      <c r="N213" s="128">
        <f t="shared" si="123"/>
        <v>4800</v>
      </c>
      <c r="O213" s="128">
        <f t="shared" si="123"/>
        <v>9600</v>
      </c>
      <c r="P213" s="128">
        <f t="shared" si="123"/>
        <v>24000</v>
      </c>
      <c r="Q213" s="128">
        <f t="shared" si="123"/>
        <v>72000</v>
      </c>
      <c r="S213" s="126">
        <v>209</v>
      </c>
      <c r="T213" s="126">
        <f>SUM(M$5:M213)</f>
        <v>73345</v>
      </c>
      <c r="U213" s="126">
        <f>SUM(N$5:N213)</f>
        <v>146690</v>
      </c>
      <c r="V213" s="126">
        <f>SUM(O$5:O213)</f>
        <v>293380</v>
      </c>
      <c r="W213" s="126">
        <f>SUM(P$5:P213)</f>
        <v>733450</v>
      </c>
      <c r="X213" s="126">
        <f>SUM(Q$5:Q213)</f>
        <v>2200350</v>
      </c>
      <c r="Z213" s="128">
        <v>209</v>
      </c>
      <c r="AA213" s="128">
        <f t="shared" si="118"/>
        <v>96000</v>
      </c>
      <c r="AB213" s="128">
        <f t="shared" si="119"/>
        <v>192000</v>
      </c>
      <c r="AC213" s="128">
        <f t="shared" si="120"/>
        <v>384000</v>
      </c>
      <c r="AD213" s="128">
        <f t="shared" si="121"/>
        <v>960000</v>
      </c>
      <c r="AE213" s="128">
        <f t="shared" si="122"/>
        <v>2880000</v>
      </c>
      <c r="AG213" s="128">
        <v>209</v>
      </c>
      <c r="AH213" s="126">
        <f>SUM(AA$5:AA213)</f>
        <v>2933800</v>
      </c>
      <c r="AI213" s="126">
        <f>SUM(AB$5:AB213)</f>
        <v>5867600</v>
      </c>
      <c r="AJ213" s="126">
        <f>SUM(AC$5:AC213)</f>
        <v>11735200</v>
      </c>
      <c r="AK213" s="126">
        <f>SUM(AD$5:AD213)</f>
        <v>29338000</v>
      </c>
      <c r="AL213" s="126">
        <f>SUM(AE$5:AE213)</f>
        <v>88014000</v>
      </c>
      <c r="BW213" s="25">
        <v>30</v>
      </c>
    </row>
    <row r="214" spans="10:87" x14ac:dyDescent="0.15">
      <c r="J214" s="46">
        <f>INDEX('[1]资源-装备经验'!Y$6:Y$165,(K214+1)/2,1)</f>
        <v>0</v>
      </c>
      <c r="K214" s="126">
        <v>210</v>
      </c>
      <c r="L214" s="133">
        <v>3600</v>
      </c>
      <c r="M214" s="128">
        <f t="shared" si="117"/>
        <v>3600</v>
      </c>
      <c r="N214" s="128">
        <f t="shared" si="123"/>
        <v>7200</v>
      </c>
      <c r="O214" s="128">
        <f t="shared" si="123"/>
        <v>14400</v>
      </c>
      <c r="P214" s="128">
        <f t="shared" si="123"/>
        <v>36000</v>
      </c>
      <c r="Q214" s="128">
        <f t="shared" si="123"/>
        <v>108000</v>
      </c>
      <c r="S214" s="126">
        <v>210</v>
      </c>
      <c r="T214" s="126">
        <f>SUM(M$5:M214)</f>
        <v>76945</v>
      </c>
      <c r="U214" s="126">
        <f>SUM(N$5:N214)</f>
        <v>153890</v>
      </c>
      <c r="V214" s="126">
        <f>SUM(O$5:O214)</f>
        <v>307780</v>
      </c>
      <c r="W214" s="126">
        <f>SUM(P$5:P214)</f>
        <v>769450</v>
      </c>
      <c r="X214" s="126">
        <f>SUM(Q$5:Q214)</f>
        <v>2308350</v>
      </c>
      <c r="Z214" s="128">
        <v>210</v>
      </c>
      <c r="AA214" s="128">
        <f t="shared" si="118"/>
        <v>144000</v>
      </c>
      <c r="AB214" s="128">
        <f t="shared" si="119"/>
        <v>288000</v>
      </c>
      <c r="AC214" s="128">
        <f t="shared" si="120"/>
        <v>576000</v>
      </c>
      <c r="AD214" s="128">
        <f t="shared" si="121"/>
        <v>1440000</v>
      </c>
      <c r="AE214" s="128">
        <f t="shared" si="122"/>
        <v>4320000</v>
      </c>
      <c r="AG214" s="128">
        <v>210</v>
      </c>
      <c r="AH214" s="126">
        <f>SUM(AA$5:AA214)</f>
        <v>3077800</v>
      </c>
      <c r="AI214" s="126">
        <f>SUM(AB$5:AB214)</f>
        <v>6155600</v>
      </c>
      <c r="AJ214" s="126">
        <f>SUM(AC$5:AC214)</f>
        <v>12311200</v>
      </c>
      <c r="AK214" s="126">
        <f>SUM(AD$5:AD214)</f>
        <v>30778000</v>
      </c>
      <c r="AL214" s="126">
        <f>SUM(AE$5:AE214)</f>
        <v>92334000</v>
      </c>
      <c r="BW214" s="25">
        <v>31</v>
      </c>
    </row>
    <row r="215" spans="10:87" x14ac:dyDescent="0.15">
      <c r="J215" s="46">
        <f>INDEX('[1]资源-装备经验'!Y$6:Y$165,(K215+1)/2,1)</f>
        <v>0</v>
      </c>
      <c r="K215" s="126">
        <v>211</v>
      </c>
      <c r="L215" s="133">
        <v>3600</v>
      </c>
      <c r="M215" s="128">
        <f t="shared" si="117"/>
        <v>3600</v>
      </c>
      <c r="N215" s="128">
        <f t="shared" si="123"/>
        <v>7200</v>
      </c>
      <c r="O215" s="128">
        <f t="shared" si="123"/>
        <v>14400</v>
      </c>
      <c r="P215" s="128">
        <f t="shared" si="123"/>
        <v>36000</v>
      </c>
      <c r="Q215" s="128">
        <f t="shared" si="123"/>
        <v>108000</v>
      </c>
      <c r="S215" s="126">
        <v>211</v>
      </c>
      <c r="T215" s="126">
        <f>SUM(M$5:M215)</f>
        <v>80545</v>
      </c>
      <c r="U215" s="126">
        <f>SUM(N$5:N215)</f>
        <v>161090</v>
      </c>
      <c r="V215" s="126">
        <f>SUM(O$5:O215)</f>
        <v>322180</v>
      </c>
      <c r="W215" s="126">
        <f>SUM(P$5:P215)</f>
        <v>805450</v>
      </c>
      <c r="X215" s="126">
        <f>SUM(Q$5:Q215)</f>
        <v>2416350</v>
      </c>
      <c r="Z215" s="128">
        <v>211</v>
      </c>
      <c r="AA215" s="128">
        <f t="shared" si="118"/>
        <v>144000</v>
      </c>
      <c r="AB215" s="128">
        <f t="shared" si="119"/>
        <v>288000</v>
      </c>
      <c r="AC215" s="128">
        <f t="shared" si="120"/>
        <v>576000</v>
      </c>
      <c r="AD215" s="128">
        <f t="shared" si="121"/>
        <v>1440000</v>
      </c>
      <c r="AE215" s="128">
        <f t="shared" si="122"/>
        <v>4320000</v>
      </c>
      <c r="AG215" s="128">
        <v>211</v>
      </c>
      <c r="AH215" s="126">
        <f>SUM(AA$5:AA215)</f>
        <v>3221800</v>
      </c>
      <c r="AI215" s="126">
        <f>SUM(AB$5:AB215)</f>
        <v>6443600</v>
      </c>
      <c r="AJ215" s="126">
        <f>SUM(AC$5:AC215)</f>
        <v>12887200</v>
      </c>
      <c r="AK215" s="126">
        <f>SUM(AD$5:AD215)</f>
        <v>32218000</v>
      </c>
      <c r="AL215" s="126">
        <f>SUM(AE$5:AE215)</f>
        <v>96654000</v>
      </c>
      <c r="BW215" s="25">
        <v>32</v>
      </c>
    </row>
    <row r="216" spans="10:87" x14ac:dyDescent="0.15">
      <c r="J216" s="46">
        <f>INDEX('[1]资源-装备经验'!Y$6:Y$165,(K216+1)/2,1)</f>
        <v>0</v>
      </c>
      <c r="K216" s="126">
        <v>212</v>
      </c>
      <c r="L216" s="133">
        <v>3600</v>
      </c>
      <c r="M216" s="128">
        <f t="shared" si="117"/>
        <v>3600</v>
      </c>
      <c r="N216" s="128">
        <f t="shared" si="123"/>
        <v>7200</v>
      </c>
      <c r="O216" s="128">
        <f t="shared" si="123"/>
        <v>14400</v>
      </c>
      <c r="P216" s="128">
        <f t="shared" si="123"/>
        <v>36000</v>
      </c>
      <c r="Q216" s="128">
        <f t="shared" si="123"/>
        <v>108000</v>
      </c>
      <c r="S216" s="126">
        <v>212</v>
      </c>
      <c r="T216" s="126">
        <f>SUM(M$5:M216)</f>
        <v>84145</v>
      </c>
      <c r="U216" s="126">
        <f>SUM(N$5:N216)</f>
        <v>168290</v>
      </c>
      <c r="V216" s="126">
        <f>SUM(O$5:O216)</f>
        <v>336580</v>
      </c>
      <c r="W216" s="126">
        <f>SUM(P$5:P216)</f>
        <v>841450</v>
      </c>
      <c r="X216" s="126">
        <f>SUM(Q$5:Q216)</f>
        <v>2524350</v>
      </c>
      <c r="Z216" s="128">
        <v>212</v>
      </c>
      <c r="AA216" s="128">
        <f t="shared" si="118"/>
        <v>144000</v>
      </c>
      <c r="AB216" s="128">
        <f t="shared" si="119"/>
        <v>288000</v>
      </c>
      <c r="AC216" s="128">
        <f t="shared" si="120"/>
        <v>576000</v>
      </c>
      <c r="AD216" s="128">
        <f t="shared" si="121"/>
        <v>1440000</v>
      </c>
      <c r="AE216" s="128">
        <f t="shared" si="122"/>
        <v>4320000</v>
      </c>
      <c r="AG216" s="128">
        <v>212</v>
      </c>
      <c r="AH216" s="126">
        <f>SUM(AA$5:AA216)</f>
        <v>3365800</v>
      </c>
      <c r="AI216" s="126">
        <f>SUM(AB$5:AB216)</f>
        <v>6731600</v>
      </c>
      <c r="AJ216" s="126">
        <f>SUM(AC$5:AC216)</f>
        <v>13463200</v>
      </c>
      <c r="AK216" s="126">
        <f>SUM(AD$5:AD216)</f>
        <v>33658000</v>
      </c>
      <c r="AL216" s="126">
        <f>SUM(AE$5:AE216)</f>
        <v>100974000</v>
      </c>
      <c r="BW216" s="25">
        <v>33</v>
      </c>
    </row>
    <row r="217" spans="10:87" x14ac:dyDescent="0.15">
      <c r="J217" s="46">
        <f>INDEX('[1]资源-装备经验'!Y$6:Y$165,(K217+1)/2,1)</f>
        <v>0</v>
      </c>
      <c r="K217" s="126">
        <v>213</v>
      </c>
      <c r="L217" s="133">
        <v>3600</v>
      </c>
      <c r="M217" s="128">
        <f t="shared" si="117"/>
        <v>3600</v>
      </c>
      <c r="N217" s="128">
        <f t="shared" si="123"/>
        <v>7200</v>
      </c>
      <c r="O217" s="128">
        <f t="shared" si="123"/>
        <v>14400</v>
      </c>
      <c r="P217" s="128">
        <f t="shared" si="123"/>
        <v>36000</v>
      </c>
      <c r="Q217" s="128">
        <f t="shared" si="123"/>
        <v>108000</v>
      </c>
      <c r="S217" s="126">
        <v>213</v>
      </c>
      <c r="T217" s="126">
        <f>SUM(M$5:M217)</f>
        <v>87745</v>
      </c>
      <c r="U217" s="126">
        <f>SUM(N$5:N217)</f>
        <v>175490</v>
      </c>
      <c r="V217" s="126">
        <f>SUM(O$5:O217)</f>
        <v>350980</v>
      </c>
      <c r="W217" s="126">
        <f>SUM(P$5:P217)</f>
        <v>877450</v>
      </c>
      <c r="X217" s="126">
        <f>SUM(Q$5:Q217)</f>
        <v>2632350</v>
      </c>
      <c r="Z217" s="128">
        <v>213</v>
      </c>
      <c r="AA217" s="128">
        <f t="shared" si="118"/>
        <v>144000</v>
      </c>
      <c r="AB217" s="128">
        <f t="shared" si="119"/>
        <v>288000</v>
      </c>
      <c r="AC217" s="128">
        <f t="shared" si="120"/>
        <v>576000</v>
      </c>
      <c r="AD217" s="128">
        <f t="shared" si="121"/>
        <v>1440000</v>
      </c>
      <c r="AE217" s="128">
        <f t="shared" si="122"/>
        <v>4320000</v>
      </c>
      <c r="AG217" s="128">
        <v>213</v>
      </c>
      <c r="AH217" s="126">
        <f>SUM(AA$5:AA217)</f>
        <v>3509800</v>
      </c>
      <c r="AI217" s="126">
        <f>SUM(AB$5:AB217)</f>
        <v>7019600</v>
      </c>
      <c r="AJ217" s="126">
        <f>SUM(AC$5:AC217)</f>
        <v>14039200</v>
      </c>
      <c r="AK217" s="126">
        <f>SUM(AD$5:AD217)</f>
        <v>35098000</v>
      </c>
      <c r="AL217" s="126">
        <f>SUM(AE$5:AE217)</f>
        <v>105294000</v>
      </c>
      <c r="BW217" s="25">
        <v>34</v>
      </c>
    </row>
    <row r="218" spans="10:87" x14ac:dyDescent="0.15">
      <c r="J218" s="46">
        <f>INDEX('[1]资源-装备经验'!Y$6:Y$165,(K218+1)/2,1)</f>
        <v>0</v>
      </c>
      <c r="K218" s="126">
        <v>214</v>
      </c>
      <c r="L218" s="133">
        <v>3600</v>
      </c>
      <c r="M218" s="128">
        <f t="shared" si="117"/>
        <v>3600</v>
      </c>
      <c r="N218" s="128">
        <f t="shared" si="123"/>
        <v>7200</v>
      </c>
      <c r="O218" s="128">
        <f t="shared" si="123"/>
        <v>14400</v>
      </c>
      <c r="P218" s="128">
        <f t="shared" si="123"/>
        <v>36000</v>
      </c>
      <c r="Q218" s="128">
        <f t="shared" si="123"/>
        <v>108000</v>
      </c>
      <c r="S218" s="126">
        <v>214</v>
      </c>
      <c r="T218" s="126">
        <f>SUM(M$5:M218)</f>
        <v>91345</v>
      </c>
      <c r="U218" s="126">
        <f>SUM(N$5:N218)</f>
        <v>182690</v>
      </c>
      <c r="V218" s="126">
        <f>SUM(O$5:O218)</f>
        <v>365380</v>
      </c>
      <c r="W218" s="126">
        <f>SUM(P$5:P218)</f>
        <v>913450</v>
      </c>
      <c r="X218" s="126">
        <f>SUM(Q$5:Q218)</f>
        <v>2740350</v>
      </c>
      <c r="Z218" s="128">
        <v>214</v>
      </c>
      <c r="AA218" s="128">
        <f t="shared" si="118"/>
        <v>144000</v>
      </c>
      <c r="AB218" s="128">
        <f t="shared" si="119"/>
        <v>288000</v>
      </c>
      <c r="AC218" s="128">
        <f t="shared" si="120"/>
        <v>576000</v>
      </c>
      <c r="AD218" s="128">
        <f t="shared" si="121"/>
        <v>1440000</v>
      </c>
      <c r="AE218" s="128">
        <f t="shared" si="122"/>
        <v>4320000</v>
      </c>
      <c r="AG218" s="128">
        <v>214</v>
      </c>
      <c r="AH218" s="126">
        <f>SUM(AA$5:AA218)</f>
        <v>3653800</v>
      </c>
      <c r="AI218" s="126">
        <f>SUM(AB$5:AB218)</f>
        <v>7307600</v>
      </c>
      <c r="AJ218" s="126">
        <f>SUM(AC$5:AC218)</f>
        <v>14615200</v>
      </c>
      <c r="AK218" s="126">
        <f>SUM(AD$5:AD218)</f>
        <v>36538000</v>
      </c>
      <c r="AL218" s="126">
        <f>SUM(AE$5:AE218)</f>
        <v>109614000</v>
      </c>
      <c r="BW218" s="25">
        <v>35</v>
      </c>
    </row>
    <row r="219" spans="10:87" x14ac:dyDescent="0.15">
      <c r="J219" s="46">
        <f>INDEX('[1]资源-装备经验'!Y$6:Y$165,(K219+1)/2,1)</f>
        <v>0</v>
      </c>
      <c r="K219" s="126">
        <v>215</v>
      </c>
      <c r="L219" s="133">
        <v>3600</v>
      </c>
      <c r="M219" s="128">
        <f t="shared" si="117"/>
        <v>3600</v>
      </c>
      <c r="N219" s="128">
        <f t="shared" si="123"/>
        <v>7200</v>
      </c>
      <c r="O219" s="128">
        <f t="shared" si="123"/>
        <v>14400</v>
      </c>
      <c r="P219" s="128">
        <f t="shared" si="123"/>
        <v>36000</v>
      </c>
      <c r="Q219" s="128">
        <f t="shared" si="123"/>
        <v>108000</v>
      </c>
      <c r="S219" s="126">
        <v>215</v>
      </c>
      <c r="T219" s="126">
        <f>SUM(M$5:M219)</f>
        <v>94945</v>
      </c>
      <c r="U219" s="126">
        <f>SUM(N$5:N219)</f>
        <v>189890</v>
      </c>
      <c r="V219" s="126">
        <f>SUM(O$5:O219)</f>
        <v>379780</v>
      </c>
      <c r="W219" s="126">
        <f>SUM(P$5:P219)</f>
        <v>949450</v>
      </c>
      <c r="X219" s="126">
        <f>SUM(Q$5:Q219)</f>
        <v>2848350</v>
      </c>
      <c r="Z219" s="128">
        <v>215</v>
      </c>
      <c r="AA219" s="128">
        <f t="shared" si="118"/>
        <v>144000</v>
      </c>
      <c r="AB219" s="128">
        <f t="shared" si="119"/>
        <v>288000</v>
      </c>
      <c r="AC219" s="128">
        <f t="shared" si="120"/>
        <v>576000</v>
      </c>
      <c r="AD219" s="128">
        <f t="shared" si="121"/>
        <v>1440000</v>
      </c>
      <c r="AE219" s="128">
        <f t="shared" si="122"/>
        <v>4320000</v>
      </c>
      <c r="AG219" s="128">
        <v>215</v>
      </c>
      <c r="AH219" s="126">
        <f>SUM(AA$5:AA219)</f>
        <v>3797800</v>
      </c>
      <c r="AI219" s="126">
        <f>SUM(AB$5:AB219)</f>
        <v>7595600</v>
      </c>
      <c r="AJ219" s="126">
        <f>SUM(AC$5:AC219)</f>
        <v>15191200</v>
      </c>
      <c r="AK219" s="126">
        <f>SUM(AD$5:AD219)</f>
        <v>37978000</v>
      </c>
      <c r="AL219" s="126">
        <f>SUM(AE$5:AE219)</f>
        <v>113934000</v>
      </c>
      <c r="BW219" s="25">
        <v>36</v>
      </c>
    </row>
    <row r="220" spans="10:87" x14ac:dyDescent="0.15">
      <c r="J220" s="46">
        <f>INDEX('[1]资源-装备经验'!Y$6:Y$165,(K220+1)/2,1)</f>
        <v>0</v>
      </c>
      <c r="K220" s="126">
        <v>216</v>
      </c>
      <c r="L220" s="133">
        <v>3600</v>
      </c>
      <c r="M220" s="128">
        <f t="shared" si="117"/>
        <v>3600</v>
      </c>
      <c r="N220" s="128">
        <f t="shared" si="123"/>
        <v>7200</v>
      </c>
      <c r="O220" s="128">
        <f t="shared" si="123"/>
        <v>14400</v>
      </c>
      <c r="P220" s="128">
        <f t="shared" si="123"/>
        <v>36000</v>
      </c>
      <c r="Q220" s="128">
        <f t="shared" si="123"/>
        <v>108000</v>
      </c>
      <c r="S220" s="126">
        <v>216</v>
      </c>
      <c r="T220" s="126">
        <f>SUM(M$5:M220)</f>
        <v>98545</v>
      </c>
      <c r="U220" s="126">
        <f>SUM(N$5:N220)</f>
        <v>197090</v>
      </c>
      <c r="V220" s="126">
        <f>SUM(O$5:O220)</f>
        <v>394180</v>
      </c>
      <c r="W220" s="126">
        <f>SUM(P$5:P220)</f>
        <v>985450</v>
      </c>
      <c r="X220" s="126">
        <f>SUM(Q$5:Q220)</f>
        <v>2956350</v>
      </c>
      <c r="Z220" s="128">
        <v>216</v>
      </c>
      <c r="AA220" s="128">
        <f t="shared" si="118"/>
        <v>144000</v>
      </c>
      <c r="AB220" s="128">
        <f t="shared" si="119"/>
        <v>288000</v>
      </c>
      <c r="AC220" s="128">
        <f t="shared" si="120"/>
        <v>576000</v>
      </c>
      <c r="AD220" s="128">
        <f t="shared" si="121"/>
        <v>1440000</v>
      </c>
      <c r="AE220" s="128">
        <f t="shared" si="122"/>
        <v>4320000</v>
      </c>
      <c r="AG220" s="128">
        <v>216</v>
      </c>
      <c r="AH220" s="126">
        <f>SUM(AA$5:AA220)</f>
        <v>3941800</v>
      </c>
      <c r="AI220" s="126">
        <f>SUM(AB$5:AB220)</f>
        <v>7883600</v>
      </c>
      <c r="AJ220" s="126">
        <f>SUM(AC$5:AC220)</f>
        <v>15767200</v>
      </c>
      <c r="AK220" s="126">
        <f>SUM(AD$5:AD220)</f>
        <v>39418000</v>
      </c>
      <c r="AL220" s="126">
        <f>SUM(AE$5:AE220)</f>
        <v>118254000</v>
      </c>
      <c r="BW220" s="25">
        <v>37</v>
      </c>
    </row>
    <row r="221" spans="10:87" x14ac:dyDescent="0.15">
      <c r="J221" s="46">
        <f>INDEX('[1]资源-装备经验'!Y$6:Y$165,(K221+1)/2,1)</f>
        <v>0</v>
      </c>
      <c r="K221" s="126">
        <v>217</v>
      </c>
      <c r="L221" s="133">
        <v>3600</v>
      </c>
      <c r="M221" s="128">
        <f t="shared" si="117"/>
        <v>3600</v>
      </c>
      <c r="N221" s="128">
        <f t="shared" si="123"/>
        <v>7200</v>
      </c>
      <c r="O221" s="128">
        <f t="shared" si="123"/>
        <v>14400</v>
      </c>
      <c r="P221" s="128">
        <f t="shared" si="123"/>
        <v>36000</v>
      </c>
      <c r="Q221" s="128">
        <f t="shared" si="123"/>
        <v>108000</v>
      </c>
      <c r="S221" s="126">
        <v>217</v>
      </c>
      <c r="T221" s="126">
        <f>SUM(M$5:M221)</f>
        <v>102145</v>
      </c>
      <c r="U221" s="126">
        <f>SUM(N$5:N221)</f>
        <v>204290</v>
      </c>
      <c r="V221" s="126">
        <f>SUM(O$5:O221)</f>
        <v>408580</v>
      </c>
      <c r="W221" s="126">
        <f>SUM(P$5:P221)</f>
        <v>1021450</v>
      </c>
      <c r="X221" s="126">
        <f>SUM(Q$5:Q221)</f>
        <v>3064350</v>
      </c>
      <c r="Z221" s="128">
        <v>217</v>
      </c>
      <c r="AA221" s="128">
        <f t="shared" si="118"/>
        <v>144000</v>
      </c>
      <c r="AB221" s="128">
        <f t="shared" si="119"/>
        <v>288000</v>
      </c>
      <c r="AC221" s="128">
        <f t="shared" si="120"/>
        <v>576000</v>
      </c>
      <c r="AD221" s="128">
        <f t="shared" si="121"/>
        <v>1440000</v>
      </c>
      <c r="AE221" s="128">
        <f t="shared" si="122"/>
        <v>4320000</v>
      </c>
      <c r="AG221" s="128">
        <v>217</v>
      </c>
      <c r="AH221" s="126">
        <f>SUM(AA$5:AA221)</f>
        <v>4085800</v>
      </c>
      <c r="AI221" s="126">
        <f>SUM(AB$5:AB221)</f>
        <v>8171600</v>
      </c>
      <c r="AJ221" s="126">
        <f>SUM(AC$5:AC221)</f>
        <v>16343200</v>
      </c>
      <c r="AK221" s="126">
        <f>SUM(AD$5:AD221)</f>
        <v>40858000</v>
      </c>
      <c r="AL221" s="126">
        <f>SUM(AE$5:AE221)</f>
        <v>122574000</v>
      </c>
      <c r="BW221" s="25">
        <v>38</v>
      </c>
    </row>
    <row r="222" spans="10:87" x14ac:dyDescent="0.15">
      <c r="J222" s="46">
        <f>INDEX('[1]资源-装备经验'!Y$6:Y$165,(K222+1)/2,1)</f>
        <v>0</v>
      </c>
      <c r="K222" s="126">
        <v>218</v>
      </c>
      <c r="L222" s="133">
        <v>3600</v>
      </c>
      <c r="M222" s="128">
        <f t="shared" si="117"/>
        <v>3600</v>
      </c>
      <c r="N222" s="128">
        <f t="shared" si="123"/>
        <v>7200</v>
      </c>
      <c r="O222" s="128">
        <f t="shared" si="123"/>
        <v>14400</v>
      </c>
      <c r="P222" s="128">
        <f t="shared" si="123"/>
        <v>36000</v>
      </c>
      <c r="Q222" s="128">
        <f t="shared" si="123"/>
        <v>108000</v>
      </c>
      <c r="S222" s="126">
        <v>218</v>
      </c>
      <c r="T222" s="126">
        <f>SUM(M$5:M222)</f>
        <v>105745</v>
      </c>
      <c r="U222" s="126">
        <f>SUM(N$5:N222)</f>
        <v>211490</v>
      </c>
      <c r="V222" s="126">
        <f>SUM(O$5:O222)</f>
        <v>422980</v>
      </c>
      <c r="W222" s="126">
        <f>SUM(P$5:P222)</f>
        <v>1057450</v>
      </c>
      <c r="X222" s="126">
        <f>SUM(Q$5:Q222)</f>
        <v>3172350</v>
      </c>
      <c r="Z222" s="128">
        <v>218</v>
      </c>
      <c r="AA222" s="128">
        <f t="shared" si="118"/>
        <v>144000</v>
      </c>
      <c r="AB222" s="128">
        <f t="shared" si="119"/>
        <v>288000</v>
      </c>
      <c r="AC222" s="128">
        <f t="shared" si="120"/>
        <v>576000</v>
      </c>
      <c r="AD222" s="128">
        <f t="shared" si="121"/>
        <v>1440000</v>
      </c>
      <c r="AE222" s="128">
        <f t="shared" si="122"/>
        <v>4320000</v>
      </c>
      <c r="AG222" s="128">
        <v>218</v>
      </c>
      <c r="AH222" s="126">
        <f>SUM(AA$5:AA222)</f>
        <v>4229800</v>
      </c>
      <c r="AI222" s="126">
        <f>SUM(AB$5:AB222)</f>
        <v>8459600</v>
      </c>
      <c r="AJ222" s="126">
        <f>SUM(AC$5:AC222)</f>
        <v>16919200</v>
      </c>
      <c r="AK222" s="126">
        <f>SUM(AD$5:AD222)</f>
        <v>42298000</v>
      </c>
      <c r="AL222" s="126">
        <f>SUM(AE$5:AE222)</f>
        <v>126894000</v>
      </c>
      <c r="BW222" s="25">
        <v>39</v>
      </c>
    </row>
    <row r="223" spans="10:87" x14ac:dyDescent="0.15">
      <c r="J223" s="46">
        <f>INDEX('[1]资源-装备经验'!Y$6:Y$165,(K223+1)/2,1)</f>
        <v>0</v>
      </c>
      <c r="K223" s="126">
        <v>219</v>
      </c>
      <c r="L223" s="133">
        <v>3600</v>
      </c>
      <c r="M223" s="128">
        <f t="shared" si="117"/>
        <v>3600</v>
      </c>
      <c r="N223" s="128">
        <f t="shared" si="123"/>
        <v>7200</v>
      </c>
      <c r="O223" s="128">
        <f t="shared" si="123"/>
        <v>14400</v>
      </c>
      <c r="P223" s="128">
        <f t="shared" si="123"/>
        <v>36000</v>
      </c>
      <c r="Q223" s="128">
        <f t="shared" si="123"/>
        <v>108000</v>
      </c>
      <c r="S223" s="126">
        <v>219</v>
      </c>
      <c r="T223" s="126">
        <f>SUM(M$5:M223)</f>
        <v>109345</v>
      </c>
      <c r="U223" s="126">
        <f>SUM(N$5:N223)</f>
        <v>218690</v>
      </c>
      <c r="V223" s="126">
        <f>SUM(O$5:O223)</f>
        <v>437380</v>
      </c>
      <c r="W223" s="126">
        <f>SUM(P$5:P223)</f>
        <v>1093450</v>
      </c>
      <c r="X223" s="126">
        <f>SUM(Q$5:Q223)</f>
        <v>3280350</v>
      </c>
      <c r="Z223" s="128">
        <v>219</v>
      </c>
      <c r="AA223" s="128">
        <f t="shared" si="118"/>
        <v>144000</v>
      </c>
      <c r="AB223" s="128">
        <f t="shared" si="119"/>
        <v>288000</v>
      </c>
      <c r="AC223" s="128">
        <f t="shared" si="120"/>
        <v>576000</v>
      </c>
      <c r="AD223" s="128">
        <f t="shared" si="121"/>
        <v>1440000</v>
      </c>
      <c r="AE223" s="128">
        <f t="shared" si="122"/>
        <v>4320000</v>
      </c>
      <c r="AG223" s="128">
        <v>219</v>
      </c>
      <c r="AH223" s="126">
        <f>SUM(AA$5:AA223)</f>
        <v>4373800</v>
      </c>
      <c r="AI223" s="126">
        <f>SUM(AB$5:AB223)</f>
        <v>8747600</v>
      </c>
      <c r="AJ223" s="126">
        <f>SUM(AC$5:AC223)</f>
        <v>17495200</v>
      </c>
      <c r="AK223" s="126">
        <f>SUM(AD$5:AD223)</f>
        <v>43738000</v>
      </c>
      <c r="AL223" s="126">
        <f>SUM(AE$5:AE223)</f>
        <v>131214000</v>
      </c>
      <c r="BW223" s="25">
        <v>40</v>
      </c>
    </row>
    <row r="224" spans="10:87" x14ac:dyDescent="0.15">
      <c r="J224" s="46">
        <f>INDEX('[1]资源-装备经验'!Y$6:Y$165,(K224+1)/2,1)</f>
        <v>0</v>
      </c>
      <c r="K224" s="126">
        <v>220</v>
      </c>
      <c r="L224" s="133">
        <v>5400</v>
      </c>
      <c r="M224" s="128">
        <f t="shared" si="117"/>
        <v>5400</v>
      </c>
      <c r="N224" s="128">
        <f t="shared" si="123"/>
        <v>10800</v>
      </c>
      <c r="O224" s="128">
        <f t="shared" si="123"/>
        <v>21600</v>
      </c>
      <c r="P224" s="128">
        <f t="shared" si="123"/>
        <v>54000</v>
      </c>
      <c r="Q224" s="128">
        <f t="shared" si="123"/>
        <v>162000</v>
      </c>
      <c r="S224" s="126">
        <v>220</v>
      </c>
      <c r="T224" s="126">
        <f>SUM(M$5:M224)</f>
        <v>114745</v>
      </c>
      <c r="U224" s="126">
        <f>SUM(N$5:N224)</f>
        <v>229490</v>
      </c>
      <c r="V224" s="126">
        <f>SUM(O$5:O224)</f>
        <v>458980</v>
      </c>
      <c r="W224" s="126">
        <f>SUM(P$5:P224)</f>
        <v>1147450</v>
      </c>
      <c r="X224" s="126">
        <f>SUM(Q$5:Q224)</f>
        <v>3442350</v>
      </c>
      <c r="Z224" s="128">
        <v>220</v>
      </c>
      <c r="AA224" s="128">
        <f t="shared" si="118"/>
        <v>216000</v>
      </c>
      <c r="AB224" s="128">
        <f t="shared" si="119"/>
        <v>432000</v>
      </c>
      <c r="AC224" s="128">
        <f t="shared" si="120"/>
        <v>864000</v>
      </c>
      <c r="AD224" s="128">
        <f t="shared" si="121"/>
        <v>2160000</v>
      </c>
      <c r="AE224" s="128">
        <f t="shared" si="122"/>
        <v>6480000</v>
      </c>
      <c r="AG224" s="128">
        <v>220</v>
      </c>
      <c r="AH224" s="126">
        <f>SUM(AA$5:AA224)</f>
        <v>4589800</v>
      </c>
      <c r="AI224" s="126">
        <f>SUM(AB$5:AB224)</f>
        <v>9179600</v>
      </c>
      <c r="AJ224" s="126">
        <f>SUM(AC$5:AC224)</f>
        <v>18359200</v>
      </c>
      <c r="AK224" s="126">
        <f>SUM(AD$5:AD224)</f>
        <v>45898000</v>
      </c>
      <c r="AL224" s="126">
        <f>SUM(AE$5:AE224)</f>
        <v>137694000</v>
      </c>
      <c r="BW224" s="25">
        <v>41</v>
      </c>
    </row>
    <row r="225" spans="10:75" x14ac:dyDescent="0.15">
      <c r="J225" s="46">
        <f>INDEX('[1]资源-装备经验'!Y$6:Y$165,(K225+1)/2,1)</f>
        <v>0</v>
      </c>
      <c r="K225" s="126">
        <v>221</v>
      </c>
      <c r="L225" s="133">
        <v>5400</v>
      </c>
      <c r="M225" s="128">
        <f t="shared" si="117"/>
        <v>5400</v>
      </c>
      <c r="N225" s="128">
        <f t="shared" si="123"/>
        <v>10800</v>
      </c>
      <c r="O225" s="128">
        <f t="shared" si="123"/>
        <v>21600</v>
      </c>
      <c r="P225" s="128">
        <f t="shared" si="123"/>
        <v>54000</v>
      </c>
      <c r="Q225" s="128">
        <f t="shared" si="123"/>
        <v>162000</v>
      </c>
      <c r="S225" s="126">
        <v>221</v>
      </c>
      <c r="T225" s="126">
        <f>SUM(M$5:M225)</f>
        <v>120145</v>
      </c>
      <c r="U225" s="126">
        <f>SUM(N$5:N225)</f>
        <v>240290</v>
      </c>
      <c r="V225" s="126">
        <f>SUM(O$5:O225)</f>
        <v>480580</v>
      </c>
      <c r="W225" s="126">
        <f>SUM(P$5:P225)</f>
        <v>1201450</v>
      </c>
      <c r="X225" s="126">
        <f>SUM(Q$5:Q225)</f>
        <v>3604350</v>
      </c>
      <c r="Z225" s="128">
        <v>221</v>
      </c>
      <c r="AA225" s="128">
        <f t="shared" si="118"/>
        <v>216000</v>
      </c>
      <c r="AB225" s="128">
        <f t="shared" si="119"/>
        <v>432000</v>
      </c>
      <c r="AC225" s="128">
        <f t="shared" si="120"/>
        <v>864000</v>
      </c>
      <c r="AD225" s="128">
        <f t="shared" si="121"/>
        <v>2160000</v>
      </c>
      <c r="AE225" s="128">
        <f t="shared" si="122"/>
        <v>6480000</v>
      </c>
      <c r="AG225" s="128">
        <v>221</v>
      </c>
      <c r="AH225" s="126">
        <f>SUM(AA$5:AA225)</f>
        <v>4805800</v>
      </c>
      <c r="AI225" s="126">
        <f>SUM(AB$5:AB225)</f>
        <v>9611600</v>
      </c>
      <c r="AJ225" s="126">
        <f>SUM(AC$5:AC225)</f>
        <v>19223200</v>
      </c>
      <c r="AK225" s="126">
        <f>SUM(AD$5:AD225)</f>
        <v>48058000</v>
      </c>
      <c r="AL225" s="126">
        <f>SUM(AE$5:AE225)</f>
        <v>144174000</v>
      </c>
      <c r="BW225" s="25">
        <v>42</v>
      </c>
    </row>
    <row r="226" spans="10:75" x14ac:dyDescent="0.15">
      <c r="J226" s="46">
        <f>INDEX('[1]资源-装备经验'!Y$6:Y$165,(K226+1)/2,1)</f>
        <v>0</v>
      </c>
      <c r="K226" s="126">
        <v>222</v>
      </c>
      <c r="L226" s="133">
        <v>5400</v>
      </c>
      <c r="M226" s="128">
        <f t="shared" si="117"/>
        <v>5400</v>
      </c>
      <c r="N226" s="128">
        <f t="shared" si="123"/>
        <v>10800</v>
      </c>
      <c r="O226" s="128">
        <f t="shared" si="123"/>
        <v>21600</v>
      </c>
      <c r="P226" s="128">
        <f t="shared" si="123"/>
        <v>54000</v>
      </c>
      <c r="Q226" s="128">
        <f t="shared" si="123"/>
        <v>162000</v>
      </c>
      <c r="S226" s="126">
        <v>222</v>
      </c>
      <c r="T226" s="126">
        <f>SUM(M$5:M226)</f>
        <v>125545</v>
      </c>
      <c r="U226" s="126">
        <f>SUM(N$5:N226)</f>
        <v>251090</v>
      </c>
      <c r="V226" s="126">
        <f>SUM(O$5:O226)</f>
        <v>502180</v>
      </c>
      <c r="W226" s="126">
        <f>SUM(P$5:P226)</f>
        <v>1255450</v>
      </c>
      <c r="X226" s="126">
        <f>SUM(Q$5:Q226)</f>
        <v>3766350</v>
      </c>
      <c r="Z226" s="128">
        <v>222</v>
      </c>
      <c r="AA226" s="128">
        <f t="shared" si="118"/>
        <v>216000</v>
      </c>
      <c r="AB226" s="128">
        <f t="shared" si="119"/>
        <v>432000</v>
      </c>
      <c r="AC226" s="128">
        <f t="shared" si="120"/>
        <v>864000</v>
      </c>
      <c r="AD226" s="128">
        <f t="shared" si="121"/>
        <v>2160000</v>
      </c>
      <c r="AE226" s="128">
        <f t="shared" si="122"/>
        <v>6480000</v>
      </c>
      <c r="AG226" s="128">
        <v>222</v>
      </c>
      <c r="AH226" s="126">
        <f>SUM(AA$5:AA226)</f>
        <v>5021800</v>
      </c>
      <c r="AI226" s="126">
        <f>SUM(AB$5:AB226)</f>
        <v>10043600</v>
      </c>
      <c r="AJ226" s="126">
        <f>SUM(AC$5:AC226)</f>
        <v>20087200</v>
      </c>
      <c r="AK226" s="126">
        <f>SUM(AD$5:AD226)</f>
        <v>50218000</v>
      </c>
      <c r="AL226" s="126">
        <f>SUM(AE$5:AE226)</f>
        <v>150654000</v>
      </c>
      <c r="BW226" s="25">
        <v>43</v>
      </c>
    </row>
    <row r="227" spans="10:75" x14ac:dyDescent="0.15">
      <c r="J227" s="46">
        <f>INDEX('[1]资源-装备经验'!Y$6:Y$165,(K227+1)/2,1)</f>
        <v>0</v>
      </c>
      <c r="K227" s="126">
        <v>223</v>
      </c>
      <c r="L227" s="133">
        <v>5400</v>
      </c>
      <c r="M227" s="128">
        <f t="shared" si="117"/>
        <v>5400</v>
      </c>
      <c r="N227" s="128">
        <f t="shared" si="123"/>
        <v>10800</v>
      </c>
      <c r="O227" s="128">
        <f t="shared" si="123"/>
        <v>21600</v>
      </c>
      <c r="P227" s="128">
        <f t="shared" si="123"/>
        <v>54000</v>
      </c>
      <c r="Q227" s="128">
        <f t="shared" si="123"/>
        <v>162000</v>
      </c>
      <c r="S227" s="126">
        <v>223</v>
      </c>
      <c r="T227" s="126">
        <f>SUM(M$5:M227)</f>
        <v>130945</v>
      </c>
      <c r="U227" s="126">
        <f>SUM(N$5:N227)</f>
        <v>261890</v>
      </c>
      <c r="V227" s="126">
        <f>SUM(O$5:O227)</f>
        <v>523780</v>
      </c>
      <c r="W227" s="126">
        <f>SUM(P$5:P227)</f>
        <v>1309450</v>
      </c>
      <c r="X227" s="126">
        <f>SUM(Q$5:Q227)</f>
        <v>3928350</v>
      </c>
      <c r="Z227" s="128">
        <v>223</v>
      </c>
      <c r="AA227" s="128">
        <f t="shared" si="118"/>
        <v>216000</v>
      </c>
      <c r="AB227" s="128">
        <f t="shared" si="119"/>
        <v>432000</v>
      </c>
      <c r="AC227" s="128">
        <f t="shared" si="120"/>
        <v>864000</v>
      </c>
      <c r="AD227" s="128">
        <f t="shared" si="121"/>
        <v>2160000</v>
      </c>
      <c r="AE227" s="128">
        <f t="shared" si="122"/>
        <v>6480000</v>
      </c>
      <c r="AG227" s="128">
        <v>223</v>
      </c>
      <c r="AH227" s="126">
        <f>SUM(AA$5:AA227)</f>
        <v>5237800</v>
      </c>
      <c r="AI227" s="126">
        <f>SUM(AB$5:AB227)</f>
        <v>10475600</v>
      </c>
      <c r="AJ227" s="126">
        <f>SUM(AC$5:AC227)</f>
        <v>20951200</v>
      </c>
      <c r="AK227" s="126">
        <f>SUM(AD$5:AD227)</f>
        <v>52378000</v>
      </c>
      <c r="AL227" s="126">
        <f>SUM(AE$5:AE227)</f>
        <v>157134000</v>
      </c>
      <c r="BW227" s="25">
        <v>44</v>
      </c>
    </row>
    <row r="228" spans="10:75" x14ac:dyDescent="0.15">
      <c r="J228" s="46">
        <f>INDEX('[1]资源-装备经验'!Y$6:Y$165,(K228+1)/2,1)</f>
        <v>0</v>
      </c>
      <c r="K228" s="126">
        <v>224</v>
      </c>
      <c r="L228" s="133">
        <v>5400</v>
      </c>
      <c r="M228" s="128">
        <f t="shared" si="117"/>
        <v>5400</v>
      </c>
      <c r="N228" s="128">
        <f t="shared" si="123"/>
        <v>10800</v>
      </c>
      <c r="O228" s="128">
        <f t="shared" si="123"/>
        <v>21600</v>
      </c>
      <c r="P228" s="128">
        <f t="shared" si="123"/>
        <v>54000</v>
      </c>
      <c r="Q228" s="128">
        <f t="shared" si="123"/>
        <v>162000</v>
      </c>
      <c r="S228" s="126">
        <v>224</v>
      </c>
      <c r="T228" s="126">
        <f>SUM(M$5:M228)</f>
        <v>136345</v>
      </c>
      <c r="U228" s="126">
        <f>SUM(N$5:N228)</f>
        <v>272690</v>
      </c>
      <c r="V228" s="126">
        <f>SUM(O$5:O228)</f>
        <v>545380</v>
      </c>
      <c r="W228" s="126">
        <f>SUM(P$5:P228)</f>
        <v>1363450</v>
      </c>
      <c r="X228" s="126">
        <f>SUM(Q$5:Q228)</f>
        <v>4090350</v>
      </c>
      <c r="Z228" s="128">
        <v>224</v>
      </c>
      <c r="AA228" s="128">
        <f t="shared" si="118"/>
        <v>216000</v>
      </c>
      <c r="AB228" s="128">
        <f t="shared" si="119"/>
        <v>432000</v>
      </c>
      <c r="AC228" s="128">
        <f t="shared" si="120"/>
        <v>864000</v>
      </c>
      <c r="AD228" s="128">
        <f t="shared" si="121"/>
        <v>2160000</v>
      </c>
      <c r="AE228" s="128">
        <f t="shared" si="122"/>
        <v>6480000</v>
      </c>
      <c r="AG228" s="128">
        <v>224</v>
      </c>
      <c r="AH228" s="126">
        <f>SUM(AA$5:AA228)</f>
        <v>5453800</v>
      </c>
      <c r="AI228" s="126">
        <f>SUM(AB$5:AB228)</f>
        <v>10907600</v>
      </c>
      <c r="AJ228" s="126">
        <f>SUM(AC$5:AC228)</f>
        <v>21815200</v>
      </c>
      <c r="AK228" s="126">
        <f>SUM(AD$5:AD228)</f>
        <v>54538000</v>
      </c>
      <c r="AL228" s="126">
        <f>SUM(AE$5:AE228)</f>
        <v>163614000</v>
      </c>
      <c r="BW228" s="25">
        <v>45</v>
      </c>
    </row>
    <row r="229" spans="10:75" x14ac:dyDescent="0.15">
      <c r="J229" s="46">
        <f>INDEX('[1]资源-装备经验'!Y$6:Y$165,(K229+1)/2,1)</f>
        <v>0</v>
      </c>
      <c r="K229" s="126">
        <v>225</v>
      </c>
      <c r="L229" s="133">
        <v>5400</v>
      </c>
      <c r="M229" s="128">
        <f t="shared" si="117"/>
        <v>5400</v>
      </c>
      <c r="N229" s="128">
        <f t="shared" si="123"/>
        <v>10800</v>
      </c>
      <c r="O229" s="128">
        <f t="shared" si="123"/>
        <v>21600</v>
      </c>
      <c r="P229" s="128">
        <f t="shared" si="123"/>
        <v>54000</v>
      </c>
      <c r="Q229" s="128">
        <f t="shared" si="123"/>
        <v>162000</v>
      </c>
      <c r="S229" s="126">
        <v>225</v>
      </c>
      <c r="T229" s="126">
        <f>SUM(M$5:M229)</f>
        <v>141745</v>
      </c>
      <c r="U229" s="126">
        <f>SUM(N$5:N229)</f>
        <v>283490</v>
      </c>
      <c r="V229" s="126">
        <f>SUM(O$5:O229)</f>
        <v>566980</v>
      </c>
      <c r="W229" s="126">
        <f>SUM(P$5:P229)</f>
        <v>1417450</v>
      </c>
      <c r="X229" s="126">
        <f>SUM(Q$5:Q229)</f>
        <v>4252350</v>
      </c>
      <c r="Z229" s="128">
        <v>225</v>
      </c>
      <c r="AA229" s="128">
        <f t="shared" si="118"/>
        <v>216000</v>
      </c>
      <c r="AB229" s="128">
        <f t="shared" si="119"/>
        <v>432000</v>
      </c>
      <c r="AC229" s="128">
        <f t="shared" si="120"/>
        <v>864000</v>
      </c>
      <c r="AD229" s="128">
        <f t="shared" si="121"/>
        <v>2160000</v>
      </c>
      <c r="AE229" s="128">
        <f t="shared" si="122"/>
        <v>6480000</v>
      </c>
      <c r="AG229" s="128">
        <v>225</v>
      </c>
      <c r="AH229" s="126">
        <f>SUM(AA$5:AA229)</f>
        <v>5669800</v>
      </c>
      <c r="AI229" s="126">
        <f>SUM(AB$5:AB229)</f>
        <v>11339600</v>
      </c>
      <c r="AJ229" s="126">
        <f>SUM(AC$5:AC229)</f>
        <v>22679200</v>
      </c>
      <c r="AK229" s="126">
        <f>SUM(AD$5:AD229)</f>
        <v>56698000</v>
      </c>
      <c r="AL229" s="126">
        <f>SUM(AE$5:AE229)</f>
        <v>170094000</v>
      </c>
    </row>
    <row r="230" spans="10:75" x14ac:dyDescent="0.15">
      <c r="J230" s="46">
        <f>INDEX('[1]资源-装备经验'!Y$6:Y$165,(K230+1)/2,1)</f>
        <v>0</v>
      </c>
      <c r="K230" s="126">
        <v>226</v>
      </c>
      <c r="L230" s="133">
        <v>5400</v>
      </c>
      <c r="M230" s="128">
        <f t="shared" si="117"/>
        <v>5400</v>
      </c>
      <c r="N230" s="128">
        <f t="shared" si="123"/>
        <v>10800</v>
      </c>
      <c r="O230" s="128">
        <f t="shared" si="123"/>
        <v>21600</v>
      </c>
      <c r="P230" s="128">
        <f t="shared" si="123"/>
        <v>54000</v>
      </c>
      <c r="Q230" s="128">
        <f t="shared" si="123"/>
        <v>162000</v>
      </c>
      <c r="S230" s="126">
        <v>226</v>
      </c>
      <c r="T230" s="126">
        <f>SUM(M$5:M230)</f>
        <v>147145</v>
      </c>
      <c r="U230" s="126">
        <f>SUM(N$5:N230)</f>
        <v>294290</v>
      </c>
      <c r="V230" s="126">
        <f>SUM(O$5:O230)</f>
        <v>588580</v>
      </c>
      <c r="W230" s="126">
        <f>SUM(P$5:P230)</f>
        <v>1471450</v>
      </c>
      <c r="X230" s="126">
        <f>SUM(Q$5:Q230)</f>
        <v>4414350</v>
      </c>
      <c r="Z230" s="128">
        <v>226</v>
      </c>
      <c r="AA230" s="128">
        <f t="shared" si="118"/>
        <v>216000</v>
      </c>
      <c r="AB230" s="128">
        <f t="shared" si="119"/>
        <v>432000</v>
      </c>
      <c r="AC230" s="128">
        <f t="shared" si="120"/>
        <v>864000</v>
      </c>
      <c r="AD230" s="128">
        <f t="shared" si="121"/>
        <v>2160000</v>
      </c>
      <c r="AE230" s="128">
        <f t="shared" si="122"/>
        <v>6480000</v>
      </c>
      <c r="AG230" s="128">
        <v>226</v>
      </c>
      <c r="AH230" s="126">
        <f>SUM(AA$5:AA230)</f>
        <v>5885800</v>
      </c>
      <c r="AI230" s="126">
        <f>SUM(AB$5:AB230)</f>
        <v>11771600</v>
      </c>
      <c r="AJ230" s="126">
        <f>SUM(AC$5:AC230)</f>
        <v>23543200</v>
      </c>
      <c r="AK230" s="126">
        <f>SUM(AD$5:AD230)</f>
        <v>58858000</v>
      </c>
      <c r="AL230" s="126">
        <f>SUM(AE$5:AE230)</f>
        <v>176574000</v>
      </c>
    </row>
    <row r="231" spans="10:75" x14ac:dyDescent="0.15">
      <c r="J231" s="46">
        <f>INDEX('[1]资源-装备经验'!Y$6:Y$165,(K231+1)/2,1)</f>
        <v>0</v>
      </c>
      <c r="K231" s="126">
        <v>227</v>
      </c>
      <c r="L231" s="133">
        <v>5400</v>
      </c>
      <c r="M231" s="128">
        <f t="shared" si="117"/>
        <v>5400</v>
      </c>
      <c r="N231" s="128">
        <f t="shared" si="123"/>
        <v>10800</v>
      </c>
      <c r="O231" s="128">
        <f t="shared" si="123"/>
        <v>21600</v>
      </c>
      <c r="P231" s="128">
        <f t="shared" si="123"/>
        <v>54000</v>
      </c>
      <c r="Q231" s="128">
        <f t="shared" si="123"/>
        <v>162000</v>
      </c>
      <c r="S231" s="126">
        <v>227</v>
      </c>
      <c r="T231" s="126">
        <f>SUM(M$5:M231)</f>
        <v>152545</v>
      </c>
      <c r="U231" s="126">
        <f>SUM(N$5:N231)</f>
        <v>305090</v>
      </c>
      <c r="V231" s="126">
        <f>SUM(O$5:O231)</f>
        <v>610180</v>
      </c>
      <c r="W231" s="126">
        <f>SUM(P$5:P231)</f>
        <v>1525450</v>
      </c>
      <c r="X231" s="126">
        <f>SUM(Q$5:Q231)</f>
        <v>4576350</v>
      </c>
      <c r="Z231" s="128">
        <v>227</v>
      </c>
      <c r="AA231" s="128">
        <f t="shared" si="118"/>
        <v>216000</v>
      </c>
      <c r="AB231" s="128">
        <f t="shared" si="119"/>
        <v>432000</v>
      </c>
      <c r="AC231" s="128">
        <f t="shared" si="120"/>
        <v>864000</v>
      </c>
      <c r="AD231" s="128">
        <f t="shared" si="121"/>
        <v>2160000</v>
      </c>
      <c r="AE231" s="128">
        <f t="shared" si="122"/>
        <v>6480000</v>
      </c>
      <c r="AG231" s="128">
        <v>227</v>
      </c>
      <c r="AH231" s="126">
        <f>SUM(AA$5:AA231)</f>
        <v>6101800</v>
      </c>
      <c r="AI231" s="126">
        <f>SUM(AB$5:AB231)</f>
        <v>12203600</v>
      </c>
      <c r="AJ231" s="126">
        <f>SUM(AC$5:AC231)</f>
        <v>24407200</v>
      </c>
      <c r="AK231" s="126">
        <f>SUM(AD$5:AD231)</f>
        <v>61018000</v>
      </c>
      <c r="AL231" s="126">
        <f>SUM(AE$5:AE231)</f>
        <v>183054000</v>
      </c>
    </row>
    <row r="232" spans="10:75" x14ac:dyDescent="0.15">
      <c r="J232" s="46">
        <f>INDEX('[1]资源-装备经验'!Y$6:Y$165,(K232+1)/2,1)</f>
        <v>0</v>
      </c>
      <c r="K232" s="126">
        <v>228</v>
      </c>
      <c r="L232" s="133">
        <v>5400</v>
      </c>
      <c r="M232" s="128">
        <f t="shared" si="117"/>
        <v>5400</v>
      </c>
      <c r="N232" s="128">
        <f t="shared" si="123"/>
        <v>10800</v>
      </c>
      <c r="O232" s="128">
        <f t="shared" si="123"/>
        <v>21600</v>
      </c>
      <c r="P232" s="128">
        <f t="shared" si="123"/>
        <v>54000</v>
      </c>
      <c r="Q232" s="128">
        <f t="shared" si="123"/>
        <v>162000</v>
      </c>
      <c r="S232" s="126">
        <v>228</v>
      </c>
      <c r="T232" s="126">
        <f>SUM(M$5:M232)</f>
        <v>157945</v>
      </c>
      <c r="U232" s="126">
        <f>SUM(N$5:N232)</f>
        <v>315890</v>
      </c>
      <c r="V232" s="126">
        <f>SUM(O$5:O232)</f>
        <v>631780</v>
      </c>
      <c r="W232" s="126">
        <f>SUM(P$5:P232)</f>
        <v>1579450</v>
      </c>
      <c r="X232" s="126">
        <f>SUM(Q$5:Q232)</f>
        <v>4738350</v>
      </c>
      <c r="Z232" s="128">
        <v>228</v>
      </c>
      <c r="AA232" s="128">
        <f t="shared" si="118"/>
        <v>216000</v>
      </c>
      <c r="AB232" s="128">
        <f t="shared" si="119"/>
        <v>432000</v>
      </c>
      <c r="AC232" s="128">
        <f t="shared" si="120"/>
        <v>864000</v>
      </c>
      <c r="AD232" s="128">
        <f t="shared" si="121"/>
        <v>2160000</v>
      </c>
      <c r="AE232" s="128">
        <f t="shared" si="122"/>
        <v>6480000</v>
      </c>
      <c r="AG232" s="128">
        <v>228</v>
      </c>
      <c r="AH232" s="126">
        <f>SUM(AA$5:AA232)</f>
        <v>6317800</v>
      </c>
      <c r="AI232" s="126">
        <f>SUM(AB$5:AB232)</f>
        <v>12635600</v>
      </c>
      <c r="AJ232" s="126">
        <f>SUM(AC$5:AC232)</f>
        <v>25271200</v>
      </c>
      <c r="AK232" s="126">
        <f>SUM(AD$5:AD232)</f>
        <v>63178000</v>
      </c>
      <c r="AL232" s="126">
        <f>SUM(AE$5:AE232)</f>
        <v>189534000</v>
      </c>
    </row>
    <row r="233" spans="10:75" x14ac:dyDescent="0.15">
      <c r="J233" s="46">
        <f>INDEX('[1]资源-装备经验'!Y$6:Y$165,(K233+1)/2,1)</f>
        <v>0</v>
      </c>
      <c r="K233" s="126">
        <v>229</v>
      </c>
      <c r="L233" s="133">
        <v>5400</v>
      </c>
      <c r="M233" s="128">
        <f t="shared" si="117"/>
        <v>5400</v>
      </c>
      <c r="N233" s="128">
        <f t="shared" si="123"/>
        <v>10800</v>
      </c>
      <c r="O233" s="128">
        <f t="shared" si="123"/>
        <v>21600</v>
      </c>
      <c r="P233" s="128">
        <f t="shared" si="123"/>
        <v>54000</v>
      </c>
      <c r="Q233" s="128">
        <f t="shared" si="123"/>
        <v>162000</v>
      </c>
      <c r="S233" s="126">
        <v>229</v>
      </c>
      <c r="T233" s="126">
        <f>SUM(M$5:M233)</f>
        <v>163345</v>
      </c>
      <c r="U233" s="126">
        <f>SUM(N$5:N233)</f>
        <v>326690</v>
      </c>
      <c r="V233" s="126">
        <f>SUM(O$5:O233)</f>
        <v>653380</v>
      </c>
      <c r="W233" s="126">
        <f>SUM(P$5:P233)</f>
        <v>1633450</v>
      </c>
      <c r="X233" s="126">
        <f>SUM(Q$5:Q233)</f>
        <v>4900350</v>
      </c>
      <c r="Z233" s="128">
        <v>229</v>
      </c>
      <c r="AA233" s="128">
        <f t="shared" si="118"/>
        <v>216000</v>
      </c>
      <c r="AB233" s="128">
        <f t="shared" si="119"/>
        <v>432000</v>
      </c>
      <c r="AC233" s="128">
        <f t="shared" si="120"/>
        <v>864000</v>
      </c>
      <c r="AD233" s="128">
        <f t="shared" si="121"/>
        <v>2160000</v>
      </c>
      <c r="AE233" s="128">
        <f t="shared" si="122"/>
        <v>6480000</v>
      </c>
      <c r="AG233" s="128">
        <v>229</v>
      </c>
      <c r="AH233" s="126">
        <f>SUM(AA$5:AA233)</f>
        <v>6533800</v>
      </c>
      <c r="AI233" s="126">
        <f>SUM(AB$5:AB233)</f>
        <v>13067600</v>
      </c>
      <c r="AJ233" s="126">
        <f>SUM(AC$5:AC233)</f>
        <v>26135200</v>
      </c>
      <c r="AK233" s="126">
        <f>SUM(AD$5:AD233)</f>
        <v>65338000</v>
      </c>
      <c r="AL233" s="126">
        <f>SUM(AE$5:AE233)</f>
        <v>196014000</v>
      </c>
    </row>
    <row r="234" spans="10:75" x14ac:dyDescent="0.15">
      <c r="J234" s="46">
        <f>INDEX('[1]资源-装备经验'!Y$6:Y$165,(K234+1)/2,1)</f>
        <v>0</v>
      </c>
      <c r="K234" s="126">
        <v>230</v>
      </c>
      <c r="L234" s="133">
        <v>8000</v>
      </c>
      <c r="M234" s="128">
        <f t="shared" si="117"/>
        <v>8000</v>
      </c>
      <c r="N234" s="128">
        <f t="shared" si="123"/>
        <v>16000</v>
      </c>
      <c r="O234" s="128">
        <f t="shared" si="123"/>
        <v>32000</v>
      </c>
      <c r="P234" s="128">
        <f t="shared" si="123"/>
        <v>80000</v>
      </c>
      <c r="Q234" s="128">
        <f t="shared" si="123"/>
        <v>240000</v>
      </c>
      <c r="S234" s="126">
        <v>230</v>
      </c>
      <c r="T234" s="126">
        <f>SUM(M$5:M234)</f>
        <v>171345</v>
      </c>
      <c r="U234" s="126">
        <f>SUM(N$5:N234)</f>
        <v>342690</v>
      </c>
      <c r="V234" s="126">
        <f>SUM(O$5:O234)</f>
        <v>685380</v>
      </c>
      <c r="W234" s="126">
        <f>SUM(P$5:P234)</f>
        <v>1713450</v>
      </c>
      <c r="X234" s="126">
        <f>SUM(Q$5:Q234)</f>
        <v>5140350</v>
      </c>
      <c r="Z234" s="128">
        <v>230</v>
      </c>
      <c r="AA234" s="128">
        <f t="shared" si="118"/>
        <v>320000</v>
      </c>
      <c r="AB234" s="128">
        <f t="shared" si="119"/>
        <v>640000</v>
      </c>
      <c r="AC234" s="128">
        <f t="shared" si="120"/>
        <v>1280000</v>
      </c>
      <c r="AD234" s="128">
        <f t="shared" si="121"/>
        <v>3200000</v>
      </c>
      <c r="AE234" s="128">
        <f t="shared" si="122"/>
        <v>9600000</v>
      </c>
      <c r="AG234" s="128">
        <v>230</v>
      </c>
      <c r="AH234" s="126">
        <f>SUM(AA$5:AA234)</f>
        <v>6853800</v>
      </c>
      <c r="AI234" s="126">
        <f>SUM(AB$5:AB234)</f>
        <v>13707600</v>
      </c>
      <c r="AJ234" s="126">
        <f>SUM(AC$5:AC234)</f>
        <v>27415200</v>
      </c>
      <c r="AK234" s="126">
        <f>SUM(AD$5:AD234)</f>
        <v>68538000</v>
      </c>
      <c r="AL234" s="126">
        <f>SUM(AE$5:AE234)</f>
        <v>205614000</v>
      </c>
    </row>
    <row r="235" spans="10:75" x14ac:dyDescent="0.15">
      <c r="J235" s="46">
        <f>INDEX('[1]资源-装备经验'!Y$6:Y$165,(K235+1)/2,1)</f>
        <v>0</v>
      </c>
      <c r="K235" s="126">
        <v>231</v>
      </c>
      <c r="L235" s="133">
        <v>8000</v>
      </c>
      <c r="M235" s="128">
        <f t="shared" si="117"/>
        <v>8000</v>
      </c>
      <c r="N235" s="128">
        <f t="shared" si="123"/>
        <v>16000</v>
      </c>
      <c r="O235" s="128">
        <f t="shared" si="123"/>
        <v>32000</v>
      </c>
      <c r="P235" s="128">
        <f t="shared" si="123"/>
        <v>80000</v>
      </c>
      <c r="Q235" s="128">
        <f t="shared" si="123"/>
        <v>240000</v>
      </c>
      <c r="S235" s="126">
        <v>231</v>
      </c>
      <c r="T235" s="126">
        <f>SUM(M$5:M235)</f>
        <v>179345</v>
      </c>
      <c r="U235" s="126">
        <f>SUM(N$5:N235)</f>
        <v>358690</v>
      </c>
      <c r="V235" s="126">
        <f>SUM(O$5:O235)</f>
        <v>717380</v>
      </c>
      <c r="W235" s="126">
        <f>SUM(P$5:P235)</f>
        <v>1793450</v>
      </c>
      <c r="X235" s="126">
        <f>SUM(Q$5:Q235)</f>
        <v>5380350</v>
      </c>
      <c r="Z235" s="128">
        <v>231</v>
      </c>
      <c r="AA235" s="128">
        <f t="shared" si="118"/>
        <v>320000</v>
      </c>
      <c r="AB235" s="128">
        <f t="shared" si="119"/>
        <v>640000</v>
      </c>
      <c r="AC235" s="128">
        <f t="shared" si="120"/>
        <v>1280000</v>
      </c>
      <c r="AD235" s="128">
        <f t="shared" si="121"/>
        <v>3200000</v>
      </c>
      <c r="AE235" s="128">
        <f t="shared" si="122"/>
        <v>9600000</v>
      </c>
      <c r="AG235" s="128">
        <v>231</v>
      </c>
      <c r="AH235" s="126">
        <f>SUM(AA$5:AA235)</f>
        <v>7173800</v>
      </c>
      <c r="AI235" s="126">
        <f>SUM(AB$5:AB235)</f>
        <v>14347600</v>
      </c>
      <c r="AJ235" s="126">
        <f>SUM(AC$5:AC235)</f>
        <v>28695200</v>
      </c>
      <c r="AK235" s="126">
        <f>SUM(AD$5:AD235)</f>
        <v>71738000</v>
      </c>
      <c r="AL235" s="126">
        <f>SUM(AE$5:AE235)</f>
        <v>215214000</v>
      </c>
    </row>
    <row r="236" spans="10:75" x14ac:dyDescent="0.15">
      <c r="J236" s="46">
        <f>INDEX('[1]资源-装备经验'!Y$6:Y$165,(K236+1)/2,1)</f>
        <v>0</v>
      </c>
      <c r="K236" s="126">
        <v>232</v>
      </c>
      <c r="L236" s="133">
        <v>8000</v>
      </c>
      <c r="M236" s="128">
        <f t="shared" si="117"/>
        <v>8000</v>
      </c>
      <c r="N236" s="128">
        <f t="shared" si="123"/>
        <v>16000</v>
      </c>
      <c r="O236" s="128">
        <f t="shared" si="123"/>
        <v>32000</v>
      </c>
      <c r="P236" s="128">
        <f t="shared" si="123"/>
        <v>80000</v>
      </c>
      <c r="Q236" s="128">
        <f t="shared" si="123"/>
        <v>240000</v>
      </c>
      <c r="S236" s="126">
        <v>232</v>
      </c>
      <c r="T236" s="126">
        <f>SUM(M$5:M236)</f>
        <v>187345</v>
      </c>
      <c r="U236" s="126">
        <f>SUM(N$5:N236)</f>
        <v>374690</v>
      </c>
      <c r="V236" s="126">
        <f>SUM(O$5:O236)</f>
        <v>749380</v>
      </c>
      <c r="W236" s="126">
        <f>SUM(P$5:P236)</f>
        <v>1873450</v>
      </c>
      <c r="X236" s="126">
        <f>SUM(Q$5:Q236)</f>
        <v>5620350</v>
      </c>
      <c r="Z236" s="128">
        <v>232</v>
      </c>
      <c r="AA236" s="128">
        <f t="shared" si="118"/>
        <v>320000</v>
      </c>
      <c r="AB236" s="128">
        <f t="shared" si="119"/>
        <v>640000</v>
      </c>
      <c r="AC236" s="128">
        <f t="shared" si="120"/>
        <v>1280000</v>
      </c>
      <c r="AD236" s="128">
        <f t="shared" si="121"/>
        <v>3200000</v>
      </c>
      <c r="AE236" s="128">
        <f t="shared" si="122"/>
        <v>9600000</v>
      </c>
      <c r="AG236" s="128">
        <v>232</v>
      </c>
      <c r="AH236" s="126">
        <f>SUM(AA$5:AA236)</f>
        <v>7493800</v>
      </c>
      <c r="AI236" s="126">
        <f>SUM(AB$5:AB236)</f>
        <v>14987600</v>
      </c>
      <c r="AJ236" s="126">
        <f>SUM(AC$5:AC236)</f>
        <v>29975200</v>
      </c>
      <c r="AK236" s="126">
        <f>SUM(AD$5:AD236)</f>
        <v>74938000</v>
      </c>
      <c r="AL236" s="126">
        <f>SUM(AE$5:AE236)</f>
        <v>224814000</v>
      </c>
    </row>
    <row r="237" spans="10:75" x14ac:dyDescent="0.15">
      <c r="J237" s="46">
        <f>INDEX('[1]资源-装备经验'!Y$6:Y$165,(K237+1)/2,1)</f>
        <v>0</v>
      </c>
      <c r="K237" s="126">
        <v>233</v>
      </c>
      <c r="L237" s="133">
        <v>8000</v>
      </c>
      <c r="M237" s="128">
        <f t="shared" si="117"/>
        <v>8000</v>
      </c>
      <c r="N237" s="128">
        <f t="shared" si="123"/>
        <v>16000</v>
      </c>
      <c r="O237" s="128">
        <f t="shared" si="123"/>
        <v>32000</v>
      </c>
      <c r="P237" s="128">
        <f t="shared" si="123"/>
        <v>80000</v>
      </c>
      <c r="Q237" s="128">
        <f t="shared" si="123"/>
        <v>240000</v>
      </c>
      <c r="S237" s="126">
        <v>233</v>
      </c>
      <c r="T237" s="126">
        <f>SUM(M$5:M237)</f>
        <v>195345</v>
      </c>
      <c r="U237" s="126">
        <f>SUM(N$5:N237)</f>
        <v>390690</v>
      </c>
      <c r="V237" s="126">
        <f>SUM(O$5:O237)</f>
        <v>781380</v>
      </c>
      <c r="W237" s="126">
        <f>SUM(P$5:P237)</f>
        <v>1953450</v>
      </c>
      <c r="X237" s="126">
        <f>SUM(Q$5:Q237)</f>
        <v>5860350</v>
      </c>
      <c r="Z237" s="128">
        <v>233</v>
      </c>
      <c r="AA237" s="128">
        <f t="shared" si="118"/>
        <v>320000</v>
      </c>
      <c r="AB237" s="128">
        <f t="shared" si="119"/>
        <v>640000</v>
      </c>
      <c r="AC237" s="128">
        <f t="shared" si="120"/>
        <v>1280000</v>
      </c>
      <c r="AD237" s="128">
        <f t="shared" si="121"/>
        <v>3200000</v>
      </c>
      <c r="AE237" s="128">
        <f t="shared" si="122"/>
        <v>9600000</v>
      </c>
      <c r="AG237" s="128">
        <v>233</v>
      </c>
      <c r="AH237" s="126">
        <f>SUM(AA$5:AA237)</f>
        <v>7813800</v>
      </c>
      <c r="AI237" s="126">
        <f>SUM(AB$5:AB237)</f>
        <v>15627600</v>
      </c>
      <c r="AJ237" s="126">
        <f>SUM(AC$5:AC237)</f>
        <v>31255200</v>
      </c>
      <c r="AK237" s="126">
        <f>SUM(AD$5:AD237)</f>
        <v>78138000</v>
      </c>
      <c r="AL237" s="126">
        <f>SUM(AE$5:AE237)</f>
        <v>234414000</v>
      </c>
    </row>
    <row r="238" spans="10:75" x14ac:dyDescent="0.15">
      <c r="J238" s="46">
        <f>INDEX('[1]资源-装备经验'!Y$6:Y$165,(K238+1)/2,1)</f>
        <v>0</v>
      </c>
      <c r="K238" s="126">
        <v>234</v>
      </c>
      <c r="L238" s="133">
        <v>8000</v>
      </c>
      <c r="M238" s="128">
        <f t="shared" si="117"/>
        <v>8000</v>
      </c>
      <c r="N238" s="128">
        <f t="shared" si="123"/>
        <v>16000</v>
      </c>
      <c r="O238" s="128">
        <f t="shared" si="123"/>
        <v>32000</v>
      </c>
      <c r="P238" s="128">
        <f t="shared" si="123"/>
        <v>80000</v>
      </c>
      <c r="Q238" s="128">
        <f t="shared" si="123"/>
        <v>240000</v>
      </c>
      <c r="S238" s="126">
        <v>234</v>
      </c>
      <c r="T238" s="126">
        <f>SUM(M$5:M238)</f>
        <v>203345</v>
      </c>
      <c r="U238" s="126">
        <f>SUM(N$5:N238)</f>
        <v>406690</v>
      </c>
      <c r="V238" s="126">
        <f>SUM(O$5:O238)</f>
        <v>813380</v>
      </c>
      <c r="W238" s="126">
        <f>SUM(P$5:P238)</f>
        <v>2033450</v>
      </c>
      <c r="X238" s="126">
        <f>SUM(Q$5:Q238)</f>
        <v>6100350</v>
      </c>
      <c r="Z238" s="128">
        <v>234</v>
      </c>
      <c r="AA238" s="128">
        <f t="shared" si="118"/>
        <v>320000</v>
      </c>
      <c r="AB238" s="128">
        <f t="shared" si="119"/>
        <v>640000</v>
      </c>
      <c r="AC238" s="128">
        <f t="shared" si="120"/>
        <v>1280000</v>
      </c>
      <c r="AD238" s="128">
        <f t="shared" si="121"/>
        <v>3200000</v>
      </c>
      <c r="AE238" s="128">
        <f t="shared" si="122"/>
        <v>9600000</v>
      </c>
      <c r="AG238" s="128">
        <v>234</v>
      </c>
      <c r="AH238" s="126">
        <f>SUM(AA$5:AA238)</f>
        <v>8133800</v>
      </c>
      <c r="AI238" s="126">
        <f>SUM(AB$5:AB238)</f>
        <v>16267600</v>
      </c>
      <c r="AJ238" s="126">
        <f>SUM(AC$5:AC238)</f>
        <v>32535200</v>
      </c>
      <c r="AK238" s="126">
        <f>SUM(AD$5:AD238)</f>
        <v>81338000</v>
      </c>
      <c r="AL238" s="126">
        <f>SUM(AE$5:AE238)</f>
        <v>244014000</v>
      </c>
    </row>
    <row r="239" spans="10:75" x14ac:dyDescent="0.15">
      <c r="J239" s="46">
        <f>INDEX('[1]资源-装备经验'!Y$6:Y$165,(K239+1)/2,1)</f>
        <v>0</v>
      </c>
      <c r="K239" s="126">
        <v>235</v>
      </c>
      <c r="L239" s="133">
        <v>8000</v>
      </c>
      <c r="M239" s="128">
        <f t="shared" ref="M239:M263" si="124">L239*$M$1</f>
        <v>8000</v>
      </c>
      <c r="N239" s="128">
        <f t="shared" si="123"/>
        <v>16000</v>
      </c>
      <c r="O239" s="128">
        <f t="shared" si="123"/>
        <v>32000</v>
      </c>
      <c r="P239" s="128">
        <f t="shared" si="123"/>
        <v>80000</v>
      </c>
      <c r="Q239" s="128">
        <f t="shared" si="123"/>
        <v>240000</v>
      </c>
      <c r="S239" s="126">
        <v>235</v>
      </c>
      <c r="T239" s="126">
        <f>SUM(M$5:M239)</f>
        <v>211345</v>
      </c>
      <c r="U239" s="126">
        <f>SUM(N$5:N239)</f>
        <v>422690</v>
      </c>
      <c r="V239" s="126">
        <f>SUM(O$5:O239)</f>
        <v>845380</v>
      </c>
      <c r="W239" s="126">
        <f>SUM(P$5:P239)</f>
        <v>2113450</v>
      </c>
      <c r="X239" s="126">
        <f>SUM(Q$5:Q239)</f>
        <v>6340350</v>
      </c>
      <c r="Z239" s="128">
        <v>235</v>
      </c>
      <c r="AA239" s="128">
        <f t="shared" ref="AA239:AA263" si="125">M239*$D$16</f>
        <v>320000</v>
      </c>
      <c r="AB239" s="128">
        <f t="shared" ref="AB239:AB263" si="126">N239*$D$16</f>
        <v>640000</v>
      </c>
      <c r="AC239" s="128">
        <f t="shared" ref="AC239:AC263" si="127">O239*$D$16</f>
        <v>1280000</v>
      </c>
      <c r="AD239" s="128">
        <f t="shared" ref="AD239:AD263" si="128">P239*$D$16</f>
        <v>3200000</v>
      </c>
      <c r="AE239" s="128">
        <f t="shared" ref="AE239:AE263" si="129">Q239*$D$16</f>
        <v>9600000</v>
      </c>
      <c r="AG239" s="128">
        <v>235</v>
      </c>
      <c r="AH239" s="126">
        <f>SUM(AA$5:AA239)</f>
        <v>8453800</v>
      </c>
      <c r="AI239" s="126">
        <f>SUM(AB$5:AB239)</f>
        <v>16907600</v>
      </c>
      <c r="AJ239" s="126">
        <f>SUM(AC$5:AC239)</f>
        <v>33815200</v>
      </c>
      <c r="AK239" s="126">
        <f>SUM(AD$5:AD239)</f>
        <v>84538000</v>
      </c>
      <c r="AL239" s="126">
        <f>SUM(AE$5:AE239)</f>
        <v>253614000</v>
      </c>
    </row>
    <row r="240" spans="10:75" x14ac:dyDescent="0.15">
      <c r="J240" s="46">
        <f>INDEX('[1]资源-装备经验'!Y$6:Y$165,(K240+1)/2,1)</f>
        <v>0</v>
      </c>
      <c r="K240" s="126">
        <v>236</v>
      </c>
      <c r="L240" s="133">
        <v>8000</v>
      </c>
      <c r="M240" s="128">
        <f t="shared" si="124"/>
        <v>8000</v>
      </c>
      <c r="N240" s="128">
        <f t="shared" ref="N240:Q261" si="130">$M240*N$1</f>
        <v>16000</v>
      </c>
      <c r="O240" s="128">
        <f t="shared" si="130"/>
        <v>32000</v>
      </c>
      <c r="P240" s="128">
        <f t="shared" si="130"/>
        <v>80000</v>
      </c>
      <c r="Q240" s="128">
        <f t="shared" si="130"/>
        <v>240000</v>
      </c>
      <c r="S240" s="126">
        <v>236</v>
      </c>
      <c r="T240" s="126">
        <f>SUM(M$5:M240)</f>
        <v>219345</v>
      </c>
      <c r="U240" s="126">
        <f>SUM(N$5:N240)</f>
        <v>438690</v>
      </c>
      <c r="V240" s="126">
        <f>SUM(O$5:O240)</f>
        <v>877380</v>
      </c>
      <c r="W240" s="126">
        <f>SUM(P$5:P240)</f>
        <v>2193450</v>
      </c>
      <c r="X240" s="126">
        <f>SUM(Q$5:Q240)</f>
        <v>6580350</v>
      </c>
      <c r="Z240" s="128">
        <v>236</v>
      </c>
      <c r="AA240" s="128">
        <f t="shared" si="125"/>
        <v>320000</v>
      </c>
      <c r="AB240" s="128">
        <f t="shared" si="126"/>
        <v>640000</v>
      </c>
      <c r="AC240" s="128">
        <f t="shared" si="127"/>
        <v>1280000</v>
      </c>
      <c r="AD240" s="128">
        <f t="shared" si="128"/>
        <v>3200000</v>
      </c>
      <c r="AE240" s="128">
        <f t="shared" si="129"/>
        <v>9600000</v>
      </c>
      <c r="AG240" s="128">
        <v>236</v>
      </c>
      <c r="AH240" s="126">
        <f>SUM(AA$5:AA240)</f>
        <v>8773800</v>
      </c>
      <c r="AI240" s="126">
        <f>SUM(AB$5:AB240)</f>
        <v>17547600</v>
      </c>
      <c r="AJ240" s="126">
        <f>SUM(AC$5:AC240)</f>
        <v>35095200</v>
      </c>
      <c r="AK240" s="126">
        <f>SUM(AD$5:AD240)</f>
        <v>87738000</v>
      </c>
      <c r="AL240" s="126">
        <f>SUM(AE$5:AE240)</f>
        <v>263214000</v>
      </c>
    </row>
    <row r="241" spans="10:38" x14ac:dyDescent="0.15">
      <c r="J241" s="46">
        <f>INDEX('[1]资源-装备经验'!Y$6:Y$165,(K241+1)/2,1)</f>
        <v>0</v>
      </c>
      <c r="K241" s="126">
        <v>237</v>
      </c>
      <c r="L241" s="133">
        <v>8000</v>
      </c>
      <c r="M241" s="128">
        <f t="shared" si="124"/>
        <v>8000</v>
      </c>
      <c r="N241" s="128">
        <f t="shared" si="130"/>
        <v>16000</v>
      </c>
      <c r="O241" s="128">
        <f t="shared" si="130"/>
        <v>32000</v>
      </c>
      <c r="P241" s="128">
        <f t="shared" si="130"/>
        <v>80000</v>
      </c>
      <c r="Q241" s="128">
        <f t="shared" si="130"/>
        <v>240000</v>
      </c>
      <c r="S241" s="126">
        <v>237</v>
      </c>
      <c r="T241" s="126">
        <f>SUM(M$5:M241)</f>
        <v>227345</v>
      </c>
      <c r="U241" s="126">
        <f>SUM(N$5:N241)</f>
        <v>454690</v>
      </c>
      <c r="V241" s="126">
        <f>SUM(O$5:O241)</f>
        <v>909380</v>
      </c>
      <c r="W241" s="126">
        <f>SUM(P$5:P241)</f>
        <v>2273450</v>
      </c>
      <c r="X241" s="126">
        <f>SUM(Q$5:Q241)</f>
        <v>6820350</v>
      </c>
      <c r="Z241" s="128">
        <v>237</v>
      </c>
      <c r="AA241" s="128">
        <f t="shared" si="125"/>
        <v>320000</v>
      </c>
      <c r="AB241" s="128">
        <f t="shared" si="126"/>
        <v>640000</v>
      </c>
      <c r="AC241" s="128">
        <f t="shared" si="127"/>
        <v>1280000</v>
      </c>
      <c r="AD241" s="128">
        <f t="shared" si="128"/>
        <v>3200000</v>
      </c>
      <c r="AE241" s="128">
        <f t="shared" si="129"/>
        <v>9600000</v>
      </c>
      <c r="AG241" s="128">
        <v>237</v>
      </c>
      <c r="AH241" s="126">
        <f>SUM(AA$5:AA241)</f>
        <v>9093800</v>
      </c>
      <c r="AI241" s="126">
        <f>SUM(AB$5:AB241)</f>
        <v>18187600</v>
      </c>
      <c r="AJ241" s="126">
        <f>SUM(AC$5:AC241)</f>
        <v>36375200</v>
      </c>
      <c r="AK241" s="126">
        <f>SUM(AD$5:AD241)</f>
        <v>90938000</v>
      </c>
      <c r="AL241" s="126">
        <f>SUM(AE$5:AE241)</f>
        <v>272814000</v>
      </c>
    </row>
    <row r="242" spans="10:38" x14ac:dyDescent="0.15">
      <c r="J242" s="46">
        <f>INDEX('[1]资源-装备经验'!Y$6:Y$165,(K242+1)/2,1)</f>
        <v>0</v>
      </c>
      <c r="K242" s="126">
        <v>238</v>
      </c>
      <c r="L242" s="133">
        <v>8000</v>
      </c>
      <c r="M242" s="128">
        <f t="shared" si="124"/>
        <v>8000</v>
      </c>
      <c r="N242" s="128">
        <f t="shared" si="130"/>
        <v>16000</v>
      </c>
      <c r="O242" s="128">
        <f t="shared" si="130"/>
        <v>32000</v>
      </c>
      <c r="P242" s="128">
        <f t="shared" si="130"/>
        <v>80000</v>
      </c>
      <c r="Q242" s="128">
        <f t="shared" si="130"/>
        <v>240000</v>
      </c>
      <c r="S242" s="126">
        <v>238</v>
      </c>
      <c r="T242" s="126">
        <f>SUM(M$5:M242)</f>
        <v>235345</v>
      </c>
      <c r="U242" s="126">
        <f>SUM(N$5:N242)</f>
        <v>470690</v>
      </c>
      <c r="V242" s="126">
        <f>SUM(O$5:O242)</f>
        <v>941380</v>
      </c>
      <c r="W242" s="126">
        <f>SUM(P$5:P242)</f>
        <v>2353450</v>
      </c>
      <c r="X242" s="126">
        <f>SUM(Q$5:Q242)</f>
        <v>7060350</v>
      </c>
      <c r="Z242" s="128">
        <v>238</v>
      </c>
      <c r="AA242" s="128">
        <f t="shared" si="125"/>
        <v>320000</v>
      </c>
      <c r="AB242" s="128">
        <f t="shared" si="126"/>
        <v>640000</v>
      </c>
      <c r="AC242" s="128">
        <f t="shared" si="127"/>
        <v>1280000</v>
      </c>
      <c r="AD242" s="128">
        <f t="shared" si="128"/>
        <v>3200000</v>
      </c>
      <c r="AE242" s="128">
        <f t="shared" si="129"/>
        <v>9600000</v>
      </c>
      <c r="AG242" s="128">
        <v>238</v>
      </c>
      <c r="AH242" s="126">
        <f>SUM(AA$5:AA242)</f>
        <v>9413800</v>
      </c>
      <c r="AI242" s="126">
        <f>SUM(AB$5:AB242)</f>
        <v>18827600</v>
      </c>
      <c r="AJ242" s="126">
        <f>SUM(AC$5:AC242)</f>
        <v>37655200</v>
      </c>
      <c r="AK242" s="126">
        <f>SUM(AD$5:AD242)</f>
        <v>94138000</v>
      </c>
      <c r="AL242" s="126">
        <f>SUM(AE$5:AE242)</f>
        <v>282414000</v>
      </c>
    </row>
    <row r="243" spans="10:38" x14ac:dyDescent="0.15">
      <c r="J243" s="46">
        <f>INDEX('[1]资源-装备经验'!Y$6:Y$165,(K243+1)/2,1)</f>
        <v>0</v>
      </c>
      <c r="K243" s="126">
        <v>239</v>
      </c>
      <c r="L243" s="133">
        <v>8000</v>
      </c>
      <c r="M243" s="128">
        <f t="shared" si="124"/>
        <v>8000</v>
      </c>
      <c r="N243" s="128">
        <f t="shared" si="130"/>
        <v>16000</v>
      </c>
      <c r="O243" s="128">
        <f t="shared" si="130"/>
        <v>32000</v>
      </c>
      <c r="P243" s="128">
        <f t="shared" si="130"/>
        <v>80000</v>
      </c>
      <c r="Q243" s="128">
        <f t="shared" si="130"/>
        <v>240000</v>
      </c>
      <c r="S243" s="126">
        <v>239</v>
      </c>
      <c r="T243" s="126">
        <f>SUM(M$5:M243)</f>
        <v>243345</v>
      </c>
      <c r="U243" s="126">
        <f>SUM(N$5:N243)</f>
        <v>486690</v>
      </c>
      <c r="V243" s="126">
        <f>SUM(O$5:O243)</f>
        <v>973380</v>
      </c>
      <c r="W243" s="126">
        <f>SUM(P$5:P243)</f>
        <v>2433450</v>
      </c>
      <c r="X243" s="126">
        <f>SUM(Q$5:Q243)</f>
        <v>7300350</v>
      </c>
      <c r="Z243" s="128">
        <v>239</v>
      </c>
      <c r="AA243" s="128">
        <f t="shared" si="125"/>
        <v>320000</v>
      </c>
      <c r="AB243" s="128">
        <f t="shared" si="126"/>
        <v>640000</v>
      </c>
      <c r="AC243" s="128">
        <f t="shared" si="127"/>
        <v>1280000</v>
      </c>
      <c r="AD243" s="128">
        <f t="shared" si="128"/>
        <v>3200000</v>
      </c>
      <c r="AE243" s="128">
        <f t="shared" si="129"/>
        <v>9600000</v>
      </c>
      <c r="AG243" s="128">
        <v>239</v>
      </c>
      <c r="AH243" s="126">
        <f>SUM(AA$5:AA243)</f>
        <v>9733800</v>
      </c>
      <c r="AI243" s="126">
        <f>SUM(AB$5:AB243)</f>
        <v>19467600</v>
      </c>
      <c r="AJ243" s="126">
        <f>SUM(AC$5:AC243)</f>
        <v>38935200</v>
      </c>
      <c r="AK243" s="126">
        <f>SUM(AD$5:AD243)</f>
        <v>97338000</v>
      </c>
      <c r="AL243" s="126">
        <f>SUM(AE$5:AE243)</f>
        <v>292014000</v>
      </c>
    </row>
    <row r="244" spans="10:38" x14ac:dyDescent="0.15">
      <c r="J244" s="46">
        <f>INDEX('[1]资源-装备经验'!Y$6:Y$165,(K244+1)/2,1)</f>
        <v>0</v>
      </c>
      <c r="K244" s="126">
        <v>240</v>
      </c>
      <c r="L244" s="133">
        <v>16000</v>
      </c>
      <c r="M244" s="128">
        <f t="shared" si="124"/>
        <v>16000</v>
      </c>
      <c r="N244" s="128">
        <f t="shared" si="130"/>
        <v>32000</v>
      </c>
      <c r="O244" s="128">
        <f t="shared" si="130"/>
        <v>64000</v>
      </c>
      <c r="P244" s="128">
        <f t="shared" si="130"/>
        <v>160000</v>
      </c>
      <c r="Q244" s="128">
        <f t="shared" si="130"/>
        <v>480000</v>
      </c>
      <c r="S244" s="126">
        <v>240</v>
      </c>
      <c r="T244" s="126">
        <f>SUM(M$5:M244)</f>
        <v>259345</v>
      </c>
      <c r="U244" s="126">
        <f>SUM(N$5:N244)</f>
        <v>518690</v>
      </c>
      <c r="V244" s="126">
        <f>SUM(O$5:O244)</f>
        <v>1037380</v>
      </c>
      <c r="W244" s="126">
        <f>SUM(P$5:P244)</f>
        <v>2593450</v>
      </c>
      <c r="X244" s="126">
        <f>SUM(Q$5:Q244)</f>
        <v>7780350</v>
      </c>
      <c r="Z244" s="128">
        <v>240</v>
      </c>
      <c r="AA244" s="128">
        <f t="shared" si="125"/>
        <v>640000</v>
      </c>
      <c r="AB244" s="128">
        <f t="shared" si="126"/>
        <v>1280000</v>
      </c>
      <c r="AC244" s="128">
        <f t="shared" si="127"/>
        <v>2560000</v>
      </c>
      <c r="AD244" s="128">
        <f t="shared" si="128"/>
        <v>6400000</v>
      </c>
      <c r="AE244" s="128">
        <f t="shared" si="129"/>
        <v>19200000</v>
      </c>
      <c r="AG244" s="128">
        <v>240</v>
      </c>
      <c r="AH244" s="126">
        <f>SUM(AA$5:AA244)</f>
        <v>10373800</v>
      </c>
      <c r="AI244" s="126">
        <f>SUM(AB$5:AB244)</f>
        <v>20747600</v>
      </c>
      <c r="AJ244" s="126">
        <f>SUM(AC$5:AC244)</f>
        <v>41495200</v>
      </c>
      <c r="AK244" s="126">
        <f>SUM(AD$5:AD244)</f>
        <v>103738000</v>
      </c>
      <c r="AL244" s="126">
        <f>SUM(AE$5:AE244)</f>
        <v>311214000</v>
      </c>
    </row>
    <row r="245" spans="10:38" x14ac:dyDescent="0.15">
      <c r="J245" s="46">
        <f>INDEX('[1]资源-装备经验'!Y$6:Y$165,(K245+1)/2,1)</f>
        <v>0</v>
      </c>
      <c r="K245" s="126">
        <v>241</v>
      </c>
      <c r="L245" s="133">
        <v>16000</v>
      </c>
      <c r="M245" s="128">
        <f t="shared" si="124"/>
        <v>16000</v>
      </c>
      <c r="N245" s="128">
        <f t="shared" si="130"/>
        <v>32000</v>
      </c>
      <c r="O245" s="128">
        <f t="shared" si="130"/>
        <v>64000</v>
      </c>
      <c r="P245" s="128">
        <f t="shared" si="130"/>
        <v>160000</v>
      </c>
      <c r="Q245" s="128">
        <f t="shared" si="130"/>
        <v>480000</v>
      </c>
      <c r="S245" s="126">
        <v>241</v>
      </c>
      <c r="T245" s="126">
        <f>SUM(M$5:M245)</f>
        <v>275345</v>
      </c>
      <c r="U245" s="126">
        <f>SUM(N$5:N245)</f>
        <v>550690</v>
      </c>
      <c r="V245" s="126">
        <f>SUM(O$5:O245)</f>
        <v>1101380</v>
      </c>
      <c r="W245" s="126">
        <f>SUM(P$5:P245)</f>
        <v>2753450</v>
      </c>
      <c r="X245" s="126">
        <f>SUM(Q$5:Q245)</f>
        <v>8260350</v>
      </c>
      <c r="Z245" s="128">
        <v>241</v>
      </c>
      <c r="AA245" s="128">
        <f t="shared" si="125"/>
        <v>640000</v>
      </c>
      <c r="AB245" s="128">
        <f t="shared" si="126"/>
        <v>1280000</v>
      </c>
      <c r="AC245" s="128">
        <f t="shared" si="127"/>
        <v>2560000</v>
      </c>
      <c r="AD245" s="128">
        <f t="shared" si="128"/>
        <v>6400000</v>
      </c>
      <c r="AE245" s="128">
        <f t="shared" si="129"/>
        <v>19200000</v>
      </c>
      <c r="AG245" s="128">
        <v>241</v>
      </c>
      <c r="AH245" s="126">
        <f>SUM(AA$5:AA245)</f>
        <v>11013800</v>
      </c>
      <c r="AI245" s="126">
        <f>SUM(AB$5:AB245)</f>
        <v>22027600</v>
      </c>
      <c r="AJ245" s="126">
        <f>SUM(AC$5:AC245)</f>
        <v>44055200</v>
      </c>
      <c r="AK245" s="126">
        <f>SUM(AD$5:AD245)</f>
        <v>110138000</v>
      </c>
      <c r="AL245" s="126">
        <f>SUM(AE$5:AE245)</f>
        <v>330414000</v>
      </c>
    </row>
    <row r="246" spans="10:38" x14ac:dyDescent="0.15">
      <c r="J246" s="46">
        <f>INDEX('[1]资源-装备经验'!Y$6:Y$165,(K246+1)/2,1)</f>
        <v>0</v>
      </c>
      <c r="K246" s="126">
        <v>242</v>
      </c>
      <c r="L246" s="133">
        <v>16000</v>
      </c>
      <c r="M246" s="128">
        <f t="shared" si="124"/>
        <v>16000</v>
      </c>
      <c r="N246" s="128">
        <f t="shared" si="130"/>
        <v>32000</v>
      </c>
      <c r="O246" s="128">
        <f t="shared" si="130"/>
        <v>64000</v>
      </c>
      <c r="P246" s="128">
        <f t="shared" si="130"/>
        <v>160000</v>
      </c>
      <c r="Q246" s="128">
        <f t="shared" si="130"/>
        <v>480000</v>
      </c>
      <c r="S246" s="126">
        <v>242</v>
      </c>
      <c r="T246" s="126">
        <f>SUM(M$5:M246)</f>
        <v>291345</v>
      </c>
      <c r="U246" s="126">
        <f>SUM(N$5:N246)</f>
        <v>582690</v>
      </c>
      <c r="V246" s="126">
        <f>SUM(O$5:O246)</f>
        <v>1165380</v>
      </c>
      <c r="W246" s="126">
        <f>SUM(P$5:P246)</f>
        <v>2913450</v>
      </c>
      <c r="X246" s="126">
        <f>SUM(Q$5:Q246)</f>
        <v>8740350</v>
      </c>
      <c r="Z246" s="128">
        <v>242</v>
      </c>
      <c r="AA246" s="128">
        <f t="shared" si="125"/>
        <v>640000</v>
      </c>
      <c r="AB246" s="128">
        <f t="shared" si="126"/>
        <v>1280000</v>
      </c>
      <c r="AC246" s="128">
        <f t="shared" si="127"/>
        <v>2560000</v>
      </c>
      <c r="AD246" s="128">
        <f t="shared" si="128"/>
        <v>6400000</v>
      </c>
      <c r="AE246" s="128">
        <f t="shared" si="129"/>
        <v>19200000</v>
      </c>
      <c r="AG246" s="128">
        <v>242</v>
      </c>
      <c r="AH246" s="126">
        <f>SUM(AA$5:AA246)</f>
        <v>11653800</v>
      </c>
      <c r="AI246" s="126">
        <f>SUM(AB$5:AB246)</f>
        <v>23307600</v>
      </c>
      <c r="AJ246" s="126">
        <f>SUM(AC$5:AC246)</f>
        <v>46615200</v>
      </c>
      <c r="AK246" s="126">
        <f>SUM(AD$5:AD246)</f>
        <v>116538000</v>
      </c>
      <c r="AL246" s="126">
        <f>SUM(AE$5:AE246)</f>
        <v>349614000</v>
      </c>
    </row>
    <row r="247" spans="10:38" x14ac:dyDescent="0.15">
      <c r="J247" s="46">
        <f>INDEX('[1]资源-装备经验'!Y$6:Y$165,(K247+1)/2,1)</f>
        <v>0</v>
      </c>
      <c r="K247" s="126">
        <v>243</v>
      </c>
      <c r="L247" s="133">
        <v>16000</v>
      </c>
      <c r="M247" s="128">
        <f t="shared" si="124"/>
        <v>16000</v>
      </c>
      <c r="N247" s="128">
        <f t="shared" si="130"/>
        <v>32000</v>
      </c>
      <c r="O247" s="128">
        <f t="shared" si="130"/>
        <v>64000</v>
      </c>
      <c r="P247" s="128">
        <f t="shared" si="130"/>
        <v>160000</v>
      </c>
      <c r="Q247" s="128">
        <f t="shared" si="130"/>
        <v>480000</v>
      </c>
      <c r="S247" s="126">
        <v>243</v>
      </c>
      <c r="T247" s="126">
        <f>SUM(M$5:M247)</f>
        <v>307345</v>
      </c>
      <c r="U247" s="126">
        <f>SUM(N$5:N247)</f>
        <v>614690</v>
      </c>
      <c r="V247" s="126">
        <f>SUM(O$5:O247)</f>
        <v>1229380</v>
      </c>
      <c r="W247" s="126">
        <f>SUM(P$5:P247)</f>
        <v>3073450</v>
      </c>
      <c r="X247" s="126">
        <f>SUM(Q$5:Q247)</f>
        <v>9220350</v>
      </c>
      <c r="Z247" s="128">
        <v>243</v>
      </c>
      <c r="AA247" s="128">
        <f t="shared" si="125"/>
        <v>640000</v>
      </c>
      <c r="AB247" s="128">
        <f t="shared" si="126"/>
        <v>1280000</v>
      </c>
      <c r="AC247" s="128">
        <f t="shared" si="127"/>
        <v>2560000</v>
      </c>
      <c r="AD247" s="128">
        <f t="shared" si="128"/>
        <v>6400000</v>
      </c>
      <c r="AE247" s="128">
        <f t="shared" si="129"/>
        <v>19200000</v>
      </c>
      <c r="AG247" s="128">
        <v>243</v>
      </c>
      <c r="AH247" s="126">
        <f>SUM(AA$5:AA247)</f>
        <v>12293800</v>
      </c>
      <c r="AI247" s="126">
        <f>SUM(AB$5:AB247)</f>
        <v>24587600</v>
      </c>
      <c r="AJ247" s="126">
        <f>SUM(AC$5:AC247)</f>
        <v>49175200</v>
      </c>
      <c r="AK247" s="126">
        <f>SUM(AD$5:AD247)</f>
        <v>122938000</v>
      </c>
      <c r="AL247" s="126">
        <f>SUM(AE$5:AE247)</f>
        <v>368814000</v>
      </c>
    </row>
    <row r="248" spans="10:38" x14ac:dyDescent="0.15">
      <c r="J248" s="46">
        <f>INDEX('[1]资源-装备经验'!Y$6:Y$165,(K248+1)/2,1)</f>
        <v>0</v>
      </c>
      <c r="K248" s="126">
        <v>244</v>
      </c>
      <c r="L248" s="133">
        <v>16000</v>
      </c>
      <c r="M248" s="128">
        <f t="shared" si="124"/>
        <v>16000</v>
      </c>
      <c r="N248" s="128">
        <f t="shared" si="130"/>
        <v>32000</v>
      </c>
      <c r="O248" s="128">
        <f t="shared" si="130"/>
        <v>64000</v>
      </c>
      <c r="P248" s="128">
        <f t="shared" si="130"/>
        <v>160000</v>
      </c>
      <c r="Q248" s="128">
        <f t="shared" si="130"/>
        <v>480000</v>
      </c>
      <c r="S248" s="126">
        <v>244</v>
      </c>
      <c r="T248" s="126">
        <f>SUM(M$5:M248)</f>
        <v>323345</v>
      </c>
      <c r="U248" s="126">
        <f>SUM(N$5:N248)</f>
        <v>646690</v>
      </c>
      <c r="V248" s="126">
        <f>SUM(O$5:O248)</f>
        <v>1293380</v>
      </c>
      <c r="W248" s="126">
        <f>SUM(P$5:P248)</f>
        <v>3233450</v>
      </c>
      <c r="X248" s="126">
        <f>SUM(Q$5:Q248)</f>
        <v>9700350</v>
      </c>
      <c r="Z248" s="128">
        <v>244</v>
      </c>
      <c r="AA248" s="128">
        <f t="shared" si="125"/>
        <v>640000</v>
      </c>
      <c r="AB248" s="128">
        <f t="shared" si="126"/>
        <v>1280000</v>
      </c>
      <c r="AC248" s="128">
        <f t="shared" si="127"/>
        <v>2560000</v>
      </c>
      <c r="AD248" s="128">
        <f t="shared" si="128"/>
        <v>6400000</v>
      </c>
      <c r="AE248" s="128">
        <f t="shared" si="129"/>
        <v>19200000</v>
      </c>
      <c r="AG248" s="128">
        <v>244</v>
      </c>
      <c r="AH248" s="126">
        <f>SUM(AA$5:AA248)</f>
        <v>12933800</v>
      </c>
      <c r="AI248" s="126">
        <f>SUM(AB$5:AB248)</f>
        <v>25867600</v>
      </c>
      <c r="AJ248" s="126">
        <f>SUM(AC$5:AC248)</f>
        <v>51735200</v>
      </c>
      <c r="AK248" s="126">
        <f>SUM(AD$5:AD248)</f>
        <v>129338000</v>
      </c>
      <c r="AL248" s="126">
        <f>SUM(AE$5:AE248)</f>
        <v>388014000</v>
      </c>
    </row>
    <row r="249" spans="10:38" x14ac:dyDescent="0.15">
      <c r="J249" s="46">
        <f>INDEX('[1]资源-装备经验'!Y$6:Y$165,(K249+1)/2,1)</f>
        <v>0</v>
      </c>
      <c r="K249" s="126">
        <v>245</v>
      </c>
      <c r="L249" s="133">
        <v>16000</v>
      </c>
      <c r="M249" s="128">
        <f t="shared" si="124"/>
        <v>16000</v>
      </c>
      <c r="N249" s="128">
        <f t="shared" si="130"/>
        <v>32000</v>
      </c>
      <c r="O249" s="128">
        <f t="shared" si="130"/>
        <v>64000</v>
      </c>
      <c r="P249" s="128">
        <f t="shared" si="130"/>
        <v>160000</v>
      </c>
      <c r="Q249" s="128">
        <f t="shared" si="130"/>
        <v>480000</v>
      </c>
      <c r="S249" s="126">
        <v>245</v>
      </c>
      <c r="T249" s="126">
        <f>SUM(M$5:M249)</f>
        <v>339345</v>
      </c>
      <c r="U249" s="126">
        <f>SUM(N$5:N249)</f>
        <v>678690</v>
      </c>
      <c r="V249" s="126">
        <f>SUM(O$5:O249)</f>
        <v>1357380</v>
      </c>
      <c r="W249" s="126">
        <f>SUM(P$5:P249)</f>
        <v>3393450</v>
      </c>
      <c r="X249" s="126">
        <f>SUM(Q$5:Q249)</f>
        <v>10180350</v>
      </c>
      <c r="Z249" s="128">
        <v>245</v>
      </c>
      <c r="AA249" s="128">
        <f t="shared" si="125"/>
        <v>640000</v>
      </c>
      <c r="AB249" s="128">
        <f t="shared" si="126"/>
        <v>1280000</v>
      </c>
      <c r="AC249" s="128">
        <f t="shared" si="127"/>
        <v>2560000</v>
      </c>
      <c r="AD249" s="128">
        <f t="shared" si="128"/>
        <v>6400000</v>
      </c>
      <c r="AE249" s="128">
        <f t="shared" si="129"/>
        <v>19200000</v>
      </c>
      <c r="AG249" s="128">
        <v>245</v>
      </c>
      <c r="AH249" s="126">
        <f>SUM(AA$5:AA249)</f>
        <v>13573800</v>
      </c>
      <c r="AI249" s="126">
        <f>SUM(AB$5:AB249)</f>
        <v>27147600</v>
      </c>
      <c r="AJ249" s="126">
        <f>SUM(AC$5:AC249)</f>
        <v>54295200</v>
      </c>
      <c r="AK249" s="126">
        <f>SUM(AD$5:AD249)</f>
        <v>135738000</v>
      </c>
      <c r="AL249" s="126">
        <f>SUM(AE$5:AE249)</f>
        <v>407214000</v>
      </c>
    </row>
    <row r="250" spans="10:38" x14ac:dyDescent="0.15">
      <c r="J250" s="46">
        <f>INDEX('[1]资源-装备经验'!Y$6:Y$165,(K250+1)/2,1)</f>
        <v>0</v>
      </c>
      <c r="K250" s="126">
        <v>246</v>
      </c>
      <c r="L250" s="133">
        <v>16000</v>
      </c>
      <c r="M250" s="128">
        <f t="shared" si="124"/>
        <v>16000</v>
      </c>
      <c r="N250" s="128">
        <f t="shared" si="130"/>
        <v>32000</v>
      </c>
      <c r="O250" s="128">
        <f t="shared" si="130"/>
        <v>64000</v>
      </c>
      <c r="P250" s="128">
        <f t="shared" si="130"/>
        <v>160000</v>
      </c>
      <c r="Q250" s="128">
        <f t="shared" si="130"/>
        <v>480000</v>
      </c>
      <c r="S250" s="126">
        <v>246</v>
      </c>
      <c r="T250" s="126">
        <f>SUM(M$5:M250)</f>
        <v>355345</v>
      </c>
      <c r="U250" s="126">
        <f>SUM(N$5:N250)</f>
        <v>710690</v>
      </c>
      <c r="V250" s="126">
        <f>SUM(O$5:O250)</f>
        <v>1421380</v>
      </c>
      <c r="W250" s="126">
        <f>SUM(P$5:P250)</f>
        <v>3553450</v>
      </c>
      <c r="X250" s="126">
        <f>SUM(Q$5:Q250)</f>
        <v>10660350</v>
      </c>
      <c r="Z250" s="128">
        <v>246</v>
      </c>
      <c r="AA250" s="128">
        <f t="shared" si="125"/>
        <v>640000</v>
      </c>
      <c r="AB250" s="128">
        <f t="shared" si="126"/>
        <v>1280000</v>
      </c>
      <c r="AC250" s="128">
        <f t="shared" si="127"/>
        <v>2560000</v>
      </c>
      <c r="AD250" s="128">
        <f t="shared" si="128"/>
        <v>6400000</v>
      </c>
      <c r="AE250" s="128">
        <f t="shared" si="129"/>
        <v>19200000</v>
      </c>
      <c r="AG250" s="128">
        <v>246</v>
      </c>
      <c r="AH250" s="126">
        <f>SUM(AA$5:AA250)</f>
        <v>14213800</v>
      </c>
      <c r="AI250" s="126">
        <f>SUM(AB$5:AB250)</f>
        <v>28427600</v>
      </c>
      <c r="AJ250" s="126">
        <f>SUM(AC$5:AC250)</f>
        <v>56855200</v>
      </c>
      <c r="AK250" s="126">
        <f>SUM(AD$5:AD250)</f>
        <v>142138000</v>
      </c>
      <c r="AL250" s="126">
        <f>SUM(AE$5:AE250)</f>
        <v>426414000</v>
      </c>
    </row>
    <row r="251" spans="10:38" x14ac:dyDescent="0.15">
      <c r="J251" s="46">
        <f>INDEX('[1]资源-装备经验'!Y$6:Y$165,(K251+1)/2,1)</f>
        <v>0</v>
      </c>
      <c r="K251" s="126">
        <v>247</v>
      </c>
      <c r="L251" s="133">
        <v>16000</v>
      </c>
      <c r="M251" s="128">
        <f t="shared" si="124"/>
        <v>16000</v>
      </c>
      <c r="N251" s="128">
        <f t="shared" si="130"/>
        <v>32000</v>
      </c>
      <c r="O251" s="128">
        <f t="shared" si="130"/>
        <v>64000</v>
      </c>
      <c r="P251" s="128">
        <f t="shared" si="130"/>
        <v>160000</v>
      </c>
      <c r="Q251" s="128">
        <f t="shared" si="130"/>
        <v>480000</v>
      </c>
      <c r="S251" s="126">
        <v>247</v>
      </c>
      <c r="T251" s="126">
        <f>SUM(M$5:M251)</f>
        <v>371345</v>
      </c>
      <c r="U251" s="126">
        <f>SUM(N$5:N251)</f>
        <v>742690</v>
      </c>
      <c r="V251" s="126">
        <f>SUM(O$5:O251)</f>
        <v>1485380</v>
      </c>
      <c r="W251" s="126">
        <f>SUM(P$5:P251)</f>
        <v>3713450</v>
      </c>
      <c r="X251" s="126">
        <f>SUM(Q$5:Q251)</f>
        <v>11140350</v>
      </c>
      <c r="Z251" s="128">
        <v>247</v>
      </c>
      <c r="AA251" s="128">
        <f t="shared" si="125"/>
        <v>640000</v>
      </c>
      <c r="AB251" s="128">
        <f t="shared" si="126"/>
        <v>1280000</v>
      </c>
      <c r="AC251" s="128">
        <f t="shared" si="127"/>
        <v>2560000</v>
      </c>
      <c r="AD251" s="128">
        <f t="shared" si="128"/>
        <v>6400000</v>
      </c>
      <c r="AE251" s="128">
        <f t="shared" si="129"/>
        <v>19200000</v>
      </c>
      <c r="AG251" s="128">
        <v>247</v>
      </c>
      <c r="AH251" s="126">
        <f>SUM(AA$5:AA251)</f>
        <v>14853800</v>
      </c>
      <c r="AI251" s="126">
        <f>SUM(AB$5:AB251)</f>
        <v>29707600</v>
      </c>
      <c r="AJ251" s="126">
        <f>SUM(AC$5:AC251)</f>
        <v>59415200</v>
      </c>
      <c r="AK251" s="126">
        <f>SUM(AD$5:AD251)</f>
        <v>148538000</v>
      </c>
      <c r="AL251" s="126">
        <f>SUM(AE$5:AE251)</f>
        <v>445614000</v>
      </c>
    </row>
    <row r="252" spans="10:38" x14ac:dyDescent="0.15">
      <c r="J252" s="46">
        <f>INDEX('[1]资源-装备经验'!Y$6:Y$165,(K252+1)/2,1)</f>
        <v>0</v>
      </c>
      <c r="K252" s="126">
        <v>248</v>
      </c>
      <c r="L252" s="133">
        <v>16000</v>
      </c>
      <c r="M252" s="128">
        <f t="shared" si="124"/>
        <v>16000</v>
      </c>
      <c r="N252" s="128">
        <f t="shared" si="130"/>
        <v>32000</v>
      </c>
      <c r="O252" s="128">
        <f t="shared" si="130"/>
        <v>64000</v>
      </c>
      <c r="P252" s="128">
        <f t="shared" si="130"/>
        <v>160000</v>
      </c>
      <c r="Q252" s="128">
        <f t="shared" si="130"/>
        <v>480000</v>
      </c>
      <c r="S252" s="126">
        <v>248</v>
      </c>
      <c r="T252" s="126">
        <f>SUM(M$5:M252)</f>
        <v>387345</v>
      </c>
      <c r="U252" s="126">
        <f>SUM(N$5:N252)</f>
        <v>774690</v>
      </c>
      <c r="V252" s="126">
        <f>SUM(O$5:O252)</f>
        <v>1549380</v>
      </c>
      <c r="W252" s="126">
        <f>SUM(P$5:P252)</f>
        <v>3873450</v>
      </c>
      <c r="X252" s="126">
        <f>SUM(Q$5:Q252)</f>
        <v>11620350</v>
      </c>
      <c r="Z252" s="128">
        <v>248</v>
      </c>
      <c r="AA252" s="128">
        <f t="shared" si="125"/>
        <v>640000</v>
      </c>
      <c r="AB252" s="128">
        <f t="shared" si="126"/>
        <v>1280000</v>
      </c>
      <c r="AC252" s="128">
        <f t="shared" si="127"/>
        <v>2560000</v>
      </c>
      <c r="AD252" s="128">
        <f t="shared" si="128"/>
        <v>6400000</v>
      </c>
      <c r="AE252" s="128">
        <f t="shared" si="129"/>
        <v>19200000</v>
      </c>
      <c r="AG252" s="128">
        <v>248</v>
      </c>
      <c r="AH252" s="126">
        <f>SUM(AA$5:AA252)</f>
        <v>15493800</v>
      </c>
      <c r="AI252" s="126">
        <f>SUM(AB$5:AB252)</f>
        <v>30987600</v>
      </c>
      <c r="AJ252" s="126">
        <f>SUM(AC$5:AC252)</f>
        <v>61975200</v>
      </c>
      <c r="AK252" s="126">
        <f>SUM(AD$5:AD252)</f>
        <v>154938000</v>
      </c>
      <c r="AL252" s="126">
        <f>SUM(AE$5:AE252)</f>
        <v>464814000</v>
      </c>
    </row>
    <row r="253" spans="10:38" x14ac:dyDescent="0.15">
      <c r="J253" s="46">
        <f>INDEX('[1]资源-装备经验'!Y$6:Y$165,(K253+1)/2,1)</f>
        <v>0</v>
      </c>
      <c r="K253" s="126">
        <v>249</v>
      </c>
      <c r="L253" s="133">
        <v>16000</v>
      </c>
      <c r="M253" s="128">
        <f t="shared" si="124"/>
        <v>16000</v>
      </c>
      <c r="N253" s="128">
        <f t="shared" si="130"/>
        <v>32000</v>
      </c>
      <c r="O253" s="128">
        <f t="shared" si="130"/>
        <v>64000</v>
      </c>
      <c r="P253" s="128">
        <f t="shared" si="130"/>
        <v>160000</v>
      </c>
      <c r="Q253" s="128">
        <f t="shared" si="130"/>
        <v>480000</v>
      </c>
      <c r="S253" s="126">
        <v>249</v>
      </c>
      <c r="T253" s="126">
        <f>SUM(M$5:M253)</f>
        <v>403345</v>
      </c>
      <c r="U253" s="126">
        <f>SUM(N$5:N253)</f>
        <v>806690</v>
      </c>
      <c r="V253" s="126">
        <f>SUM(O$5:O253)</f>
        <v>1613380</v>
      </c>
      <c r="W253" s="126">
        <f>SUM(P$5:P253)</f>
        <v>4033450</v>
      </c>
      <c r="X253" s="126">
        <f>SUM(Q$5:Q253)</f>
        <v>12100350</v>
      </c>
      <c r="Z253" s="128">
        <v>249</v>
      </c>
      <c r="AA253" s="128">
        <f t="shared" si="125"/>
        <v>640000</v>
      </c>
      <c r="AB253" s="128">
        <f t="shared" si="126"/>
        <v>1280000</v>
      </c>
      <c r="AC253" s="128">
        <f t="shared" si="127"/>
        <v>2560000</v>
      </c>
      <c r="AD253" s="128">
        <f t="shared" si="128"/>
        <v>6400000</v>
      </c>
      <c r="AE253" s="128">
        <f t="shared" si="129"/>
        <v>19200000</v>
      </c>
      <c r="AG253" s="128">
        <v>249</v>
      </c>
      <c r="AH253" s="126">
        <f>SUM(AA$5:AA253)</f>
        <v>16133800</v>
      </c>
      <c r="AI253" s="126">
        <f>SUM(AB$5:AB253)</f>
        <v>32267600</v>
      </c>
      <c r="AJ253" s="126">
        <f>SUM(AC$5:AC253)</f>
        <v>64535200</v>
      </c>
      <c r="AK253" s="126">
        <f>SUM(AD$5:AD253)</f>
        <v>161338000</v>
      </c>
      <c r="AL253" s="126">
        <f>SUM(AE$5:AE253)</f>
        <v>484014000</v>
      </c>
    </row>
    <row r="254" spans="10:38" x14ac:dyDescent="0.15">
      <c r="J254" s="46">
        <f>INDEX('[1]资源-装备经验'!Y$6:Y$165,(K254+1)/2,1)</f>
        <v>0</v>
      </c>
      <c r="K254" s="126">
        <v>250</v>
      </c>
      <c r="L254" s="133">
        <v>16000</v>
      </c>
      <c r="M254" s="128">
        <f t="shared" si="124"/>
        <v>16000</v>
      </c>
      <c r="N254" s="128">
        <f t="shared" si="130"/>
        <v>32000</v>
      </c>
      <c r="O254" s="128">
        <f t="shared" si="130"/>
        <v>64000</v>
      </c>
      <c r="P254" s="128">
        <f t="shared" si="130"/>
        <v>160000</v>
      </c>
      <c r="Q254" s="128">
        <f t="shared" si="130"/>
        <v>480000</v>
      </c>
      <c r="S254" s="126">
        <v>250</v>
      </c>
      <c r="T254" s="126">
        <f>SUM(M$5:M254)</f>
        <v>419345</v>
      </c>
      <c r="U254" s="126">
        <f>SUM(N$5:N254)</f>
        <v>838690</v>
      </c>
      <c r="V254" s="126">
        <f>SUM(O$5:O254)</f>
        <v>1677380</v>
      </c>
      <c r="W254" s="126">
        <f>SUM(P$5:P254)</f>
        <v>4193450</v>
      </c>
      <c r="X254" s="126">
        <f>SUM(Q$5:Q254)</f>
        <v>12580350</v>
      </c>
      <c r="Z254" s="128">
        <v>250</v>
      </c>
      <c r="AA254" s="128">
        <f t="shared" si="125"/>
        <v>640000</v>
      </c>
      <c r="AB254" s="128">
        <f t="shared" si="126"/>
        <v>1280000</v>
      </c>
      <c r="AC254" s="128">
        <f t="shared" si="127"/>
        <v>2560000</v>
      </c>
      <c r="AD254" s="128">
        <f t="shared" si="128"/>
        <v>6400000</v>
      </c>
      <c r="AE254" s="128">
        <f t="shared" si="129"/>
        <v>19200000</v>
      </c>
      <c r="AG254" s="128">
        <v>250</v>
      </c>
      <c r="AH254" s="126">
        <f>SUM(AA$5:AA254)</f>
        <v>16773800</v>
      </c>
      <c r="AI254" s="126">
        <f>SUM(AB$5:AB254)</f>
        <v>33547600</v>
      </c>
      <c r="AJ254" s="126">
        <f>SUM(AC$5:AC254)</f>
        <v>67095200</v>
      </c>
      <c r="AK254" s="126">
        <f>SUM(AD$5:AD254)</f>
        <v>167738000</v>
      </c>
      <c r="AL254" s="126">
        <f>SUM(AE$5:AE254)</f>
        <v>503214000</v>
      </c>
    </row>
    <row r="255" spans="10:38" x14ac:dyDescent="0.15">
      <c r="J255" s="46">
        <f>INDEX('[1]资源-装备经验'!Y$6:Y$165,(K255+1)/2,1)</f>
        <v>0</v>
      </c>
      <c r="K255" s="126">
        <v>251</v>
      </c>
      <c r="L255" s="133">
        <v>16000</v>
      </c>
      <c r="M255" s="128">
        <f t="shared" si="124"/>
        <v>16000</v>
      </c>
      <c r="N255" s="128">
        <f t="shared" si="130"/>
        <v>32000</v>
      </c>
      <c r="O255" s="128">
        <f t="shared" si="130"/>
        <v>64000</v>
      </c>
      <c r="P255" s="128">
        <f t="shared" si="130"/>
        <v>160000</v>
      </c>
      <c r="Q255" s="128">
        <f t="shared" si="130"/>
        <v>480000</v>
      </c>
      <c r="S255" s="126">
        <v>251</v>
      </c>
      <c r="T255" s="126">
        <f>SUM(M$5:M255)</f>
        <v>435345</v>
      </c>
      <c r="U255" s="126">
        <f>SUM(N$5:N255)</f>
        <v>870690</v>
      </c>
      <c r="V255" s="126">
        <f>SUM(O$5:O255)</f>
        <v>1741380</v>
      </c>
      <c r="W255" s="126">
        <f>SUM(P$5:P255)</f>
        <v>4353450</v>
      </c>
      <c r="X255" s="126">
        <f>SUM(Q$5:Q255)</f>
        <v>13060350</v>
      </c>
      <c r="Z255" s="128">
        <v>251</v>
      </c>
      <c r="AA255" s="128">
        <f t="shared" si="125"/>
        <v>640000</v>
      </c>
      <c r="AB255" s="128">
        <f t="shared" si="126"/>
        <v>1280000</v>
      </c>
      <c r="AC255" s="128">
        <f t="shared" si="127"/>
        <v>2560000</v>
      </c>
      <c r="AD255" s="128">
        <f t="shared" si="128"/>
        <v>6400000</v>
      </c>
      <c r="AE255" s="128">
        <f t="shared" si="129"/>
        <v>19200000</v>
      </c>
      <c r="AG255" s="128">
        <v>251</v>
      </c>
      <c r="AH255" s="126">
        <f>SUM(AA$5:AA255)</f>
        <v>17413800</v>
      </c>
      <c r="AI255" s="126">
        <f>SUM(AB$5:AB255)</f>
        <v>34827600</v>
      </c>
      <c r="AJ255" s="126">
        <f>SUM(AC$5:AC255)</f>
        <v>69655200</v>
      </c>
      <c r="AK255" s="126">
        <f>SUM(AD$5:AD255)</f>
        <v>174138000</v>
      </c>
      <c r="AL255" s="126">
        <f>SUM(AE$5:AE255)</f>
        <v>522414000</v>
      </c>
    </row>
    <row r="256" spans="10:38" x14ac:dyDescent="0.15">
      <c r="J256" s="46">
        <f>INDEX('[1]资源-装备经验'!Y$6:Y$165,(K256+1)/2,1)</f>
        <v>0</v>
      </c>
      <c r="K256" s="126">
        <v>252</v>
      </c>
      <c r="L256" s="133">
        <v>16000</v>
      </c>
      <c r="M256" s="128">
        <f t="shared" si="124"/>
        <v>16000</v>
      </c>
      <c r="N256" s="128">
        <f t="shared" si="130"/>
        <v>32000</v>
      </c>
      <c r="O256" s="128">
        <f t="shared" si="130"/>
        <v>64000</v>
      </c>
      <c r="P256" s="128">
        <f t="shared" si="130"/>
        <v>160000</v>
      </c>
      <c r="Q256" s="128">
        <f t="shared" si="130"/>
        <v>480000</v>
      </c>
      <c r="S256" s="126">
        <v>252</v>
      </c>
      <c r="T256" s="126">
        <f>SUM(M$5:M256)</f>
        <v>451345</v>
      </c>
      <c r="U256" s="126">
        <f>SUM(N$5:N256)</f>
        <v>902690</v>
      </c>
      <c r="V256" s="126">
        <f>SUM(O$5:O256)</f>
        <v>1805380</v>
      </c>
      <c r="W256" s="126">
        <f>SUM(P$5:P256)</f>
        <v>4513450</v>
      </c>
      <c r="X256" s="126">
        <f>SUM(Q$5:Q256)</f>
        <v>13540350</v>
      </c>
      <c r="Z256" s="128">
        <v>252</v>
      </c>
      <c r="AA256" s="128">
        <f t="shared" si="125"/>
        <v>640000</v>
      </c>
      <c r="AB256" s="128">
        <f t="shared" si="126"/>
        <v>1280000</v>
      </c>
      <c r="AC256" s="128">
        <f t="shared" si="127"/>
        <v>2560000</v>
      </c>
      <c r="AD256" s="128">
        <f t="shared" si="128"/>
        <v>6400000</v>
      </c>
      <c r="AE256" s="128">
        <f t="shared" si="129"/>
        <v>19200000</v>
      </c>
      <c r="AG256" s="128">
        <v>252</v>
      </c>
      <c r="AH256" s="126">
        <f>SUM(AA$5:AA256)</f>
        <v>18053800</v>
      </c>
      <c r="AI256" s="126">
        <f>SUM(AB$5:AB256)</f>
        <v>36107600</v>
      </c>
      <c r="AJ256" s="126">
        <f>SUM(AC$5:AC256)</f>
        <v>72215200</v>
      </c>
      <c r="AK256" s="126">
        <f>SUM(AD$5:AD256)</f>
        <v>180538000</v>
      </c>
      <c r="AL256" s="126">
        <f>SUM(AE$5:AE256)</f>
        <v>541614000</v>
      </c>
    </row>
    <row r="257" spans="10:38" x14ac:dyDescent="0.15">
      <c r="J257" s="46">
        <f>INDEX('[1]资源-装备经验'!Y$6:Y$165,(K257+1)/2,1)</f>
        <v>0</v>
      </c>
      <c r="K257" s="126">
        <v>253</v>
      </c>
      <c r="L257" s="133">
        <v>16000</v>
      </c>
      <c r="M257" s="128">
        <f t="shared" si="124"/>
        <v>16000</v>
      </c>
      <c r="N257" s="128">
        <f t="shared" si="130"/>
        <v>32000</v>
      </c>
      <c r="O257" s="128">
        <f t="shared" si="130"/>
        <v>64000</v>
      </c>
      <c r="P257" s="128">
        <f t="shared" si="130"/>
        <v>160000</v>
      </c>
      <c r="Q257" s="128">
        <f t="shared" si="130"/>
        <v>480000</v>
      </c>
      <c r="S257" s="126">
        <v>253</v>
      </c>
      <c r="T257" s="126">
        <f>SUM(M$5:M257)</f>
        <v>467345</v>
      </c>
      <c r="U257" s="126">
        <f>SUM(N$5:N257)</f>
        <v>934690</v>
      </c>
      <c r="V257" s="126">
        <f>SUM(O$5:O257)</f>
        <v>1869380</v>
      </c>
      <c r="W257" s="126">
        <f>SUM(P$5:P257)</f>
        <v>4673450</v>
      </c>
      <c r="X257" s="126">
        <f>SUM(Q$5:Q257)</f>
        <v>14020350</v>
      </c>
      <c r="Z257" s="128">
        <v>253</v>
      </c>
      <c r="AA257" s="128">
        <f t="shared" si="125"/>
        <v>640000</v>
      </c>
      <c r="AB257" s="128">
        <f t="shared" si="126"/>
        <v>1280000</v>
      </c>
      <c r="AC257" s="128">
        <f t="shared" si="127"/>
        <v>2560000</v>
      </c>
      <c r="AD257" s="128">
        <f t="shared" si="128"/>
        <v>6400000</v>
      </c>
      <c r="AE257" s="128">
        <f t="shared" si="129"/>
        <v>19200000</v>
      </c>
      <c r="AG257" s="128">
        <v>253</v>
      </c>
      <c r="AH257" s="126">
        <f>SUM(AA$5:AA257)</f>
        <v>18693800</v>
      </c>
      <c r="AI257" s="126">
        <f>SUM(AB$5:AB257)</f>
        <v>37387600</v>
      </c>
      <c r="AJ257" s="126">
        <f>SUM(AC$5:AC257)</f>
        <v>74775200</v>
      </c>
      <c r="AK257" s="126">
        <f>SUM(AD$5:AD257)</f>
        <v>186938000</v>
      </c>
      <c r="AL257" s="126">
        <f>SUM(AE$5:AE257)</f>
        <v>560814000</v>
      </c>
    </row>
    <row r="258" spans="10:38" x14ac:dyDescent="0.15">
      <c r="J258" s="46">
        <f>INDEX('[1]资源-装备经验'!Y$6:Y$165,(K258+1)/2,1)</f>
        <v>0</v>
      </c>
      <c r="K258" s="126">
        <v>254</v>
      </c>
      <c r="L258" s="133">
        <v>16000</v>
      </c>
      <c r="M258" s="128">
        <f t="shared" si="124"/>
        <v>16000</v>
      </c>
      <c r="N258" s="128">
        <f t="shared" si="130"/>
        <v>32000</v>
      </c>
      <c r="O258" s="128">
        <f t="shared" si="130"/>
        <v>64000</v>
      </c>
      <c r="P258" s="128">
        <f t="shared" si="130"/>
        <v>160000</v>
      </c>
      <c r="Q258" s="128">
        <f t="shared" si="130"/>
        <v>480000</v>
      </c>
      <c r="S258" s="126">
        <v>254</v>
      </c>
      <c r="T258" s="126">
        <f>SUM(M$5:M258)</f>
        <v>483345</v>
      </c>
      <c r="U258" s="126">
        <f>SUM(N$5:N258)</f>
        <v>966690</v>
      </c>
      <c r="V258" s="126">
        <f>SUM(O$5:O258)</f>
        <v>1933380</v>
      </c>
      <c r="W258" s="126">
        <f>SUM(P$5:P258)</f>
        <v>4833450</v>
      </c>
      <c r="X258" s="126">
        <f>SUM(Q$5:Q258)</f>
        <v>14500350</v>
      </c>
      <c r="Z258" s="128">
        <v>254</v>
      </c>
      <c r="AA258" s="128">
        <f t="shared" si="125"/>
        <v>640000</v>
      </c>
      <c r="AB258" s="128">
        <f t="shared" si="126"/>
        <v>1280000</v>
      </c>
      <c r="AC258" s="128">
        <f t="shared" si="127"/>
        <v>2560000</v>
      </c>
      <c r="AD258" s="128">
        <f t="shared" si="128"/>
        <v>6400000</v>
      </c>
      <c r="AE258" s="128">
        <f t="shared" si="129"/>
        <v>19200000</v>
      </c>
      <c r="AG258" s="128">
        <v>254</v>
      </c>
      <c r="AH258" s="126">
        <f>SUM(AA$5:AA258)</f>
        <v>19333800</v>
      </c>
      <c r="AI258" s="126">
        <f>SUM(AB$5:AB258)</f>
        <v>38667600</v>
      </c>
      <c r="AJ258" s="126">
        <f>SUM(AC$5:AC258)</f>
        <v>77335200</v>
      </c>
      <c r="AK258" s="126">
        <f>SUM(AD$5:AD258)</f>
        <v>193338000</v>
      </c>
      <c r="AL258" s="126">
        <f>SUM(AE$5:AE258)</f>
        <v>580014000</v>
      </c>
    </row>
    <row r="259" spans="10:38" x14ac:dyDescent="0.15">
      <c r="J259" s="46">
        <f>INDEX('[1]资源-装备经验'!Y$6:Y$165,(K259+1)/2,1)</f>
        <v>0</v>
      </c>
      <c r="K259" s="126">
        <v>255</v>
      </c>
      <c r="L259" s="133">
        <v>16000</v>
      </c>
      <c r="M259" s="128">
        <f t="shared" si="124"/>
        <v>16000</v>
      </c>
      <c r="N259" s="128">
        <f t="shared" si="130"/>
        <v>32000</v>
      </c>
      <c r="O259" s="128">
        <f t="shared" si="130"/>
        <v>64000</v>
      </c>
      <c r="P259" s="128">
        <f t="shared" si="130"/>
        <v>160000</v>
      </c>
      <c r="Q259" s="128">
        <f t="shared" si="130"/>
        <v>480000</v>
      </c>
      <c r="S259" s="126">
        <v>255</v>
      </c>
      <c r="T259" s="126">
        <f>SUM(M$5:M259)</f>
        <v>499345</v>
      </c>
      <c r="U259" s="126">
        <f>SUM(N$5:N259)</f>
        <v>998690</v>
      </c>
      <c r="V259" s="126">
        <f>SUM(O$5:O259)</f>
        <v>1997380</v>
      </c>
      <c r="W259" s="126">
        <f>SUM(P$5:P259)</f>
        <v>4993450</v>
      </c>
      <c r="X259" s="126">
        <f>SUM(Q$5:Q259)</f>
        <v>14980350</v>
      </c>
      <c r="Z259" s="128">
        <v>255</v>
      </c>
      <c r="AA259" s="128">
        <f t="shared" si="125"/>
        <v>640000</v>
      </c>
      <c r="AB259" s="128">
        <f t="shared" si="126"/>
        <v>1280000</v>
      </c>
      <c r="AC259" s="128">
        <f t="shared" si="127"/>
        <v>2560000</v>
      </c>
      <c r="AD259" s="128">
        <f t="shared" si="128"/>
        <v>6400000</v>
      </c>
      <c r="AE259" s="128">
        <f t="shared" si="129"/>
        <v>19200000</v>
      </c>
      <c r="AG259" s="128">
        <v>255</v>
      </c>
      <c r="AH259" s="126">
        <f>SUM(AA$5:AA259)</f>
        <v>19973800</v>
      </c>
      <c r="AI259" s="126">
        <f>SUM(AB$5:AB259)</f>
        <v>39947600</v>
      </c>
      <c r="AJ259" s="126">
        <f>SUM(AC$5:AC259)</f>
        <v>79895200</v>
      </c>
      <c r="AK259" s="126">
        <f>SUM(AD$5:AD259)</f>
        <v>199738000</v>
      </c>
      <c r="AL259" s="126">
        <f>SUM(AE$5:AE259)</f>
        <v>599214000</v>
      </c>
    </row>
    <row r="260" spans="10:38" x14ac:dyDescent="0.15">
      <c r="J260" s="46">
        <f>INDEX('[1]资源-装备经验'!Y$6:Y$165,(K260+1)/2,1)</f>
        <v>0</v>
      </c>
      <c r="K260" s="126">
        <v>256</v>
      </c>
      <c r="L260" s="133">
        <v>16000</v>
      </c>
      <c r="M260" s="128">
        <f t="shared" si="124"/>
        <v>16000</v>
      </c>
      <c r="N260" s="128">
        <f t="shared" si="130"/>
        <v>32000</v>
      </c>
      <c r="O260" s="128">
        <f t="shared" si="130"/>
        <v>64000</v>
      </c>
      <c r="P260" s="128">
        <f t="shared" si="130"/>
        <v>160000</v>
      </c>
      <c r="Q260" s="128">
        <f t="shared" si="130"/>
        <v>480000</v>
      </c>
      <c r="S260" s="126">
        <v>256</v>
      </c>
      <c r="T260" s="126">
        <f>SUM(M$5:M260)</f>
        <v>515345</v>
      </c>
      <c r="U260" s="126">
        <f>SUM(N$5:N260)</f>
        <v>1030690</v>
      </c>
      <c r="V260" s="126">
        <f>SUM(O$5:O260)</f>
        <v>2061380</v>
      </c>
      <c r="W260" s="126">
        <f>SUM(P$5:P260)</f>
        <v>5153450</v>
      </c>
      <c r="X260" s="126">
        <f>SUM(Q$5:Q260)</f>
        <v>15460350</v>
      </c>
      <c r="Z260" s="128">
        <v>256</v>
      </c>
      <c r="AA260" s="128">
        <f t="shared" si="125"/>
        <v>640000</v>
      </c>
      <c r="AB260" s="128">
        <f t="shared" si="126"/>
        <v>1280000</v>
      </c>
      <c r="AC260" s="128">
        <f t="shared" si="127"/>
        <v>2560000</v>
      </c>
      <c r="AD260" s="128">
        <f t="shared" si="128"/>
        <v>6400000</v>
      </c>
      <c r="AE260" s="128">
        <f t="shared" si="129"/>
        <v>19200000</v>
      </c>
      <c r="AG260" s="128">
        <v>256</v>
      </c>
      <c r="AH260" s="126">
        <f>SUM(AA$5:AA260)</f>
        <v>20613800</v>
      </c>
      <c r="AI260" s="126">
        <f>SUM(AB$5:AB260)</f>
        <v>41227600</v>
      </c>
      <c r="AJ260" s="126">
        <f>SUM(AC$5:AC260)</f>
        <v>82455200</v>
      </c>
      <c r="AK260" s="126">
        <f>SUM(AD$5:AD260)</f>
        <v>206138000</v>
      </c>
      <c r="AL260" s="126">
        <f>SUM(AE$5:AE260)</f>
        <v>618414000</v>
      </c>
    </row>
    <row r="261" spans="10:38" x14ac:dyDescent="0.15">
      <c r="J261" s="46">
        <f>INDEX('[1]资源-装备经验'!Y$6:Y$165,(K261+1)/2,1)</f>
        <v>0</v>
      </c>
      <c r="K261" s="126">
        <v>257</v>
      </c>
      <c r="L261" s="133">
        <v>16000</v>
      </c>
      <c r="M261" s="128">
        <f t="shared" si="124"/>
        <v>16000</v>
      </c>
      <c r="N261" s="128">
        <f t="shared" si="130"/>
        <v>32000</v>
      </c>
      <c r="O261" s="128">
        <f t="shared" si="130"/>
        <v>64000</v>
      </c>
      <c r="P261" s="128">
        <f t="shared" si="130"/>
        <v>160000</v>
      </c>
      <c r="Q261" s="128">
        <f t="shared" si="130"/>
        <v>480000</v>
      </c>
      <c r="S261" s="126">
        <v>257</v>
      </c>
      <c r="T261" s="126">
        <f>SUM(M$5:M261)</f>
        <v>531345</v>
      </c>
      <c r="U261" s="126">
        <f>SUM(N$5:N261)</f>
        <v>1062690</v>
      </c>
      <c r="V261" s="126">
        <f>SUM(O$5:O261)</f>
        <v>2125380</v>
      </c>
      <c r="W261" s="126">
        <f>SUM(P$5:P261)</f>
        <v>5313450</v>
      </c>
      <c r="X261" s="126">
        <f>SUM(Q$5:Q261)</f>
        <v>15940350</v>
      </c>
      <c r="Z261" s="128">
        <v>257</v>
      </c>
      <c r="AA261" s="128">
        <f t="shared" si="125"/>
        <v>640000</v>
      </c>
      <c r="AB261" s="128">
        <f t="shared" si="126"/>
        <v>1280000</v>
      </c>
      <c r="AC261" s="128">
        <f t="shared" si="127"/>
        <v>2560000</v>
      </c>
      <c r="AD261" s="128">
        <f t="shared" si="128"/>
        <v>6400000</v>
      </c>
      <c r="AE261" s="128">
        <f t="shared" si="129"/>
        <v>19200000</v>
      </c>
      <c r="AG261" s="128">
        <v>257</v>
      </c>
      <c r="AH261" s="126">
        <f>SUM(AA$5:AA261)</f>
        <v>21253800</v>
      </c>
      <c r="AI261" s="126">
        <f>SUM(AB$5:AB261)</f>
        <v>42507600</v>
      </c>
      <c r="AJ261" s="126">
        <f>SUM(AC$5:AC261)</f>
        <v>85015200</v>
      </c>
      <c r="AK261" s="126">
        <f>SUM(AD$5:AD261)</f>
        <v>212538000</v>
      </c>
      <c r="AL261" s="126">
        <f>SUM(AE$5:AE261)</f>
        <v>637614000</v>
      </c>
    </row>
    <row r="262" spans="10:38" x14ac:dyDescent="0.15">
      <c r="J262" s="46">
        <f>INDEX('[1]资源-装备经验'!Y$6:Y$165,(K262+1)/2,1)</f>
        <v>0</v>
      </c>
      <c r="K262" s="126">
        <v>258</v>
      </c>
      <c r="L262" s="133">
        <v>16000</v>
      </c>
      <c r="M262" s="128">
        <f t="shared" si="124"/>
        <v>16000</v>
      </c>
      <c r="N262" s="128">
        <f t="shared" ref="N262:Q277" si="131">$M262*N$1</f>
        <v>32000</v>
      </c>
      <c r="O262" s="128">
        <f t="shared" si="131"/>
        <v>64000</v>
      </c>
      <c r="P262" s="128">
        <f t="shared" si="131"/>
        <v>160000</v>
      </c>
      <c r="Q262" s="128">
        <f t="shared" si="131"/>
        <v>480000</v>
      </c>
      <c r="S262" s="126">
        <v>258</v>
      </c>
      <c r="T262" s="126">
        <f>SUM(M$5:M262)</f>
        <v>547345</v>
      </c>
      <c r="U262" s="126">
        <f>SUM(N$5:N262)</f>
        <v>1094690</v>
      </c>
      <c r="V262" s="126">
        <f>SUM(O$5:O262)</f>
        <v>2189380</v>
      </c>
      <c r="W262" s="126">
        <f>SUM(P$5:P262)</f>
        <v>5473450</v>
      </c>
      <c r="X262" s="126">
        <f>SUM(Q$5:Q262)</f>
        <v>16420350</v>
      </c>
      <c r="Z262" s="128">
        <v>258</v>
      </c>
      <c r="AA262" s="128">
        <f t="shared" si="125"/>
        <v>640000</v>
      </c>
      <c r="AB262" s="128">
        <f t="shared" si="126"/>
        <v>1280000</v>
      </c>
      <c r="AC262" s="128">
        <f t="shared" si="127"/>
        <v>2560000</v>
      </c>
      <c r="AD262" s="128">
        <f t="shared" si="128"/>
        <v>6400000</v>
      </c>
      <c r="AE262" s="128">
        <f t="shared" si="129"/>
        <v>19200000</v>
      </c>
      <c r="AG262" s="128">
        <v>258</v>
      </c>
      <c r="AH262" s="126">
        <f>SUM(AA$5:AA262)</f>
        <v>21893800</v>
      </c>
      <c r="AI262" s="126">
        <f>SUM(AB$5:AB262)</f>
        <v>43787600</v>
      </c>
      <c r="AJ262" s="126">
        <f>SUM(AC$5:AC262)</f>
        <v>87575200</v>
      </c>
      <c r="AK262" s="126">
        <f>SUM(AD$5:AD262)</f>
        <v>218938000</v>
      </c>
      <c r="AL262" s="126">
        <f>SUM(AE$5:AE262)</f>
        <v>656814000</v>
      </c>
    </row>
    <row r="263" spans="10:38" x14ac:dyDescent="0.15">
      <c r="J263" s="46">
        <f>INDEX('[1]资源-装备经验'!Y$6:Y$165,(K263+1)/2,1)</f>
        <v>0</v>
      </c>
      <c r="K263" s="126">
        <v>259</v>
      </c>
      <c r="L263" s="133">
        <v>16000</v>
      </c>
      <c r="M263" s="128">
        <f t="shared" si="124"/>
        <v>16000</v>
      </c>
      <c r="N263" s="128">
        <f t="shared" si="131"/>
        <v>32000</v>
      </c>
      <c r="O263" s="128">
        <f t="shared" si="131"/>
        <v>64000</v>
      </c>
      <c r="P263" s="128">
        <f t="shared" si="131"/>
        <v>160000</v>
      </c>
      <c r="Q263" s="128">
        <f t="shared" si="131"/>
        <v>480000</v>
      </c>
      <c r="S263" s="126">
        <v>259</v>
      </c>
      <c r="T263" s="126">
        <f>SUM(M$5:M263)</f>
        <v>563345</v>
      </c>
      <c r="U263" s="126">
        <f>SUM(N$5:N263)</f>
        <v>1126690</v>
      </c>
      <c r="V263" s="126">
        <f>SUM(O$5:O263)</f>
        <v>2253380</v>
      </c>
      <c r="W263" s="126">
        <f>SUM(P$5:P263)</f>
        <v>5633450</v>
      </c>
      <c r="X263" s="126">
        <f>SUM(Q$5:Q263)</f>
        <v>16900350</v>
      </c>
      <c r="Z263" s="128">
        <v>259</v>
      </c>
      <c r="AA263" s="128">
        <f t="shared" si="125"/>
        <v>640000</v>
      </c>
      <c r="AB263" s="128">
        <f t="shared" si="126"/>
        <v>1280000</v>
      </c>
      <c r="AC263" s="128">
        <f t="shared" si="127"/>
        <v>2560000</v>
      </c>
      <c r="AD263" s="128">
        <f t="shared" si="128"/>
        <v>6400000</v>
      </c>
      <c r="AE263" s="128">
        <f t="shared" si="129"/>
        <v>19200000</v>
      </c>
      <c r="AG263" s="128">
        <v>259</v>
      </c>
      <c r="AH263" s="126">
        <f>SUM(AA$5:AA263)</f>
        <v>22533800</v>
      </c>
      <c r="AI263" s="126">
        <f>SUM(AB$5:AB263)</f>
        <v>45067600</v>
      </c>
      <c r="AJ263" s="126">
        <f>SUM(AC$5:AC263)</f>
        <v>90135200</v>
      </c>
      <c r="AK263" s="126">
        <f>SUM(AD$5:AD263)</f>
        <v>225338000</v>
      </c>
      <c r="AL263" s="126">
        <f>SUM(AE$5:AE263)</f>
        <v>676014000</v>
      </c>
    </row>
    <row r="264" spans="10:38" x14ac:dyDescent="0.15">
      <c r="J264" s="46">
        <f>INDEX('[1]资源-装备经验'!Y$6:Y$165,(K264+1)/2,1)</f>
        <v>0</v>
      </c>
      <c r="K264" s="126">
        <v>260</v>
      </c>
      <c r="L264" s="133">
        <v>30000</v>
      </c>
      <c r="M264" s="128">
        <f t="shared" ref="M264:M304" si="132">L264*$M$1</f>
        <v>30000</v>
      </c>
      <c r="N264" s="128">
        <f t="shared" si="131"/>
        <v>60000</v>
      </c>
      <c r="O264" s="128">
        <f t="shared" si="131"/>
        <v>120000</v>
      </c>
      <c r="P264" s="128">
        <f t="shared" si="131"/>
        <v>300000</v>
      </c>
      <c r="Q264" s="128">
        <f t="shared" si="131"/>
        <v>900000</v>
      </c>
      <c r="S264" s="126">
        <v>260</v>
      </c>
      <c r="T264" s="126">
        <f>SUM(M$5:M264)</f>
        <v>593345</v>
      </c>
      <c r="U264" s="126">
        <f>SUM(N$5:N264)</f>
        <v>1186690</v>
      </c>
      <c r="V264" s="126">
        <f>SUM(O$5:O264)</f>
        <v>2373380</v>
      </c>
      <c r="W264" s="126">
        <f>SUM(P$5:P264)</f>
        <v>5933450</v>
      </c>
      <c r="X264" s="126">
        <f>SUM(Q$5:Q264)</f>
        <v>17800350</v>
      </c>
      <c r="Z264" s="128">
        <v>260</v>
      </c>
      <c r="AA264" s="128">
        <f t="shared" ref="AA264:AA304" si="133">M264*$D$16</f>
        <v>1200000</v>
      </c>
      <c r="AB264" s="128">
        <f t="shared" ref="AB264:AB304" si="134">N264*$D$16</f>
        <v>2400000</v>
      </c>
      <c r="AC264" s="128">
        <f t="shared" ref="AC264:AC304" si="135">O264*$D$16</f>
        <v>4800000</v>
      </c>
      <c r="AD264" s="128">
        <f t="shared" ref="AD264:AD304" si="136">P264*$D$16</f>
        <v>12000000</v>
      </c>
      <c r="AE264" s="128">
        <f t="shared" ref="AE264:AE304" si="137">Q264*$D$16</f>
        <v>36000000</v>
      </c>
      <c r="AG264" s="128">
        <v>260</v>
      </c>
      <c r="AH264" s="126">
        <f>SUM(AA$5:AA264)</f>
        <v>23733800</v>
      </c>
      <c r="AI264" s="126">
        <f>SUM(AB$5:AB264)</f>
        <v>47467600</v>
      </c>
      <c r="AJ264" s="126">
        <f>SUM(AC$5:AC264)</f>
        <v>94935200</v>
      </c>
      <c r="AK264" s="126">
        <f>SUM(AD$5:AD264)</f>
        <v>237338000</v>
      </c>
      <c r="AL264" s="126">
        <f>SUM(AE$5:AE264)</f>
        <v>712014000</v>
      </c>
    </row>
    <row r="265" spans="10:38" x14ac:dyDescent="0.15">
      <c r="J265" s="46">
        <f>INDEX('[1]资源-装备经验'!Y$6:Y$165,(K265+1)/2,1)</f>
        <v>0</v>
      </c>
      <c r="K265" s="126">
        <v>261</v>
      </c>
      <c r="L265" s="133">
        <v>30000</v>
      </c>
      <c r="M265" s="128">
        <f t="shared" si="132"/>
        <v>30000</v>
      </c>
      <c r="N265" s="128">
        <f t="shared" si="131"/>
        <v>60000</v>
      </c>
      <c r="O265" s="128">
        <f t="shared" si="131"/>
        <v>120000</v>
      </c>
      <c r="P265" s="128">
        <f t="shared" si="131"/>
        <v>300000</v>
      </c>
      <c r="Q265" s="128">
        <f t="shared" si="131"/>
        <v>900000</v>
      </c>
      <c r="S265" s="126">
        <v>261</v>
      </c>
      <c r="T265" s="126">
        <f>SUM(M$5:M265)</f>
        <v>623345</v>
      </c>
      <c r="U265" s="126">
        <f>SUM(N$5:N265)</f>
        <v>1246690</v>
      </c>
      <c r="V265" s="126">
        <f>SUM(O$5:O265)</f>
        <v>2493380</v>
      </c>
      <c r="W265" s="126">
        <f>SUM(P$5:P265)</f>
        <v>6233450</v>
      </c>
      <c r="X265" s="126">
        <f>SUM(Q$5:Q265)</f>
        <v>18700350</v>
      </c>
      <c r="Z265" s="128">
        <v>261</v>
      </c>
      <c r="AA265" s="128">
        <f t="shared" si="133"/>
        <v>1200000</v>
      </c>
      <c r="AB265" s="128">
        <f t="shared" si="134"/>
        <v>2400000</v>
      </c>
      <c r="AC265" s="128">
        <f t="shared" si="135"/>
        <v>4800000</v>
      </c>
      <c r="AD265" s="128">
        <f t="shared" si="136"/>
        <v>12000000</v>
      </c>
      <c r="AE265" s="128">
        <f t="shared" si="137"/>
        <v>36000000</v>
      </c>
      <c r="AG265" s="128">
        <v>261</v>
      </c>
      <c r="AH265" s="126">
        <f>SUM(AA$5:AA265)</f>
        <v>24933800</v>
      </c>
      <c r="AI265" s="126">
        <f>SUM(AB$5:AB265)</f>
        <v>49867600</v>
      </c>
      <c r="AJ265" s="126">
        <f>SUM(AC$5:AC265)</f>
        <v>99735200</v>
      </c>
      <c r="AK265" s="126">
        <f>SUM(AD$5:AD265)</f>
        <v>249338000</v>
      </c>
      <c r="AL265" s="126">
        <f>SUM(AE$5:AE265)</f>
        <v>748014000</v>
      </c>
    </row>
    <row r="266" spans="10:38" x14ac:dyDescent="0.15">
      <c r="J266" s="46">
        <f>INDEX('[1]资源-装备经验'!Y$6:Y$165,(K266+1)/2,1)</f>
        <v>0</v>
      </c>
      <c r="K266" s="126">
        <v>262</v>
      </c>
      <c r="L266" s="133">
        <v>30000</v>
      </c>
      <c r="M266" s="128">
        <f t="shared" si="132"/>
        <v>30000</v>
      </c>
      <c r="N266" s="128">
        <f t="shared" si="131"/>
        <v>60000</v>
      </c>
      <c r="O266" s="128">
        <f t="shared" si="131"/>
        <v>120000</v>
      </c>
      <c r="P266" s="128">
        <f t="shared" si="131"/>
        <v>300000</v>
      </c>
      <c r="Q266" s="128">
        <f t="shared" si="131"/>
        <v>900000</v>
      </c>
      <c r="S266" s="126">
        <v>262</v>
      </c>
      <c r="T266" s="126">
        <f>SUM(M$5:M266)</f>
        <v>653345</v>
      </c>
      <c r="U266" s="126">
        <f>SUM(N$5:N266)</f>
        <v>1306690</v>
      </c>
      <c r="V266" s="126">
        <f>SUM(O$5:O266)</f>
        <v>2613380</v>
      </c>
      <c r="W266" s="126">
        <f>SUM(P$5:P266)</f>
        <v>6533450</v>
      </c>
      <c r="X266" s="126">
        <f>SUM(Q$5:Q266)</f>
        <v>19600350</v>
      </c>
      <c r="Z266" s="128">
        <v>262</v>
      </c>
      <c r="AA266" s="128">
        <f t="shared" si="133"/>
        <v>1200000</v>
      </c>
      <c r="AB266" s="128">
        <f t="shared" si="134"/>
        <v>2400000</v>
      </c>
      <c r="AC266" s="128">
        <f t="shared" si="135"/>
        <v>4800000</v>
      </c>
      <c r="AD266" s="128">
        <f t="shared" si="136"/>
        <v>12000000</v>
      </c>
      <c r="AE266" s="128">
        <f t="shared" si="137"/>
        <v>36000000</v>
      </c>
      <c r="AG266" s="128">
        <v>262</v>
      </c>
      <c r="AH266" s="126">
        <f>SUM(AA$5:AA266)</f>
        <v>26133800</v>
      </c>
      <c r="AI266" s="126">
        <f>SUM(AB$5:AB266)</f>
        <v>52267600</v>
      </c>
      <c r="AJ266" s="126">
        <f>SUM(AC$5:AC266)</f>
        <v>104535200</v>
      </c>
      <c r="AK266" s="126">
        <f>SUM(AD$5:AD266)</f>
        <v>261338000</v>
      </c>
      <c r="AL266" s="126">
        <f>SUM(AE$5:AE266)</f>
        <v>784014000</v>
      </c>
    </row>
    <row r="267" spans="10:38" x14ac:dyDescent="0.15">
      <c r="J267" s="46">
        <f>INDEX('[1]资源-装备经验'!Y$6:Y$165,(K267+1)/2,1)</f>
        <v>0</v>
      </c>
      <c r="K267" s="126">
        <v>263</v>
      </c>
      <c r="L267" s="133">
        <v>30000</v>
      </c>
      <c r="M267" s="128">
        <f t="shared" si="132"/>
        <v>30000</v>
      </c>
      <c r="N267" s="128">
        <f t="shared" si="131"/>
        <v>60000</v>
      </c>
      <c r="O267" s="128">
        <f t="shared" si="131"/>
        <v>120000</v>
      </c>
      <c r="P267" s="128">
        <f t="shared" si="131"/>
        <v>300000</v>
      </c>
      <c r="Q267" s="128">
        <f t="shared" si="131"/>
        <v>900000</v>
      </c>
      <c r="S267" s="126">
        <v>263</v>
      </c>
      <c r="T267" s="126">
        <f>SUM(M$5:M267)</f>
        <v>683345</v>
      </c>
      <c r="U267" s="126">
        <f>SUM(N$5:N267)</f>
        <v>1366690</v>
      </c>
      <c r="V267" s="126">
        <f>SUM(O$5:O267)</f>
        <v>2733380</v>
      </c>
      <c r="W267" s="126">
        <f>SUM(P$5:P267)</f>
        <v>6833450</v>
      </c>
      <c r="X267" s="126">
        <f>SUM(Q$5:Q267)</f>
        <v>20500350</v>
      </c>
      <c r="Z267" s="128">
        <v>263</v>
      </c>
      <c r="AA267" s="128">
        <f t="shared" si="133"/>
        <v>1200000</v>
      </c>
      <c r="AB267" s="128">
        <f t="shared" si="134"/>
        <v>2400000</v>
      </c>
      <c r="AC267" s="128">
        <f t="shared" si="135"/>
        <v>4800000</v>
      </c>
      <c r="AD267" s="128">
        <f t="shared" si="136"/>
        <v>12000000</v>
      </c>
      <c r="AE267" s="128">
        <f t="shared" si="137"/>
        <v>36000000</v>
      </c>
      <c r="AG267" s="128">
        <v>263</v>
      </c>
      <c r="AH267" s="126">
        <f>SUM(AA$5:AA267)</f>
        <v>27333800</v>
      </c>
      <c r="AI267" s="126">
        <f>SUM(AB$5:AB267)</f>
        <v>54667600</v>
      </c>
      <c r="AJ267" s="126">
        <f>SUM(AC$5:AC267)</f>
        <v>109335200</v>
      </c>
      <c r="AK267" s="126">
        <f>SUM(AD$5:AD267)</f>
        <v>273338000</v>
      </c>
      <c r="AL267" s="126">
        <f>SUM(AE$5:AE267)</f>
        <v>820014000</v>
      </c>
    </row>
    <row r="268" spans="10:38" x14ac:dyDescent="0.15">
      <c r="J268" s="46">
        <f>INDEX('[1]资源-装备经验'!Y$6:Y$165,(K268+1)/2,1)</f>
        <v>0</v>
      </c>
      <c r="K268" s="126">
        <v>264</v>
      </c>
      <c r="L268" s="133">
        <v>30000</v>
      </c>
      <c r="M268" s="128">
        <f t="shared" si="132"/>
        <v>30000</v>
      </c>
      <c r="N268" s="128">
        <f t="shared" si="131"/>
        <v>60000</v>
      </c>
      <c r="O268" s="128">
        <f t="shared" si="131"/>
        <v>120000</v>
      </c>
      <c r="P268" s="128">
        <f t="shared" si="131"/>
        <v>300000</v>
      </c>
      <c r="Q268" s="128">
        <f t="shared" si="131"/>
        <v>900000</v>
      </c>
      <c r="S268" s="126">
        <v>264</v>
      </c>
      <c r="T268" s="126">
        <f>SUM(M$5:M268)</f>
        <v>713345</v>
      </c>
      <c r="U268" s="126">
        <f>SUM(N$5:N268)</f>
        <v>1426690</v>
      </c>
      <c r="V268" s="126">
        <f>SUM(O$5:O268)</f>
        <v>2853380</v>
      </c>
      <c r="W268" s="126">
        <f>SUM(P$5:P268)</f>
        <v>7133450</v>
      </c>
      <c r="X268" s="126">
        <f>SUM(Q$5:Q268)</f>
        <v>21400350</v>
      </c>
      <c r="Z268" s="128">
        <v>264</v>
      </c>
      <c r="AA268" s="128">
        <f t="shared" si="133"/>
        <v>1200000</v>
      </c>
      <c r="AB268" s="128">
        <f t="shared" si="134"/>
        <v>2400000</v>
      </c>
      <c r="AC268" s="128">
        <f t="shared" si="135"/>
        <v>4800000</v>
      </c>
      <c r="AD268" s="128">
        <f t="shared" si="136"/>
        <v>12000000</v>
      </c>
      <c r="AE268" s="128">
        <f t="shared" si="137"/>
        <v>36000000</v>
      </c>
      <c r="AG268" s="128">
        <v>264</v>
      </c>
      <c r="AH268" s="126">
        <f>SUM(AA$5:AA268)</f>
        <v>28533800</v>
      </c>
      <c r="AI268" s="126">
        <f>SUM(AB$5:AB268)</f>
        <v>57067600</v>
      </c>
      <c r="AJ268" s="126">
        <f>SUM(AC$5:AC268)</f>
        <v>114135200</v>
      </c>
      <c r="AK268" s="126">
        <f>SUM(AD$5:AD268)</f>
        <v>285338000</v>
      </c>
      <c r="AL268" s="126">
        <f>SUM(AE$5:AE268)</f>
        <v>856014000</v>
      </c>
    </row>
    <row r="269" spans="10:38" x14ac:dyDescent="0.15">
      <c r="J269" s="46">
        <f>INDEX('[1]资源-装备经验'!Y$6:Y$165,(K269+1)/2,1)</f>
        <v>0</v>
      </c>
      <c r="K269" s="126">
        <v>265</v>
      </c>
      <c r="L269" s="133">
        <v>30000</v>
      </c>
      <c r="M269" s="128">
        <f t="shared" si="132"/>
        <v>30000</v>
      </c>
      <c r="N269" s="128">
        <f t="shared" si="131"/>
        <v>60000</v>
      </c>
      <c r="O269" s="128">
        <f t="shared" si="131"/>
        <v>120000</v>
      </c>
      <c r="P269" s="128">
        <f t="shared" si="131"/>
        <v>300000</v>
      </c>
      <c r="Q269" s="128">
        <f t="shared" si="131"/>
        <v>900000</v>
      </c>
      <c r="S269" s="126">
        <v>265</v>
      </c>
      <c r="T269" s="126">
        <f>SUM(M$5:M269)</f>
        <v>743345</v>
      </c>
      <c r="U269" s="126">
        <f>SUM(N$5:N269)</f>
        <v>1486690</v>
      </c>
      <c r="V269" s="126">
        <f>SUM(O$5:O269)</f>
        <v>2973380</v>
      </c>
      <c r="W269" s="126">
        <f>SUM(P$5:P269)</f>
        <v>7433450</v>
      </c>
      <c r="X269" s="126">
        <f>SUM(Q$5:Q269)</f>
        <v>22300350</v>
      </c>
      <c r="Z269" s="128">
        <v>265</v>
      </c>
      <c r="AA269" s="128">
        <f t="shared" si="133"/>
        <v>1200000</v>
      </c>
      <c r="AB269" s="128">
        <f t="shared" si="134"/>
        <v>2400000</v>
      </c>
      <c r="AC269" s="128">
        <f t="shared" si="135"/>
        <v>4800000</v>
      </c>
      <c r="AD269" s="128">
        <f t="shared" si="136"/>
        <v>12000000</v>
      </c>
      <c r="AE269" s="128">
        <f t="shared" si="137"/>
        <v>36000000</v>
      </c>
      <c r="AG269" s="128">
        <v>265</v>
      </c>
      <c r="AH269" s="126">
        <f>SUM(AA$5:AA269)</f>
        <v>29733800</v>
      </c>
      <c r="AI269" s="126">
        <f>SUM(AB$5:AB269)</f>
        <v>59467600</v>
      </c>
      <c r="AJ269" s="126">
        <f>SUM(AC$5:AC269)</f>
        <v>118935200</v>
      </c>
      <c r="AK269" s="126">
        <f>SUM(AD$5:AD269)</f>
        <v>297338000</v>
      </c>
      <c r="AL269" s="126">
        <f>SUM(AE$5:AE269)</f>
        <v>892014000</v>
      </c>
    </row>
    <row r="270" spans="10:38" x14ac:dyDescent="0.15">
      <c r="J270" s="46">
        <f>INDEX('[1]资源-装备经验'!Y$6:Y$165,(K270+1)/2,1)</f>
        <v>0</v>
      </c>
      <c r="K270" s="126">
        <v>266</v>
      </c>
      <c r="L270" s="133">
        <v>30000</v>
      </c>
      <c r="M270" s="128">
        <f t="shared" si="132"/>
        <v>30000</v>
      </c>
      <c r="N270" s="128">
        <f t="shared" si="131"/>
        <v>60000</v>
      </c>
      <c r="O270" s="128">
        <f t="shared" si="131"/>
        <v>120000</v>
      </c>
      <c r="P270" s="128">
        <f t="shared" si="131"/>
        <v>300000</v>
      </c>
      <c r="Q270" s="128">
        <f t="shared" si="131"/>
        <v>900000</v>
      </c>
      <c r="S270" s="126">
        <v>266</v>
      </c>
      <c r="T270" s="126">
        <f>SUM(M$5:M270)</f>
        <v>773345</v>
      </c>
      <c r="U270" s="126">
        <f>SUM(N$5:N270)</f>
        <v>1546690</v>
      </c>
      <c r="V270" s="126">
        <f>SUM(O$5:O270)</f>
        <v>3093380</v>
      </c>
      <c r="W270" s="126">
        <f>SUM(P$5:P270)</f>
        <v>7733450</v>
      </c>
      <c r="X270" s="126">
        <f>SUM(Q$5:Q270)</f>
        <v>23200350</v>
      </c>
      <c r="Z270" s="128">
        <v>266</v>
      </c>
      <c r="AA270" s="128">
        <f t="shared" si="133"/>
        <v>1200000</v>
      </c>
      <c r="AB270" s="128">
        <f t="shared" si="134"/>
        <v>2400000</v>
      </c>
      <c r="AC270" s="128">
        <f t="shared" si="135"/>
        <v>4800000</v>
      </c>
      <c r="AD270" s="128">
        <f t="shared" si="136"/>
        <v>12000000</v>
      </c>
      <c r="AE270" s="128">
        <f t="shared" si="137"/>
        <v>36000000</v>
      </c>
      <c r="AG270" s="128">
        <v>266</v>
      </c>
      <c r="AH270" s="126">
        <f>SUM(AA$5:AA270)</f>
        <v>30933800</v>
      </c>
      <c r="AI270" s="126">
        <f>SUM(AB$5:AB270)</f>
        <v>61867600</v>
      </c>
      <c r="AJ270" s="126">
        <f>SUM(AC$5:AC270)</f>
        <v>123735200</v>
      </c>
      <c r="AK270" s="126">
        <f>SUM(AD$5:AD270)</f>
        <v>309338000</v>
      </c>
      <c r="AL270" s="126">
        <f>SUM(AE$5:AE270)</f>
        <v>928014000</v>
      </c>
    </row>
    <row r="271" spans="10:38" x14ac:dyDescent="0.15">
      <c r="J271" s="46">
        <f>INDEX('[1]资源-装备经验'!Y$6:Y$165,(K271+1)/2,1)</f>
        <v>0</v>
      </c>
      <c r="K271" s="126">
        <v>267</v>
      </c>
      <c r="L271" s="133">
        <v>30000</v>
      </c>
      <c r="M271" s="128">
        <f t="shared" si="132"/>
        <v>30000</v>
      </c>
      <c r="N271" s="128">
        <f t="shared" si="131"/>
        <v>60000</v>
      </c>
      <c r="O271" s="128">
        <f t="shared" si="131"/>
        <v>120000</v>
      </c>
      <c r="P271" s="128">
        <f t="shared" si="131"/>
        <v>300000</v>
      </c>
      <c r="Q271" s="128">
        <f t="shared" si="131"/>
        <v>900000</v>
      </c>
      <c r="S271" s="126">
        <v>267</v>
      </c>
      <c r="T271" s="126">
        <f>SUM(M$5:M271)</f>
        <v>803345</v>
      </c>
      <c r="U271" s="126">
        <f>SUM(N$5:N271)</f>
        <v>1606690</v>
      </c>
      <c r="V271" s="126">
        <f>SUM(O$5:O271)</f>
        <v>3213380</v>
      </c>
      <c r="W271" s="126">
        <f>SUM(P$5:P271)</f>
        <v>8033450</v>
      </c>
      <c r="X271" s="126">
        <f>SUM(Q$5:Q271)</f>
        <v>24100350</v>
      </c>
      <c r="Z271" s="128">
        <v>267</v>
      </c>
      <c r="AA271" s="128">
        <f t="shared" si="133"/>
        <v>1200000</v>
      </c>
      <c r="AB271" s="128">
        <f t="shared" si="134"/>
        <v>2400000</v>
      </c>
      <c r="AC271" s="128">
        <f t="shared" si="135"/>
        <v>4800000</v>
      </c>
      <c r="AD271" s="128">
        <f t="shared" si="136"/>
        <v>12000000</v>
      </c>
      <c r="AE271" s="128">
        <f t="shared" si="137"/>
        <v>36000000</v>
      </c>
      <c r="AG271" s="128">
        <v>267</v>
      </c>
      <c r="AH271" s="126">
        <f>SUM(AA$5:AA271)</f>
        <v>32133800</v>
      </c>
      <c r="AI271" s="126">
        <f>SUM(AB$5:AB271)</f>
        <v>64267600</v>
      </c>
      <c r="AJ271" s="126">
        <f>SUM(AC$5:AC271)</f>
        <v>128535200</v>
      </c>
      <c r="AK271" s="126">
        <f>SUM(AD$5:AD271)</f>
        <v>321338000</v>
      </c>
      <c r="AL271" s="126">
        <f>SUM(AE$5:AE271)</f>
        <v>964014000</v>
      </c>
    </row>
    <row r="272" spans="10:38" x14ac:dyDescent="0.15">
      <c r="J272" s="46">
        <f>INDEX('[1]资源-装备经验'!Y$6:Y$165,(K272+1)/2,1)</f>
        <v>0</v>
      </c>
      <c r="K272" s="126">
        <v>268</v>
      </c>
      <c r="L272" s="133">
        <v>30000</v>
      </c>
      <c r="M272" s="128">
        <f t="shared" si="132"/>
        <v>30000</v>
      </c>
      <c r="N272" s="128">
        <f t="shared" si="131"/>
        <v>60000</v>
      </c>
      <c r="O272" s="128">
        <f t="shared" si="131"/>
        <v>120000</v>
      </c>
      <c r="P272" s="128">
        <f t="shared" si="131"/>
        <v>300000</v>
      </c>
      <c r="Q272" s="128">
        <f t="shared" si="131"/>
        <v>900000</v>
      </c>
      <c r="S272" s="126">
        <v>268</v>
      </c>
      <c r="T272" s="126">
        <f>SUM(M$5:M272)</f>
        <v>833345</v>
      </c>
      <c r="U272" s="126">
        <f>SUM(N$5:N272)</f>
        <v>1666690</v>
      </c>
      <c r="V272" s="126">
        <f>SUM(O$5:O272)</f>
        <v>3333380</v>
      </c>
      <c r="W272" s="126">
        <f>SUM(P$5:P272)</f>
        <v>8333450</v>
      </c>
      <c r="X272" s="126">
        <f>SUM(Q$5:Q272)</f>
        <v>25000350</v>
      </c>
      <c r="Z272" s="128">
        <v>268</v>
      </c>
      <c r="AA272" s="128">
        <f t="shared" si="133"/>
        <v>1200000</v>
      </c>
      <c r="AB272" s="128">
        <f t="shared" si="134"/>
        <v>2400000</v>
      </c>
      <c r="AC272" s="128">
        <f t="shared" si="135"/>
        <v>4800000</v>
      </c>
      <c r="AD272" s="128">
        <f t="shared" si="136"/>
        <v>12000000</v>
      </c>
      <c r="AE272" s="128">
        <f t="shared" si="137"/>
        <v>36000000</v>
      </c>
      <c r="AG272" s="128">
        <v>268</v>
      </c>
      <c r="AH272" s="126">
        <f>SUM(AA$5:AA272)</f>
        <v>33333800</v>
      </c>
      <c r="AI272" s="126">
        <f>SUM(AB$5:AB272)</f>
        <v>66667600</v>
      </c>
      <c r="AJ272" s="126">
        <f>SUM(AC$5:AC272)</f>
        <v>133335200</v>
      </c>
      <c r="AK272" s="126">
        <f>SUM(AD$5:AD272)</f>
        <v>333338000</v>
      </c>
      <c r="AL272" s="126">
        <f>SUM(AE$5:AE272)</f>
        <v>1000014000</v>
      </c>
    </row>
    <row r="273" spans="10:38" x14ac:dyDescent="0.15">
      <c r="J273" s="46">
        <f>INDEX('[1]资源-装备经验'!Y$6:Y$165,(K273+1)/2,1)</f>
        <v>0</v>
      </c>
      <c r="K273" s="126">
        <v>269</v>
      </c>
      <c r="L273" s="133">
        <v>30000</v>
      </c>
      <c r="M273" s="128">
        <f t="shared" si="132"/>
        <v>30000</v>
      </c>
      <c r="N273" s="128">
        <f t="shared" si="131"/>
        <v>60000</v>
      </c>
      <c r="O273" s="128">
        <f t="shared" si="131"/>
        <v>120000</v>
      </c>
      <c r="P273" s="128">
        <f t="shared" si="131"/>
        <v>300000</v>
      </c>
      <c r="Q273" s="128">
        <f t="shared" si="131"/>
        <v>900000</v>
      </c>
      <c r="S273" s="126">
        <v>269</v>
      </c>
      <c r="T273" s="126">
        <f>SUM(M$5:M273)</f>
        <v>863345</v>
      </c>
      <c r="U273" s="126">
        <f>SUM(N$5:N273)</f>
        <v>1726690</v>
      </c>
      <c r="V273" s="126">
        <f>SUM(O$5:O273)</f>
        <v>3453380</v>
      </c>
      <c r="W273" s="126">
        <f>SUM(P$5:P273)</f>
        <v>8633450</v>
      </c>
      <c r="X273" s="126">
        <f>SUM(Q$5:Q273)</f>
        <v>25900350</v>
      </c>
      <c r="Z273" s="128">
        <v>269</v>
      </c>
      <c r="AA273" s="128">
        <f t="shared" si="133"/>
        <v>1200000</v>
      </c>
      <c r="AB273" s="128">
        <f t="shared" si="134"/>
        <v>2400000</v>
      </c>
      <c r="AC273" s="128">
        <f t="shared" si="135"/>
        <v>4800000</v>
      </c>
      <c r="AD273" s="128">
        <f t="shared" si="136"/>
        <v>12000000</v>
      </c>
      <c r="AE273" s="128">
        <f t="shared" si="137"/>
        <v>36000000</v>
      </c>
      <c r="AG273" s="128">
        <v>269</v>
      </c>
      <c r="AH273" s="126">
        <f>SUM(AA$5:AA273)</f>
        <v>34533800</v>
      </c>
      <c r="AI273" s="126">
        <f>SUM(AB$5:AB273)</f>
        <v>69067600</v>
      </c>
      <c r="AJ273" s="126">
        <f>SUM(AC$5:AC273)</f>
        <v>138135200</v>
      </c>
      <c r="AK273" s="126">
        <f>SUM(AD$5:AD273)</f>
        <v>345338000</v>
      </c>
      <c r="AL273" s="126">
        <f>SUM(AE$5:AE273)</f>
        <v>1036014000</v>
      </c>
    </row>
    <row r="274" spans="10:38" x14ac:dyDescent="0.15">
      <c r="J274" s="46">
        <f>INDEX('[1]资源-装备经验'!Y$6:Y$165,(K274+1)/2,1)</f>
        <v>0</v>
      </c>
      <c r="K274" s="126">
        <v>270</v>
      </c>
      <c r="L274" s="133">
        <v>50000</v>
      </c>
      <c r="M274" s="128">
        <f t="shared" si="132"/>
        <v>50000</v>
      </c>
      <c r="N274" s="128">
        <f t="shared" si="131"/>
        <v>100000</v>
      </c>
      <c r="O274" s="128">
        <f t="shared" si="131"/>
        <v>200000</v>
      </c>
      <c r="P274" s="128">
        <f t="shared" si="131"/>
        <v>500000</v>
      </c>
      <c r="Q274" s="128">
        <f t="shared" si="131"/>
        <v>1500000</v>
      </c>
      <c r="S274" s="126">
        <v>270</v>
      </c>
      <c r="T274" s="126">
        <f>SUM(M$5:M274)</f>
        <v>913345</v>
      </c>
      <c r="U274" s="126">
        <f>SUM(N$5:N274)</f>
        <v>1826690</v>
      </c>
      <c r="V274" s="126">
        <f>SUM(O$5:O274)</f>
        <v>3653380</v>
      </c>
      <c r="W274" s="126">
        <f>SUM(P$5:P274)</f>
        <v>9133450</v>
      </c>
      <c r="X274" s="126">
        <f>SUM(Q$5:Q274)</f>
        <v>27400350</v>
      </c>
      <c r="Z274" s="128">
        <v>270</v>
      </c>
      <c r="AA274" s="128">
        <f t="shared" si="133"/>
        <v>2000000</v>
      </c>
      <c r="AB274" s="128">
        <f t="shared" si="134"/>
        <v>4000000</v>
      </c>
      <c r="AC274" s="128">
        <f t="shared" si="135"/>
        <v>8000000</v>
      </c>
      <c r="AD274" s="128">
        <f t="shared" si="136"/>
        <v>20000000</v>
      </c>
      <c r="AE274" s="128">
        <f t="shared" si="137"/>
        <v>60000000</v>
      </c>
      <c r="AG274" s="128">
        <v>270</v>
      </c>
      <c r="AH274" s="126">
        <f>SUM(AA$5:AA274)</f>
        <v>36533800</v>
      </c>
      <c r="AI274" s="126">
        <f>SUM(AB$5:AB274)</f>
        <v>73067600</v>
      </c>
      <c r="AJ274" s="126">
        <f>SUM(AC$5:AC274)</f>
        <v>146135200</v>
      </c>
      <c r="AK274" s="126">
        <f>SUM(AD$5:AD274)</f>
        <v>365338000</v>
      </c>
      <c r="AL274" s="126">
        <f>SUM(AE$5:AE274)</f>
        <v>1096014000</v>
      </c>
    </row>
    <row r="275" spans="10:38" x14ac:dyDescent="0.15">
      <c r="J275" s="46">
        <f>INDEX('[1]资源-装备经验'!Y$6:Y$165,(K275+1)/2,1)</f>
        <v>0</v>
      </c>
      <c r="K275" s="126">
        <v>271</v>
      </c>
      <c r="L275" s="133">
        <v>50000</v>
      </c>
      <c r="M275" s="128">
        <f t="shared" si="132"/>
        <v>50000</v>
      </c>
      <c r="N275" s="128">
        <f t="shared" si="131"/>
        <v>100000</v>
      </c>
      <c r="O275" s="128">
        <f t="shared" si="131"/>
        <v>200000</v>
      </c>
      <c r="P275" s="128">
        <f t="shared" si="131"/>
        <v>500000</v>
      </c>
      <c r="Q275" s="128">
        <f t="shared" si="131"/>
        <v>1500000</v>
      </c>
      <c r="S275" s="126">
        <v>271</v>
      </c>
      <c r="T275" s="126">
        <f>SUM(M$5:M275)</f>
        <v>963345</v>
      </c>
      <c r="U275" s="126">
        <f>SUM(N$5:N275)</f>
        <v>1926690</v>
      </c>
      <c r="V275" s="126">
        <f>SUM(O$5:O275)</f>
        <v>3853380</v>
      </c>
      <c r="W275" s="126">
        <f>SUM(P$5:P275)</f>
        <v>9633450</v>
      </c>
      <c r="X275" s="126">
        <f>SUM(Q$5:Q275)</f>
        <v>28900350</v>
      </c>
      <c r="Z275" s="128">
        <v>271</v>
      </c>
      <c r="AA275" s="128">
        <f t="shared" si="133"/>
        <v>2000000</v>
      </c>
      <c r="AB275" s="128">
        <f t="shared" si="134"/>
        <v>4000000</v>
      </c>
      <c r="AC275" s="128">
        <f t="shared" si="135"/>
        <v>8000000</v>
      </c>
      <c r="AD275" s="128">
        <f t="shared" si="136"/>
        <v>20000000</v>
      </c>
      <c r="AE275" s="128">
        <f t="shared" si="137"/>
        <v>60000000</v>
      </c>
      <c r="AG275" s="128">
        <v>271</v>
      </c>
      <c r="AH275" s="126">
        <f>SUM(AA$5:AA275)</f>
        <v>38533800</v>
      </c>
      <c r="AI275" s="126">
        <f>SUM(AB$5:AB275)</f>
        <v>77067600</v>
      </c>
      <c r="AJ275" s="126">
        <f>SUM(AC$5:AC275)</f>
        <v>154135200</v>
      </c>
      <c r="AK275" s="126">
        <f>SUM(AD$5:AD275)</f>
        <v>385338000</v>
      </c>
      <c r="AL275" s="126">
        <f>SUM(AE$5:AE275)</f>
        <v>1156014000</v>
      </c>
    </row>
    <row r="276" spans="10:38" x14ac:dyDescent="0.15">
      <c r="J276" s="46">
        <f>INDEX('[1]资源-装备经验'!Y$6:Y$165,(K276+1)/2,1)</f>
        <v>0</v>
      </c>
      <c r="K276" s="126">
        <v>272</v>
      </c>
      <c r="L276" s="133">
        <v>50000</v>
      </c>
      <c r="M276" s="128">
        <f t="shared" si="132"/>
        <v>50000</v>
      </c>
      <c r="N276" s="128">
        <f t="shared" si="131"/>
        <v>100000</v>
      </c>
      <c r="O276" s="128">
        <f t="shared" si="131"/>
        <v>200000</v>
      </c>
      <c r="P276" s="128">
        <f t="shared" si="131"/>
        <v>500000</v>
      </c>
      <c r="Q276" s="128">
        <f t="shared" si="131"/>
        <v>1500000</v>
      </c>
      <c r="S276" s="126">
        <v>272</v>
      </c>
      <c r="T276" s="126">
        <f>SUM(M$5:M276)</f>
        <v>1013345</v>
      </c>
      <c r="U276" s="126">
        <f>SUM(N$5:N276)</f>
        <v>2026690</v>
      </c>
      <c r="V276" s="126">
        <f>SUM(O$5:O276)</f>
        <v>4053380</v>
      </c>
      <c r="W276" s="126">
        <f>SUM(P$5:P276)</f>
        <v>10133450</v>
      </c>
      <c r="X276" s="126">
        <f>SUM(Q$5:Q276)</f>
        <v>30400350</v>
      </c>
      <c r="Z276" s="128">
        <v>272</v>
      </c>
      <c r="AA276" s="128">
        <f t="shared" si="133"/>
        <v>2000000</v>
      </c>
      <c r="AB276" s="128">
        <f t="shared" si="134"/>
        <v>4000000</v>
      </c>
      <c r="AC276" s="128">
        <f t="shared" si="135"/>
        <v>8000000</v>
      </c>
      <c r="AD276" s="128">
        <f t="shared" si="136"/>
        <v>20000000</v>
      </c>
      <c r="AE276" s="128">
        <f t="shared" si="137"/>
        <v>60000000</v>
      </c>
      <c r="AG276" s="128">
        <v>272</v>
      </c>
      <c r="AH276" s="126">
        <f>SUM(AA$5:AA276)</f>
        <v>40533800</v>
      </c>
      <c r="AI276" s="126">
        <f>SUM(AB$5:AB276)</f>
        <v>81067600</v>
      </c>
      <c r="AJ276" s="126">
        <f>SUM(AC$5:AC276)</f>
        <v>162135200</v>
      </c>
      <c r="AK276" s="126">
        <f>SUM(AD$5:AD276)</f>
        <v>405338000</v>
      </c>
      <c r="AL276" s="126">
        <f>SUM(AE$5:AE276)</f>
        <v>1216014000</v>
      </c>
    </row>
    <row r="277" spans="10:38" x14ac:dyDescent="0.15">
      <c r="J277" s="46">
        <f>INDEX('[1]资源-装备经验'!Y$6:Y$165,(K277+1)/2,1)</f>
        <v>0</v>
      </c>
      <c r="K277" s="126">
        <v>273</v>
      </c>
      <c r="L277" s="133">
        <v>50000</v>
      </c>
      <c r="M277" s="128">
        <f t="shared" si="132"/>
        <v>50000</v>
      </c>
      <c r="N277" s="128">
        <f t="shared" si="131"/>
        <v>100000</v>
      </c>
      <c r="O277" s="128">
        <f t="shared" si="131"/>
        <v>200000</v>
      </c>
      <c r="P277" s="128">
        <f t="shared" si="131"/>
        <v>500000</v>
      </c>
      <c r="Q277" s="128">
        <f t="shared" si="131"/>
        <v>1500000</v>
      </c>
      <c r="S277" s="126">
        <v>273</v>
      </c>
      <c r="T277" s="126">
        <f>SUM(M$5:M277)</f>
        <v>1063345</v>
      </c>
      <c r="U277" s="126">
        <f>SUM(N$5:N277)</f>
        <v>2126690</v>
      </c>
      <c r="V277" s="126">
        <f>SUM(O$5:O277)</f>
        <v>4253380</v>
      </c>
      <c r="W277" s="126">
        <f>SUM(P$5:P277)</f>
        <v>10633450</v>
      </c>
      <c r="X277" s="126">
        <f>SUM(Q$5:Q277)</f>
        <v>31900350</v>
      </c>
      <c r="Z277" s="128">
        <v>273</v>
      </c>
      <c r="AA277" s="128">
        <f t="shared" si="133"/>
        <v>2000000</v>
      </c>
      <c r="AB277" s="128">
        <f t="shared" si="134"/>
        <v>4000000</v>
      </c>
      <c r="AC277" s="128">
        <f t="shared" si="135"/>
        <v>8000000</v>
      </c>
      <c r="AD277" s="128">
        <f t="shared" si="136"/>
        <v>20000000</v>
      </c>
      <c r="AE277" s="128">
        <f t="shared" si="137"/>
        <v>60000000</v>
      </c>
      <c r="AG277" s="128">
        <v>273</v>
      </c>
      <c r="AH277" s="126">
        <f>SUM(AA$5:AA277)</f>
        <v>42533800</v>
      </c>
      <c r="AI277" s="126">
        <f>SUM(AB$5:AB277)</f>
        <v>85067600</v>
      </c>
      <c r="AJ277" s="126">
        <f>SUM(AC$5:AC277)</f>
        <v>170135200</v>
      </c>
      <c r="AK277" s="126">
        <f>SUM(AD$5:AD277)</f>
        <v>425338000</v>
      </c>
      <c r="AL277" s="126">
        <f>SUM(AE$5:AE277)</f>
        <v>1276014000</v>
      </c>
    </row>
    <row r="278" spans="10:38" x14ac:dyDescent="0.15">
      <c r="J278" s="46">
        <f>INDEX('[1]资源-装备经验'!Y$6:Y$165,(K278+1)/2,1)</f>
        <v>0</v>
      </c>
      <c r="K278" s="126">
        <v>274</v>
      </c>
      <c r="L278" s="133">
        <v>50000</v>
      </c>
      <c r="M278" s="128">
        <f t="shared" si="132"/>
        <v>50000</v>
      </c>
      <c r="N278" s="128">
        <f t="shared" ref="N278:Q293" si="138">$M278*N$1</f>
        <v>100000</v>
      </c>
      <c r="O278" s="128">
        <f t="shared" si="138"/>
        <v>200000</v>
      </c>
      <c r="P278" s="128">
        <f t="shared" si="138"/>
        <v>500000</v>
      </c>
      <c r="Q278" s="128">
        <f t="shared" si="138"/>
        <v>1500000</v>
      </c>
      <c r="S278" s="126">
        <v>274</v>
      </c>
      <c r="T278" s="126">
        <f>SUM(M$5:M278)</f>
        <v>1113345</v>
      </c>
      <c r="U278" s="126">
        <f>SUM(N$5:N278)</f>
        <v>2226690</v>
      </c>
      <c r="V278" s="126">
        <f>SUM(O$5:O278)</f>
        <v>4453380</v>
      </c>
      <c r="W278" s="126">
        <f>SUM(P$5:P278)</f>
        <v>11133450</v>
      </c>
      <c r="X278" s="126">
        <f>SUM(Q$5:Q278)</f>
        <v>33400350</v>
      </c>
      <c r="Z278" s="128">
        <v>274</v>
      </c>
      <c r="AA278" s="128">
        <f t="shared" si="133"/>
        <v>2000000</v>
      </c>
      <c r="AB278" s="128">
        <f t="shared" si="134"/>
        <v>4000000</v>
      </c>
      <c r="AC278" s="128">
        <f t="shared" si="135"/>
        <v>8000000</v>
      </c>
      <c r="AD278" s="128">
        <f t="shared" si="136"/>
        <v>20000000</v>
      </c>
      <c r="AE278" s="128">
        <f t="shared" si="137"/>
        <v>60000000</v>
      </c>
      <c r="AG278" s="128">
        <v>274</v>
      </c>
      <c r="AH278" s="126">
        <f>SUM(AA$5:AA278)</f>
        <v>44533800</v>
      </c>
      <c r="AI278" s="126">
        <f>SUM(AB$5:AB278)</f>
        <v>89067600</v>
      </c>
      <c r="AJ278" s="126">
        <f>SUM(AC$5:AC278)</f>
        <v>178135200</v>
      </c>
      <c r="AK278" s="126">
        <f>SUM(AD$5:AD278)</f>
        <v>445338000</v>
      </c>
      <c r="AL278" s="126">
        <f>SUM(AE$5:AE278)</f>
        <v>1336014000</v>
      </c>
    </row>
    <row r="279" spans="10:38" x14ac:dyDescent="0.15">
      <c r="J279" s="46">
        <f>INDEX('[1]资源-装备经验'!Y$6:Y$165,(K279+1)/2,1)</f>
        <v>0</v>
      </c>
      <c r="K279" s="126">
        <v>275</v>
      </c>
      <c r="L279" s="133">
        <v>50000</v>
      </c>
      <c r="M279" s="128">
        <f t="shared" si="132"/>
        <v>50000</v>
      </c>
      <c r="N279" s="128">
        <f t="shared" si="138"/>
        <v>100000</v>
      </c>
      <c r="O279" s="128">
        <f t="shared" si="138"/>
        <v>200000</v>
      </c>
      <c r="P279" s="128">
        <f t="shared" si="138"/>
        <v>500000</v>
      </c>
      <c r="Q279" s="128">
        <f t="shared" si="138"/>
        <v>1500000</v>
      </c>
      <c r="S279" s="126">
        <v>275</v>
      </c>
      <c r="T279" s="126">
        <f>SUM(M$5:M279)</f>
        <v>1163345</v>
      </c>
      <c r="U279" s="126">
        <f>SUM(N$5:N279)</f>
        <v>2326690</v>
      </c>
      <c r="V279" s="126">
        <f>SUM(O$5:O279)</f>
        <v>4653380</v>
      </c>
      <c r="W279" s="126">
        <f>SUM(P$5:P279)</f>
        <v>11633450</v>
      </c>
      <c r="X279" s="126">
        <f>SUM(Q$5:Q279)</f>
        <v>34900350</v>
      </c>
      <c r="Z279" s="128">
        <v>275</v>
      </c>
      <c r="AA279" s="128">
        <f t="shared" si="133"/>
        <v>2000000</v>
      </c>
      <c r="AB279" s="128">
        <f t="shared" si="134"/>
        <v>4000000</v>
      </c>
      <c r="AC279" s="128">
        <f t="shared" si="135"/>
        <v>8000000</v>
      </c>
      <c r="AD279" s="128">
        <f t="shared" si="136"/>
        <v>20000000</v>
      </c>
      <c r="AE279" s="128">
        <f t="shared" si="137"/>
        <v>60000000</v>
      </c>
      <c r="AG279" s="128">
        <v>275</v>
      </c>
      <c r="AH279" s="126">
        <f>SUM(AA$5:AA279)</f>
        <v>46533800</v>
      </c>
      <c r="AI279" s="126">
        <f>SUM(AB$5:AB279)</f>
        <v>93067600</v>
      </c>
      <c r="AJ279" s="126">
        <f>SUM(AC$5:AC279)</f>
        <v>186135200</v>
      </c>
      <c r="AK279" s="126">
        <f>SUM(AD$5:AD279)</f>
        <v>465338000</v>
      </c>
      <c r="AL279" s="126">
        <f>SUM(AE$5:AE279)</f>
        <v>1396014000</v>
      </c>
    </row>
    <row r="280" spans="10:38" x14ac:dyDescent="0.15">
      <c r="J280" s="46">
        <f>INDEX('[1]资源-装备经验'!Y$6:Y$165,(K280+1)/2,1)</f>
        <v>0</v>
      </c>
      <c r="K280" s="126">
        <v>276</v>
      </c>
      <c r="L280" s="133">
        <v>50000</v>
      </c>
      <c r="M280" s="128">
        <f t="shared" si="132"/>
        <v>50000</v>
      </c>
      <c r="N280" s="128">
        <f t="shared" si="138"/>
        <v>100000</v>
      </c>
      <c r="O280" s="128">
        <f t="shared" si="138"/>
        <v>200000</v>
      </c>
      <c r="P280" s="128">
        <f t="shared" si="138"/>
        <v>500000</v>
      </c>
      <c r="Q280" s="128">
        <f t="shared" si="138"/>
        <v>1500000</v>
      </c>
      <c r="S280" s="126">
        <v>276</v>
      </c>
      <c r="T280" s="126">
        <f>SUM(M$5:M280)</f>
        <v>1213345</v>
      </c>
      <c r="U280" s="126">
        <f>SUM(N$5:N280)</f>
        <v>2426690</v>
      </c>
      <c r="V280" s="126">
        <f>SUM(O$5:O280)</f>
        <v>4853380</v>
      </c>
      <c r="W280" s="126">
        <f>SUM(P$5:P280)</f>
        <v>12133450</v>
      </c>
      <c r="X280" s="126">
        <f>SUM(Q$5:Q280)</f>
        <v>36400350</v>
      </c>
      <c r="Z280" s="128">
        <v>276</v>
      </c>
      <c r="AA280" s="128">
        <f t="shared" si="133"/>
        <v>2000000</v>
      </c>
      <c r="AB280" s="128">
        <f t="shared" si="134"/>
        <v>4000000</v>
      </c>
      <c r="AC280" s="128">
        <f t="shared" si="135"/>
        <v>8000000</v>
      </c>
      <c r="AD280" s="128">
        <f t="shared" si="136"/>
        <v>20000000</v>
      </c>
      <c r="AE280" s="128">
        <f t="shared" si="137"/>
        <v>60000000</v>
      </c>
      <c r="AG280" s="128">
        <v>276</v>
      </c>
      <c r="AH280" s="126">
        <f>SUM(AA$5:AA280)</f>
        <v>48533800</v>
      </c>
      <c r="AI280" s="126">
        <f>SUM(AB$5:AB280)</f>
        <v>97067600</v>
      </c>
      <c r="AJ280" s="126">
        <f>SUM(AC$5:AC280)</f>
        <v>194135200</v>
      </c>
      <c r="AK280" s="126">
        <f>SUM(AD$5:AD280)</f>
        <v>485338000</v>
      </c>
      <c r="AL280" s="126">
        <f>SUM(AE$5:AE280)</f>
        <v>1456014000</v>
      </c>
    </row>
    <row r="281" spans="10:38" x14ac:dyDescent="0.15">
      <c r="J281" s="46">
        <f>INDEX('[1]资源-装备经验'!Y$6:Y$165,(K281+1)/2,1)</f>
        <v>0</v>
      </c>
      <c r="K281" s="126">
        <v>277</v>
      </c>
      <c r="L281" s="133">
        <v>50000</v>
      </c>
      <c r="M281" s="128">
        <f t="shared" si="132"/>
        <v>50000</v>
      </c>
      <c r="N281" s="128">
        <f t="shared" si="138"/>
        <v>100000</v>
      </c>
      <c r="O281" s="128">
        <f t="shared" si="138"/>
        <v>200000</v>
      </c>
      <c r="P281" s="128">
        <f t="shared" si="138"/>
        <v>500000</v>
      </c>
      <c r="Q281" s="128">
        <f t="shared" si="138"/>
        <v>1500000</v>
      </c>
      <c r="S281" s="126">
        <v>277</v>
      </c>
      <c r="T281" s="126">
        <f>SUM(M$5:M281)</f>
        <v>1263345</v>
      </c>
      <c r="U281" s="126">
        <f>SUM(N$5:N281)</f>
        <v>2526690</v>
      </c>
      <c r="V281" s="126">
        <f>SUM(O$5:O281)</f>
        <v>5053380</v>
      </c>
      <c r="W281" s="126">
        <f>SUM(P$5:P281)</f>
        <v>12633450</v>
      </c>
      <c r="X281" s="126">
        <f>SUM(Q$5:Q281)</f>
        <v>37900350</v>
      </c>
      <c r="Z281" s="128">
        <v>277</v>
      </c>
      <c r="AA281" s="128">
        <f t="shared" si="133"/>
        <v>2000000</v>
      </c>
      <c r="AB281" s="128">
        <f t="shared" si="134"/>
        <v>4000000</v>
      </c>
      <c r="AC281" s="128">
        <f t="shared" si="135"/>
        <v>8000000</v>
      </c>
      <c r="AD281" s="128">
        <f t="shared" si="136"/>
        <v>20000000</v>
      </c>
      <c r="AE281" s="128">
        <f t="shared" si="137"/>
        <v>60000000</v>
      </c>
      <c r="AG281" s="128">
        <v>277</v>
      </c>
      <c r="AH281" s="126">
        <f>SUM(AA$5:AA281)</f>
        <v>50533800</v>
      </c>
      <c r="AI281" s="126">
        <f>SUM(AB$5:AB281)</f>
        <v>101067600</v>
      </c>
      <c r="AJ281" s="126">
        <f>SUM(AC$5:AC281)</f>
        <v>202135200</v>
      </c>
      <c r="AK281" s="126">
        <f>SUM(AD$5:AD281)</f>
        <v>505338000</v>
      </c>
      <c r="AL281" s="126">
        <f>SUM(AE$5:AE281)</f>
        <v>1516014000</v>
      </c>
    </row>
    <row r="282" spans="10:38" x14ac:dyDescent="0.15">
      <c r="J282" s="46">
        <f>INDEX('[1]资源-装备经验'!Y$6:Y$165,(K282+1)/2,1)</f>
        <v>0</v>
      </c>
      <c r="K282" s="126">
        <v>278</v>
      </c>
      <c r="L282" s="133">
        <v>50000</v>
      </c>
      <c r="M282" s="128">
        <f t="shared" si="132"/>
        <v>50000</v>
      </c>
      <c r="N282" s="128">
        <f t="shared" si="138"/>
        <v>100000</v>
      </c>
      <c r="O282" s="128">
        <f t="shared" si="138"/>
        <v>200000</v>
      </c>
      <c r="P282" s="128">
        <f t="shared" si="138"/>
        <v>500000</v>
      </c>
      <c r="Q282" s="128">
        <f t="shared" si="138"/>
        <v>1500000</v>
      </c>
      <c r="S282" s="126">
        <v>278</v>
      </c>
      <c r="T282" s="126">
        <f>SUM(M$5:M282)</f>
        <v>1313345</v>
      </c>
      <c r="U282" s="126">
        <f>SUM(N$5:N282)</f>
        <v>2626690</v>
      </c>
      <c r="V282" s="126">
        <f>SUM(O$5:O282)</f>
        <v>5253380</v>
      </c>
      <c r="W282" s="126">
        <f>SUM(P$5:P282)</f>
        <v>13133450</v>
      </c>
      <c r="X282" s="126">
        <f>SUM(Q$5:Q282)</f>
        <v>39400350</v>
      </c>
      <c r="Z282" s="128">
        <v>278</v>
      </c>
      <c r="AA282" s="128">
        <f t="shared" si="133"/>
        <v>2000000</v>
      </c>
      <c r="AB282" s="128">
        <f t="shared" si="134"/>
        <v>4000000</v>
      </c>
      <c r="AC282" s="128">
        <f t="shared" si="135"/>
        <v>8000000</v>
      </c>
      <c r="AD282" s="128">
        <f t="shared" si="136"/>
        <v>20000000</v>
      </c>
      <c r="AE282" s="128">
        <f t="shared" si="137"/>
        <v>60000000</v>
      </c>
      <c r="AG282" s="128">
        <v>278</v>
      </c>
      <c r="AH282" s="126">
        <f>SUM(AA$5:AA282)</f>
        <v>52533800</v>
      </c>
      <c r="AI282" s="126">
        <f>SUM(AB$5:AB282)</f>
        <v>105067600</v>
      </c>
      <c r="AJ282" s="126">
        <f>SUM(AC$5:AC282)</f>
        <v>210135200</v>
      </c>
      <c r="AK282" s="126">
        <f>SUM(AD$5:AD282)</f>
        <v>525338000</v>
      </c>
      <c r="AL282" s="126">
        <f>SUM(AE$5:AE282)</f>
        <v>1576014000</v>
      </c>
    </row>
    <row r="283" spans="10:38" x14ac:dyDescent="0.15">
      <c r="J283" s="46">
        <f>INDEX('[1]资源-装备经验'!Y$6:Y$165,(K283+1)/2,1)</f>
        <v>0</v>
      </c>
      <c r="K283" s="126">
        <v>279</v>
      </c>
      <c r="L283" s="133">
        <v>50000</v>
      </c>
      <c r="M283" s="128">
        <f t="shared" si="132"/>
        <v>50000</v>
      </c>
      <c r="N283" s="128">
        <f t="shared" si="138"/>
        <v>100000</v>
      </c>
      <c r="O283" s="128">
        <f t="shared" si="138"/>
        <v>200000</v>
      </c>
      <c r="P283" s="128">
        <f t="shared" si="138"/>
        <v>500000</v>
      </c>
      <c r="Q283" s="128">
        <f t="shared" si="138"/>
        <v>1500000</v>
      </c>
      <c r="S283" s="126">
        <v>279</v>
      </c>
      <c r="T283" s="126">
        <f>SUM(M$5:M283)</f>
        <v>1363345</v>
      </c>
      <c r="U283" s="126">
        <f>SUM(N$5:N283)</f>
        <v>2726690</v>
      </c>
      <c r="V283" s="126">
        <f>SUM(O$5:O283)</f>
        <v>5453380</v>
      </c>
      <c r="W283" s="126">
        <f>SUM(P$5:P283)</f>
        <v>13633450</v>
      </c>
      <c r="X283" s="126">
        <f>SUM(Q$5:Q283)</f>
        <v>40900350</v>
      </c>
      <c r="Z283" s="128">
        <v>279</v>
      </c>
      <c r="AA283" s="128">
        <f t="shared" si="133"/>
        <v>2000000</v>
      </c>
      <c r="AB283" s="128">
        <f t="shared" si="134"/>
        <v>4000000</v>
      </c>
      <c r="AC283" s="128">
        <f t="shared" si="135"/>
        <v>8000000</v>
      </c>
      <c r="AD283" s="128">
        <f t="shared" si="136"/>
        <v>20000000</v>
      </c>
      <c r="AE283" s="128">
        <f t="shared" si="137"/>
        <v>60000000</v>
      </c>
      <c r="AG283" s="128">
        <v>279</v>
      </c>
      <c r="AH283" s="126">
        <f>SUM(AA$5:AA283)</f>
        <v>54533800</v>
      </c>
      <c r="AI283" s="126">
        <f>SUM(AB$5:AB283)</f>
        <v>109067600</v>
      </c>
      <c r="AJ283" s="126">
        <f>SUM(AC$5:AC283)</f>
        <v>218135200</v>
      </c>
      <c r="AK283" s="126">
        <f>SUM(AD$5:AD283)</f>
        <v>545338000</v>
      </c>
      <c r="AL283" s="126">
        <f>SUM(AE$5:AE283)</f>
        <v>1636014000</v>
      </c>
    </row>
    <row r="284" spans="10:38" x14ac:dyDescent="0.15">
      <c r="J284" s="46">
        <f>INDEX('[1]资源-装备经验'!Y$6:Y$165,(K284+1)/2,1)</f>
        <v>0</v>
      </c>
      <c r="K284" s="126">
        <v>280</v>
      </c>
      <c r="L284" s="133">
        <v>80000</v>
      </c>
      <c r="M284" s="128">
        <f t="shared" si="132"/>
        <v>80000</v>
      </c>
      <c r="N284" s="128">
        <f t="shared" si="138"/>
        <v>160000</v>
      </c>
      <c r="O284" s="128">
        <f t="shared" si="138"/>
        <v>320000</v>
      </c>
      <c r="P284" s="128">
        <f t="shared" si="138"/>
        <v>800000</v>
      </c>
      <c r="Q284" s="128">
        <f t="shared" si="138"/>
        <v>2400000</v>
      </c>
      <c r="S284" s="126">
        <v>280</v>
      </c>
      <c r="T284" s="126">
        <f>SUM(M$5:M284)</f>
        <v>1443345</v>
      </c>
      <c r="U284" s="126">
        <f>SUM(N$5:N284)</f>
        <v>2886690</v>
      </c>
      <c r="V284" s="126">
        <f>SUM(O$5:O284)</f>
        <v>5773380</v>
      </c>
      <c r="W284" s="126">
        <f>SUM(P$5:P284)</f>
        <v>14433450</v>
      </c>
      <c r="X284" s="126">
        <f>SUM(Q$5:Q284)</f>
        <v>43300350</v>
      </c>
      <c r="Z284" s="128">
        <v>280</v>
      </c>
      <c r="AA284" s="128">
        <f t="shared" si="133"/>
        <v>3200000</v>
      </c>
      <c r="AB284" s="128">
        <f t="shared" si="134"/>
        <v>6400000</v>
      </c>
      <c r="AC284" s="128">
        <f t="shared" si="135"/>
        <v>12800000</v>
      </c>
      <c r="AD284" s="128">
        <f t="shared" si="136"/>
        <v>32000000</v>
      </c>
      <c r="AE284" s="128">
        <f t="shared" si="137"/>
        <v>96000000</v>
      </c>
      <c r="AG284" s="128">
        <v>280</v>
      </c>
      <c r="AH284" s="126">
        <f>SUM(AA$5:AA284)</f>
        <v>57733800</v>
      </c>
      <c r="AI284" s="126">
        <f>SUM(AB$5:AB284)</f>
        <v>115467600</v>
      </c>
      <c r="AJ284" s="126">
        <f>SUM(AC$5:AC284)</f>
        <v>230935200</v>
      </c>
      <c r="AK284" s="126">
        <f>SUM(AD$5:AD284)</f>
        <v>577338000</v>
      </c>
      <c r="AL284" s="126">
        <f>SUM(AE$5:AE284)</f>
        <v>1732014000</v>
      </c>
    </row>
    <row r="285" spans="10:38" x14ac:dyDescent="0.15">
      <c r="J285" s="46">
        <f>INDEX('[1]资源-装备经验'!Y$6:Y$165,(K285+1)/2,1)</f>
        <v>0</v>
      </c>
      <c r="K285" s="126">
        <v>281</v>
      </c>
      <c r="L285" s="133">
        <v>80000</v>
      </c>
      <c r="M285" s="128">
        <f t="shared" si="132"/>
        <v>80000</v>
      </c>
      <c r="N285" s="128">
        <f t="shared" si="138"/>
        <v>160000</v>
      </c>
      <c r="O285" s="128">
        <f t="shared" si="138"/>
        <v>320000</v>
      </c>
      <c r="P285" s="128">
        <f t="shared" si="138"/>
        <v>800000</v>
      </c>
      <c r="Q285" s="128">
        <f t="shared" si="138"/>
        <v>2400000</v>
      </c>
      <c r="S285" s="126">
        <v>281</v>
      </c>
      <c r="T285" s="126">
        <f>SUM(M$5:M285)</f>
        <v>1523345</v>
      </c>
      <c r="U285" s="126">
        <f>SUM(N$5:N285)</f>
        <v>3046690</v>
      </c>
      <c r="V285" s="126">
        <f>SUM(O$5:O285)</f>
        <v>6093380</v>
      </c>
      <c r="W285" s="126">
        <f>SUM(P$5:P285)</f>
        <v>15233450</v>
      </c>
      <c r="X285" s="126">
        <f>SUM(Q$5:Q285)</f>
        <v>45700350</v>
      </c>
      <c r="Z285" s="128">
        <v>281</v>
      </c>
      <c r="AA285" s="128">
        <f t="shared" si="133"/>
        <v>3200000</v>
      </c>
      <c r="AB285" s="128">
        <f t="shared" si="134"/>
        <v>6400000</v>
      </c>
      <c r="AC285" s="128">
        <f t="shared" si="135"/>
        <v>12800000</v>
      </c>
      <c r="AD285" s="128">
        <f t="shared" si="136"/>
        <v>32000000</v>
      </c>
      <c r="AE285" s="128">
        <f t="shared" si="137"/>
        <v>96000000</v>
      </c>
      <c r="AG285" s="128">
        <v>281</v>
      </c>
      <c r="AH285" s="126">
        <f>SUM(AA$5:AA285)</f>
        <v>60933800</v>
      </c>
      <c r="AI285" s="126">
        <f>SUM(AB$5:AB285)</f>
        <v>121867600</v>
      </c>
      <c r="AJ285" s="126">
        <f>SUM(AC$5:AC285)</f>
        <v>243735200</v>
      </c>
      <c r="AK285" s="126">
        <f>SUM(AD$5:AD285)</f>
        <v>609338000</v>
      </c>
      <c r="AL285" s="126">
        <f>SUM(AE$5:AE285)</f>
        <v>1828014000</v>
      </c>
    </row>
    <row r="286" spans="10:38" x14ac:dyDescent="0.15">
      <c r="J286" s="46">
        <f>INDEX('[1]资源-装备经验'!Y$6:Y$165,(K286+1)/2,1)</f>
        <v>0</v>
      </c>
      <c r="K286" s="126">
        <v>282</v>
      </c>
      <c r="L286" s="133">
        <v>80000</v>
      </c>
      <c r="M286" s="128">
        <f t="shared" si="132"/>
        <v>80000</v>
      </c>
      <c r="N286" s="128">
        <f t="shared" si="138"/>
        <v>160000</v>
      </c>
      <c r="O286" s="128">
        <f t="shared" si="138"/>
        <v>320000</v>
      </c>
      <c r="P286" s="128">
        <f t="shared" si="138"/>
        <v>800000</v>
      </c>
      <c r="Q286" s="128">
        <f t="shared" si="138"/>
        <v>2400000</v>
      </c>
      <c r="S286" s="126">
        <v>282</v>
      </c>
      <c r="T286" s="126">
        <f>SUM(M$5:M286)</f>
        <v>1603345</v>
      </c>
      <c r="U286" s="126">
        <f>SUM(N$5:N286)</f>
        <v>3206690</v>
      </c>
      <c r="V286" s="126">
        <f>SUM(O$5:O286)</f>
        <v>6413380</v>
      </c>
      <c r="W286" s="126">
        <f>SUM(P$5:P286)</f>
        <v>16033450</v>
      </c>
      <c r="X286" s="126">
        <f>SUM(Q$5:Q286)</f>
        <v>48100350</v>
      </c>
      <c r="Z286" s="128">
        <v>282</v>
      </c>
      <c r="AA286" s="128">
        <f t="shared" si="133"/>
        <v>3200000</v>
      </c>
      <c r="AB286" s="128">
        <f t="shared" si="134"/>
        <v>6400000</v>
      </c>
      <c r="AC286" s="128">
        <f t="shared" si="135"/>
        <v>12800000</v>
      </c>
      <c r="AD286" s="128">
        <f t="shared" si="136"/>
        <v>32000000</v>
      </c>
      <c r="AE286" s="128">
        <f t="shared" si="137"/>
        <v>96000000</v>
      </c>
      <c r="AG286" s="128">
        <v>282</v>
      </c>
      <c r="AH286" s="126">
        <f>SUM(AA$5:AA286)</f>
        <v>64133800</v>
      </c>
      <c r="AI286" s="126">
        <f>SUM(AB$5:AB286)</f>
        <v>128267600</v>
      </c>
      <c r="AJ286" s="126">
        <f>SUM(AC$5:AC286)</f>
        <v>256535200</v>
      </c>
      <c r="AK286" s="126">
        <f>SUM(AD$5:AD286)</f>
        <v>641338000</v>
      </c>
      <c r="AL286" s="126">
        <f>SUM(AE$5:AE286)</f>
        <v>1924014000</v>
      </c>
    </row>
    <row r="287" spans="10:38" x14ac:dyDescent="0.15">
      <c r="J287" s="46">
        <f>INDEX('[1]资源-装备经验'!Y$6:Y$165,(K287+1)/2,1)</f>
        <v>0</v>
      </c>
      <c r="K287" s="126">
        <v>283</v>
      </c>
      <c r="L287" s="133">
        <v>80000</v>
      </c>
      <c r="M287" s="128">
        <f t="shared" si="132"/>
        <v>80000</v>
      </c>
      <c r="N287" s="128">
        <f t="shared" si="138"/>
        <v>160000</v>
      </c>
      <c r="O287" s="128">
        <f t="shared" si="138"/>
        <v>320000</v>
      </c>
      <c r="P287" s="128">
        <f t="shared" si="138"/>
        <v>800000</v>
      </c>
      <c r="Q287" s="128">
        <f t="shared" si="138"/>
        <v>2400000</v>
      </c>
      <c r="S287" s="126">
        <v>283</v>
      </c>
      <c r="T287" s="126">
        <f>SUM(M$5:M287)</f>
        <v>1683345</v>
      </c>
      <c r="U287" s="126">
        <f>SUM(N$5:N287)</f>
        <v>3366690</v>
      </c>
      <c r="V287" s="126">
        <f>SUM(O$5:O287)</f>
        <v>6733380</v>
      </c>
      <c r="W287" s="126">
        <f>SUM(P$5:P287)</f>
        <v>16833450</v>
      </c>
      <c r="X287" s="126">
        <f>SUM(Q$5:Q287)</f>
        <v>50500350</v>
      </c>
      <c r="Z287" s="128">
        <v>283</v>
      </c>
      <c r="AA287" s="128">
        <f t="shared" si="133"/>
        <v>3200000</v>
      </c>
      <c r="AB287" s="128">
        <f t="shared" si="134"/>
        <v>6400000</v>
      </c>
      <c r="AC287" s="128">
        <f t="shared" si="135"/>
        <v>12800000</v>
      </c>
      <c r="AD287" s="128">
        <f t="shared" si="136"/>
        <v>32000000</v>
      </c>
      <c r="AE287" s="128">
        <f t="shared" si="137"/>
        <v>96000000</v>
      </c>
      <c r="AG287" s="128">
        <v>283</v>
      </c>
      <c r="AH287" s="126">
        <f>SUM(AA$5:AA287)</f>
        <v>67333800</v>
      </c>
      <c r="AI287" s="126">
        <f>SUM(AB$5:AB287)</f>
        <v>134667600</v>
      </c>
      <c r="AJ287" s="126">
        <f>SUM(AC$5:AC287)</f>
        <v>269335200</v>
      </c>
      <c r="AK287" s="126">
        <f>SUM(AD$5:AD287)</f>
        <v>673338000</v>
      </c>
      <c r="AL287" s="126">
        <f>SUM(AE$5:AE287)</f>
        <v>2020014000</v>
      </c>
    </row>
    <row r="288" spans="10:38" x14ac:dyDescent="0.15">
      <c r="J288" s="46">
        <f>INDEX('[1]资源-装备经验'!Y$6:Y$165,(K288+1)/2,1)</f>
        <v>0</v>
      </c>
      <c r="K288" s="126">
        <v>284</v>
      </c>
      <c r="L288" s="133">
        <v>80000</v>
      </c>
      <c r="M288" s="128">
        <f t="shared" si="132"/>
        <v>80000</v>
      </c>
      <c r="N288" s="128">
        <f t="shared" si="138"/>
        <v>160000</v>
      </c>
      <c r="O288" s="128">
        <f t="shared" si="138"/>
        <v>320000</v>
      </c>
      <c r="P288" s="128">
        <f t="shared" si="138"/>
        <v>800000</v>
      </c>
      <c r="Q288" s="128">
        <f t="shared" si="138"/>
        <v>2400000</v>
      </c>
      <c r="S288" s="126">
        <v>284</v>
      </c>
      <c r="T288" s="126">
        <f>SUM(M$5:M288)</f>
        <v>1763345</v>
      </c>
      <c r="U288" s="126">
        <f>SUM(N$5:N288)</f>
        <v>3526690</v>
      </c>
      <c r="V288" s="126">
        <f>SUM(O$5:O288)</f>
        <v>7053380</v>
      </c>
      <c r="W288" s="126">
        <f>SUM(P$5:P288)</f>
        <v>17633450</v>
      </c>
      <c r="X288" s="126">
        <f>SUM(Q$5:Q288)</f>
        <v>52900350</v>
      </c>
      <c r="Z288" s="128">
        <v>284</v>
      </c>
      <c r="AA288" s="128">
        <f t="shared" si="133"/>
        <v>3200000</v>
      </c>
      <c r="AB288" s="128">
        <f t="shared" si="134"/>
        <v>6400000</v>
      </c>
      <c r="AC288" s="128">
        <f t="shared" si="135"/>
        <v>12800000</v>
      </c>
      <c r="AD288" s="128">
        <f t="shared" si="136"/>
        <v>32000000</v>
      </c>
      <c r="AE288" s="128">
        <f t="shared" si="137"/>
        <v>96000000</v>
      </c>
      <c r="AG288" s="128">
        <v>284</v>
      </c>
      <c r="AH288" s="126">
        <f>SUM(AA$5:AA288)</f>
        <v>70533800</v>
      </c>
      <c r="AI288" s="126">
        <f>SUM(AB$5:AB288)</f>
        <v>141067600</v>
      </c>
      <c r="AJ288" s="126">
        <f>SUM(AC$5:AC288)</f>
        <v>282135200</v>
      </c>
      <c r="AK288" s="126">
        <f>SUM(AD$5:AD288)</f>
        <v>705338000</v>
      </c>
      <c r="AL288" s="126">
        <f>SUM(AE$5:AE288)</f>
        <v>2116014000</v>
      </c>
    </row>
    <row r="289" spans="10:38" x14ac:dyDescent="0.15">
      <c r="J289" s="46">
        <f>INDEX('[1]资源-装备经验'!Y$6:Y$165,(K289+1)/2,1)</f>
        <v>0</v>
      </c>
      <c r="K289" s="126">
        <v>285</v>
      </c>
      <c r="L289" s="133">
        <v>80000</v>
      </c>
      <c r="M289" s="128">
        <f t="shared" si="132"/>
        <v>80000</v>
      </c>
      <c r="N289" s="128">
        <f t="shared" si="138"/>
        <v>160000</v>
      </c>
      <c r="O289" s="128">
        <f t="shared" si="138"/>
        <v>320000</v>
      </c>
      <c r="P289" s="128">
        <f t="shared" si="138"/>
        <v>800000</v>
      </c>
      <c r="Q289" s="128">
        <f t="shared" si="138"/>
        <v>2400000</v>
      </c>
      <c r="S289" s="126">
        <v>285</v>
      </c>
      <c r="T289" s="126">
        <f>SUM(M$5:M289)</f>
        <v>1843345</v>
      </c>
      <c r="U289" s="126">
        <f>SUM(N$5:N289)</f>
        <v>3686690</v>
      </c>
      <c r="V289" s="126">
        <f>SUM(O$5:O289)</f>
        <v>7373380</v>
      </c>
      <c r="W289" s="126">
        <f>SUM(P$5:P289)</f>
        <v>18433450</v>
      </c>
      <c r="X289" s="126">
        <f>SUM(Q$5:Q289)</f>
        <v>55300350</v>
      </c>
      <c r="Z289" s="128">
        <v>285</v>
      </c>
      <c r="AA289" s="128">
        <f t="shared" si="133"/>
        <v>3200000</v>
      </c>
      <c r="AB289" s="128">
        <f t="shared" si="134"/>
        <v>6400000</v>
      </c>
      <c r="AC289" s="128">
        <f t="shared" si="135"/>
        <v>12800000</v>
      </c>
      <c r="AD289" s="128">
        <f t="shared" si="136"/>
        <v>32000000</v>
      </c>
      <c r="AE289" s="128">
        <f t="shared" si="137"/>
        <v>96000000</v>
      </c>
      <c r="AG289" s="128">
        <v>285</v>
      </c>
      <c r="AH289" s="126">
        <f>SUM(AA$5:AA289)</f>
        <v>73733800</v>
      </c>
      <c r="AI289" s="126">
        <f>SUM(AB$5:AB289)</f>
        <v>147467600</v>
      </c>
      <c r="AJ289" s="126">
        <f>SUM(AC$5:AC289)</f>
        <v>294935200</v>
      </c>
      <c r="AK289" s="126">
        <f>SUM(AD$5:AD289)</f>
        <v>737338000</v>
      </c>
      <c r="AL289" s="126">
        <f>SUM(AE$5:AE289)</f>
        <v>2212014000</v>
      </c>
    </row>
    <row r="290" spans="10:38" x14ac:dyDescent="0.15">
      <c r="J290" s="46">
        <f>INDEX('[1]资源-装备经验'!Y$6:Y$165,(K290+1)/2,1)</f>
        <v>0</v>
      </c>
      <c r="K290" s="126">
        <v>286</v>
      </c>
      <c r="L290" s="133">
        <v>80000</v>
      </c>
      <c r="M290" s="128">
        <f t="shared" si="132"/>
        <v>80000</v>
      </c>
      <c r="N290" s="128">
        <f t="shared" si="138"/>
        <v>160000</v>
      </c>
      <c r="O290" s="128">
        <f t="shared" si="138"/>
        <v>320000</v>
      </c>
      <c r="P290" s="128">
        <f t="shared" si="138"/>
        <v>800000</v>
      </c>
      <c r="Q290" s="128">
        <f t="shared" si="138"/>
        <v>2400000</v>
      </c>
      <c r="S290" s="126">
        <v>286</v>
      </c>
      <c r="T290" s="126">
        <f>SUM(M$5:M290)</f>
        <v>1923345</v>
      </c>
      <c r="U290" s="126">
        <f>SUM(N$5:N290)</f>
        <v>3846690</v>
      </c>
      <c r="V290" s="126">
        <f>SUM(O$5:O290)</f>
        <v>7693380</v>
      </c>
      <c r="W290" s="126">
        <f>SUM(P$5:P290)</f>
        <v>19233450</v>
      </c>
      <c r="X290" s="126">
        <f>SUM(Q$5:Q290)</f>
        <v>57700350</v>
      </c>
      <c r="Z290" s="128">
        <v>286</v>
      </c>
      <c r="AA290" s="128">
        <f t="shared" si="133"/>
        <v>3200000</v>
      </c>
      <c r="AB290" s="128">
        <f t="shared" si="134"/>
        <v>6400000</v>
      </c>
      <c r="AC290" s="128">
        <f t="shared" si="135"/>
        <v>12800000</v>
      </c>
      <c r="AD290" s="128">
        <f t="shared" si="136"/>
        <v>32000000</v>
      </c>
      <c r="AE290" s="128">
        <f t="shared" si="137"/>
        <v>96000000</v>
      </c>
      <c r="AG290" s="128">
        <v>286</v>
      </c>
      <c r="AH290" s="126">
        <f>SUM(AA$5:AA290)</f>
        <v>76933800</v>
      </c>
      <c r="AI290" s="126">
        <f>SUM(AB$5:AB290)</f>
        <v>153867600</v>
      </c>
      <c r="AJ290" s="126">
        <f>SUM(AC$5:AC290)</f>
        <v>307735200</v>
      </c>
      <c r="AK290" s="126">
        <f>SUM(AD$5:AD290)</f>
        <v>769338000</v>
      </c>
      <c r="AL290" s="126">
        <f>SUM(AE$5:AE290)</f>
        <v>2308014000</v>
      </c>
    </row>
    <row r="291" spans="10:38" x14ac:dyDescent="0.15">
      <c r="J291" s="46">
        <f>INDEX('[1]资源-装备经验'!Y$6:Y$165,(K291+1)/2,1)</f>
        <v>0</v>
      </c>
      <c r="K291" s="126">
        <v>287</v>
      </c>
      <c r="L291" s="133">
        <v>80000</v>
      </c>
      <c r="M291" s="128">
        <f t="shared" si="132"/>
        <v>80000</v>
      </c>
      <c r="N291" s="128">
        <f t="shared" si="138"/>
        <v>160000</v>
      </c>
      <c r="O291" s="128">
        <f t="shared" si="138"/>
        <v>320000</v>
      </c>
      <c r="P291" s="128">
        <f t="shared" si="138"/>
        <v>800000</v>
      </c>
      <c r="Q291" s="128">
        <f t="shared" si="138"/>
        <v>2400000</v>
      </c>
      <c r="S291" s="126">
        <v>287</v>
      </c>
      <c r="T291" s="126">
        <f>SUM(M$5:M291)</f>
        <v>2003345</v>
      </c>
      <c r="U291" s="126">
        <f>SUM(N$5:N291)</f>
        <v>4006690</v>
      </c>
      <c r="V291" s="126">
        <f>SUM(O$5:O291)</f>
        <v>8013380</v>
      </c>
      <c r="W291" s="126">
        <f>SUM(P$5:P291)</f>
        <v>20033450</v>
      </c>
      <c r="X291" s="126">
        <f>SUM(Q$5:Q291)</f>
        <v>60100350</v>
      </c>
      <c r="Z291" s="128">
        <v>287</v>
      </c>
      <c r="AA291" s="128">
        <f t="shared" si="133"/>
        <v>3200000</v>
      </c>
      <c r="AB291" s="128">
        <f t="shared" si="134"/>
        <v>6400000</v>
      </c>
      <c r="AC291" s="128">
        <f t="shared" si="135"/>
        <v>12800000</v>
      </c>
      <c r="AD291" s="128">
        <f t="shared" si="136"/>
        <v>32000000</v>
      </c>
      <c r="AE291" s="128">
        <f t="shared" si="137"/>
        <v>96000000</v>
      </c>
      <c r="AG291" s="128">
        <v>287</v>
      </c>
      <c r="AH291" s="126">
        <f>SUM(AA$5:AA291)</f>
        <v>80133800</v>
      </c>
      <c r="AI291" s="126">
        <f>SUM(AB$5:AB291)</f>
        <v>160267600</v>
      </c>
      <c r="AJ291" s="126">
        <f>SUM(AC$5:AC291)</f>
        <v>320535200</v>
      </c>
      <c r="AK291" s="126">
        <f>SUM(AD$5:AD291)</f>
        <v>801338000</v>
      </c>
      <c r="AL291" s="126">
        <f>SUM(AE$5:AE291)</f>
        <v>2404014000</v>
      </c>
    </row>
    <row r="292" spans="10:38" x14ac:dyDescent="0.15">
      <c r="J292" s="46">
        <f>INDEX('[1]资源-装备经验'!Y$6:Y$165,(K292+1)/2,1)</f>
        <v>0</v>
      </c>
      <c r="K292" s="126">
        <v>288</v>
      </c>
      <c r="L292" s="133">
        <v>80000</v>
      </c>
      <c r="M292" s="128">
        <f t="shared" si="132"/>
        <v>80000</v>
      </c>
      <c r="N292" s="128">
        <f t="shared" si="138"/>
        <v>160000</v>
      </c>
      <c r="O292" s="128">
        <f t="shared" si="138"/>
        <v>320000</v>
      </c>
      <c r="P292" s="128">
        <f t="shared" si="138"/>
        <v>800000</v>
      </c>
      <c r="Q292" s="128">
        <f t="shared" si="138"/>
        <v>2400000</v>
      </c>
      <c r="S292" s="126">
        <v>288</v>
      </c>
      <c r="T292" s="126">
        <f>SUM(M$5:M292)</f>
        <v>2083345</v>
      </c>
      <c r="U292" s="126">
        <f>SUM(N$5:N292)</f>
        <v>4166690</v>
      </c>
      <c r="V292" s="126">
        <f>SUM(O$5:O292)</f>
        <v>8333380</v>
      </c>
      <c r="W292" s="126">
        <f>SUM(P$5:P292)</f>
        <v>20833450</v>
      </c>
      <c r="X292" s="126">
        <f>SUM(Q$5:Q292)</f>
        <v>62500350</v>
      </c>
      <c r="Z292" s="128">
        <v>288</v>
      </c>
      <c r="AA292" s="128">
        <f t="shared" si="133"/>
        <v>3200000</v>
      </c>
      <c r="AB292" s="128">
        <f t="shared" si="134"/>
        <v>6400000</v>
      </c>
      <c r="AC292" s="128">
        <f t="shared" si="135"/>
        <v>12800000</v>
      </c>
      <c r="AD292" s="128">
        <f t="shared" si="136"/>
        <v>32000000</v>
      </c>
      <c r="AE292" s="128">
        <f t="shared" si="137"/>
        <v>96000000</v>
      </c>
      <c r="AG292" s="128">
        <v>288</v>
      </c>
      <c r="AH292" s="126">
        <f>SUM(AA$5:AA292)</f>
        <v>83333800</v>
      </c>
      <c r="AI292" s="126">
        <f>SUM(AB$5:AB292)</f>
        <v>166667600</v>
      </c>
      <c r="AJ292" s="126">
        <f>SUM(AC$5:AC292)</f>
        <v>333335200</v>
      </c>
      <c r="AK292" s="126">
        <f>SUM(AD$5:AD292)</f>
        <v>833338000</v>
      </c>
      <c r="AL292" s="126">
        <f>SUM(AE$5:AE292)</f>
        <v>2500014000</v>
      </c>
    </row>
    <row r="293" spans="10:38" x14ac:dyDescent="0.15">
      <c r="J293" s="46">
        <f>INDEX('[1]资源-装备经验'!Y$6:Y$165,(K293+1)/2,1)</f>
        <v>0</v>
      </c>
      <c r="K293" s="126">
        <v>289</v>
      </c>
      <c r="L293" s="133">
        <v>80000</v>
      </c>
      <c r="M293" s="128">
        <f t="shared" si="132"/>
        <v>80000</v>
      </c>
      <c r="N293" s="128">
        <f t="shared" si="138"/>
        <v>160000</v>
      </c>
      <c r="O293" s="128">
        <f t="shared" si="138"/>
        <v>320000</v>
      </c>
      <c r="P293" s="128">
        <f t="shared" si="138"/>
        <v>800000</v>
      </c>
      <c r="Q293" s="128">
        <f t="shared" si="138"/>
        <v>2400000</v>
      </c>
      <c r="S293" s="126">
        <v>289</v>
      </c>
      <c r="T293" s="126">
        <f>SUM(M$5:M293)</f>
        <v>2163345</v>
      </c>
      <c r="U293" s="126">
        <f>SUM(N$5:N293)</f>
        <v>4326690</v>
      </c>
      <c r="V293" s="126">
        <f>SUM(O$5:O293)</f>
        <v>8653380</v>
      </c>
      <c r="W293" s="126">
        <f>SUM(P$5:P293)</f>
        <v>21633450</v>
      </c>
      <c r="X293" s="126">
        <f>SUM(Q$5:Q293)</f>
        <v>64900350</v>
      </c>
      <c r="Z293" s="128">
        <v>289</v>
      </c>
      <c r="AA293" s="128">
        <f t="shared" si="133"/>
        <v>3200000</v>
      </c>
      <c r="AB293" s="128">
        <f t="shared" si="134"/>
        <v>6400000</v>
      </c>
      <c r="AC293" s="128">
        <f t="shared" si="135"/>
        <v>12800000</v>
      </c>
      <c r="AD293" s="128">
        <f t="shared" si="136"/>
        <v>32000000</v>
      </c>
      <c r="AE293" s="128">
        <f t="shared" si="137"/>
        <v>96000000</v>
      </c>
      <c r="AG293" s="128">
        <v>289</v>
      </c>
      <c r="AH293" s="126">
        <f>SUM(AA$5:AA293)</f>
        <v>86533800</v>
      </c>
      <c r="AI293" s="126">
        <f>SUM(AB$5:AB293)</f>
        <v>173067600</v>
      </c>
      <c r="AJ293" s="126">
        <f>SUM(AC$5:AC293)</f>
        <v>346135200</v>
      </c>
      <c r="AK293" s="126">
        <f>SUM(AD$5:AD293)</f>
        <v>865338000</v>
      </c>
      <c r="AL293" s="126">
        <f>SUM(AE$5:AE293)</f>
        <v>2596014000</v>
      </c>
    </row>
    <row r="294" spans="10:38" x14ac:dyDescent="0.15">
      <c r="J294" s="46">
        <f>INDEX('[1]资源-装备经验'!Y$6:Y$165,(K294+1)/2,1)</f>
        <v>0</v>
      </c>
      <c r="K294" s="126">
        <v>290</v>
      </c>
      <c r="L294" s="133">
        <v>120000</v>
      </c>
      <c r="M294" s="128">
        <f t="shared" si="132"/>
        <v>120000</v>
      </c>
      <c r="N294" s="128">
        <f t="shared" ref="N294:Q304" si="139">$M294*N$1</f>
        <v>240000</v>
      </c>
      <c r="O294" s="128">
        <f t="shared" si="139"/>
        <v>480000</v>
      </c>
      <c r="P294" s="128">
        <f t="shared" si="139"/>
        <v>1200000</v>
      </c>
      <c r="Q294" s="128">
        <f t="shared" si="139"/>
        <v>3600000</v>
      </c>
      <c r="S294" s="126">
        <v>290</v>
      </c>
      <c r="T294" s="126">
        <f>SUM(M$5:M294)</f>
        <v>2283345</v>
      </c>
      <c r="U294" s="126">
        <f>SUM(N$5:N294)</f>
        <v>4566690</v>
      </c>
      <c r="V294" s="126">
        <f>SUM(O$5:O294)</f>
        <v>9133380</v>
      </c>
      <c r="W294" s="126">
        <f>SUM(P$5:P294)</f>
        <v>22833450</v>
      </c>
      <c r="X294" s="126">
        <f>SUM(Q$5:Q294)</f>
        <v>68500350</v>
      </c>
      <c r="Z294" s="128">
        <v>290</v>
      </c>
      <c r="AA294" s="128">
        <f t="shared" si="133"/>
        <v>4800000</v>
      </c>
      <c r="AB294" s="128">
        <f t="shared" si="134"/>
        <v>9600000</v>
      </c>
      <c r="AC294" s="128">
        <f t="shared" si="135"/>
        <v>19200000</v>
      </c>
      <c r="AD294" s="128">
        <f t="shared" si="136"/>
        <v>48000000</v>
      </c>
      <c r="AE294" s="128">
        <f t="shared" si="137"/>
        <v>144000000</v>
      </c>
      <c r="AG294" s="128">
        <v>290</v>
      </c>
      <c r="AH294" s="126">
        <f>SUM(AA$5:AA294)</f>
        <v>91333800</v>
      </c>
      <c r="AI294" s="126">
        <f>SUM(AB$5:AB294)</f>
        <v>182667600</v>
      </c>
      <c r="AJ294" s="126">
        <f>SUM(AC$5:AC294)</f>
        <v>365335200</v>
      </c>
      <c r="AK294" s="126">
        <f>SUM(AD$5:AD294)</f>
        <v>913338000</v>
      </c>
      <c r="AL294" s="126">
        <f>SUM(AE$5:AE294)</f>
        <v>2740014000</v>
      </c>
    </row>
    <row r="295" spans="10:38" x14ac:dyDescent="0.15">
      <c r="J295" s="46">
        <f>INDEX('[1]资源-装备经验'!Y$6:Y$165,(K295+1)/2,1)</f>
        <v>0</v>
      </c>
      <c r="K295" s="126">
        <v>291</v>
      </c>
      <c r="L295" s="133">
        <v>120000</v>
      </c>
      <c r="M295" s="128">
        <f t="shared" si="132"/>
        <v>120000</v>
      </c>
      <c r="N295" s="128">
        <f t="shared" si="139"/>
        <v>240000</v>
      </c>
      <c r="O295" s="128">
        <f t="shared" si="139"/>
        <v>480000</v>
      </c>
      <c r="P295" s="128">
        <f t="shared" si="139"/>
        <v>1200000</v>
      </c>
      <c r="Q295" s="128">
        <f t="shared" si="139"/>
        <v>3600000</v>
      </c>
      <c r="S295" s="126">
        <v>291</v>
      </c>
      <c r="T295" s="126">
        <f>SUM(M$5:M295)</f>
        <v>2403345</v>
      </c>
      <c r="U295" s="126">
        <f>SUM(N$5:N295)</f>
        <v>4806690</v>
      </c>
      <c r="V295" s="126">
        <f>SUM(O$5:O295)</f>
        <v>9613380</v>
      </c>
      <c r="W295" s="126">
        <f>SUM(P$5:P295)</f>
        <v>24033450</v>
      </c>
      <c r="X295" s="126">
        <f>SUM(Q$5:Q295)</f>
        <v>72100350</v>
      </c>
      <c r="Z295" s="128">
        <v>291</v>
      </c>
      <c r="AA295" s="128">
        <f t="shared" si="133"/>
        <v>4800000</v>
      </c>
      <c r="AB295" s="128">
        <f t="shared" si="134"/>
        <v>9600000</v>
      </c>
      <c r="AC295" s="128">
        <f t="shared" si="135"/>
        <v>19200000</v>
      </c>
      <c r="AD295" s="128">
        <f t="shared" si="136"/>
        <v>48000000</v>
      </c>
      <c r="AE295" s="128">
        <f t="shared" si="137"/>
        <v>144000000</v>
      </c>
      <c r="AG295" s="128">
        <v>291</v>
      </c>
      <c r="AH295" s="126">
        <f>SUM(AA$5:AA295)</f>
        <v>96133800</v>
      </c>
      <c r="AI295" s="126">
        <f>SUM(AB$5:AB295)</f>
        <v>192267600</v>
      </c>
      <c r="AJ295" s="126">
        <f>SUM(AC$5:AC295)</f>
        <v>384535200</v>
      </c>
      <c r="AK295" s="126">
        <f>SUM(AD$5:AD295)</f>
        <v>961338000</v>
      </c>
      <c r="AL295" s="126">
        <f>SUM(AE$5:AE295)</f>
        <v>2884014000</v>
      </c>
    </row>
    <row r="296" spans="10:38" x14ac:dyDescent="0.15">
      <c r="J296" s="46">
        <f>INDEX('[1]资源-装备经验'!Y$6:Y$165,(K296+1)/2,1)</f>
        <v>0</v>
      </c>
      <c r="K296" s="126">
        <v>292</v>
      </c>
      <c r="L296" s="133">
        <v>120000</v>
      </c>
      <c r="M296" s="128">
        <f t="shared" si="132"/>
        <v>120000</v>
      </c>
      <c r="N296" s="128">
        <f t="shared" si="139"/>
        <v>240000</v>
      </c>
      <c r="O296" s="128">
        <f t="shared" si="139"/>
        <v>480000</v>
      </c>
      <c r="P296" s="128">
        <f t="shared" si="139"/>
        <v>1200000</v>
      </c>
      <c r="Q296" s="128">
        <f t="shared" si="139"/>
        <v>3600000</v>
      </c>
      <c r="S296" s="126">
        <v>292</v>
      </c>
      <c r="T296" s="126">
        <f>SUM(M$5:M296)</f>
        <v>2523345</v>
      </c>
      <c r="U296" s="126">
        <f>SUM(N$5:N296)</f>
        <v>5046690</v>
      </c>
      <c r="V296" s="126">
        <f>SUM(O$5:O296)</f>
        <v>10093380</v>
      </c>
      <c r="W296" s="126">
        <f>SUM(P$5:P296)</f>
        <v>25233450</v>
      </c>
      <c r="X296" s="126">
        <f>SUM(Q$5:Q296)</f>
        <v>75700350</v>
      </c>
      <c r="Z296" s="128">
        <v>292</v>
      </c>
      <c r="AA296" s="128">
        <f t="shared" si="133"/>
        <v>4800000</v>
      </c>
      <c r="AB296" s="128">
        <f t="shared" si="134"/>
        <v>9600000</v>
      </c>
      <c r="AC296" s="128">
        <f t="shared" si="135"/>
        <v>19200000</v>
      </c>
      <c r="AD296" s="128">
        <f t="shared" si="136"/>
        <v>48000000</v>
      </c>
      <c r="AE296" s="128">
        <f t="shared" si="137"/>
        <v>144000000</v>
      </c>
      <c r="AG296" s="128">
        <v>292</v>
      </c>
      <c r="AH296" s="126">
        <f>SUM(AA$5:AA296)</f>
        <v>100933800</v>
      </c>
      <c r="AI296" s="126">
        <f>SUM(AB$5:AB296)</f>
        <v>201867600</v>
      </c>
      <c r="AJ296" s="126">
        <f>SUM(AC$5:AC296)</f>
        <v>403735200</v>
      </c>
      <c r="AK296" s="126">
        <f>SUM(AD$5:AD296)</f>
        <v>1009338000</v>
      </c>
      <c r="AL296" s="126">
        <f>SUM(AE$5:AE296)</f>
        <v>3028014000</v>
      </c>
    </row>
    <row r="297" spans="10:38" x14ac:dyDescent="0.15">
      <c r="J297" s="46">
        <f>INDEX('[1]资源-装备经验'!Y$6:Y$165,(K297+1)/2,1)</f>
        <v>0</v>
      </c>
      <c r="K297" s="126">
        <v>293</v>
      </c>
      <c r="L297" s="133">
        <v>120000</v>
      </c>
      <c r="M297" s="128">
        <f t="shared" si="132"/>
        <v>120000</v>
      </c>
      <c r="N297" s="128">
        <f t="shared" si="139"/>
        <v>240000</v>
      </c>
      <c r="O297" s="128">
        <f t="shared" si="139"/>
        <v>480000</v>
      </c>
      <c r="P297" s="128">
        <f t="shared" si="139"/>
        <v>1200000</v>
      </c>
      <c r="Q297" s="128">
        <f t="shared" si="139"/>
        <v>3600000</v>
      </c>
      <c r="S297" s="126">
        <v>293</v>
      </c>
      <c r="T297" s="126">
        <f>SUM(M$5:M297)</f>
        <v>2643345</v>
      </c>
      <c r="U297" s="126">
        <f>SUM(N$5:N297)</f>
        <v>5286690</v>
      </c>
      <c r="V297" s="126">
        <f>SUM(O$5:O297)</f>
        <v>10573380</v>
      </c>
      <c r="W297" s="126">
        <f>SUM(P$5:P297)</f>
        <v>26433450</v>
      </c>
      <c r="X297" s="126">
        <f>SUM(Q$5:Q297)</f>
        <v>79300350</v>
      </c>
      <c r="Z297" s="128">
        <v>293</v>
      </c>
      <c r="AA297" s="128">
        <f t="shared" si="133"/>
        <v>4800000</v>
      </c>
      <c r="AB297" s="128">
        <f t="shared" si="134"/>
        <v>9600000</v>
      </c>
      <c r="AC297" s="128">
        <f t="shared" si="135"/>
        <v>19200000</v>
      </c>
      <c r="AD297" s="128">
        <f t="shared" si="136"/>
        <v>48000000</v>
      </c>
      <c r="AE297" s="128">
        <f t="shared" si="137"/>
        <v>144000000</v>
      </c>
      <c r="AG297" s="128">
        <v>293</v>
      </c>
      <c r="AH297" s="126">
        <f>SUM(AA$5:AA297)</f>
        <v>105733800</v>
      </c>
      <c r="AI297" s="126">
        <f>SUM(AB$5:AB297)</f>
        <v>211467600</v>
      </c>
      <c r="AJ297" s="126">
        <f>SUM(AC$5:AC297)</f>
        <v>422935200</v>
      </c>
      <c r="AK297" s="126">
        <f>SUM(AD$5:AD297)</f>
        <v>1057338000</v>
      </c>
      <c r="AL297" s="126">
        <f>SUM(AE$5:AE297)</f>
        <v>3172014000</v>
      </c>
    </row>
    <row r="298" spans="10:38" x14ac:dyDescent="0.15">
      <c r="J298" s="46">
        <f>INDEX('[1]资源-装备经验'!Y$6:Y$165,(K298+1)/2,1)</f>
        <v>0</v>
      </c>
      <c r="K298" s="126">
        <v>294</v>
      </c>
      <c r="L298" s="133">
        <v>120000</v>
      </c>
      <c r="M298" s="128">
        <f t="shared" si="132"/>
        <v>120000</v>
      </c>
      <c r="N298" s="128">
        <f t="shared" si="139"/>
        <v>240000</v>
      </c>
      <c r="O298" s="128">
        <f t="shared" si="139"/>
        <v>480000</v>
      </c>
      <c r="P298" s="128">
        <f t="shared" si="139"/>
        <v>1200000</v>
      </c>
      <c r="Q298" s="128">
        <f t="shared" si="139"/>
        <v>3600000</v>
      </c>
      <c r="S298" s="126">
        <v>294</v>
      </c>
      <c r="T298" s="126">
        <f>SUM(M$5:M298)</f>
        <v>2763345</v>
      </c>
      <c r="U298" s="126">
        <f>SUM(N$5:N298)</f>
        <v>5526690</v>
      </c>
      <c r="V298" s="126">
        <f>SUM(O$5:O298)</f>
        <v>11053380</v>
      </c>
      <c r="W298" s="126">
        <f>SUM(P$5:P298)</f>
        <v>27633450</v>
      </c>
      <c r="X298" s="126">
        <f>SUM(Q$5:Q298)</f>
        <v>82900350</v>
      </c>
      <c r="Z298" s="128">
        <v>294</v>
      </c>
      <c r="AA298" s="128">
        <f t="shared" si="133"/>
        <v>4800000</v>
      </c>
      <c r="AB298" s="128">
        <f t="shared" si="134"/>
        <v>9600000</v>
      </c>
      <c r="AC298" s="128">
        <f t="shared" si="135"/>
        <v>19200000</v>
      </c>
      <c r="AD298" s="128">
        <f t="shared" si="136"/>
        <v>48000000</v>
      </c>
      <c r="AE298" s="128">
        <f t="shared" si="137"/>
        <v>144000000</v>
      </c>
      <c r="AG298" s="128">
        <v>294</v>
      </c>
      <c r="AH298" s="126">
        <f>SUM(AA$5:AA298)</f>
        <v>110533800</v>
      </c>
      <c r="AI298" s="126">
        <f>SUM(AB$5:AB298)</f>
        <v>221067600</v>
      </c>
      <c r="AJ298" s="126">
        <f>SUM(AC$5:AC298)</f>
        <v>442135200</v>
      </c>
      <c r="AK298" s="126">
        <f>SUM(AD$5:AD298)</f>
        <v>1105338000</v>
      </c>
      <c r="AL298" s="126">
        <f>SUM(AE$5:AE298)</f>
        <v>3316014000</v>
      </c>
    </row>
    <row r="299" spans="10:38" x14ac:dyDescent="0.15">
      <c r="J299" s="46">
        <f>INDEX('[1]资源-装备经验'!Y$6:Y$165,(K299+1)/2,1)</f>
        <v>0</v>
      </c>
      <c r="K299" s="126">
        <v>295</v>
      </c>
      <c r="L299" s="133">
        <v>120000</v>
      </c>
      <c r="M299" s="128">
        <f t="shared" si="132"/>
        <v>120000</v>
      </c>
      <c r="N299" s="128">
        <f t="shared" si="139"/>
        <v>240000</v>
      </c>
      <c r="O299" s="128">
        <f t="shared" si="139"/>
        <v>480000</v>
      </c>
      <c r="P299" s="128">
        <f t="shared" si="139"/>
        <v>1200000</v>
      </c>
      <c r="Q299" s="128">
        <f t="shared" si="139"/>
        <v>3600000</v>
      </c>
      <c r="S299" s="126">
        <v>295</v>
      </c>
      <c r="T299" s="126">
        <f>SUM(M$5:M299)</f>
        <v>2883345</v>
      </c>
      <c r="U299" s="126">
        <f>SUM(N$5:N299)</f>
        <v>5766690</v>
      </c>
      <c r="V299" s="126">
        <f>SUM(O$5:O299)</f>
        <v>11533380</v>
      </c>
      <c r="W299" s="126">
        <f>SUM(P$5:P299)</f>
        <v>28833450</v>
      </c>
      <c r="X299" s="126">
        <f>SUM(Q$5:Q299)</f>
        <v>86500350</v>
      </c>
      <c r="Z299" s="128">
        <v>295</v>
      </c>
      <c r="AA299" s="128">
        <f t="shared" si="133"/>
        <v>4800000</v>
      </c>
      <c r="AB299" s="128">
        <f t="shared" si="134"/>
        <v>9600000</v>
      </c>
      <c r="AC299" s="128">
        <f t="shared" si="135"/>
        <v>19200000</v>
      </c>
      <c r="AD299" s="128">
        <f t="shared" si="136"/>
        <v>48000000</v>
      </c>
      <c r="AE299" s="128">
        <f t="shared" si="137"/>
        <v>144000000</v>
      </c>
      <c r="AG299" s="128">
        <v>295</v>
      </c>
      <c r="AH299" s="126">
        <f>SUM(AA$5:AA299)</f>
        <v>115333800</v>
      </c>
      <c r="AI299" s="126">
        <f>SUM(AB$5:AB299)</f>
        <v>230667600</v>
      </c>
      <c r="AJ299" s="126">
        <f>SUM(AC$5:AC299)</f>
        <v>461335200</v>
      </c>
      <c r="AK299" s="126">
        <f>SUM(AD$5:AD299)</f>
        <v>1153338000</v>
      </c>
      <c r="AL299" s="126">
        <f>SUM(AE$5:AE299)</f>
        <v>3460014000</v>
      </c>
    </row>
    <row r="300" spans="10:38" x14ac:dyDescent="0.15">
      <c r="J300" s="46">
        <f>INDEX('[1]资源-装备经验'!Y$6:Y$165,(K300+1)/2,1)</f>
        <v>0</v>
      </c>
      <c r="K300" s="126">
        <v>296</v>
      </c>
      <c r="L300" s="133">
        <v>120000</v>
      </c>
      <c r="M300" s="128">
        <f t="shared" si="132"/>
        <v>120000</v>
      </c>
      <c r="N300" s="128">
        <f t="shared" si="139"/>
        <v>240000</v>
      </c>
      <c r="O300" s="128">
        <f t="shared" si="139"/>
        <v>480000</v>
      </c>
      <c r="P300" s="128">
        <f t="shared" si="139"/>
        <v>1200000</v>
      </c>
      <c r="Q300" s="128">
        <f t="shared" si="139"/>
        <v>3600000</v>
      </c>
      <c r="S300" s="126">
        <v>296</v>
      </c>
      <c r="T300" s="126">
        <f>SUM(M$5:M300)</f>
        <v>3003345</v>
      </c>
      <c r="U300" s="126">
        <f>SUM(N$5:N300)</f>
        <v>6006690</v>
      </c>
      <c r="V300" s="126">
        <f>SUM(O$5:O300)</f>
        <v>12013380</v>
      </c>
      <c r="W300" s="126">
        <f>SUM(P$5:P300)</f>
        <v>30033450</v>
      </c>
      <c r="X300" s="126">
        <f>SUM(Q$5:Q300)</f>
        <v>90100350</v>
      </c>
      <c r="Z300" s="128">
        <v>296</v>
      </c>
      <c r="AA300" s="128">
        <f t="shared" si="133"/>
        <v>4800000</v>
      </c>
      <c r="AB300" s="128">
        <f t="shared" si="134"/>
        <v>9600000</v>
      </c>
      <c r="AC300" s="128">
        <f t="shared" si="135"/>
        <v>19200000</v>
      </c>
      <c r="AD300" s="128">
        <f t="shared" si="136"/>
        <v>48000000</v>
      </c>
      <c r="AE300" s="128">
        <f t="shared" si="137"/>
        <v>144000000</v>
      </c>
      <c r="AG300" s="128">
        <v>296</v>
      </c>
      <c r="AH300" s="126">
        <f>SUM(AA$5:AA300)</f>
        <v>120133800</v>
      </c>
      <c r="AI300" s="126">
        <f>SUM(AB$5:AB300)</f>
        <v>240267600</v>
      </c>
      <c r="AJ300" s="126">
        <f>SUM(AC$5:AC300)</f>
        <v>480535200</v>
      </c>
      <c r="AK300" s="126">
        <f>SUM(AD$5:AD300)</f>
        <v>1201338000</v>
      </c>
      <c r="AL300" s="126">
        <f>SUM(AE$5:AE300)</f>
        <v>3604014000</v>
      </c>
    </row>
    <row r="301" spans="10:38" x14ac:dyDescent="0.15">
      <c r="J301" s="46">
        <f>INDEX('[1]资源-装备经验'!Y$6:Y$165,(K301+1)/2,1)</f>
        <v>0</v>
      </c>
      <c r="K301" s="126">
        <v>297</v>
      </c>
      <c r="L301" s="133">
        <v>120000</v>
      </c>
      <c r="M301" s="128">
        <f t="shared" si="132"/>
        <v>120000</v>
      </c>
      <c r="N301" s="128">
        <f t="shared" si="139"/>
        <v>240000</v>
      </c>
      <c r="O301" s="128">
        <f t="shared" si="139"/>
        <v>480000</v>
      </c>
      <c r="P301" s="128">
        <f t="shared" si="139"/>
        <v>1200000</v>
      </c>
      <c r="Q301" s="128">
        <f t="shared" si="139"/>
        <v>3600000</v>
      </c>
      <c r="S301" s="126">
        <v>297</v>
      </c>
      <c r="T301" s="126">
        <f>SUM(M$5:M301)</f>
        <v>3123345</v>
      </c>
      <c r="U301" s="126">
        <f>SUM(N$5:N301)</f>
        <v>6246690</v>
      </c>
      <c r="V301" s="126">
        <f>SUM(O$5:O301)</f>
        <v>12493380</v>
      </c>
      <c r="W301" s="126">
        <f>SUM(P$5:P301)</f>
        <v>31233450</v>
      </c>
      <c r="X301" s="126">
        <f>SUM(Q$5:Q301)</f>
        <v>93700350</v>
      </c>
      <c r="Z301" s="128">
        <v>297</v>
      </c>
      <c r="AA301" s="128">
        <f t="shared" si="133"/>
        <v>4800000</v>
      </c>
      <c r="AB301" s="128">
        <f t="shared" si="134"/>
        <v>9600000</v>
      </c>
      <c r="AC301" s="128">
        <f t="shared" si="135"/>
        <v>19200000</v>
      </c>
      <c r="AD301" s="128">
        <f t="shared" si="136"/>
        <v>48000000</v>
      </c>
      <c r="AE301" s="128">
        <f t="shared" si="137"/>
        <v>144000000</v>
      </c>
      <c r="AG301" s="128">
        <v>297</v>
      </c>
      <c r="AH301" s="126">
        <f>SUM(AA$5:AA301)</f>
        <v>124933800</v>
      </c>
      <c r="AI301" s="126">
        <f>SUM(AB$5:AB301)</f>
        <v>249867600</v>
      </c>
      <c r="AJ301" s="126">
        <f>SUM(AC$5:AC301)</f>
        <v>499735200</v>
      </c>
      <c r="AK301" s="126">
        <f>SUM(AD$5:AD301)</f>
        <v>1249338000</v>
      </c>
      <c r="AL301" s="126">
        <f>SUM(AE$5:AE301)</f>
        <v>3748014000</v>
      </c>
    </row>
    <row r="302" spans="10:38" x14ac:dyDescent="0.15">
      <c r="J302" s="46">
        <f>INDEX('[1]资源-装备经验'!Y$6:Y$165,(K302+1)/2,1)</f>
        <v>0</v>
      </c>
      <c r="K302" s="126">
        <v>298</v>
      </c>
      <c r="L302" s="133">
        <v>120000</v>
      </c>
      <c r="M302" s="128">
        <f t="shared" si="132"/>
        <v>120000</v>
      </c>
      <c r="N302" s="128">
        <f t="shared" si="139"/>
        <v>240000</v>
      </c>
      <c r="O302" s="128">
        <f t="shared" si="139"/>
        <v>480000</v>
      </c>
      <c r="P302" s="128">
        <f t="shared" si="139"/>
        <v>1200000</v>
      </c>
      <c r="Q302" s="128">
        <f t="shared" si="139"/>
        <v>3600000</v>
      </c>
      <c r="S302" s="126">
        <v>298</v>
      </c>
      <c r="T302" s="126">
        <f>SUM(M$5:M302)</f>
        <v>3243345</v>
      </c>
      <c r="U302" s="126">
        <f>SUM(N$5:N302)</f>
        <v>6486690</v>
      </c>
      <c r="V302" s="126">
        <f>SUM(O$5:O302)</f>
        <v>12973380</v>
      </c>
      <c r="W302" s="126">
        <f>SUM(P$5:P302)</f>
        <v>32433450</v>
      </c>
      <c r="X302" s="126">
        <f>SUM(Q$5:Q302)</f>
        <v>97300350</v>
      </c>
      <c r="Z302" s="128">
        <v>298</v>
      </c>
      <c r="AA302" s="128">
        <f t="shared" si="133"/>
        <v>4800000</v>
      </c>
      <c r="AB302" s="128">
        <f t="shared" si="134"/>
        <v>9600000</v>
      </c>
      <c r="AC302" s="128">
        <f t="shared" si="135"/>
        <v>19200000</v>
      </c>
      <c r="AD302" s="128">
        <f t="shared" si="136"/>
        <v>48000000</v>
      </c>
      <c r="AE302" s="128">
        <f t="shared" si="137"/>
        <v>144000000</v>
      </c>
      <c r="AG302" s="128">
        <v>298</v>
      </c>
      <c r="AH302" s="126">
        <f>SUM(AA$5:AA302)</f>
        <v>129733800</v>
      </c>
      <c r="AI302" s="126">
        <f>SUM(AB$5:AB302)</f>
        <v>259467600</v>
      </c>
      <c r="AJ302" s="126">
        <f>SUM(AC$5:AC302)</f>
        <v>518935200</v>
      </c>
      <c r="AK302" s="126">
        <f>SUM(AD$5:AD302)</f>
        <v>1297338000</v>
      </c>
      <c r="AL302" s="126">
        <f>SUM(AE$5:AE302)</f>
        <v>3892014000</v>
      </c>
    </row>
    <row r="303" spans="10:38" x14ac:dyDescent="0.15">
      <c r="J303" s="46">
        <f>INDEX('[1]资源-装备经验'!Y$6:Y$165,(K303+1)/2,1)</f>
        <v>0</v>
      </c>
      <c r="K303" s="126">
        <v>299</v>
      </c>
      <c r="L303" s="133">
        <v>120000</v>
      </c>
      <c r="M303" s="128">
        <f t="shared" si="132"/>
        <v>120000</v>
      </c>
      <c r="N303" s="128">
        <f t="shared" si="139"/>
        <v>240000</v>
      </c>
      <c r="O303" s="128">
        <f t="shared" si="139"/>
        <v>480000</v>
      </c>
      <c r="P303" s="128">
        <f t="shared" si="139"/>
        <v>1200000</v>
      </c>
      <c r="Q303" s="128">
        <f t="shared" si="139"/>
        <v>3600000</v>
      </c>
      <c r="S303" s="126">
        <v>299</v>
      </c>
      <c r="T303" s="126">
        <f>SUM(M$5:M303)</f>
        <v>3363345</v>
      </c>
      <c r="U303" s="126">
        <f>SUM(N$5:N303)</f>
        <v>6726690</v>
      </c>
      <c r="V303" s="126">
        <f>SUM(O$5:O303)</f>
        <v>13453380</v>
      </c>
      <c r="W303" s="126">
        <f>SUM(P$5:P303)</f>
        <v>33633450</v>
      </c>
      <c r="X303" s="126">
        <f>SUM(Q$5:Q303)</f>
        <v>100900350</v>
      </c>
      <c r="Z303" s="128">
        <v>299</v>
      </c>
      <c r="AA303" s="128">
        <f t="shared" si="133"/>
        <v>4800000</v>
      </c>
      <c r="AB303" s="128">
        <f t="shared" si="134"/>
        <v>9600000</v>
      </c>
      <c r="AC303" s="128">
        <f t="shared" si="135"/>
        <v>19200000</v>
      </c>
      <c r="AD303" s="128">
        <f t="shared" si="136"/>
        <v>48000000</v>
      </c>
      <c r="AE303" s="128">
        <f t="shared" si="137"/>
        <v>144000000</v>
      </c>
      <c r="AG303" s="128">
        <v>299</v>
      </c>
      <c r="AH303" s="126">
        <f>SUM(AA$5:AA303)</f>
        <v>134533800</v>
      </c>
      <c r="AI303" s="126">
        <f>SUM(AB$5:AB303)</f>
        <v>269067600</v>
      </c>
      <c r="AJ303" s="126">
        <f>SUM(AC$5:AC303)</f>
        <v>538135200</v>
      </c>
      <c r="AK303" s="126">
        <f>SUM(AD$5:AD303)</f>
        <v>1345338000</v>
      </c>
      <c r="AL303" s="126">
        <f>SUM(AE$5:AE303)</f>
        <v>4036014000</v>
      </c>
    </row>
    <row r="304" spans="10:38" x14ac:dyDescent="0.15">
      <c r="J304" s="46">
        <f>INDEX('[1]资源-装备经验'!Y$6:Y$165,(K304+1)/2,1)</f>
        <v>0</v>
      </c>
      <c r="K304" s="126">
        <v>300</v>
      </c>
      <c r="L304" s="133">
        <v>120000</v>
      </c>
      <c r="M304" s="128">
        <f t="shared" si="132"/>
        <v>120000</v>
      </c>
      <c r="N304" s="128">
        <f t="shared" si="139"/>
        <v>240000</v>
      </c>
      <c r="O304" s="128">
        <f t="shared" si="139"/>
        <v>480000</v>
      </c>
      <c r="P304" s="128">
        <f t="shared" si="139"/>
        <v>1200000</v>
      </c>
      <c r="Q304" s="128">
        <f t="shared" si="139"/>
        <v>3600000</v>
      </c>
      <c r="S304" s="126">
        <v>300</v>
      </c>
      <c r="T304" s="126">
        <f>SUM(M$5:M304)</f>
        <v>3483345</v>
      </c>
      <c r="U304" s="126">
        <f>SUM(N$5:N304)</f>
        <v>6966690</v>
      </c>
      <c r="V304" s="126">
        <f>SUM(O$5:O304)</f>
        <v>13933380</v>
      </c>
      <c r="W304" s="126">
        <f>SUM(P$5:P304)</f>
        <v>34833450</v>
      </c>
      <c r="X304" s="126">
        <f>SUM(Q$5:Q304)</f>
        <v>104500350</v>
      </c>
      <c r="Z304" s="128">
        <v>300</v>
      </c>
      <c r="AA304" s="128">
        <f t="shared" si="133"/>
        <v>4800000</v>
      </c>
      <c r="AB304" s="128">
        <f t="shared" si="134"/>
        <v>9600000</v>
      </c>
      <c r="AC304" s="128">
        <f t="shared" si="135"/>
        <v>19200000</v>
      </c>
      <c r="AD304" s="128">
        <f t="shared" si="136"/>
        <v>48000000</v>
      </c>
      <c r="AE304" s="128">
        <f t="shared" si="137"/>
        <v>144000000</v>
      </c>
      <c r="AG304" s="128">
        <v>300</v>
      </c>
      <c r="AH304" s="126">
        <f>SUM(AA$5:AA304)</f>
        <v>139333800</v>
      </c>
      <c r="AI304" s="126">
        <f>SUM(AB$5:AB304)</f>
        <v>278667600</v>
      </c>
      <c r="AJ304" s="126">
        <f>SUM(AC$5:AC304)</f>
        <v>557335200</v>
      </c>
      <c r="AK304" s="126">
        <f>SUM(AD$5:AD304)</f>
        <v>1393338000</v>
      </c>
      <c r="AL304" s="126">
        <f>SUM(AE$5:AE304)</f>
        <v>4180014000</v>
      </c>
    </row>
  </sheetData>
  <mergeCells count="57">
    <mergeCell ref="CJ139:CM139"/>
    <mergeCell ref="CP139:CQ139"/>
    <mergeCell ref="CJ184:CM184"/>
    <mergeCell ref="CP184:CQ184"/>
    <mergeCell ref="BY139:CA139"/>
    <mergeCell ref="CB139:CE139"/>
    <mergeCell ref="BY184:CA184"/>
    <mergeCell ref="CB184:CE184"/>
    <mergeCell ref="AP90:BT90"/>
    <mergeCell ref="AP119:BT119"/>
    <mergeCell ref="BI62:BN62"/>
    <mergeCell ref="BO62:BT62"/>
    <mergeCell ref="BC91:BH91"/>
    <mergeCell ref="BI91:BN91"/>
    <mergeCell ref="BO91:BT91"/>
    <mergeCell ref="CP4:CQ4"/>
    <mergeCell ref="CP49:CQ49"/>
    <mergeCell ref="CP94:CQ94"/>
    <mergeCell ref="CJ4:CM4"/>
    <mergeCell ref="CJ49:CM49"/>
    <mergeCell ref="CJ94:CM94"/>
    <mergeCell ref="BY4:CA4"/>
    <mergeCell ref="CB4:CE4"/>
    <mergeCell ref="BY49:CA49"/>
    <mergeCell ref="CB49:CE49"/>
    <mergeCell ref="BY94:CA94"/>
    <mergeCell ref="CB94:CE94"/>
    <mergeCell ref="B8:B10"/>
    <mergeCell ref="B4:B7"/>
    <mergeCell ref="M3:Q3"/>
    <mergeCell ref="BI120:BN120"/>
    <mergeCell ref="BO120:BT120"/>
    <mergeCell ref="AQ91:AV91"/>
    <mergeCell ref="AW91:BB91"/>
    <mergeCell ref="AQ120:AV120"/>
    <mergeCell ref="AW120:BB120"/>
    <mergeCell ref="AQ33:AV33"/>
    <mergeCell ref="AW33:BB33"/>
    <mergeCell ref="AQ62:AV62"/>
    <mergeCell ref="AW62:BB62"/>
    <mergeCell ref="BC120:BH120"/>
    <mergeCell ref="BC62:BH62"/>
    <mergeCell ref="AQ4:AV4"/>
    <mergeCell ref="BI4:BN4"/>
    <mergeCell ref="BO4:BT4"/>
    <mergeCell ref="AP3:BT3"/>
    <mergeCell ref="AP32:BT32"/>
    <mergeCell ref="AP61:BT61"/>
    <mergeCell ref="BC33:BH33"/>
    <mergeCell ref="BI33:BN33"/>
    <mergeCell ref="BO33:BT33"/>
    <mergeCell ref="AW4:BB4"/>
    <mergeCell ref="B3:C3"/>
    <mergeCell ref="AA3:AE3"/>
    <mergeCell ref="T3:X3"/>
    <mergeCell ref="AH3:AL3"/>
    <mergeCell ref="BC4:BH4"/>
  </mergeCells>
  <phoneticPr fontId="1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9"/>
  <dimension ref="A3:AL227"/>
  <sheetViews>
    <sheetView workbookViewId="0">
      <selection activeCell="K38" sqref="K38"/>
    </sheetView>
  </sheetViews>
  <sheetFormatPr defaultColWidth="6.625" defaultRowHeight="11.25" x14ac:dyDescent="0.15"/>
  <cols>
    <col min="1" max="9" width="6.625" style="7"/>
    <col min="10" max="10" width="6.625" style="20"/>
    <col min="11" max="16" width="6.625" style="7"/>
    <col min="17" max="17" width="6.625" style="24"/>
    <col min="18" max="21" width="6.625" style="7"/>
    <col min="22" max="22" width="6.625" style="24"/>
    <col min="23" max="24" width="6.625" style="7"/>
    <col min="25" max="25" width="6.625" style="72"/>
    <col min="26" max="36" width="6.625" style="41"/>
    <col min="37" max="16384" width="6.625" style="7"/>
  </cols>
  <sheetData>
    <row r="3" spans="2:38" x14ac:dyDescent="0.15">
      <c r="K3" s="25">
        <v>1</v>
      </c>
      <c r="L3" s="183" t="s">
        <v>178</v>
      </c>
      <c r="M3" s="183"/>
      <c r="N3" s="183"/>
      <c r="O3" s="183"/>
      <c r="P3" s="183"/>
      <c r="Q3" s="183"/>
      <c r="R3" s="183"/>
      <c r="S3" s="183"/>
      <c r="T3" s="183"/>
      <c r="U3" s="183"/>
      <c r="V3" s="183"/>
      <c r="W3" s="183"/>
    </row>
    <row r="4" spans="2:38" x14ac:dyDescent="0.15">
      <c r="D4" s="7">
        <v>1</v>
      </c>
      <c r="E4" s="7">
        <v>2</v>
      </c>
      <c r="F4" s="46">
        <v>3</v>
      </c>
      <c r="G4" s="46">
        <v>4</v>
      </c>
      <c r="H4" s="46">
        <v>5</v>
      </c>
      <c r="K4" s="25">
        <v>2</v>
      </c>
      <c r="L4" s="48"/>
      <c r="M4" s="183" t="s">
        <v>373</v>
      </c>
      <c r="N4" s="183"/>
      <c r="O4" s="183"/>
      <c r="P4" s="183"/>
      <c r="Q4" s="183"/>
      <c r="R4" s="183" t="s">
        <v>184</v>
      </c>
      <c r="S4" s="183"/>
      <c r="T4" s="183"/>
      <c r="U4" s="183"/>
      <c r="V4" s="183"/>
      <c r="W4" s="183"/>
      <c r="AA4" s="73" t="s">
        <v>348</v>
      </c>
      <c r="AB4" s="183" t="s">
        <v>375</v>
      </c>
      <c r="AC4" s="183"/>
      <c r="AD4" s="183"/>
      <c r="AE4" s="183"/>
      <c r="AG4" s="70" t="s">
        <v>350</v>
      </c>
      <c r="AH4" s="184" t="s">
        <v>351</v>
      </c>
      <c r="AI4" s="185"/>
      <c r="AJ4" s="74"/>
    </row>
    <row r="5" spans="2:38" x14ac:dyDescent="0.15">
      <c r="B5" s="199" t="s">
        <v>185</v>
      </c>
      <c r="C5" s="19" t="s">
        <v>147</v>
      </c>
      <c r="D5" s="19" t="s">
        <v>140</v>
      </c>
      <c r="E5" s="19" t="s">
        <v>141</v>
      </c>
      <c r="F5" s="19" t="s">
        <v>142</v>
      </c>
      <c r="G5" s="19" t="s">
        <v>143</v>
      </c>
      <c r="H5" s="19" t="s">
        <v>144</v>
      </c>
      <c r="K5" s="25">
        <v>3</v>
      </c>
      <c r="L5" s="37" t="s">
        <v>398</v>
      </c>
      <c r="M5" s="15" t="s">
        <v>179</v>
      </c>
      <c r="N5" s="48" t="s">
        <v>180</v>
      </c>
      <c r="O5" s="48" t="s">
        <v>181</v>
      </c>
      <c r="P5" s="48" t="s">
        <v>182</v>
      </c>
      <c r="Q5" s="49" t="s">
        <v>194</v>
      </c>
      <c r="R5" s="15" t="s">
        <v>179</v>
      </c>
      <c r="S5" s="48" t="s">
        <v>180</v>
      </c>
      <c r="T5" s="48" t="s">
        <v>181</v>
      </c>
      <c r="U5" s="48" t="s">
        <v>182</v>
      </c>
      <c r="V5" s="48" t="s">
        <v>172</v>
      </c>
      <c r="W5" s="16" t="s">
        <v>183</v>
      </c>
      <c r="AA5" s="51" t="s">
        <v>398</v>
      </c>
      <c r="AB5" s="71" t="s">
        <v>374</v>
      </c>
      <c r="AC5" s="71"/>
      <c r="AD5" s="71" t="s">
        <v>363</v>
      </c>
      <c r="AE5" s="71" t="s">
        <v>352</v>
      </c>
      <c r="AG5" s="51" t="s">
        <v>398</v>
      </c>
      <c r="AH5" s="83" t="s">
        <v>372</v>
      </c>
      <c r="AI5" s="71" t="s">
        <v>353</v>
      </c>
      <c r="AJ5" s="71" t="s">
        <v>370</v>
      </c>
    </row>
    <row r="6" spans="2:38" x14ac:dyDescent="0.15">
      <c r="B6" s="200"/>
      <c r="C6" s="19">
        <v>0</v>
      </c>
      <c r="D6" s="30">
        <v>20</v>
      </c>
      <c r="E6" s="30">
        <v>20</v>
      </c>
      <c r="F6" s="30">
        <v>40</v>
      </c>
      <c r="G6" s="30">
        <v>60</v>
      </c>
      <c r="H6" s="30">
        <v>100</v>
      </c>
      <c r="K6" s="25">
        <v>4</v>
      </c>
      <c r="L6" s="26">
        <v>10</v>
      </c>
      <c r="M6" s="15">
        <f>IF(节奏预期!S6="","",INDEX(装备突破!D$57:D$71,MATCH(节奏预期!S6,装备突破!$C$57:$C$71,0)))</f>
        <v>1</v>
      </c>
      <c r="N6" s="23">
        <f>IF(节奏预期!T6="","",INDEX(装备突破!E$57:E$71,MATCH(节奏预期!T6,装备突破!$C$57:$C$71,0)))</f>
        <v>1</v>
      </c>
      <c r="O6" s="23">
        <f>IF(节奏预期!U6="","",INDEX(装备突破!F$57:F$71,MATCH(节奏预期!U6,装备突破!$C$57:$C$71,0)))</f>
        <v>1</v>
      </c>
      <c r="P6" s="23">
        <f>IF(节奏预期!V6="","",INDEX(装备突破!G$57:G$71,MATCH(节奏预期!V6,装备突破!$C$57:$C$71,0)))</f>
        <v>1</v>
      </c>
      <c r="Q6" s="27">
        <f>IF(节奏预期!W6="","",INDEX(装备突破!H$57:H$71,MATCH(节奏预期!W6,装备突破!$C$57:$C$71,0)))</f>
        <v>1</v>
      </c>
      <c r="R6" s="15">
        <f>IF(节奏预期!S6="","",INDEX(装备突破!D$74:D$88,MATCH(节奏预期!S6,装备突破!$C$74:$C$88,0))*节奏预期!D6)</f>
        <v>0</v>
      </c>
      <c r="S6" s="23">
        <f>IF(节奏预期!T6="","",INDEX(装备突破!E$74:E$88,MATCH(节奏预期!T6,装备突破!$C$74:$C$88,0))*节奏预期!E6)</f>
        <v>0</v>
      </c>
      <c r="T6" s="23">
        <f>IF(节奏预期!U6="","",INDEX(装备突破!F$74:F$88,MATCH(节奏预期!U6,装备突破!$C$74:$C$88,0))*节奏预期!F6)</f>
        <v>0</v>
      </c>
      <c r="U6" s="23">
        <f>IF(节奏预期!V6="","",INDEX(装备突破!G$74:G$88,MATCH(节奏预期!V6,装备突破!$C$74:$C$88,0))*节奏预期!G6)</f>
        <v>0</v>
      </c>
      <c r="V6" s="23">
        <f>IF(节奏预期!W6="","",INDEX(装备突破!H$74:H$88,MATCH(节奏预期!W6,装备突破!$C$74:$C$88,0))*节奏预期!H6)</f>
        <v>0</v>
      </c>
      <c r="W6" s="16">
        <f>SUM(R6:V6)</f>
        <v>0</v>
      </c>
      <c r="Z6" s="41">
        <f>SUMPRODUCT(M6:Q6,节奏预期!D6:H6)</f>
        <v>18</v>
      </c>
      <c r="AA6" s="71">
        <v>10</v>
      </c>
      <c r="AB6" s="75">
        <f>INDEX('[1]功能-行军令'!$N$4:$R$163,AA6,1)*75*'[1]功能-行军令'!$AD$15</f>
        <v>1035</v>
      </c>
      <c r="AC6" s="76"/>
      <c r="AD6" s="75">
        <f>$W6</f>
        <v>0</v>
      </c>
      <c r="AE6" s="76">
        <f>AD6*INDEX('[1]功能-付费相关'!$AQ$6:$AQ$165,$AA6,1)</f>
        <v>0</v>
      </c>
      <c r="AG6" s="71">
        <v>10</v>
      </c>
      <c r="AH6" s="83">
        <f>AB6</f>
        <v>1035</v>
      </c>
      <c r="AI6" s="83">
        <f t="shared" ref="AI6:AI13" si="0">AE6</f>
        <v>0</v>
      </c>
      <c r="AJ6" s="84">
        <f>SUM(AH6:AI6)</f>
        <v>1035</v>
      </c>
    </row>
    <row r="7" spans="2:38" x14ac:dyDescent="0.15">
      <c r="B7" s="200"/>
      <c r="C7" s="19">
        <v>1</v>
      </c>
      <c r="D7" s="30"/>
      <c r="E7" s="30">
        <v>40</v>
      </c>
      <c r="F7" s="30">
        <v>60</v>
      </c>
      <c r="G7" s="30">
        <v>80</v>
      </c>
      <c r="H7" s="30">
        <v>120</v>
      </c>
      <c r="K7" s="25">
        <v>5</v>
      </c>
      <c r="L7" s="26">
        <v>20</v>
      </c>
      <c r="M7" s="15">
        <f>IF(节奏预期!S7="","",INDEX(装备突破!D$57:D$71,MATCH(节奏预期!S7,装备突破!$C$57:$C$71,0)))</f>
        <v>1</v>
      </c>
      <c r="N7" s="126">
        <f>IF(节奏预期!T7="","",INDEX(装备突破!E$57:E$71,MATCH(节奏预期!T7,装备突破!$C$57:$C$71,0)))</f>
        <v>2</v>
      </c>
      <c r="O7" s="126">
        <f>IF(节奏预期!U7="","",INDEX(装备突破!F$57:F$71,MATCH(节奏预期!U7,装备突破!$C$57:$C$71,0)))</f>
        <v>1</v>
      </c>
      <c r="P7" s="126">
        <f>IF(节奏预期!V7="","",INDEX(装备突破!G$57:G$71,MATCH(节奏预期!V7,装备突破!$C$57:$C$71,0)))</f>
        <v>1</v>
      </c>
      <c r="Q7" s="127">
        <f>IF(节奏预期!W7="","",INDEX(装备突破!H$57:H$71,MATCH(节奏预期!W7,装备突破!$C$57:$C$71,0)))</f>
        <v>1</v>
      </c>
      <c r="R7" s="15">
        <f>IF(节奏预期!S7="","",INDEX(装备突破!D$74:D$88,MATCH(节奏预期!S7,装备突破!$C$74:$C$88,0))*节奏预期!D7)</f>
        <v>0</v>
      </c>
      <c r="S7" s="126">
        <f>IF(节奏预期!T7="","",INDEX(装备突破!E$74:E$88,MATCH(节奏预期!T7,装备突破!$C$74:$C$88,0))*节奏预期!E7)</f>
        <v>65000</v>
      </c>
      <c r="T7" s="126">
        <f>IF(节奏预期!U7="","",INDEX(装备突破!F$74:F$88,MATCH(节奏预期!U7,装备突破!$C$74:$C$88,0))*节奏预期!F7)</f>
        <v>0</v>
      </c>
      <c r="U7" s="126">
        <f>IF(节奏预期!V7="","",INDEX(装备突破!G$74:G$88,MATCH(节奏预期!V7,装备突破!$C$74:$C$88,0))*节奏预期!G7)</f>
        <v>0</v>
      </c>
      <c r="V7" s="126">
        <f>IF(节奏预期!W7="","",INDEX(装备突破!H$74:H$88,MATCH(节奏预期!W7,装备突破!$C$74:$C$88,0))*节奏预期!H7)</f>
        <v>0</v>
      </c>
      <c r="W7" s="16">
        <f t="shared" ref="W7:W21" si="1">SUM(R7:V7)</f>
        <v>65000</v>
      </c>
      <c r="Z7" s="41">
        <f>SUMPRODUCT(M7:Q7,节奏预期!D7:H7)</f>
        <v>31</v>
      </c>
      <c r="AA7" s="71">
        <v>20</v>
      </c>
      <c r="AB7" s="75">
        <f>INDEX('[1]功能-行军令'!$N$4:$R$163,AA7,1)*75*'[1]功能-行军令'!$AD$15</f>
        <v>3105</v>
      </c>
      <c r="AC7" s="75"/>
      <c r="AD7" s="75">
        <f t="shared" ref="AD7:AD21" si="2">$W7</f>
        <v>65000</v>
      </c>
      <c r="AE7" s="75">
        <f>(AD7-AD6)*INDEX('[1]功能-付费相关'!$AQ$6:$AQ$165,$AA7,1)+AE6</f>
        <v>135.41666666666666</v>
      </c>
      <c r="AG7" s="71">
        <v>20</v>
      </c>
      <c r="AH7" s="83">
        <f t="shared" ref="AH7:AH13" si="3">AB7</f>
        <v>3105</v>
      </c>
      <c r="AI7" s="83">
        <f t="shared" si="0"/>
        <v>135.41666666666666</v>
      </c>
      <c r="AJ7" s="84">
        <f t="shared" ref="AJ7:AJ13" si="4">SUM(AH7:AI7)</f>
        <v>3240.4166666666665</v>
      </c>
      <c r="AK7" s="46"/>
      <c r="AL7" s="46"/>
    </row>
    <row r="8" spans="2:38" x14ac:dyDescent="0.15">
      <c r="B8" s="200"/>
      <c r="C8" s="19">
        <v>2</v>
      </c>
      <c r="D8" s="30"/>
      <c r="E8" s="30"/>
      <c r="F8" s="30">
        <v>80</v>
      </c>
      <c r="G8" s="30">
        <v>100</v>
      </c>
      <c r="H8" s="30">
        <v>140</v>
      </c>
      <c r="K8" s="25">
        <v>6</v>
      </c>
      <c r="L8" s="26">
        <v>30</v>
      </c>
      <c r="M8" s="15">
        <f>IF(节奏预期!S8="","",INDEX(装备突破!D$57:D$71,MATCH(节奏预期!S8,装备突破!$C$57:$C$71,0)))</f>
        <v>1</v>
      </c>
      <c r="N8" s="126">
        <f>IF(节奏预期!T8="","",INDEX(装备突破!E$57:E$71,MATCH(节奏预期!T8,装备突破!$C$57:$C$71,0)))</f>
        <v>2</v>
      </c>
      <c r="O8" s="126">
        <f>IF(节奏预期!U8="","",INDEX(装备突破!F$57:F$71,MATCH(节奏预期!U8,装备突破!$C$57:$C$71,0)))</f>
        <v>2</v>
      </c>
      <c r="P8" s="126">
        <f>IF(节奏预期!V8="","",INDEX(装备突破!G$57:G$71,MATCH(节奏预期!V8,装备突破!$C$57:$C$71,0)))</f>
        <v>1</v>
      </c>
      <c r="Q8" s="127">
        <f>IF(节奏预期!W8="","",INDEX(装备突破!H$57:H$71,MATCH(节奏预期!W8,装备突破!$C$57:$C$71,0)))</f>
        <v>1</v>
      </c>
      <c r="R8" s="15">
        <f>IF(节奏预期!S8="","",INDEX(装备突破!D$74:D$88,MATCH(节奏预期!S8,装备突破!$C$74:$C$88,0))*节奏预期!D8)</f>
        <v>0</v>
      </c>
      <c r="S8" s="126">
        <f>IF(节奏预期!T8="","",INDEX(装备突破!E$74:E$88,MATCH(节奏预期!T8,装备突破!$C$74:$C$88,0))*节奏预期!E8)</f>
        <v>0</v>
      </c>
      <c r="T8" s="126">
        <f>IF(节奏预期!U8="","",INDEX(装备突破!F$74:F$88,MATCH(节奏预期!U8,装备突破!$C$74:$C$88,0))*节奏预期!F8)</f>
        <v>160000</v>
      </c>
      <c r="U8" s="126">
        <f>IF(节奏预期!V8="","",INDEX(装备突破!G$74:G$88,MATCH(节奏预期!V8,装备突破!$C$74:$C$88,0))*节奏预期!G8)</f>
        <v>0</v>
      </c>
      <c r="V8" s="126">
        <f>IF(节奏预期!W8="","",INDEX(装备突破!H$74:H$88,MATCH(节奏预期!W8,装备突破!$C$74:$C$88,0))*节奏预期!H8)</f>
        <v>0</v>
      </c>
      <c r="W8" s="16">
        <f t="shared" si="1"/>
        <v>160000</v>
      </c>
      <c r="Z8" s="41">
        <f>SUMPRODUCT(M8:Q8,节奏预期!D8:H8)</f>
        <v>34</v>
      </c>
      <c r="AA8" s="71">
        <v>30</v>
      </c>
      <c r="AB8" s="75">
        <f>INDEX('[1]功能-行军令'!$N$4:$R$163,AA8,1)*75*'[1]功能-行军令'!$AD$15</f>
        <v>7245</v>
      </c>
      <c r="AC8" s="75"/>
      <c r="AD8" s="75">
        <f t="shared" si="2"/>
        <v>160000</v>
      </c>
      <c r="AE8" s="75">
        <f>(AD8-AD7)*INDEX('[1]功能-付费相关'!$AQ$6:$AQ$165,$AA8,1)+AE7</f>
        <v>305.0595238095238</v>
      </c>
      <c r="AG8" s="71">
        <v>30</v>
      </c>
      <c r="AH8" s="83">
        <f t="shared" si="3"/>
        <v>7245</v>
      </c>
      <c r="AI8" s="83">
        <f t="shared" si="0"/>
        <v>305.0595238095238</v>
      </c>
      <c r="AJ8" s="84">
        <f t="shared" si="4"/>
        <v>7550.0595238095239</v>
      </c>
      <c r="AK8" s="46"/>
      <c r="AL8" s="46"/>
    </row>
    <row r="9" spans="2:38" x14ac:dyDescent="0.15">
      <c r="B9" s="200"/>
      <c r="C9" s="19">
        <v>3</v>
      </c>
      <c r="D9" s="30"/>
      <c r="E9" s="30"/>
      <c r="F9" s="30"/>
      <c r="G9" s="30">
        <v>120</v>
      </c>
      <c r="H9" s="30">
        <v>160</v>
      </c>
      <c r="K9" s="25">
        <v>7</v>
      </c>
      <c r="L9" s="26">
        <v>40</v>
      </c>
      <c r="M9" s="15">
        <f>IF(节奏预期!S9="","",INDEX(装备突破!D$57:D$71,MATCH(节奏预期!S9,装备突破!$C$57:$C$71,0)))</f>
        <v>1</v>
      </c>
      <c r="N9" s="126">
        <f>IF(节奏预期!T9="","",INDEX(装备突破!E$57:E$71,MATCH(节奏预期!T9,装备突破!$C$57:$C$71,0)))</f>
        <v>2</v>
      </c>
      <c r="O9" s="126">
        <f>IF(节奏预期!U9="","",INDEX(装备突破!F$57:F$71,MATCH(节奏预期!U9,装备突破!$C$57:$C$71,0)))</f>
        <v>3</v>
      </c>
      <c r="P9" s="126">
        <f>IF(节奏预期!V9="","",INDEX(装备突破!G$57:G$71,MATCH(节奏预期!V9,装备突破!$C$57:$C$71,0)))</f>
        <v>2</v>
      </c>
      <c r="Q9" s="127">
        <f>IF(节奏预期!W9="","",INDEX(装备突破!H$57:H$71,MATCH(节奏预期!W9,装备突破!$C$57:$C$71,0)))</f>
        <v>1</v>
      </c>
      <c r="R9" s="15">
        <f>IF(节奏预期!S9="","",INDEX(装备突破!D$74:D$88,MATCH(节奏预期!S9,装备突破!$C$74:$C$88,0))*节奏预期!D9)</f>
        <v>0</v>
      </c>
      <c r="S9" s="126">
        <f>IF(节奏预期!T9="","",INDEX(装备突破!E$74:E$88,MATCH(节奏预期!T9,装备突破!$C$74:$C$88,0))*节奏预期!E9)</f>
        <v>0</v>
      </c>
      <c r="T9" s="126">
        <f>IF(节奏预期!U9="","",INDEX(装备突破!F$74:F$88,MATCH(节奏预期!U9,装备突破!$C$74:$C$88,0))*节奏预期!F9)</f>
        <v>0</v>
      </c>
      <c r="U9" s="126">
        <f>IF(节奏预期!V9="","",INDEX(装备突破!G$74:G$88,MATCH(节奏预期!V9,装备突破!$C$74:$C$88,0))*节奏预期!G9)</f>
        <v>480000</v>
      </c>
      <c r="V9" s="126">
        <f>IF(节奏预期!W9="","",INDEX(装备突破!H$74:H$88,MATCH(节奏预期!W9,装备突破!$C$74:$C$88,0))*节奏预期!H9)</f>
        <v>0</v>
      </c>
      <c r="W9" s="16">
        <f t="shared" si="1"/>
        <v>480000</v>
      </c>
      <c r="Z9" s="41">
        <f>SUMPRODUCT(M9:Q9,节奏预期!D9:H9)</f>
        <v>32</v>
      </c>
      <c r="AA9" s="71">
        <v>40</v>
      </c>
      <c r="AB9" s="75">
        <f>INDEX('[1]功能-行军令'!$N$4:$R$163,AA9,1)*75*'[1]功能-行军令'!$AD$15</f>
        <v>15525</v>
      </c>
      <c r="AC9" s="75"/>
      <c r="AD9" s="75">
        <f t="shared" si="2"/>
        <v>480000</v>
      </c>
      <c r="AE9" s="75">
        <f>(AD9-AD8)*INDEX('[1]功能-付费相关'!$AQ$6:$AQ$165,$AA9,1)+AE8</f>
        <v>805.05952380952385</v>
      </c>
      <c r="AG9" s="71">
        <v>40</v>
      </c>
      <c r="AH9" s="83">
        <f t="shared" si="3"/>
        <v>15525</v>
      </c>
      <c r="AI9" s="83">
        <f t="shared" si="0"/>
        <v>805.05952380952385</v>
      </c>
      <c r="AJ9" s="84">
        <f t="shared" si="4"/>
        <v>16330.059523809523</v>
      </c>
      <c r="AK9" s="46"/>
      <c r="AL9" s="46"/>
    </row>
    <row r="10" spans="2:38" x14ac:dyDescent="0.15">
      <c r="B10" s="200"/>
      <c r="C10" s="19">
        <v>4</v>
      </c>
      <c r="D10" s="30"/>
      <c r="E10" s="30"/>
      <c r="F10" s="30"/>
      <c r="G10" s="30"/>
      <c r="H10" s="30">
        <v>180</v>
      </c>
      <c r="K10" s="25">
        <v>8</v>
      </c>
      <c r="L10" s="26">
        <v>50</v>
      </c>
      <c r="M10" s="15">
        <f>IF(节奏预期!S10="","",INDEX(装备突破!D$57:D$71,MATCH(节奏预期!S10,装备突破!$C$57:$C$71,0)))</f>
        <v>1</v>
      </c>
      <c r="N10" s="126">
        <f>IF(节奏预期!T10="","",INDEX(装备突破!E$57:E$71,MATCH(节奏预期!T10,装备突破!$C$57:$C$71,0)))</f>
        <v>1</v>
      </c>
      <c r="O10" s="126">
        <f>IF(节奏预期!U10="","",INDEX(装备突破!F$57:F$71,MATCH(节奏预期!U10,装备突破!$C$57:$C$71,0)))</f>
        <v>3</v>
      </c>
      <c r="P10" s="126">
        <f>IF(节奏预期!V10="","",INDEX(装备突破!G$57:G$71,MATCH(节奏预期!V10,装备突破!$C$57:$C$71,0)))</f>
        <v>3</v>
      </c>
      <c r="Q10" s="127">
        <f>IF(节奏预期!W10="","",INDEX(装备突破!H$57:H$71,MATCH(节奏预期!W10,装备突破!$C$57:$C$71,0)))</f>
        <v>1</v>
      </c>
      <c r="R10" s="15">
        <f>IF(节奏预期!S10="","",INDEX(装备突破!D$74:D$88,MATCH(节奏预期!S10,装备突破!$C$74:$C$88,0))*节奏预期!D10)</f>
        <v>0</v>
      </c>
      <c r="S10" s="126">
        <f>IF(节奏预期!T10="","",INDEX(装备突破!E$74:E$88,MATCH(节奏预期!T10,装备突破!$C$74:$C$88,0))*节奏预期!E10)</f>
        <v>0</v>
      </c>
      <c r="T10" s="126">
        <f>IF(节奏预期!U10="","",INDEX(装备突破!F$74:F$88,MATCH(节奏预期!U10,装备突破!$C$74:$C$88,0))*节奏预期!F10)</f>
        <v>0</v>
      </c>
      <c r="U10" s="126">
        <f>IF(节奏预期!V10="","",INDEX(装备突破!G$74:G$88,MATCH(节奏预期!V10,装备突破!$C$74:$C$88,0))*节奏预期!G10)</f>
        <v>1260000</v>
      </c>
      <c r="V10" s="126">
        <f>IF(节奏预期!W10="","",INDEX(装备突破!H$74:H$88,MATCH(节奏预期!W10,装备突破!$C$74:$C$88,0))*节奏预期!H10)</f>
        <v>0</v>
      </c>
      <c r="W10" s="16">
        <f t="shared" si="1"/>
        <v>1260000</v>
      </c>
      <c r="Z10" s="41">
        <f>SUMPRODUCT(M10:Q10,节奏预期!D10:H10)</f>
        <v>44</v>
      </c>
      <c r="AA10" s="71">
        <v>50</v>
      </c>
      <c r="AB10" s="75">
        <f>INDEX('[1]功能-行军令'!$N$4:$R$163,AA10,1)*75*'[1]功能-行军令'!$AD$15</f>
        <v>32085</v>
      </c>
      <c r="AC10" s="75"/>
      <c r="AD10" s="75">
        <f t="shared" si="2"/>
        <v>1260000</v>
      </c>
      <c r="AE10" s="75">
        <f>(AD10-AD9)*INDEX('[1]功能-付费相关'!$AQ$6:$AQ$165,$AA10,1)+AE9</f>
        <v>1888.3928571428573</v>
      </c>
      <c r="AG10" s="71">
        <v>50</v>
      </c>
      <c r="AH10" s="83">
        <f t="shared" si="3"/>
        <v>32085</v>
      </c>
      <c r="AI10" s="83">
        <f t="shared" si="0"/>
        <v>1888.3928571428573</v>
      </c>
      <c r="AJ10" s="84">
        <f t="shared" si="4"/>
        <v>33973.392857142855</v>
      </c>
      <c r="AK10" s="46"/>
      <c r="AL10" s="46"/>
    </row>
    <row r="11" spans="2:38" x14ac:dyDescent="0.15">
      <c r="B11" s="200"/>
      <c r="C11" s="19">
        <v>5</v>
      </c>
      <c r="D11" s="30"/>
      <c r="E11" s="30"/>
      <c r="F11" s="30"/>
      <c r="G11" s="30"/>
      <c r="H11" s="30">
        <v>200</v>
      </c>
      <c r="K11" s="25">
        <v>9</v>
      </c>
      <c r="L11" s="26">
        <v>60</v>
      </c>
      <c r="M11" s="15">
        <f>IF(节奏预期!S11="","",INDEX(装备突破!D$57:D$71,MATCH(节奏预期!S11,装备突破!$C$57:$C$71,0)))</f>
        <v>1</v>
      </c>
      <c r="N11" s="126">
        <f>IF(节奏预期!T11="","",INDEX(装备突破!E$57:E$71,MATCH(节奏预期!T11,装备突破!$C$57:$C$71,0)))</f>
        <v>1</v>
      </c>
      <c r="O11" s="126">
        <f>IF(节奏预期!U11="","",INDEX(装备突破!F$57:F$71,MATCH(节奏预期!U11,装备突破!$C$57:$C$71,0)))</f>
        <v>1</v>
      </c>
      <c r="P11" s="126">
        <f>IF(节奏预期!V11="","",INDEX(装备突破!G$57:G$71,MATCH(节奏预期!V11,装备突破!$C$57:$C$71,0)))</f>
        <v>4</v>
      </c>
      <c r="Q11" s="127">
        <f>IF(节奏预期!W11="","",INDEX(装备突破!H$57:H$71,MATCH(节奏预期!W11,装备突破!$C$57:$C$71,0)))</f>
        <v>2</v>
      </c>
      <c r="R11" s="15">
        <f>IF(节奏预期!S11="","",INDEX(装备突破!D$74:D$88,MATCH(节奏预期!S11,装备突破!$C$74:$C$88,0))*节奏预期!D11)</f>
        <v>0</v>
      </c>
      <c r="S11" s="126">
        <f>IF(节奏预期!T11="","",INDEX(装备突破!E$74:E$88,MATCH(节奏预期!T11,装备突破!$C$74:$C$88,0))*节奏预期!E11)</f>
        <v>0</v>
      </c>
      <c r="T11" s="126">
        <f>IF(节奏预期!U11="","",INDEX(装备突破!F$74:F$88,MATCH(节奏预期!U11,装备突破!$C$74:$C$88,0))*节奏预期!F11)</f>
        <v>0</v>
      </c>
      <c r="U11" s="126">
        <f>IF(节奏预期!V11="","",INDEX(装备突破!G$74:G$88,MATCH(节奏预期!V11,装备突破!$C$74:$C$88,0))*节奏预期!G11)</f>
        <v>2520000</v>
      </c>
      <c r="V11" s="126">
        <f>IF(节奏预期!W11="","",INDEX(装备突破!H$74:H$88,MATCH(节奏预期!W11,装备突破!$C$74:$C$88,0))*节奏预期!H11)</f>
        <v>720000</v>
      </c>
      <c r="W11" s="16">
        <f t="shared" si="1"/>
        <v>3240000</v>
      </c>
      <c r="Z11" s="41">
        <f>SUMPRODUCT(M11:Q11,节奏预期!D11:H11)</f>
        <v>60</v>
      </c>
      <c r="AA11" s="71">
        <v>60</v>
      </c>
      <c r="AB11" s="75">
        <f>INDEX('[1]功能-行军令'!$N$4:$R$163,AA11,1)*75*'[1]功能-行军令'!$AD$15</f>
        <v>65205</v>
      </c>
      <c r="AC11" s="75"/>
      <c r="AD11" s="75">
        <f t="shared" si="2"/>
        <v>3240000</v>
      </c>
      <c r="AE11" s="75">
        <f>(AD11-AD10)*INDEX('[1]功能-付费相关'!$AQ$6:$AQ$165,$AA11,1)+AE10</f>
        <v>4363.3928571428569</v>
      </c>
      <c r="AG11" s="71">
        <v>60</v>
      </c>
      <c r="AH11" s="83">
        <f t="shared" si="3"/>
        <v>65205</v>
      </c>
      <c r="AI11" s="83">
        <f t="shared" si="0"/>
        <v>4363.3928571428569</v>
      </c>
      <c r="AJ11" s="84">
        <f t="shared" si="4"/>
        <v>69568.392857142855</v>
      </c>
      <c r="AK11" s="46"/>
      <c r="AL11" s="46"/>
    </row>
    <row r="12" spans="2:38" x14ac:dyDescent="0.15">
      <c r="B12" s="200"/>
      <c r="C12" s="19">
        <v>6</v>
      </c>
      <c r="D12" s="30"/>
      <c r="E12" s="30"/>
      <c r="F12" s="30"/>
      <c r="G12" s="30"/>
      <c r="H12" s="30">
        <v>220</v>
      </c>
      <c r="K12" s="25">
        <v>10</v>
      </c>
      <c r="L12" s="26">
        <v>70</v>
      </c>
      <c r="M12" s="15">
        <f>IF(节奏预期!S12="","",INDEX(装备突破!D$57:D$71,MATCH(节奏预期!S12,装备突破!$C$57:$C$71,0)))</f>
        <v>1</v>
      </c>
      <c r="N12" s="126">
        <f>IF(节奏预期!T12="","",INDEX(装备突破!E$57:E$71,MATCH(节奏预期!T12,装备突破!$C$57:$C$71,0)))</f>
        <v>1</v>
      </c>
      <c r="O12" s="126">
        <f>IF(节奏预期!U12="","",INDEX(装备突破!F$57:F$71,MATCH(节奏预期!U12,装备突破!$C$57:$C$71,0)))</f>
        <v>1</v>
      </c>
      <c r="P12" s="126">
        <f>IF(节奏预期!V12="","",INDEX(装备突破!G$57:G$71,MATCH(节奏预期!V12,装备突破!$C$57:$C$71,0)))</f>
        <v>4</v>
      </c>
      <c r="Q12" s="127">
        <f>IF(节奏预期!W12="","",INDEX(装备突破!H$57:H$71,MATCH(节奏预期!W12,装备突破!$C$57:$C$71,0)))</f>
        <v>3</v>
      </c>
      <c r="R12" s="15">
        <f>IF(节奏预期!S12="","",INDEX(装备突破!D$74:D$88,MATCH(节奏预期!S12,装备突破!$C$74:$C$88,0))*节奏预期!D12)</f>
        <v>0</v>
      </c>
      <c r="S12" s="126">
        <f>IF(节奏预期!T12="","",INDEX(装备突破!E$74:E$88,MATCH(节奏预期!T12,装备突破!$C$74:$C$88,0))*节奏预期!E12)</f>
        <v>0</v>
      </c>
      <c r="T12" s="126">
        <f>IF(节奏预期!U12="","",INDEX(装备突破!F$74:F$88,MATCH(节奏预期!U12,装备突破!$C$74:$C$88,0))*节奏预期!F12)</f>
        <v>0</v>
      </c>
      <c r="U12" s="126">
        <f>IF(节奏预期!V12="","",INDEX(装备突破!G$74:G$88,MATCH(节奏预期!V12,装备突破!$C$74:$C$88,0))*节奏预期!G12)</f>
        <v>1260000</v>
      </c>
      <c r="V12" s="126">
        <f>IF(节奏预期!W12="","",INDEX(装备突破!H$74:H$88,MATCH(节奏预期!W12,装备突破!$C$74:$C$88,0))*节奏预期!H12)</f>
        <v>4320000</v>
      </c>
      <c r="W12" s="16">
        <f t="shared" si="1"/>
        <v>5580000</v>
      </c>
      <c r="Z12" s="41">
        <f>SUMPRODUCT(M12:Q12,节奏预期!D12:H12)</f>
        <v>60</v>
      </c>
      <c r="AA12" s="71">
        <v>70</v>
      </c>
      <c r="AB12" s="75">
        <f>INDEX('[1]功能-行军令'!$N$4:$R$163,AA12,1)*75*'[1]功能-行军令'!$AD$15</f>
        <v>131445</v>
      </c>
      <c r="AC12" s="75"/>
      <c r="AD12" s="75">
        <f t="shared" si="2"/>
        <v>5580000</v>
      </c>
      <c r="AE12" s="75">
        <f>(AD12-AD11)*INDEX('[1]功能-付费相关'!$AQ$6:$AQ$165,$AA12,1)+AE11</f>
        <v>7022.4837662337659</v>
      </c>
      <c r="AG12" s="71">
        <v>70</v>
      </c>
      <c r="AH12" s="83">
        <f t="shared" si="3"/>
        <v>131445</v>
      </c>
      <c r="AI12" s="83">
        <f t="shared" si="0"/>
        <v>7022.4837662337659</v>
      </c>
      <c r="AJ12" s="84">
        <f t="shared" si="4"/>
        <v>138467.48376623375</v>
      </c>
      <c r="AK12" s="46"/>
      <c r="AL12" s="46"/>
    </row>
    <row r="13" spans="2:38" x14ac:dyDescent="0.15">
      <c r="B13" s="200"/>
      <c r="C13" s="126">
        <v>7</v>
      </c>
      <c r="D13" s="30"/>
      <c r="E13" s="30"/>
      <c r="F13" s="30"/>
      <c r="G13" s="30"/>
      <c r="H13" s="30">
        <v>240</v>
      </c>
      <c r="K13" s="25">
        <v>11</v>
      </c>
      <c r="L13" s="26">
        <v>80</v>
      </c>
      <c r="M13" s="15">
        <f>IF(节奏预期!S13="","",INDEX(装备突破!D$57:D$71,MATCH(节奏预期!S13,装备突破!$C$57:$C$71,0)))</f>
        <v>1</v>
      </c>
      <c r="N13" s="126">
        <f>IF(节奏预期!T13="","",INDEX(装备突破!E$57:E$71,MATCH(节奏预期!T13,装备突破!$C$57:$C$71,0)))</f>
        <v>1</v>
      </c>
      <c r="O13" s="126">
        <f>IF(节奏预期!U13="","",INDEX(装备突破!F$57:F$71,MATCH(节奏预期!U13,装备突破!$C$57:$C$71,0)))</f>
        <v>1</v>
      </c>
      <c r="P13" s="126">
        <f>IF(节奏预期!V13="","",INDEX(装备突破!G$57:G$71,MATCH(节奏预期!V13,装备突破!$C$57:$C$71,0)))</f>
        <v>1</v>
      </c>
      <c r="Q13" s="127">
        <f>IF(节奏预期!W13="","",INDEX(装备突破!H$57:H$71,MATCH(节奏预期!W13,装备突破!$C$57:$C$71,0)))</f>
        <v>4</v>
      </c>
      <c r="R13" s="15">
        <f>IF(节奏预期!S13="","",INDEX(装备突破!D$74:D$88,MATCH(节奏预期!S13,装备突破!$C$74:$C$88,0))*节奏预期!D13)</f>
        <v>0</v>
      </c>
      <c r="S13" s="126">
        <f>IF(节奏预期!T13="","",INDEX(装备突破!E$74:E$88,MATCH(节奏预期!T13,装备突破!$C$74:$C$88,0))*节奏预期!E13)</f>
        <v>0</v>
      </c>
      <c r="T13" s="126">
        <f>IF(节奏预期!U13="","",INDEX(装备突破!F$74:F$88,MATCH(节奏预期!U13,装备突破!$C$74:$C$88,0))*节奏预期!F13)</f>
        <v>0</v>
      </c>
      <c r="U13" s="126">
        <f>IF(节奏预期!V13="","",INDEX(装备突破!G$74:G$88,MATCH(节奏预期!V13,装备突破!$C$74:$C$88,0))*节奏预期!G13)</f>
        <v>0</v>
      </c>
      <c r="V13" s="126">
        <f>IF(节奏预期!W13="","",INDEX(装备突破!H$74:H$88,MATCH(节奏预期!W13,装备突破!$C$74:$C$88,0))*节奏预期!H13)</f>
        <v>15120000</v>
      </c>
      <c r="W13" s="16">
        <f t="shared" si="1"/>
        <v>15120000</v>
      </c>
      <c r="Z13" s="41">
        <f>SUMPRODUCT(M13:Q13,节奏预期!D13:H13)</f>
        <v>72</v>
      </c>
      <c r="AA13" s="71">
        <v>80</v>
      </c>
      <c r="AB13" s="75">
        <f>INDEX('[1]功能-行军令'!$N$4:$R$163,AA13,1)*75*'[1]功能-行军令'!$AD$15</f>
        <v>263925</v>
      </c>
      <c r="AC13" s="75"/>
      <c r="AD13" s="75">
        <f t="shared" si="2"/>
        <v>15120000</v>
      </c>
      <c r="AE13" s="75">
        <f>(AD13-AD12)*INDEX('[1]功能-付费相关'!$AQ$6:$AQ$165,$AA13,1)+AE12</f>
        <v>16959.983766233767</v>
      </c>
      <c r="AG13" s="71">
        <v>80</v>
      </c>
      <c r="AH13" s="83">
        <f t="shared" si="3"/>
        <v>263925</v>
      </c>
      <c r="AI13" s="83">
        <f t="shared" si="0"/>
        <v>16959.983766233767</v>
      </c>
      <c r="AJ13" s="84">
        <f t="shared" si="4"/>
        <v>280884.98376623378</v>
      </c>
      <c r="AK13" s="46"/>
      <c r="AL13" s="46"/>
    </row>
    <row r="14" spans="2:38" x14ac:dyDescent="0.15">
      <c r="B14" s="200"/>
      <c r="C14" s="126">
        <v>8</v>
      </c>
      <c r="D14" s="30"/>
      <c r="E14" s="30"/>
      <c r="F14" s="30"/>
      <c r="G14" s="30"/>
      <c r="H14" s="30">
        <v>260</v>
      </c>
      <c r="K14" s="25">
        <v>12</v>
      </c>
      <c r="L14" s="129">
        <v>90</v>
      </c>
      <c r="M14" s="15">
        <f>IF(节奏预期!S14="","",INDEX(装备突破!D$57:D$71,MATCH(节奏预期!S14,装备突破!$C$57:$C$71,0)))</f>
        <v>1</v>
      </c>
      <c r="N14" s="126">
        <f>IF(节奏预期!T14="","",INDEX(装备突破!E$57:E$71,MATCH(节奏预期!T14,装备突破!$C$57:$C$71,0)))</f>
        <v>1</v>
      </c>
      <c r="O14" s="126">
        <f>IF(节奏预期!U14="","",INDEX(装备突破!F$57:F$71,MATCH(节奏预期!U14,装备突破!$C$57:$C$71,0)))</f>
        <v>1</v>
      </c>
      <c r="P14" s="126">
        <f>IF(节奏预期!V14="","",INDEX(装备突破!G$57:G$71,MATCH(节奏预期!V14,装备突破!$C$57:$C$71,0)))</f>
        <v>1</v>
      </c>
      <c r="Q14" s="127">
        <f>IF(节奏预期!W14="","",INDEX(装备突破!H$57:H$71,MATCH(节奏预期!W14,装备突破!$C$57:$C$71,0)))</f>
        <v>5</v>
      </c>
      <c r="R14" s="15">
        <f>IF(节奏预期!S14="","",INDEX(装备突破!D$74:D$88,MATCH(节奏预期!S14,装备突破!$C$74:$C$88,0))*节奏预期!D14)</f>
        <v>0</v>
      </c>
      <c r="S14" s="126">
        <f>IF(节奏预期!T14="","",INDEX(装备突破!E$74:E$88,MATCH(节奏预期!T14,装备突破!$C$74:$C$88,0))*节奏预期!E14)</f>
        <v>0</v>
      </c>
      <c r="T14" s="126">
        <f>IF(节奏预期!U14="","",INDEX(装备突破!F$74:F$88,MATCH(节奏预期!U14,装备突破!$C$74:$C$88,0))*节奏预期!F14)</f>
        <v>0</v>
      </c>
      <c r="U14" s="126">
        <f>IF(节奏预期!V14="","",INDEX(装备突破!G$74:G$88,MATCH(节奏预期!V14,装备突破!$C$74:$C$88,0))*节奏预期!G14)</f>
        <v>0</v>
      </c>
      <c r="V14" s="126">
        <f>IF(节奏预期!W14="","",INDEX(装备突破!H$74:H$88,MATCH(节奏预期!W14,装备突破!$C$74:$C$88,0))*节奏预期!H14)</f>
        <v>32400000</v>
      </c>
      <c r="W14" s="16">
        <f t="shared" si="1"/>
        <v>32400000</v>
      </c>
      <c r="X14" s="46"/>
      <c r="Z14" s="41">
        <f>SUMPRODUCT(M14:Q14,节奏预期!D14:H14)</f>
        <v>90</v>
      </c>
      <c r="AA14" s="128">
        <v>90</v>
      </c>
      <c r="AB14" s="75">
        <f>INDEX('[1]功能-行军令'!$N$4:$R$163,AA14,1)*75*'[1]功能-行军令'!$AD$15</f>
        <v>528885</v>
      </c>
      <c r="AC14" s="75"/>
      <c r="AD14" s="75">
        <f t="shared" si="2"/>
        <v>32400000</v>
      </c>
      <c r="AE14" s="75">
        <f>(AD14-AD13)*INDEX('[1]功能-付费相关'!$AQ$6:$AQ$165,$AA14,1)+AE13</f>
        <v>33575.368381618384</v>
      </c>
      <c r="AG14" s="128">
        <v>90</v>
      </c>
      <c r="AH14" s="128">
        <f t="shared" ref="AH14:AH21" si="5">AB14</f>
        <v>528885</v>
      </c>
      <c r="AI14" s="128">
        <f t="shared" ref="AI14:AI21" si="6">AE14</f>
        <v>33575.368381618384</v>
      </c>
      <c r="AJ14" s="84">
        <f t="shared" ref="AJ14:AJ21" si="7">SUM(AH14:AI14)</f>
        <v>562460.36838161841</v>
      </c>
      <c r="AK14" s="46"/>
      <c r="AL14" s="46"/>
    </row>
    <row r="15" spans="2:38" x14ac:dyDescent="0.15">
      <c r="B15" s="200"/>
      <c r="C15" s="126">
        <v>9</v>
      </c>
      <c r="D15" s="30"/>
      <c r="E15" s="30"/>
      <c r="F15" s="30"/>
      <c r="G15" s="30"/>
      <c r="H15" s="30">
        <v>280</v>
      </c>
      <c r="K15" s="25">
        <v>13</v>
      </c>
      <c r="L15" s="129">
        <v>100</v>
      </c>
      <c r="M15" s="15">
        <f>IF(节奏预期!S15="","",INDEX(装备突破!D$57:D$71,MATCH(节奏预期!S15,装备突破!$C$57:$C$71,0)))</f>
        <v>1</v>
      </c>
      <c r="N15" s="126">
        <f>IF(节奏预期!T15="","",INDEX(装备突破!E$57:E$71,MATCH(节奏预期!T15,装备突破!$C$57:$C$71,0)))</f>
        <v>1</v>
      </c>
      <c r="O15" s="126">
        <f>IF(节奏预期!U15="","",INDEX(装备突破!F$57:F$71,MATCH(节奏预期!U15,装备突破!$C$57:$C$71,0)))</f>
        <v>1</v>
      </c>
      <c r="P15" s="126">
        <f>IF(节奏预期!V15="","",INDEX(装备突破!G$57:G$71,MATCH(节奏预期!V15,装备突破!$C$57:$C$71,0)))</f>
        <v>1</v>
      </c>
      <c r="Q15" s="127">
        <f>IF(节奏预期!W15="","",INDEX(装备突破!H$57:H$71,MATCH(节奏预期!W15,装备突破!$C$57:$C$71,0)))</f>
        <v>6</v>
      </c>
      <c r="R15" s="15">
        <f>IF(节奏预期!S15="","",INDEX(装备突破!D$74:D$88,MATCH(节奏预期!S15,装备突破!$C$74:$C$88,0))*节奏预期!D15)</f>
        <v>0</v>
      </c>
      <c r="S15" s="126">
        <f>IF(节奏预期!T15="","",INDEX(装备突破!E$74:E$88,MATCH(节奏预期!T15,装备突破!$C$74:$C$88,0))*节奏预期!E15)</f>
        <v>0</v>
      </c>
      <c r="T15" s="126">
        <f>IF(节奏预期!U15="","",INDEX(装备突破!F$74:F$88,MATCH(节奏预期!U15,装备突破!$C$74:$C$88,0))*节奏预期!F15)</f>
        <v>0</v>
      </c>
      <c r="U15" s="126">
        <f>IF(节奏预期!V15="","",INDEX(装备突破!G$74:G$88,MATCH(节奏预期!V15,装备突破!$C$74:$C$88,0))*节奏预期!G15)</f>
        <v>0</v>
      </c>
      <c r="V15" s="126">
        <f>IF(节奏预期!W15="","",INDEX(装备突破!H$74:H$88,MATCH(节奏预期!W15,装备突破!$C$74:$C$88,0))*节奏预期!H15)</f>
        <v>66960000</v>
      </c>
      <c r="W15" s="16">
        <f t="shared" si="1"/>
        <v>66960000</v>
      </c>
      <c r="X15" s="46"/>
      <c r="Z15" s="41">
        <f>SUMPRODUCT(M15:Q15,节奏预期!D15:H15)</f>
        <v>108</v>
      </c>
      <c r="AA15" s="128">
        <v>100</v>
      </c>
      <c r="AB15" s="75">
        <f>INDEX('[1]功能-行军令'!$N$4:$R$163,AA15,1)*75*'[1]功能-行军令'!$AD$15</f>
        <v>1058805</v>
      </c>
      <c r="AC15" s="75"/>
      <c r="AD15" s="75">
        <f t="shared" si="2"/>
        <v>66960000</v>
      </c>
      <c r="AE15" s="75">
        <f>(AD15-AD14)*INDEX('[1]功能-付费相关'!$AQ$6:$AQ$165,$AA15,1)+AE14</f>
        <v>64432.511238761239</v>
      </c>
      <c r="AG15" s="128">
        <v>100</v>
      </c>
      <c r="AH15" s="128">
        <f t="shared" si="5"/>
        <v>1058805</v>
      </c>
      <c r="AI15" s="128">
        <f t="shared" si="6"/>
        <v>64432.511238761239</v>
      </c>
      <c r="AJ15" s="84">
        <f t="shared" si="7"/>
        <v>1123237.5112387612</v>
      </c>
      <c r="AK15" s="46"/>
      <c r="AL15" s="46"/>
    </row>
    <row r="16" spans="2:38" x14ac:dyDescent="0.15">
      <c r="B16" s="200"/>
      <c r="C16" s="126">
        <v>10</v>
      </c>
      <c r="D16" s="30"/>
      <c r="E16" s="30"/>
      <c r="F16" s="30"/>
      <c r="G16" s="30"/>
      <c r="H16" s="30">
        <v>300</v>
      </c>
      <c r="K16" s="25">
        <v>14</v>
      </c>
      <c r="L16" s="129">
        <v>110</v>
      </c>
      <c r="M16" s="15">
        <f>IF(节奏预期!S16="","",INDEX(装备突破!D$57:D$71,MATCH(节奏预期!S16,装备突破!$C$57:$C$71,0)))</f>
        <v>1</v>
      </c>
      <c r="N16" s="126">
        <f>IF(节奏预期!T16="","",INDEX(装备突破!E$57:E$71,MATCH(节奏预期!T16,装备突破!$C$57:$C$71,0)))</f>
        <v>1</v>
      </c>
      <c r="O16" s="126">
        <f>IF(节奏预期!U16="","",INDEX(装备突破!F$57:F$71,MATCH(节奏预期!U16,装备突破!$C$57:$C$71,0)))</f>
        <v>1</v>
      </c>
      <c r="P16" s="126">
        <f>IF(节奏预期!V16="","",INDEX(装备突破!G$57:G$71,MATCH(节奏预期!V16,装备突破!$C$57:$C$71,0)))</f>
        <v>1</v>
      </c>
      <c r="Q16" s="127">
        <f>IF(节奏预期!W16="","",INDEX(装备突破!H$57:H$71,MATCH(节奏预期!W16,装备突破!$C$57:$C$71,0)))</f>
        <v>7</v>
      </c>
      <c r="R16" s="15">
        <f>IF(节奏预期!S16="","",INDEX(装备突破!D$74:D$88,MATCH(节奏预期!S16,装备突破!$C$74:$C$88,0))*节奏预期!D16)</f>
        <v>0</v>
      </c>
      <c r="S16" s="126">
        <f>IF(节奏预期!T16="","",INDEX(装备突破!E$74:E$88,MATCH(节奏预期!T16,装备突破!$C$74:$C$88,0))*节奏预期!E16)</f>
        <v>0</v>
      </c>
      <c r="T16" s="126">
        <f>IF(节奏预期!U16="","",INDEX(装备突破!F$74:F$88,MATCH(节奏预期!U16,装备突破!$C$74:$C$88,0))*节奏预期!F16)</f>
        <v>0</v>
      </c>
      <c r="U16" s="126">
        <f>IF(节奏预期!V16="","",INDEX(装备突破!G$74:G$88,MATCH(节奏预期!V16,装备突破!$C$74:$C$88,0))*节奏预期!G16)</f>
        <v>0</v>
      </c>
      <c r="V16" s="126">
        <f>IF(节奏预期!W16="","",INDEX(装备突破!H$74:H$88,MATCH(节奏预期!W16,装备突破!$C$74:$C$88,0))*节奏预期!H16)</f>
        <v>136080000</v>
      </c>
      <c r="W16" s="16">
        <f t="shared" si="1"/>
        <v>136080000</v>
      </c>
      <c r="X16" s="46"/>
      <c r="Z16" s="41">
        <f>SUMPRODUCT(M16:Q16,节奏预期!D16:H16)</f>
        <v>126</v>
      </c>
      <c r="AA16" s="128">
        <v>110</v>
      </c>
      <c r="AB16" s="75">
        <f>INDEX('[1]功能-行军令'!$N$4:$R$163,AA16,1)*75*'[1]功能-行军令'!$AD$15</f>
        <v>2118645</v>
      </c>
      <c r="AC16" s="75"/>
      <c r="AD16" s="75">
        <f t="shared" si="2"/>
        <v>136080000</v>
      </c>
      <c r="AE16" s="75">
        <f>(AD16-AD15)*INDEX('[1]功能-付费相关'!$AQ$6:$AQ$165,$AA16,1)+AE15</f>
        <v>122032.51123876125</v>
      </c>
      <c r="AG16" s="128">
        <v>110</v>
      </c>
      <c r="AH16" s="128">
        <f t="shared" si="5"/>
        <v>2118645</v>
      </c>
      <c r="AI16" s="128">
        <f t="shared" si="6"/>
        <v>122032.51123876125</v>
      </c>
      <c r="AJ16" s="84">
        <f t="shared" si="7"/>
        <v>2240677.5112387612</v>
      </c>
    </row>
    <row r="17" spans="2:38" x14ac:dyDescent="0.15">
      <c r="B17" s="200"/>
      <c r="C17" s="126">
        <v>11</v>
      </c>
      <c r="D17" s="30"/>
      <c r="E17" s="30"/>
      <c r="F17" s="30"/>
      <c r="G17" s="30"/>
      <c r="H17" s="30">
        <v>320</v>
      </c>
      <c r="K17" s="25">
        <v>15</v>
      </c>
      <c r="L17" s="129">
        <v>120</v>
      </c>
      <c r="M17" s="15">
        <f>IF(节奏预期!S17="","",INDEX(装备突破!D$57:D$71,MATCH(节奏预期!S17,装备突破!$C$57:$C$71,0)))</f>
        <v>1</v>
      </c>
      <c r="N17" s="126">
        <f>IF(节奏预期!T17="","",INDEX(装备突破!E$57:E$71,MATCH(节奏预期!T17,装备突破!$C$57:$C$71,0)))</f>
        <v>1</v>
      </c>
      <c r="O17" s="126">
        <f>IF(节奏预期!U17="","",INDEX(装备突破!F$57:F$71,MATCH(节奏预期!U17,装备突破!$C$57:$C$71,0)))</f>
        <v>1</v>
      </c>
      <c r="P17" s="126">
        <f>IF(节奏预期!V17="","",INDEX(装备突破!G$57:G$71,MATCH(节奏预期!V17,装备突破!$C$57:$C$71,0)))</f>
        <v>1</v>
      </c>
      <c r="Q17" s="127">
        <f>IF(节奏预期!W17="","",INDEX(装备突破!H$57:H$71,MATCH(节奏预期!W17,装备突破!$C$57:$C$71,0)))</f>
        <v>8</v>
      </c>
      <c r="R17" s="15">
        <f>IF(节奏预期!S17="","",INDEX(装备突破!D$74:D$88,MATCH(节奏预期!S17,装备突破!$C$74:$C$88,0))*节奏预期!D17)</f>
        <v>0</v>
      </c>
      <c r="S17" s="126">
        <f>IF(节奏预期!T17="","",INDEX(装备突破!E$74:E$88,MATCH(节奏预期!T17,装备突破!$C$74:$C$88,0))*节奏预期!E17)</f>
        <v>0</v>
      </c>
      <c r="T17" s="126">
        <f>IF(节奏预期!U17="","",INDEX(装备突破!F$74:F$88,MATCH(节奏预期!U17,装备突破!$C$74:$C$88,0))*节奏预期!F17)</f>
        <v>0</v>
      </c>
      <c r="U17" s="126">
        <f>IF(节奏预期!V17="","",INDEX(装备突破!G$74:G$88,MATCH(节奏预期!V17,装备突破!$C$74:$C$88,0))*节奏预期!G17)</f>
        <v>0</v>
      </c>
      <c r="V17" s="126">
        <f>IF(节奏预期!W17="","",INDEX(装备突破!H$74:H$88,MATCH(节奏预期!W17,装备突破!$C$74:$C$88,0))*节奏预期!H17)</f>
        <v>274320000</v>
      </c>
      <c r="W17" s="16">
        <f t="shared" si="1"/>
        <v>274320000</v>
      </c>
      <c r="X17" s="46"/>
      <c r="Z17" s="41">
        <f>SUMPRODUCT(M17:Q17,节奏预期!D17:H17)</f>
        <v>144</v>
      </c>
      <c r="AA17" s="128">
        <v>120</v>
      </c>
      <c r="AB17" s="75">
        <f>INDEX('[1]功能-行军令'!$N$4:$R$163,AA17,1)*75*'[1]功能-行军令'!$AD$15</f>
        <v>4238325</v>
      </c>
      <c r="AC17" s="75"/>
      <c r="AD17" s="75">
        <f t="shared" si="2"/>
        <v>274320000</v>
      </c>
      <c r="AE17" s="75">
        <f>(AD17-AD16)*INDEX('[1]功能-付费相关'!$AQ$6:$AQ$165,$AA17,1)+AE16</f>
        <v>230032.51123876125</v>
      </c>
      <c r="AG17" s="128">
        <v>120</v>
      </c>
      <c r="AH17" s="128">
        <f t="shared" si="5"/>
        <v>4238325</v>
      </c>
      <c r="AI17" s="128">
        <f t="shared" si="6"/>
        <v>230032.51123876125</v>
      </c>
      <c r="AJ17" s="84">
        <f t="shared" si="7"/>
        <v>4468357.5112387612</v>
      </c>
    </row>
    <row r="18" spans="2:38" x14ac:dyDescent="0.15">
      <c r="B18" s="200"/>
      <c r="C18" s="126"/>
      <c r="D18" s="30"/>
      <c r="E18" s="30"/>
      <c r="F18" s="30"/>
      <c r="G18" s="30"/>
      <c r="H18" s="30"/>
      <c r="K18" s="25">
        <v>16</v>
      </c>
      <c r="L18" s="129">
        <v>130</v>
      </c>
      <c r="M18" s="15">
        <f>IF(节奏预期!S18="","",INDEX(装备突破!D$57:D$71,MATCH(节奏预期!S18,装备突破!$C$57:$C$71,0)))</f>
        <v>1</v>
      </c>
      <c r="N18" s="126">
        <f>IF(节奏预期!T18="","",INDEX(装备突破!E$57:E$71,MATCH(节奏预期!T18,装备突破!$C$57:$C$71,0)))</f>
        <v>1</v>
      </c>
      <c r="O18" s="126">
        <f>IF(节奏预期!U18="","",INDEX(装备突破!F$57:F$71,MATCH(节奏预期!U18,装备突破!$C$57:$C$71,0)))</f>
        <v>1</v>
      </c>
      <c r="P18" s="126">
        <f>IF(节奏预期!V18="","",INDEX(装备突破!G$57:G$71,MATCH(节奏预期!V18,装备突破!$C$57:$C$71,0)))</f>
        <v>1</v>
      </c>
      <c r="Q18" s="127">
        <f>IF(节奏预期!W18="","",INDEX(装备突破!H$57:H$71,MATCH(节奏预期!W18,装备突破!$C$57:$C$71,0)))</f>
        <v>9</v>
      </c>
      <c r="R18" s="15">
        <f>IF(节奏预期!S18="","",INDEX(装备突破!D$74:D$88,MATCH(节奏预期!S18,装备突破!$C$74:$C$88,0))*节奏预期!D18)</f>
        <v>0</v>
      </c>
      <c r="S18" s="126">
        <f>IF(节奏预期!T18="","",INDEX(装备突破!E$74:E$88,MATCH(节奏预期!T18,装备突破!$C$74:$C$88,0))*节奏预期!E18)</f>
        <v>0</v>
      </c>
      <c r="T18" s="126">
        <f>IF(节奏预期!U18="","",INDEX(装备突破!F$74:F$88,MATCH(节奏预期!U18,装备突破!$C$74:$C$88,0))*节奏预期!F18)</f>
        <v>0</v>
      </c>
      <c r="U18" s="126">
        <f>IF(节奏预期!V18="","",INDEX(装备突破!G$74:G$88,MATCH(节奏预期!V18,装备突破!$C$74:$C$88,0))*节奏预期!G18)</f>
        <v>0</v>
      </c>
      <c r="V18" s="126">
        <f>IF(节奏预期!W18="","",INDEX(装备突破!H$74:H$88,MATCH(节奏预期!W18,装备突破!$C$74:$C$88,0))*节奏预期!H18)</f>
        <v>550800000</v>
      </c>
      <c r="W18" s="16">
        <f t="shared" si="1"/>
        <v>550800000</v>
      </c>
      <c r="X18" s="46"/>
      <c r="Z18" s="41">
        <f>SUMPRODUCT(M18:Q18,节奏预期!D18:H18)</f>
        <v>162</v>
      </c>
      <c r="AA18" s="128">
        <v>130</v>
      </c>
      <c r="AB18" s="75">
        <f>INDEX('[1]功能-行军令'!$N$4:$R$163,AA18,1)*75*'[1]功能-行军令'!$AD$15</f>
        <v>8477685</v>
      </c>
      <c r="AC18" s="75"/>
      <c r="AD18" s="75">
        <f t="shared" si="2"/>
        <v>550800000</v>
      </c>
      <c r="AE18" s="75">
        <f>(AD18-AD17)*INDEX('[1]功能-付费相关'!$AQ$6:$AQ$165,$AA18,1)+AE17</f>
        <v>433326.62888582004</v>
      </c>
      <c r="AG18" s="128">
        <v>130</v>
      </c>
      <c r="AH18" s="128">
        <f t="shared" si="5"/>
        <v>8477685</v>
      </c>
      <c r="AI18" s="128">
        <f t="shared" si="6"/>
        <v>433326.62888582004</v>
      </c>
      <c r="AJ18" s="84">
        <f t="shared" si="7"/>
        <v>8911011.6288858205</v>
      </c>
    </row>
    <row r="19" spans="2:38" x14ac:dyDescent="0.15">
      <c r="B19" s="200"/>
      <c r="C19" s="126"/>
      <c r="D19" s="30"/>
      <c r="E19" s="30"/>
      <c r="F19" s="30"/>
      <c r="G19" s="30"/>
      <c r="H19" s="30"/>
      <c r="K19" s="25">
        <v>17</v>
      </c>
      <c r="L19" s="129">
        <v>140</v>
      </c>
      <c r="M19" s="15">
        <f>IF(节奏预期!S19="","",INDEX(装备突破!D$57:D$71,MATCH(节奏预期!S19,装备突破!$C$57:$C$71,0)))</f>
        <v>1</v>
      </c>
      <c r="N19" s="126">
        <f>IF(节奏预期!T19="","",INDEX(装备突破!E$57:E$71,MATCH(节奏预期!T19,装备突破!$C$57:$C$71,0)))</f>
        <v>1</v>
      </c>
      <c r="O19" s="126">
        <f>IF(节奏预期!U19="","",INDEX(装备突破!F$57:F$71,MATCH(节奏预期!U19,装备突破!$C$57:$C$71,0)))</f>
        <v>1</v>
      </c>
      <c r="P19" s="126">
        <f>IF(节奏预期!V19="","",INDEX(装备突破!G$57:G$71,MATCH(节奏预期!V19,装备突破!$C$57:$C$71,0)))</f>
        <v>1</v>
      </c>
      <c r="Q19" s="127">
        <f>IF(节奏预期!W19="","",INDEX(装备突破!H$57:H$71,MATCH(节奏预期!W19,装备突破!$C$57:$C$71,0)))</f>
        <v>10</v>
      </c>
      <c r="R19" s="15">
        <f>IF(节奏预期!S19="","",INDEX(装备突破!D$74:D$88,MATCH(节奏预期!S19,装备突破!$C$74:$C$88,0))*节奏预期!D19)</f>
        <v>0</v>
      </c>
      <c r="S19" s="126">
        <f>IF(节奏预期!T19="","",INDEX(装备突破!E$74:E$88,MATCH(节奏预期!T19,装备突破!$C$74:$C$88,0))*节奏预期!E19)</f>
        <v>0</v>
      </c>
      <c r="T19" s="126">
        <f>IF(节奏预期!U19="","",INDEX(装备突破!F$74:F$88,MATCH(节奏预期!U19,装备突破!$C$74:$C$88,0))*节奏预期!F19)</f>
        <v>0</v>
      </c>
      <c r="U19" s="126">
        <f>IF(节奏预期!V19="","",INDEX(装备突破!G$74:G$88,MATCH(节奏预期!V19,装备突破!$C$74:$C$88,0))*节奏预期!G19)</f>
        <v>0</v>
      </c>
      <c r="V19" s="126">
        <f>IF(节奏预期!W19="","",INDEX(装备突破!H$74:H$88,MATCH(节奏预期!W19,装备突破!$C$74:$C$88,0))*节奏预期!H19)</f>
        <v>1103760000</v>
      </c>
      <c r="W19" s="16">
        <f t="shared" si="1"/>
        <v>1103760000</v>
      </c>
      <c r="X19" s="46"/>
      <c r="Z19" s="41">
        <f>SUMPRODUCT(M19:Q19,节奏预期!D19:H19)</f>
        <v>180</v>
      </c>
      <c r="AA19" s="128">
        <v>140</v>
      </c>
      <c r="AB19" s="75">
        <f>INDEX('[1]功能-行军令'!$N$4:$R$163,AA19,1)*75*'[1]功能-行军令'!$AD$15</f>
        <v>16956405</v>
      </c>
      <c r="AC19" s="75"/>
      <c r="AD19" s="75">
        <f t="shared" si="2"/>
        <v>1103760000</v>
      </c>
      <c r="AE19" s="75">
        <f>(AD19-AD18)*INDEX('[1]功能-付费相关'!$AQ$6:$AQ$165,$AA19,1)+AE18</f>
        <v>817326.62888582004</v>
      </c>
      <c r="AG19" s="128">
        <v>140</v>
      </c>
      <c r="AH19" s="128">
        <f t="shared" si="5"/>
        <v>16956405</v>
      </c>
      <c r="AI19" s="128">
        <f t="shared" si="6"/>
        <v>817326.62888582004</v>
      </c>
      <c r="AJ19" s="84">
        <f t="shared" si="7"/>
        <v>17773731.628885821</v>
      </c>
    </row>
    <row r="20" spans="2:38" x14ac:dyDescent="0.15">
      <c r="B20" s="201"/>
      <c r="C20" s="126"/>
      <c r="D20" s="30"/>
      <c r="E20" s="30"/>
      <c r="F20" s="30"/>
      <c r="G20" s="30"/>
      <c r="H20" s="30"/>
      <c r="K20" s="25">
        <v>18</v>
      </c>
      <c r="L20" s="129">
        <v>150</v>
      </c>
      <c r="M20" s="15">
        <f>IF(节奏预期!S20="","",INDEX(装备突破!D$57:D$71,MATCH(节奏预期!S20,装备突破!$C$57:$C$71,0)))</f>
        <v>1</v>
      </c>
      <c r="N20" s="126">
        <f>IF(节奏预期!T20="","",INDEX(装备突破!E$57:E$71,MATCH(节奏预期!T20,装备突破!$C$57:$C$71,0)))</f>
        <v>1</v>
      </c>
      <c r="O20" s="126">
        <f>IF(节奏预期!U20="","",INDEX(装备突破!F$57:F$71,MATCH(节奏预期!U20,装备突破!$C$57:$C$71,0)))</f>
        <v>1</v>
      </c>
      <c r="P20" s="126">
        <f>IF(节奏预期!V20="","",INDEX(装备突破!G$57:G$71,MATCH(节奏预期!V20,装备突破!$C$57:$C$71,0)))</f>
        <v>1</v>
      </c>
      <c r="Q20" s="127">
        <f>IF(节奏预期!W20="","",INDEX(装备突破!H$57:H$71,MATCH(节奏预期!W20,装备突破!$C$57:$C$71,0)))</f>
        <v>11</v>
      </c>
      <c r="R20" s="15">
        <f>IF(节奏预期!S20="","",INDEX(装备突破!D$74:D$88,MATCH(节奏预期!S20,装备突破!$C$74:$C$88,0))*节奏预期!D20)</f>
        <v>0</v>
      </c>
      <c r="S20" s="126">
        <f>IF(节奏预期!T20="","",INDEX(装备突破!E$74:E$88,MATCH(节奏预期!T20,装备突破!$C$74:$C$88,0))*节奏预期!E20)</f>
        <v>0</v>
      </c>
      <c r="T20" s="126">
        <f>IF(节奏预期!U20="","",INDEX(装备突破!F$74:F$88,MATCH(节奏预期!U20,装备突破!$C$74:$C$88,0))*节奏预期!F20)</f>
        <v>0</v>
      </c>
      <c r="U20" s="126">
        <f>IF(节奏预期!V20="","",INDEX(装备突破!G$74:G$88,MATCH(节奏预期!V20,装备突破!$C$74:$C$88,0))*节奏预期!G20)</f>
        <v>0</v>
      </c>
      <c r="V20" s="126">
        <f>IF(节奏预期!W20="","",INDEX(装备突破!H$74:H$88,MATCH(节奏预期!W20,装备突破!$C$74:$C$88,0))*节奏预期!H20)</f>
        <v>2209680000</v>
      </c>
      <c r="W20" s="16">
        <f t="shared" si="1"/>
        <v>2209680000</v>
      </c>
      <c r="X20" s="46"/>
      <c r="Z20" s="41">
        <f>SUMPRODUCT(M20:Q20,节奏预期!D20:H20)</f>
        <v>198</v>
      </c>
      <c r="AA20" s="128">
        <v>150</v>
      </c>
      <c r="AB20" s="75">
        <f>INDEX('[1]功能-行军令'!$N$4:$R$163,AA20,1)*75*'[1]功能-行军令'!$AD$15</f>
        <v>33913845</v>
      </c>
      <c r="AC20" s="75"/>
      <c r="AD20" s="75">
        <f t="shared" si="2"/>
        <v>2209680000</v>
      </c>
      <c r="AE20" s="75">
        <f>(AD20-AD19)*INDEX('[1]功能-付费相关'!$AQ$6:$AQ$165,$AA20,1)+AE19</f>
        <v>1544905.5762542412</v>
      </c>
      <c r="AG20" s="128">
        <v>150</v>
      </c>
      <c r="AH20" s="128">
        <f t="shared" si="5"/>
        <v>33913845</v>
      </c>
      <c r="AI20" s="128">
        <f t="shared" si="6"/>
        <v>1544905.5762542412</v>
      </c>
      <c r="AJ20" s="84">
        <f t="shared" si="7"/>
        <v>35458750.576254241</v>
      </c>
    </row>
    <row r="21" spans="2:38" x14ac:dyDescent="0.15">
      <c r="K21" s="25">
        <v>19</v>
      </c>
      <c r="L21" s="129">
        <v>160</v>
      </c>
      <c r="M21" s="15">
        <f>IF(节奏预期!S21="","",INDEX(装备突破!D$57:D$71,MATCH(节奏预期!S21,装备突破!$C$57:$C$71,0)))</f>
        <v>1</v>
      </c>
      <c r="N21" s="126">
        <f>IF(节奏预期!T21="","",INDEX(装备突破!E$57:E$71,MATCH(节奏预期!T21,装备突破!$C$57:$C$71,0)))</f>
        <v>1</v>
      </c>
      <c r="O21" s="126">
        <f>IF(节奏预期!U21="","",INDEX(装备突破!F$57:F$71,MATCH(节奏预期!U21,装备突破!$C$57:$C$71,0)))</f>
        <v>1</v>
      </c>
      <c r="P21" s="126">
        <f>IF(节奏预期!V21="","",INDEX(装备突破!G$57:G$71,MATCH(节奏预期!V21,装备突破!$C$57:$C$71,0)))</f>
        <v>1</v>
      </c>
      <c r="Q21" s="127">
        <f>IF(节奏预期!W21="","",INDEX(装备突破!H$57:H$71,MATCH(节奏预期!W21,装备突破!$C$57:$C$71,0)))</f>
        <v>12</v>
      </c>
      <c r="R21" s="15">
        <f>IF(节奏预期!S21="","",INDEX(装备突破!D$74:D$88,MATCH(节奏预期!S21,装备突破!$C$74:$C$88,0))*节奏预期!D21)</f>
        <v>0</v>
      </c>
      <c r="S21" s="126">
        <f>IF(节奏预期!T21="","",INDEX(装备突破!E$74:E$88,MATCH(节奏预期!T21,装备突破!$C$74:$C$88,0))*节奏预期!E21)</f>
        <v>0</v>
      </c>
      <c r="T21" s="126">
        <f>IF(节奏预期!U21="","",INDEX(装备突破!F$74:F$88,MATCH(节奏预期!U21,装备突破!$C$74:$C$88,0))*节奏预期!F21)</f>
        <v>0</v>
      </c>
      <c r="U21" s="126">
        <f>IF(节奏预期!V21="","",INDEX(装备突破!G$74:G$88,MATCH(节奏预期!V21,装备突破!$C$74:$C$88,0))*节奏预期!G21)</f>
        <v>0</v>
      </c>
      <c r="V21" s="126">
        <f>IF(节奏预期!W21="","",INDEX(装备突破!H$74:H$88,MATCH(节奏预期!W21,装备突破!$C$74:$C$88,0))*节奏预期!H21)</f>
        <v>4421520000</v>
      </c>
      <c r="W21" s="16">
        <f t="shared" si="1"/>
        <v>4421520000</v>
      </c>
      <c r="X21" s="46"/>
      <c r="Z21" s="41">
        <f>SUMPRODUCT(M21:Q21,节奏预期!D21:H21)</f>
        <v>216</v>
      </c>
      <c r="AA21" s="128">
        <v>160</v>
      </c>
      <c r="AB21" s="75">
        <f>INDEX('[1]功能-行军令'!$N$4:$R$163,AA21,1)*75*'[1]功能-行军令'!$AD$15</f>
        <v>67828725</v>
      </c>
      <c r="AC21" s="75"/>
      <c r="AD21" s="75">
        <f t="shared" si="2"/>
        <v>4421520000</v>
      </c>
      <c r="AE21" s="75">
        <f>(AD21-AD20)*INDEX('[1]功能-付费相关'!$AQ$6:$AQ$165,$AA21,1)+AE20</f>
        <v>2927305.5762542412</v>
      </c>
      <c r="AG21" s="128">
        <v>160</v>
      </c>
      <c r="AH21" s="128">
        <f t="shared" si="5"/>
        <v>67828725</v>
      </c>
      <c r="AI21" s="128">
        <f t="shared" si="6"/>
        <v>2927305.5762542412</v>
      </c>
      <c r="AJ21" s="84">
        <f t="shared" si="7"/>
        <v>70756030.576254249</v>
      </c>
    </row>
    <row r="22" spans="2:38" x14ac:dyDescent="0.15">
      <c r="B22" s="199" t="s">
        <v>175</v>
      </c>
      <c r="C22" s="8" t="s">
        <v>147</v>
      </c>
      <c r="D22" s="8" t="s">
        <v>140</v>
      </c>
      <c r="E22" s="8" t="s">
        <v>141</v>
      </c>
      <c r="F22" s="8" t="s">
        <v>142</v>
      </c>
      <c r="G22" s="8" t="s">
        <v>143</v>
      </c>
      <c r="H22" s="8" t="s">
        <v>144</v>
      </c>
      <c r="K22" s="25">
        <v>20</v>
      </c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46"/>
    </row>
    <row r="23" spans="2:38" x14ac:dyDescent="0.15">
      <c r="B23" s="200"/>
      <c r="C23" s="8">
        <v>0</v>
      </c>
      <c r="D23" s="8">
        <v>1</v>
      </c>
      <c r="E23" s="42">
        <v>1</v>
      </c>
      <c r="F23" s="42">
        <v>1</v>
      </c>
      <c r="G23" s="42">
        <v>1</v>
      </c>
      <c r="H23" s="42">
        <v>1</v>
      </c>
      <c r="K23" s="25">
        <v>21</v>
      </c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46"/>
    </row>
    <row r="24" spans="2:38" x14ac:dyDescent="0.15">
      <c r="B24" s="200"/>
      <c r="C24" s="8">
        <v>1</v>
      </c>
      <c r="D24" s="8"/>
      <c r="E24" s="8">
        <v>1</v>
      </c>
      <c r="F24" s="8">
        <v>1</v>
      </c>
      <c r="G24" s="8">
        <v>1</v>
      </c>
      <c r="H24" s="8">
        <v>1</v>
      </c>
      <c r="K24" s="25">
        <v>22</v>
      </c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46"/>
    </row>
    <row r="25" spans="2:38" x14ac:dyDescent="0.15">
      <c r="B25" s="200"/>
      <c r="C25" s="8">
        <v>2</v>
      </c>
      <c r="D25" s="8"/>
      <c r="E25" s="8"/>
      <c r="F25" s="8">
        <v>1</v>
      </c>
      <c r="G25" s="8">
        <v>1</v>
      </c>
      <c r="H25" s="8">
        <v>1</v>
      </c>
      <c r="K25" s="25">
        <v>23</v>
      </c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46"/>
    </row>
    <row r="26" spans="2:38" x14ac:dyDescent="0.15">
      <c r="B26" s="200"/>
      <c r="C26" s="8">
        <v>3</v>
      </c>
      <c r="D26" s="8"/>
      <c r="E26" s="8"/>
      <c r="F26" s="8"/>
      <c r="G26" s="8">
        <v>1</v>
      </c>
      <c r="H26" s="8">
        <v>1</v>
      </c>
      <c r="K26" s="25">
        <v>24</v>
      </c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46"/>
    </row>
    <row r="27" spans="2:38" x14ac:dyDescent="0.15">
      <c r="B27" s="200"/>
      <c r="C27" s="8">
        <v>4</v>
      </c>
      <c r="D27" s="8"/>
      <c r="E27" s="8"/>
      <c r="F27" s="8"/>
      <c r="G27" s="8"/>
      <c r="H27" s="126">
        <v>1</v>
      </c>
      <c r="K27" s="25">
        <v>25</v>
      </c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46"/>
    </row>
    <row r="28" spans="2:38" x14ac:dyDescent="0.15">
      <c r="B28" s="200"/>
      <c r="C28" s="8">
        <v>5</v>
      </c>
      <c r="D28" s="8"/>
      <c r="E28" s="8"/>
      <c r="F28" s="8"/>
      <c r="G28" s="8"/>
      <c r="H28" s="126">
        <v>1</v>
      </c>
      <c r="K28" s="25">
        <v>26</v>
      </c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AK28" s="46"/>
    </row>
    <row r="29" spans="2:38" x14ac:dyDescent="0.15">
      <c r="B29" s="200"/>
      <c r="C29" s="8">
        <v>6</v>
      </c>
      <c r="D29" s="8"/>
      <c r="E29" s="8"/>
      <c r="F29" s="8"/>
      <c r="G29" s="8"/>
      <c r="H29" s="126">
        <v>1</v>
      </c>
      <c r="K29" s="25">
        <v>27</v>
      </c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AA29" s="36"/>
      <c r="AG29" s="36"/>
      <c r="AH29" s="36"/>
      <c r="AI29" s="36"/>
      <c r="AK29" s="46"/>
      <c r="AL29" s="46"/>
    </row>
    <row r="30" spans="2:38" x14ac:dyDescent="0.15">
      <c r="B30" s="200"/>
      <c r="C30" s="126">
        <v>7</v>
      </c>
      <c r="D30" s="126"/>
      <c r="E30" s="126"/>
      <c r="F30" s="126"/>
      <c r="G30" s="126"/>
      <c r="H30" s="126">
        <v>1</v>
      </c>
      <c r="K30" s="25">
        <v>28</v>
      </c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AA30" s="36"/>
      <c r="AG30" s="36"/>
      <c r="AH30" s="36"/>
      <c r="AI30" s="36"/>
      <c r="AK30" s="46"/>
      <c r="AL30" s="46"/>
    </row>
    <row r="31" spans="2:38" x14ac:dyDescent="0.15">
      <c r="B31" s="200"/>
      <c r="C31" s="126">
        <v>8</v>
      </c>
      <c r="D31" s="126"/>
      <c r="E31" s="126"/>
      <c r="F31" s="126"/>
      <c r="G31" s="126"/>
      <c r="H31" s="126">
        <v>1</v>
      </c>
      <c r="K31" s="25">
        <v>29</v>
      </c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AK31" s="46"/>
      <c r="AL31" s="46"/>
    </row>
    <row r="32" spans="2:38" x14ac:dyDescent="0.15">
      <c r="B32" s="200"/>
      <c r="C32" s="126">
        <v>9</v>
      </c>
      <c r="D32" s="126"/>
      <c r="E32" s="126"/>
      <c r="F32" s="126"/>
      <c r="G32" s="126"/>
      <c r="H32" s="126">
        <v>1</v>
      </c>
      <c r="K32" s="25">
        <v>30</v>
      </c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46"/>
      <c r="AK32" s="46"/>
      <c r="AL32" s="46"/>
    </row>
    <row r="33" spans="2:38" x14ac:dyDescent="0.15">
      <c r="B33" s="200"/>
      <c r="C33" s="126">
        <v>10</v>
      </c>
      <c r="D33" s="126"/>
      <c r="E33" s="126"/>
      <c r="F33" s="126"/>
      <c r="G33" s="126"/>
      <c r="H33" s="126">
        <v>1</v>
      </c>
      <c r="K33" s="25">
        <v>31</v>
      </c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46"/>
      <c r="AK33" s="46"/>
      <c r="AL33" s="46"/>
    </row>
    <row r="34" spans="2:38" x14ac:dyDescent="0.15">
      <c r="B34" s="200"/>
      <c r="C34" s="126">
        <v>11</v>
      </c>
      <c r="D34" s="126"/>
      <c r="E34" s="126"/>
      <c r="F34" s="126"/>
      <c r="G34" s="126"/>
      <c r="H34" s="126">
        <v>1</v>
      </c>
      <c r="K34" s="25">
        <v>32</v>
      </c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46"/>
      <c r="AK34" s="46"/>
      <c r="AL34" s="46"/>
    </row>
    <row r="35" spans="2:38" x14ac:dyDescent="0.15">
      <c r="B35" s="200"/>
      <c r="C35" s="126"/>
      <c r="D35" s="126"/>
      <c r="E35" s="126"/>
      <c r="F35" s="126"/>
      <c r="G35" s="126"/>
      <c r="H35" s="126"/>
      <c r="K35" s="25">
        <v>33</v>
      </c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46"/>
      <c r="AK35" s="46"/>
      <c r="AL35" s="46"/>
    </row>
    <row r="36" spans="2:38" x14ac:dyDescent="0.15">
      <c r="B36" s="200"/>
      <c r="C36" s="126"/>
      <c r="D36" s="126"/>
      <c r="E36" s="126"/>
      <c r="F36" s="126"/>
      <c r="G36" s="126"/>
      <c r="H36" s="126"/>
      <c r="K36" s="25">
        <v>34</v>
      </c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46"/>
      <c r="AK36" s="46"/>
      <c r="AL36" s="46"/>
    </row>
    <row r="37" spans="2:38" x14ac:dyDescent="0.15">
      <c r="B37" s="201"/>
      <c r="C37" s="126"/>
      <c r="D37" s="126"/>
      <c r="E37" s="126"/>
      <c r="F37" s="126"/>
      <c r="G37" s="126"/>
      <c r="H37" s="126"/>
      <c r="K37" s="25">
        <v>35</v>
      </c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46"/>
      <c r="AK37" s="46"/>
      <c r="AL37" s="46"/>
    </row>
    <row r="38" spans="2:38" ht="12" x14ac:dyDescent="0.15">
      <c r="B38" s="183" t="s">
        <v>145</v>
      </c>
      <c r="C38" s="183"/>
      <c r="D38" s="5">
        <v>0</v>
      </c>
      <c r="E38" s="5">
        <v>1</v>
      </c>
      <c r="F38" s="5">
        <v>2</v>
      </c>
      <c r="G38" s="5">
        <v>3</v>
      </c>
      <c r="H38" s="11">
        <v>5</v>
      </c>
      <c r="K38" s="25">
        <v>36</v>
      </c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46"/>
      <c r="AK38" s="46"/>
      <c r="AL38" s="46"/>
    </row>
    <row r="39" spans="2:38" x14ac:dyDescent="0.15">
      <c r="B39" s="199" t="s">
        <v>146</v>
      </c>
      <c r="C39" s="8" t="s">
        <v>147</v>
      </c>
      <c r="D39" s="8" t="s">
        <v>140</v>
      </c>
      <c r="E39" s="8" t="s">
        <v>141</v>
      </c>
      <c r="F39" s="8" t="s">
        <v>142</v>
      </c>
      <c r="G39" s="8" t="s">
        <v>143</v>
      </c>
      <c r="H39" s="8" t="s">
        <v>144</v>
      </c>
      <c r="K39" s="25">
        <v>37</v>
      </c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46"/>
    </row>
    <row r="40" spans="2:38" x14ac:dyDescent="0.15">
      <c r="B40" s="200"/>
      <c r="C40" s="8">
        <v>0</v>
      </c>
      <c r="D40" s="8">
        <v>0</v>
      </c>
      <c r="E40" s="8">
        <v>0</v>
      </c>
      <c r="F40" s="8">
        <v>0</v>
      </c>
      <c r="G40" s="8">
        <v>0</v>
      </c>
      <c r="H40" s="8">
        <v>0</v>
      </c>
      <c r="K40" s="25">
        <v>38</v>
      </c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46"/>
    </row>
    <row r="41" spans="2:38" x14ac:dyDescent="0.15">
      <c r="B41" s="200"/>
      <c r="C41" s="8">
        <v>1</v>
      </c>
      <c r="D41" s="8"/>
      <c r="E41" s="23">
        <v>5000</v>
      </c>
      <c r="F41" s="123">
        <f>E41*2</f>
        <v>10000</v>
      </c>
      <c r="G41" s="123">
        <f>F41*3</f>
        <v>30000</v>
      </c>
      <c r="H41" s="123">
        <f t="shared" ref="H41" si="8">G41*4</f>
        <v>120000</v>
      </c>
      <c r="K41" s="25">
        <v>39</v>
      </c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46"/>
    </row>
    <row r="42" spans="2:38" x14ac:dyDescent="0.15">
      <c r="B42" s="200"/>
      <c r="C42" s="8">
        <v>2</v>
      </c>
      <c r="D42" s="23"/>
      <c r="E42" s="23"/>
      <c r="F42" s="23">
        <f>F41*2</f>
        <v>20000</v>
      </c>
      <c r="G42" s="116">
        <f t="shared" ref="G42:H42" si="9">G41*2</f>
        <v>60000</v>
      </c>
      <c r="H42" s="116">
        <f t="shared" si="9"/>
        <v>240000</v>
      </c>
      <c r="K42" s="25">
        <v>40</v>
      </c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46"/>
    </row>
    <row r="43" spans="2:38" x14ac:dyDescent="0.15">
      <c r="B43" s="200"/>
      <c r="C43" s="8">
        <v>3</v>
      </c>
      <c r="D43" s="8"/>
      <c r="E43" s="23"/>
      <c r="F43" s="23"/>
      <c r="G43" s="116">
        <f t="shared" ref="G43" si="10">G42*2</f>
        <v>120000</v>
      </c>
      <c r="H43" s="116">
        <f t="shared" ref="H43:H51" si="11">H42*2</f>
        <v>480000</v>
      </c>
      <c r="K43" s="25">
        <v>41</v>
      </c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46"/>
    </row>
    <row r="44" spans="2:38" x14ac:dyDescent="0.15">
      <c r="B44" s="200"/>
      <c r="C44" s="8">
        <v>4</v>
      </c>
      <c r="D44" s="8"/>
      <c r="E44" s="8"/>
      <c r="F44" s="23"/>
      <c r="G44" s="23"/>
      <c r="H44" s="116">
        <f t="shared" si="11"/>
        <v>960000</v>
      </c>
      <c r="K44" s="25">
        <v>42</v>
      </c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46"/>
      <c r="AK44" s="46"/>
    </row>
    <row r="45" spans="2:38" x14ac:dyDescent="0.15">
      <c r="B45" s="200"/>
      <c r="C45" s="8">
        <v>5</v>
      </c>
      <c r="D45" s="8"/>
      <c r="E45" s="8"/>
      <c r="F45" s="23"/>
      <c r="G45" s="23"/>
      <c r="H45" s="116">
        <f t="shared" si="11"/>
        <v>1920000</v>
      </c>
      <c r="K45" s="25">
        <v>43</v>
      </c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46"/>
      <c r="AK45" s="46"/>
    </row>
    <row r="46" spans="2:38" x14ac:dyDescent="0.15">
      <c r="B46" s="200"/>
      <c r="C46" s="8">
        <v>6</v>
      </c>
      <c r="D46" s="8"/>
      <c r="E46" s="8"/>
      <c r="F46" s="8"/>
      <c r="G46" s="23"/>
      <c r="H46" s="126">
        <f t="shared" si="11"/>
        <v>3840000</v>
      </c>
      <c r="K46" s="25">
        <v>44</v>
      </c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46"/>
      <c r="AK46" s="46"/>
    </row>
    <row r="47" spans="2:38" x14ac:dyDescent="0.15">
      <c r="B47" s="200"/>
      <c r="C47" s="126">
        <v>7</v>
      </c>
      <c r="D47" s="126"/>
      <c r="E47" s="126"/>
      <c r="F47" s="126"/>
      <c r="G47" s="126"/>
      <c r="H47" s="126">
        <f t="shared" si="11"/>
        <v>7680000</v>
      </c>
      <c r="K47" s="25">
        <v>45</v>
      </c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46"/>
      <c r="AK47" s="46"/>
    </row>
    <row r="48" spans="2:38" x14ac:dyDescent="0.15">
      <c r="B48" s="200"/>
      <c r="C48" s="126">
        <v>8</v>
      </c>
      <c r="D48" s="126"/>
      <c r="E48" s="126"/>
      <c r="F48" s="126"/>
      <c r="G48" s="126"/>
      <c r="H48" s="126">
        <f t="shared" si="11"/>
        <v>15360000</v>
      </c>
      <c r="K48" s="25">
        <v>1</v>
      </c>
      <c r="L48" s="183" t="s">
        <v>136</v>
      </c>
      <c r="M48" s="183"/>
      <c r="N48" s="183"/>
      <c r="O48" s="183"/>
      <c r="P48" s="183"/>
      <c r="Q48" s="183"/>
      <c r="R48" s="183"/>
      <c r="S48" s="183"/>
      <c r="T48" s="183"/>
      <c r="U48" s="183"/>
      <c r="V48" s="183"/>
      <c r="W48" s="183"/>
      <c r="AK48" s="46"/>
    </row>
    <row r="49" spans="1:37" x14ac:dyDescent="0.15">
      <c r="B49" s="200"/>
      <c r="C49" s="126">
        <v>9</v>
      </c>
      <c r="D49" s="126"/>
      <c r="E49" s="126"/>
      <c r="F49" s="126"/>
      <c r="G49" s="126"/>
      <c r="H49" s="126">
        <f t="shared" si="11"/>
        <v>30720000</v>
      </c>
      <c r="K49" s="25">
        <v>2</v>
      </c>
      <c r="L49" s="17"/>
      <c r="M49" s="196" t="s">
        <v>195</v>
      </c>
      <c r="N49" s="197"/>
      <c r="O49" s="197"/>
      <c r="P49" s="197"/>
      <c r="Q49" s="197"/>
      <c r="R49" s="196" t="s">
        <v>184</v>
      </c>
      <c r="S49" s="197"/>
      <c r="T49" s="197"/>
      <c r="U49" s="197"/>
      <c r="V49" s="197"/>
      <c r="W49" s="198"/>
      <c r="AA49" s="73" t="s">
        <v>354</v>
      </c>
      <c r="AB49" s="183" t="s">
        <v>376</v>
      </c>
      <c r="AC49" s="183"/>
      <c r="AD49" s="183"/>
      <c r="AE49" s="183"/>
      <c r="AG49" s="70" t="s">
        <v>355</v>
      </c>
      <c r="AH49" s="184" t="s">
        <v>351</v>
      </c>
      <c r="AI49" s="185"/>
      <c r="AK49" s="46"/>
    </row>
    <row r="50" spans="1:37" x14ac:dyDescent="0.15">
      <c r="B50" s="200"/>
      <c r="C50" s="126">
        <v>10</v>
      </c>
      <c r="D50" s="126"/>
      <c r="E50" s="126"/>
      <c r="F50" s="126"/>
      <c r="G50" s="126"/>
      <c r="H50" s="126">
        <f t="shared" si="11"/>
        <v>61440000</v>
      </c>
      <c r="K50" s="25">
        <v>3</v>
      </c>
      <c r="L50" s="6" t="s">
        <v>398</v>
      </c>
      <c r="M50" s="13" t="s">
        <v>179</v>
      </c>
      <c r="N50" s="22" t="s">
        <v>180</v>
      </c>
      <c r="O50" s="22" t="s">
        <v>181</v>
      </c>
      <c r="P50" s="22" t="s">
        <v>182</v>
      </c>
      <c r="Q50" s="26" t="s">
        <v>194</v>
      </c>
      <c r="R50" s="13" t="s">
        <v>179</v>
      </c>
      <c r="S50" s="22" t="s">
        <v>180</v>
      </c>
      <c r="T50" s="22" t="s">
        <v>181</v>
      </c>
      <c r="U50" s="22" t="s">
        <v>182</v>
      </c>
      <c r="V50" s="22" t="s">
        <v>172</v>
      </c>
      <c r="W50" s="22" t="s">
        <v>183</v>
      </c>
      <c r="AA50" s="51" t="s">
        <v>398</v>
      </c>
      <c r="AB50" s="83" t="s">
        <v>372</v>
      </c>
      <c r="AC50" s="83"/>
      <c r="AD50" s="83" t="s">
        <v>353</v>
      </c>
      <c r="AE50" s="83" t="s">
        <v>352</v>
      </c>
      <c r="AG50" s="51" t="s">
        <v>398</v>
      </c>
      <c r="AH50" s="83" t="s">
        <v>372</v>
      </c>
      <c r="AI50" s="83" t="s">
        <v>353</v>
      </c>
      <c r="AJ50" s="83" t="s">
        <v>370</v>
      </c>
    </row>
    <row r="51" spans="1:37" x14ac:dyDescent="0.15">
      <c r="B51" s="200"/>
      <c r="C51" s="126">
        <v>11</v>
      </c>
      <c r="D51" s="126"/>
      <c r="E51" s="126"/>
      <c r="F51" s="126"/>
      <c r="G51" s="126"/>
      <c r="H51" s="126">
        <f t="shared" si="11"/>
        <v>122880000</v>
      </c>
      <c r="K51" s="25">
        <v>4</v>
      </c>
      <c r="L51" s="12">
        <v>10</v>
      </c>
      <c r="M51" s="15">
        <f>IF(节奏预期!S35="","",INDEX(装备突破!D$57:D$71,MATCH(节奏预期!S35,装备突破!$C$57:$C$71,0)))</f>
        <v>1</v>
      </c>
      <c r="N51" s="23">
        <f>IF(节奏预期!T35="","",INDEX(装备突破!E$57:E$71,MATCH(节奏预期!T35,装备突破!$C$57:$C$71,0)))</f>
        <v>1</v>
      </c>
      <c r="O51" s="23">
        <f>IF(节奏预期!U35="","",INDEX(装备突破!F$57:F$71,MATCH(节奏预期!U35,装备突破!$C$57:$C$71,0)))</f>
        <v>1</v>
      </c>
      <c r="P51" s="23">
        <f>IF(节奏预期!V35="","",INDEX(装备突破!G$57:G$71,MATCH(节奏预期!V35,装备突破!$C$57:$C$71,0)))</f>
        <v>1</v>
      </c>
      <c r="Q51" s="27">
        <f>IF(节奏预期!W35="","",INDEX(装备突破!H$57:H$71,MATCH(节奏预期!W35,装备突破!$C$57:$C$71,0)))</f>
        <v>1</v>
      </c>
      <c r="R51" s="15">
        <f>IF(节奏预期!S35="","",INDEX(装备突破!D$74:D$88,MATCH(节奏预期!S35,装备突破!$C$74:$C$88,0))*节奏预期!D35)</f>
        <v>0</v>
      </c>
      <c r="S51" s="23">
        <f>IF(节奏预期!T35="","",INDEX(装备突破!E$74:E$88,MATCH(节奏预期!T35,装备突破!$C$74:$C$88,0))*节奏预期!E35)</f>
        <v>0</v>
      </c>
      <c r="T51" s="23">
        <f>IF(节奏预期!U35="","",INDEX(装备突破!F$74:F$88,MATCH(节奏预期!U35,装备突破!$C$74:$C$88,0))*节奏预期!F35)</f>
        <v>0</v>
      </c>
      <c r="U51" s="23">
        <f>IF(节奏预期!V35="","",INDEX(装备突破!G$74:G$88,MATCH(节奏预期!V35,装备突破!$C$74:$C$88,0))*节奏预期!G35)</f>
        <v>0</v>
      </c>
      <c r="V51" s="23">
        <f>IF(节奏预期!W35="","",INDEX(装备突破!H$74:H$88,MATCH(节奏预期!W35,装备突破!$C$74:$C$88,0))*节奏预期!H35)</f>
        <v>0</v>
      </c>
      <c r="W51" s="16">
        <f>SUM(R51:V51)</f>
        <v>0</v>
      </c>
      <c r="AA51" s="71">
        <v>10</v>
      </c>
      <c r="AB51" s="75">
        <f>INDEX('[1]功能-行军令'!$N$4:$R$163,AA6,2)*75*'[1]功能-行军令'!$AD$15</f>
        <v>1288.6109999999999</v>
      </c>
      <c r="AC51" s="76"/>
      <c r="AD51" s="75">
        <f t="shared" ref="AD51:AD66" si="12">$W51</f>
        <v>0</v>
      </c>
      <c r="AE51" s="76">
        <f>AD51*INDEX('[1]功能-付费相关'!$AR$6:$AR$165,$AA51,1)</f>
        <v>0</v>
      </c>
      <c r="AG51" s="71">
        <v>10</v>
      </c>
      <c r="AH51" s="83">
        <f>AB51</f>
        <v>1288.6109999999999</v>
      </c>
      <c r="AI51" s="83">
        <f t="shared" ref="AI51:AI59" si="13">AE51</f>
        <v>0</v>
      </c>
      <c r="AJ51" s="84">
        <f>SUM(AH51:AI51)</f>
        <v>1288.6109999999999</v>
      </c>
    </row>
    <row r="52" spans="1:37" x14ac:dyDescent="0.15">
      <c r="B52" s="200"/>
      <c r="C52" s="126"/>
      <c r="D52" s="126"/>
      <c r="E52" s="126"/>
      <c r="F52" s="126"/>
      <c r="G52" s="126"/>
      <c r="H52" s="126"/>
      <c r="K52" s="25">
        <v>5</v>
      </c>
      <c r="L52" s="12">
        <v>20</v>
      </c>
      <c r="M52" s="15">
        <f>IF(节奏预期!S36="","",INDEX(装备突破!D$57:D$71,MATCH(节奏预期!S36,装备突破!$C$57:$C$71,0)))</f>
        <v>1</v>
      </c>
      <c r="N52" s="23">
        <f>IF(节奏预期!T36="","",INDEX(装备突破!E$57:E$71,MATCH(节奏预期!T36,装备突破!$C$57:$C$71,0)))</f>
        <v>2</v>
      </c>
      <c r="O52" s="23">
        <f>IF(节奏预期!U36="","",INDEX(装备突破!F$57:F$71,MATCH(节奏预期!U36,装备突破!$C$57:$C$71,0)))</f>
        <v>1</v>
      </c>
      <c r="P52" s="23">
        <f>IF(节奏预期!V36="","",INDEX(装备突破!G$57:G$71,MATCH(节奏预期!V36,装备突破!$C$57:$C$71,0)))</f>
        <v>1</v>
      </c>
      <c r="Q52" s="27">
        <f>IF(节奏预期!W36="","",INDEX(装备突破!H$57:H$71,MATCH(节奏预期!W36,装备突破!$C$57:$C$71,0)))</f>
        <v>1</v>
      </c>
      <c r="R52" s="15">
        <f>IF(节奏预期!S36="","",INDEX(装备突破!D$74:D$88,MATCH(节奏预期!S36,装备突破!$C$74:$C$88,0))*节奏预期!D36)</f>
        <v>0</v>
      </c>
      <c r="S52" s="23">
        <f>IF(节奏预期!T36="","",INDEX(装备突破!E$74:E$88,MATCH(节奏预期!T36,装备突破!$C$74:$C$88,0))*节奏预期!E36)</f>
        <v>65000</v>
      </c>
      <c r="T52" s="23">
        <f>IF(节奏预期!U36="","",INDEX(装备突破!F$74:F$88,MATCH(节奏预期!U36,装备突破!$C$74:$C$88,0))*节奏预期!F36)</f>
        <v>0</v>
      </c>
      <c r="U52" s="23">
        <f>IF(节奏预期!V36="","",INDEX(装备突破!G$74:G$88,MATCH(节奏预期!V36,装备突破!$C$74:$C$88,0))*节奏预期!G36)</f>
        <v>0</v>
      </c>
      <c r="V52" s="23">
        <f>IF(节奏预期!W36="","",INDEX(装备突破!H$74:H$88,MATCH(节奏预期!W36,装备突破!$C$74:$C$88,0))*节奏预期!H36)</f>
        <v>0</v>
      </c>
      <c r="W52" s="16">
        <f>MAX(SUM(R52:V52),$W$51:W51)</f>
        <v>65000</v>
      </c>
      <c r="AA52" s="71">
        <v>20</v>
      </c>
      <c r="AB52" s="75">
        <f>INDEX('[1]功能-行军令'!$N$4:$R$163,AA7,2)*75*'[1]功能-行军令'!$AD$15</f>
        <v>3925.0777499999999</v>
      </c>
      <c r="AC52" s="75"/>
      <c r="AD52" s="75">
        <f t="shared" si="12"/>
        <v>65000</v>
      </c>
      <c r="AE52" s="75">
        <f>(AD52-AD51)*INDEX('[1]功能-付费相关'!$AR$6:$AR$165,$AA52,1)+AE51</f>
        <v>135.41666666666666</v>
      </c>
      <c r="AG52" s="71">
        <v>20</v>
      </c>
      <c r="AH52" s="83">
        <f t="shared" ref="AH52:AH59" si="14">AB52</f>
        <v>3925.0777499999999</v>
      </c>
      <c r="AI52" s="83">
        <f t="shared" si="13"/>
        <v>135.41666666666666</v>
      </c>
      <c r="AJ52" s="84">
        <f t="shared" ref="AJ52:AJ59" si="15">SUM(AH52:AI52)</f>
        <v>4060.4944166666664</v>
      </c>
    </row>
    <row r="53" spans="1:37" x14ac:dyDescent="0.15">
      <c r="B53" s="200"/>
      <c r="C53" s="126"/>
      <c r="D53" s="126"/>
      <c r="E53" s="126"/>
      <c r="F53" s="126"/>
      <c r="G53" s="126"/>
      <c r="H53" s="126"/>
      <c r="K53" s="25">
        <v>6</v>
      </c>
      <c r="L53" s="12">
        <v>30</v>
      </c>
      <c r="M53" s="15">
        <f>IF(节奏预期!S37="","",INDEX(装备突破!D$57:D$71,MATCH(节奏预期!S37,装备突破!$C$57:$C$71,0)))</f>
        <v>1</v>
      </c>
      <c r="N53" s="23">
        <f>IF(节奏预期!T37="","",INDEX(装备突破!E$57:E$71,MATCH(节奏预期!T37,装备突破!$C$57:$C$71,0)))</f>
        <v>2</v>
      </c>
      <c r="O53" s="23">
        <f>IF(节奏预期!U37="","",INDEX(装备突破!F$57:F$71,MATCH(节奏预期!U37,装备突破!$C$57:$C$71,0)))</f>
        <v>2</v>
      </c>
      <c r="P53" s="23">
        <f>IF(节奏预期!V37="","",INDEX(装备突破!G$57:G$71,MATCH(节奏预期!V37,装备突破!$C$57:$C$71,0)))</f>
        <v>1</v>
      </c>
      <c r="Q53" s="27">
        <f>IF(节奏预期!W37="","",INDEX(装备突破!H$57:H$71,MATCH(节奏预期!W37,装备突破!$C$57:$C$71,0)))</f>
        <v>1</v>
      </c>
      <c r="R53" s="15">
        <f>IF(节奏预期!S37="","",INDEX(装备突破!D$74:D$88,MATCH(节奏预期!S37,装备突破!$C$74:$C$88,0))*节奏预期!D37)</f>
        <v>0</v>
      </c>
      <c r="S53" s="23">
        <f>IF(节奏预期!T37="","",INDEX(装备突破!E$74:E$88,MATCH(节奏预期!T37,装备突破!$C$74:$C$88,0))*节奏预期!E37)</f>
        <v>0</v>
      </c>
      <c r="T53" s="23">
        <f>IF(节奏预期!U37="","",INDEX(装备突破!F$74:F$88,MATCH(节奏预期!U37,装备突破!$C$74:$C$88,0))*节奏预期!F37)</f>
        <v>160000</v>
      </c>
      <c r="U53" s="23">
        <f>IF(节奏预期!V37="","",INDEX(装备突破!G$74:G$88,MATCH(节奏预期!V37,装备突破!$C$74:$C$88,0))*节奏预期!G37)</f>
        <v>0</v>
      </c>
      <c r="V53" s="23">
        <f>IF(节奏预期!W37="","",INDEX(装备突破!H$74:H$88,MATCH(节奏预期!W37,装备突破!$C$74:$C$88,0))*节奏预期!H37)</f>
        <v>0</v>
      </c>
      <c r="W53" s="16">
        <f>MAX(SUM(R53:V53),$W$51:W52)</f>
        <v>160000</v>
      </c>
      <c r="AA53" s="71">
        <v>30</v>
      </c>
      <c r="AB53" s="75">
        <f>INDEX('[1]功能-行军令'!$N$4:$R$163,AA8,2)*75*'[1]功能-行军令'!$AD$15</f>
        <v>9199.6695</v>
      </c>
      <c r="AC53" s="75"/>
      <c r="AD53" s="75">
        <f t="shared" si="12"/>
        <v>160000</v>
      </c>
      <c r="AE53" s="75">
        <f>(AD53-AD52)*INDEX('[1]功能-付费相关'!$AR$6:$AR$165,$AA53,1)+AE52</f>
        <v>305.0595238095238</v>
      </c>
      <c r="AG53" s="71">
        <v>30</v>
      </c>
      <c r="AH53" s="83">
        <f t="shared" si="14"/>
        <v>9199.6695</v>
      </c>
      <c r="AI53" s="83">
        <f t="shared" si="13"/>
        <v>305.0595238095238</v>
      </c>
      <c r="AJ53" s="84">
        <f t="shared" si="15"/>
        <v>9504.7290238095229</v>
      </c>
    </row>
    <row r="54" spans="1:37" x14ac:dyDescent="0.15">
      <c r="A54" s="46"/>
      <c r="B54" s="201"/>
      <c r="C54" s="126"/>
      <c r="D54" s="126"/>
      <c r="E54" s="126"/>
      <c r="F54" s="126"/>
      <c r="G54" s="126"/>
      <c r="H54" s="126"/>
      <c r="K54" s="25">
        <v>7</v>
      </c>
      <c r="L54" s="12">
        <v>40</v>
      </c>
      <c r="M54" s="15">
        <f>IF(节奏预期!S38="","",INDEX(装备突破!D$57:D$71,MATCH(节奏预期!S38,装备突破!$C$57:$C$71,0)))</f>
        <v>1</v>
      </c>
      <c r="N54" s="23">
        <f>IF(节奏预期!T38="","",INDEX(装备突破!E$57:E$71,MATCH(节奏预期!T38,装备突破!$C$57:$C$71,0)))</f>
        <v>2</v>
      </c>
      <c r="O54" s="23">
        <f>IF(节奏预期!U38="","",INDEX(装备突破!F$57:F$71,MATCH(节奏预期!U38,装备突破!$C$57:$C$71,0)))</f>
        <v>3</v>
      </c>
      <c r="P54" s="23">
        <f>IF(节奏预期!V38="","",INDEX(装备突破!G$57:G$71,MATCH(节奏预期!V38,装备突破!$C$57:$C$71,0)))</f>
        <v>2</v>
      </c>
      <c r="Q54" s="27">
        <f>IF(节奏预期!W38="","",INDEX(装备突破!H$57:H$71,MATCH(节奏预期!W38,装备突破!$C$57:$C$71,0)))</f>
        <v>1</v>
      </c>
      <c r="R54" s="15">
        <f>IF(节奏预期!S38="","",INDEX(装备突破!D$74:D$88,MATCH(节奏预期!S38,装备突破!$C$74:$C$88,0))*节奏预期!D38)</f>
        <v>0</v>
      </c>
      <c r="S54" s="23">
        <f>IF(节奏预期!T38="","",INDEX(装备突破!E$74:E$88,MATCH(节奏预期!T38,装备突破!$C$74:$C$88,0))*节奏预期!E38)</f>
        <v>0</v>
      </c>
      <c r="T54" s="23">
        <f>IF(节奏预期!U38="","",INDEX(装备突破!F$74:F$88,MATCH(节奏预期!U38,装备突破!$C$74:$C$88,0))*节奏预期!F38)</f>
        <v>0</v>
      </c>
      <c r="U54" s="23">
        <f>IF(节奏预期!V38="","",INDEX(装备突破!G$74:G$88,MATCH(节奏预期!V38,装备突破!$C$74:$C$88,0))*节奏预期!G38)</f>
        <v>480000</v>
      </c>
      <c r="V54" s="23">
        <f>IF(节奏预期!W38="","",INDEX(装备突破!H$74:H$88,MATCH(节奏预期!W38,装备突破!$C$74:$C$88,0))*节奏预期!H38)</f>
        <v>0</v>
      </c>
      <c r="W54" s="16">
        <f>MAX(SUM(R54:V54),$W$51:W53)</f>
        <v>480000</v>
      </c>
      <c r="AA54" s="71">
        <v>40</v>
      </c>
      <c r="AB54" s="75">
        <f>INDEX('[1]功能-行军令'!$N$4:$R$163,AA9,2)*75*'[1]功能-行军令'!$AD$15</f>
        <v>19686.442500000001</v>
      </c>
      <c r="AC54" s="75"/>
      <c r="AD54" s="75">
        <f t="shared" si="12"/>
        <v>480000</v>
      </c>
      <c r="AE54" s="75">
        <f>(AD54-AD53)*INDEX('[1]功能-付费相关'!$AR$6:$AR$165,$AA54,1)+AE53</f>
        <v>805.05952380952385</v>
      </c>
      <c r="AG54" s="71">
        <v>40</v>
      </c>
      <c r="AH54" s="83">
        <f t="shared" si="14"/>
        <v>19686.442500000001</v>
      </c>
      <c r="AI54" s="83">
        <f t="shared" si="13"/>
        <v>805.05952380952385</v>
      </c>
      <c r="AJ54" s="84">
        <f t="shared" si="15"/>
        <v>20491.502023809524</v>
      </c>
    </row>
    <row r="55" spans="1:37" x14ac:dyDescent="0.15">
      <c r="A55" s="46"/>
      <c r="K55" s="25">
        <v>8</v>
      </c>
      <c r="L55" s="12">
        <v>50</v>
      </c>
      <c r="M55" s="15">
        <f>IF(节奏预期!S39="","",INDEX(装备突破!D$57:D$71,MATCH(节奏预期!S39,装备突破!$C$57:$C$71,0)))</f>
        <v>1</v>
      </c>
      <c r="N55" s="23">
        <f>IF(节奏预期!T39="","",INDEX(装备突破!E$57:E$71,MATCH(节奏预期!T39,装备突破!$C$57:$C$71,0)))</f>
        <v>1</v>
      </c>
      <c r="O55" s="23">
        <f>IF(节奏预期!U39="","",INDEX(装备突破!F$57:F$71,MATCH(节奏预期!U39,装备突破!$C$57:$C$71,0)))</f>
        <v>3</v>
      </c>
      <c r="P55" s="23">
        <f>IF(节奏预期!V39="","",INDEX(装备突破!G$57:G$71,MATCH(节奏预期!V39,装备突破!$C$57:$C$71,0)))</f>
        <v>3</v>
      </c>
      <c r="Q55" s="27">
        <f>IF(节奏预期!W39="","",INDEX(装备突破!H$57:H$71,MATCH(节奏预期!W39,装备突破!$C$57:$C$71,0)))</f>
        <v>1</v>
      </c>
      <c r="R55" s="15">
        <f>IF(节奏预期!S39="","",INDEX(装备突破!D$74:D$88,MATCH(节奏预期!S39,装备突破!$C$74:$C$88,0))*节奏预期!D39)</f>
        <v>0</v>
      </c>
      <c r="S55" s="23">
        <f>IF(节奏预期!T39="","",INDEX(装备突破!E$74:E$88,MATCH(节奏预期!T39,装备突破!$C$74:$C$88,0))*节奏预期!E39)</f>
        <v>0</v>
      </c>
      <c r="T55" s="23">
        <f>IF(节奏预期!U39="","",INDEX(装备突破!F$74:F$88,MATCH(节奏预期!U39,装备突破!$C$74:$C$88,0))*节奏预期!F39)</f>
        <v>0</v>
      </c>
      <c r="U55" s="23">
        <f>IF(节奏预期!V39="","",INDEX(装备突破!G$74:G$88,MATCH(节奏预期!V39,装备突破!$C$74:$C$88,0))*节奏预期!G39)</f>
        <v>1260000</v>
      </c>
      <c r="V55" s="23">
        <f>IF(节奏预期!W39="","",INDEX(装备突破!H$74:H$88,MATCH(节奏预期!W39,装备突破!$C$74:$C$88,0))*节奏预期!H39)</f>
        <v>0</v>
      </c>
      <c r="W55" s="16">
        <f>MAX(SUM(R55:V55),$W$51:W54)</f>
        <v>1260000</v>
      </c>
      <c r="AA55" s="71">
        <v>50</v>
      </c>
      <c r="AB55" s="75">
        <f>INDEX('[1]功能-行军令'!$N$4:$R$163,AA10,2)*75*'[1]功能-行军令'!$AD$15</f>
        <v>40755.413249999998</v>
      </c>
      <c r="AC55" s="75"/>
      <c r="AD55" s="75">
        <f t="shared" si="12"/>
        <v>1260000</v>
      </c>
      <c r="AE55" s="75">
        <f>(AD55-AD54)*INDEX('[1]功能-付费相关'!$AR$6:$AR$165,$AA55,1)+AE54</f>
        <v>1888.3928571428573</v>
      </c>
      <c r="AG55" s="71">
        <v>50</v>
      </c>
      <c r="AH55" s="83">
        <f t="shared" si="14"/>
        <v>40755.413249999998</v>
      </c>
      <c r="AI55" s="83">
        <f t="shared" si="13"/>
        <v>1888.3928571428573</v>
      </c>
      <c r="AJ55" s="84">
        <f t="shared" si="15"/>
        <v>42643.806107142853</v>
      </c>
    </row>
    <row r="56" spans="1:37" x14ac:dyDescent="0.15">
      <c r="A56" s="46"/>
      <c r="B56" s="199" t="s">
        <v>176</v>
      </c>
      <c r="C56" s="23" t="s">
        <v>147</v>
      </c>
      <c r="D56" s="23" t="s">
        <v>140</v>
      </c>
      <c r="E56" s="23" t="s">
        <v>141</v>
      </c>
      <c r="F56" s="23" t="s">
        <v>142</v>
      </c>
      <c r="G56" s="23" t="s">
        <v>143</v>
      </c>
      <c r="H56" s="23" t="s">
        <v>144</v>
      </c>
      <c r="K56" s="25">
        <v>9</v>
      </c>
      <c r="L56" s="12">
        <v>60</v>
      </c>
      <c r="M56" s="15">
        <f>IF(节奏预期!S40="","",INDEX(装备突破!D$57:D$71,MATCH(节奏预期!S40,装备突破!$C$57:$C$71,0)))</f>
        <v>1</v>
      </c>
      <c r="N56" s="23">
        <f>IF(节奏预期!T40="","",INDEX(装备突破!E$57:E$71,MATCH(节奏预期!T40,装备突破!$C$57:$C$71,0)))</f>
        <v>1</v>
      </c>
      <c r="O56" s="23">
        <f>IF(节奏预期!U40="","",INDEX(装备突破!F$57:F$71,MATCH(节奏预期!U40,装备突破!$C$57:$C$71,0)))</f>
        <v>1</v>
      </c>
      <c r="P56" s="23">
        <f>IF(节奏预期!V40="","",INDEX(装备突破!G$57:G$71,MATCH(节奏预期!V40,装备突破!$C$57:$C$71,0)))</f>
        <v>4</v>
      </c>
      <c r="Q56" s="27">
        <f>IF(节奏预期!W40="","",INDEX(装备突破!H$57:H$71,MATCH(节奏预期!W40,装备突破!$C$57:$C$71,0)))</f>
        <v>2</v>
      </c>
      <c r="R56" s="15">
        <f>IF(节奏预期!S40="","",INDEX(装备突破!D$74:D$88,MATCH(节奏预期!S40,装备突破!$C$74:$C$88,0))*节奏预期!D40)</f>
        <v>0</v>
      </c>
      <c r="S56" s="23">
        <f>IF(节奏预期!T40="","",INDEX(装备突破!E$74:E$88,MATCH(节奏预期!T40,装备突破!$C$74:$C$88,0))*节奏预期!E40)</f>
        <v>0</v>
      </c>
      <c r="T56" s="23">
        <f>IF(节奏预期!U40="","",INDEX(装备突破!F$74:F$88,MATCH(节奏预期!U40,装备突破!$C$74:$C$88,0))*节奏预期!F40)</f>
        <v>0</v>
      </c>
      <c r="U56" s="23">
        <f>IF(节奏预期!V40="","",INDEX(装备突破!G$74:G$88,MATCH(节奏预期!V40,装备突破!$C$74:$C$88,0))*节奏预期!G40)</f>
        <v>2520000</v>
      </c>
      <c r="V56" s="23">
        <f>IF(节奏预期!W40="","",INDEX(装备突破!H$74:H$88,MATCH(节奏预期!W40,装备突破!$C$74:$C$88,0))*节奏预期!H40)</f>
        <v>720000</v>
      </c>
      <c r="W56" s="16">
        <f>MAX(SUM(R56:V56),$W$51:W55)</f>
        <v>3240000</v>
      </c>
      <c r="AA56" s="71">
        <v>60</v>
      </c>
      <c r="AB56" s="75">
        <f>INDEX('[1]功能-行军令'!$N$4:$R$163,AA11,2)*75*'[1]功能-行军令'!$AD$15</f>
        <v>82293.671249999999</v>
      </c>
      <c r="AC56" s="75"/>
      <c r="AD56" s="75">
        <f t="shared" si="12"/>
        <v>3240000</v>
      </c>
      <c r="AE56" s="75">
        <f>(AD56-AD55)*INDEX('[1]功能-付费相关'!$AR$6:$AR$165,$AA56,1)+AE55</f>
        <v>4363.3928571428569</v>
      </c>
      <c r="AG56" s="71">
        <v>60</v>
      </c>
      <c r="AH56" s="83">
        <f t="shared" si="14"/>
        <v>82293.671249999999</v>
      </c>
      <c r="AI56" s="83">
        <f t="shared" si="13"/>
        <v>4363.3928571428569</v>
      </c>
      <c r="AJ56" s="84">
        <f t="shared" si="15"/>
        <v>86657.064107142854</v>
      </c>
    </row>
    <row r="57" spans="1:37" x14ac:dyDescent="0.15">
      <c r="B57" s="200"/>
      <c r="C57" s="23">
        <v>0</v>
      </c>
      <c r="D57" s="23">
        <f>IF(D23="","",SUM(D$23:D23))</f>
        <v>1</v>
      </c>
      <c r="E57" s="23">
        <f>IF(E23="","",SUM(E$23:E23))</f>
        <v>1</v>
      </c>
      <c r="F57" s="23">
        <f>IF(F23="","",SUM(F$23:F23))</f>
        <v>1</v>
      </c>
      <c r="G57" s="23">
        <f>IF(G23="","",SUM(G$23:G23))</f>
        <v>1</v>
      </c>
      <c r="H57" s="23">
        <f>IF(H23="","",SUM(H$23:H23))</f>
        <v>1</v>
      </c>
      <c r="K57" s="25">
        <v>10</v>
      </c>
      <c r="L57" s="12">
        <v>70</v>
      </c>
      <c r="M57" s="15">
        <f>IF(节奏预期!S41="","",INDEX(装备突破!D$57:D$71,MATCH(节奏预期!S41,装备突破!$C$57:$C$71,0)))</f>
        <v>1</v>
      </c>
      <c r="N57" s="23">
        <f>IF(节奏预期!T41="","",INDEX(装备突破!E$57:E$71,MATCH(节奏预期!T41,装备突破!$C$57:$C$71,0)))</f>
        <v>1</v>
      </c>
      <c r="O57" s="23">
        <f>IF(节奏预期!U41="","",INDEX(装备突破!F$57:F$71,MATCH(节奏预期!U41,装备突破!$C$57:$C$71,0)))</f>
        <v>1</v>
      </c>
      <c r="P57" s="23">
        <f>IF(节奏预期!V41="","",INDEX(装备突破!G$57:G$71,MATCH(节奏预期!V41,装备突破!$C$57:$C$71,0)))</f>
        <v>4</v>
      </c>
      <c r="Q57" s="27">
        <f>IF(节奏预期!W41="","",INDEX(装备突破!H$57:H$71,MATCH(节奏预期!W41,装备突破!$C$57:$C$71,0)))</f>
        <v>3</v>
      </c>
      <c r="R57" s="15">
        <f>IF(节奏预期!S41="","",INDEX(装备突破!D$74:D$88,MATCH(节奏预期!S41,装备突破!$C$74:$C$88,0))*节奏预期!D41)</f>
        <v>0</v>
      </c>
      <c r="S57" s="23">
        <f>IF(节奏预期!T41="","",INDEX(装备突破!E$74:E$88,MATCH(节奏预期!T41,装备突破!$C$74:$C$88,0))*节奏预期!E41)</f>
        <v>0</v>
      </c>
      <c r="T57" s="23">
        <f>IF(节奏预期!U41="","",INDEX(装备突破!F$74:F$88,MATCH(节奏预期!U41,装备突破!$C$74:$C$88,0))*节奏预期!F41)</f>
        <v>0</v>
      </c>
      <c r="U57" s="23">
        <f>IF(节奏预期!V41="","",INDEX(装备突破!G$74:G$88,MATCH(节奏预期!V41,装备突破!$C$74:$C$88,0))*节奏预期!G41)</f>
        <v>1260000</v>
      </c>
      <c r="V57" s="23">
        <f>IF(节奏预期!W41="","",INDEX(装备突破!H$74:H$88,MATCH(节奏预期!W41,装备突破!$C$74:$C$88,0))*节奏预期!H41)</f>
        <v>4320000</v>
      </c>
      <c r="W57" s="16">
        <f>MAX(SUM(R57:V57),$W$51:W56)</f>
        <v>5580000</v>
      </c>
      <c r="AA57" s="71">
        <v>70</v>
      </c>
      <c r="AB57" s="75">
        <f>INDEX('[1]功能-行军令'!$N$4:$R$163,AA12,2)*75*'[1]功能-行军令'!$AD$15</f>
        <v>165778.71975000002</v>
      </c>
      <c r="AC57" s="75"/>
      <c r="AD57" s="75">
        <f t="shared" si="12"/>
        <v>5580000</v>
      </c>
      <c r="AE57" s="75">
        <f>(AD57-AD56)*INDEX('[1]功能-付费相关'!$AR$6:$AR$165,$AA57,1)+AE56</f>
        <v>7022.4837662337659</v>
      </c>
      <c r="AG57" s="71">
        <v>70</v>
      </c>
      <c r="AH57" s="83">
        <f t="shared" si="14"/>
        <v>165778.71975000002</v>
      </c>
      <c r="AI57" s="83">
        <f t="shared" si="13"/>
        <v>7022.4837662337659</v>
      </c>
      <c r="AJ57" s="84">
        <f t="shared" si="15"/>
        <v>172801.20351623377</v>
      </c>
      <c r="AK57" s="46"/>
    </row>
    <row r="58" spans="1:37" x14ac:dyDescent="0.15">
      <c r="A58" s="46"/>
      <c r="B58" s="200"/>
      <c r="C58" s="23">
        <v>1</v>
      </c>
      <c r="D58" s="126" t="str">
        <f>IF(D24="","",SUM(D$23:D24))</f>
        <v/>
      </c>
      <c r="E58" s="126">
        <f>IF(E24="","",SUM(E$23:E24))</f>
        <v>2</v>
      </c>
      <c r="F58" s="126">
        <f>IF(F24="","",SUM(F$23:F24))</f>
        <v>2</v>
      </c>
      <c r="G58" s="126">
        <f>IF(G24="","",SUM(G$23:G24))</f>
        <v>2</v>
      </c>
      <c r="H58" s="126">
        <f>IF(H24="","",SUM(H$23:H24))</f>
        <v>2</v>
      </c>
      <c r="K58" s="25">
        <v>11</v>
      </c>
      <c r="L58" s="12">
        <v>80</v>
      </c>
      <c r="M58" s="15">
        <f>IF(节奏预期!S42="","",INDEX(装备突破!D$57:D$71,MATCH(节奏预期!S42,装备突破!$C$57:$C$71,0)))</f>
        <v>1</v>
      </c>
      <c r="N58" s="23">
        <f>IF(节奏预期!T42="","",INDEX(装备突破!E$57:E$71,MATCH(节奏预期!T42,装备突破!$C$57:$C$71,0)))</f>
        <v>1</v>
      </c>
      <c r="O58" s="23">
        <f>IF(节奏预期!U42="","",INDEX(装备突破!F$57:F$71,MATCH(节奏预期!U42,装备突破!$C$57:$C$71,0)))</f>
        <v>1</v>
      </c>
      <c r="P58" s="23">
        <f>IF(节奏预期!V42="","",INDEX(装备突破!G$57:G$71,MATCH(节奏预期!V42,装备突破!$C$57:$C$71,0)))</f>
        <v>1</v>
      </c>
      <c r="Q58" s="27">
        <f>IF(节奏预期!W42="","",INDEX(装备突破!H$57:H$71,MATCH(节奏预期!W42,装备突破!$C$57:$C$71,0)))</f>
        <v>4</v>
      </c>
      <c r="R58" s="15">
        <f>IF(节奏预期!S42="","",INDEX(装备突破!D$74:D$88,MATCH(节奏预期!S42,装备突破!$C$74:$C$88,0))*节奏预期!D42)</f>
        <v>0</v>
      </c>
      <c r="S58" s="23">
        <f>IF(节奏预期!T42="","",INDEX(装备突破!E$74:E$88,MATCH(节奏预期!T42,装备突破!$C$74:$C$88,0))*节奏预期!E42)</f>
        <v>0</v>
      </c>
      <c r="T58" s="23">
        <f>IF(节奏预期!U42="","",INDEX(装备突破!F$74:F$88,MATCH(节奏预期!U42,装备突破!$C$74:$C$88,0))*节奏预期!F42)</f>
        <v>0</v>
      </c>
      <c r="U58" s="23">
        <f>IF(节奏预期!V42="","",INDEX(装备突破!G$74:G$88,MATCH(节奏预期!V42,装备突破!$C$74:$C$88,0))*节奏预期!G42)</f>
        <v>0</v>
      </c>
      <c r="V58" s="23">
        <f>IF(节奏预期!W42="","",INDEX(装备突破!H$74:H$88,MATCH(节奏预期!W42,装备突破!$C$74:$C$88,0))*节奏预期!H42)</f>
        <v>15120000</v>
      </c>
      <c r="W58" s="16">
        <f>MAX(SUM(R58:V58),$W$51:W57)</f>
        <v>15120000</v>
      </c>
      <c r="AA58" s="71">
        <v>80</v>
      </c>
      <c r="AB58" s="75">
        <f>INDEX('[1]功能-行军令'!$N$4:$R$163,AA13,2)*75*'[1]功能-行军令'!$AD$15</f>
        <v>333285.63750000001</v>
      </c>
      <c r="AC58" s="75"/>
      <c r="AD58" s="75">
        <f t="shared" si="12"/>
        <v>15120000</v>
      </c>
      <c r="AE58" s="75">
        <f>(AD58-AD57)*INDEX('[1]功能-付费相关'!$AR$6:$AR$165,$AA58,1)+AE57</f>
        <v>16959.983766233767</v>
      </c>
      <c r="AG58" s="71">
        <v>80</v>
      </c>
      <c r="AH58" s="83">
        <f t="shared" si="14"/>
        <v>333285.63750000001</v>
      </c>
      <c r="AI58" s="83">
        <f t="shared" si="13"/>
        <v>16959.983766233767</v>
      </c>
      <c r="AJ58" s="84">
        <f t="shared" si="15"/>
        <v>350245.62126623379</v>
      </c>
      <c r="AK58" s="46"/>
    </row>
    <row r="59" spans="1:37" x14ac:dyDescent="0.15">
      <c r="A59" s="46"/>
      <c r="B59" s="200"/>
      <c r="C59" s="23">
        <v>2</v>
      </c>
      <c r="D59" s="126" t="str">
        <f>IF(D25="","",SUM(D$23:D25))</f>
        <v/>
      </c>
      <c r="E59" s="126" t="str">
        <f>IF(E25="","",SUM(E$23:E25))</f>
        <v/>
      </c>
      <c r="F59" s="126">
        <f>IF(F25="","",SUM(F$23:F25))</f>
        <v>3</v>
      </c>
      <c r="G59" s="126">
        <f>IF(G25="","",SUM(G$23:G25))</f>
        <v>3</v>
      </c>
      <c r="H59" s="126">
        <f>IF(H25="","",SUM(H$23:H25))</f>
        <v>3</v>
      </c>
      <c r="K59" s="25">
        <v>12</v>
      </c>
      <c r="L59" s="12">
        <v>90</v>
      </c>
      <c r="M59" s="15">
        <f>IF(节奏预期!S43="","",INDEX(装备突破!D$57:D$71,MATCH(节奏预期!S43,装备突破!$C$57:$C$71,0)))</f>
        <v>1</v>
      </c>
      <c r="N59" s="23">
        <f>IF(节奏预期!T43="","",INDEX(装备突破!E$57:E$71,MATCH(节奏预期!T43,装备突破!$C$57:$C$71,0)))</f>
        <v>1</v>
      </c>
      <c r="O59" s="23">
        <f>IF(节奏预期!U43="","",INDEX(装备突破!F$57:F$71,MATCH(节奏预期!U43,装备突破!$C$57:$C$71,0)))</f>
        <v>1</v>
      </c>
      <c r="P59" s="23">
        <f>IF(节奏预期!V43="","",INDEX(装备突破!G$57:G$71,MATCH(节奏预期!V43,装备突破!$C$57:$C$71,0)))</f>
        <v>1</v>
      </c>
      <c r="Q59" s="27">
        <f>IF(节奏预期!W43="","",INDEX(装备突破!H$57:H$71,MATCH(节奏预期!W43,装备突破!$C$57:$C$71,0)))</f>
        <v>5</v>
      </c>
      <c r="R59" s="15">
        <f>IF(节奏预期!S43="","",INDEX(装备突破!D$74:D$88,MATCH(节奏预期!S43,装备突破!$C$74:$C$88,0))*节奏预期!D43)</f>
        <v>0</v>
      </c>
      <c r="S59" s="23">
        <f>IF(节奏预期!T43="","",INDEX(装备突破!E$74:E$88,MATCH(节奏预期!T43,装备突破!$C$74:$C$88,0))*节奏预期!E43)</f>
        <v>0</v>
      </c>
      <c r="T59" s="23">
        <f>IF(节奏预期!U43="","",INDEX(装备突破!F$74:F$88,MATCH(节奏预期!U43,装备突破!$C$74:$C$88,0))*节奏预期!F43)</f>
        <v>0</v>
      </c>
      <c r="U59" s="23">
        <f>IF(节奏预期!V43="","",INDEX(装备突破!G$74:G$88,MATCH(节奏预期!V43,装备突破!$C$74:$C$88,0))*节奏预期!G43)</f>
        <v>0</v>
      </c>
      <c r="V59" s="23">
        <f>IF(节奏预期!W43="","",INDEX(装备突破!H$74:H$88,MATCH(节奏预期!W43,装备突破!$C$74:$C$88,0))*节奏预期!H43)</f>
        <v>32400000</v>
      </c>
      <c r="W59" s="16">
        <f>MAX(SUM(R59:V59),$W$51:W58)</f>
        <v>32400000</v>
      </c>
      <c r="AA59" s="71">
        <v>90</v>
      </c>
      <c r="AB59" s="75">
        <f>INDEX('[1]功能-行军令'!$N$4:$R$163,AA14,2)*75*'[1]功能-行军令'!$AD$15</f>
        <v>660483.08550000004</v>
      </c>
      <c r="AC59" s="75"/>
      <c r="AD59" s="75">
        <f t="shared" si="12"/>
        <v>32400000</v>
      </c>
      <c r="AE59" s="75">
        <f>(AD59-AD58)*INDEX('[1]功能-付费相关'!$AR$6:$AR$165,$AA59,1)+AE58</f>
        <v>33575.368381618384</v>
      </c>
      <c r="AG59" s="71">
        <v>90</v>
      </c>
      <c r="AH59" s="83">
        <f t="shared" si="14"/>
        <v>660483.08550000004</v>
      </c>
      <c r="AI59" s="83">
        <f t="shared" si="13"/>
        <v>33575.368381618384</v>
      </c>
      <c r="AJ59" s="84">
        <f t="shared" si="15"/>
        <v>694058.45388161845</v>
      </c>
      <c r="AK59" s="46"/>
    </row>
    <row r="60" spans="1:37" x14ac:dyDescent="0.15">
      <c r="A60" s="46"/>
      <c r="B60" s="200"/>
      <c r="C60" s="23">
        <v>3</v>
      </c>
      <c r="D60" s="126" t="str">
        <f>IF(D26="","",SUM(D$23:D26))</f>
        <v/>
      </c>
      <c r="E60" s="126" t="str">
        <f>IF(E26="","",SUM(E$23:E26))</f>
        <v/>
      </c>
      <c r="F60" s="126" t="str">
        <f>IF(F26="","",SUM(F$23:F26))</f>
        <v/>
      </c>
      <c r="G60" s="126">
        <f>IF(G26="","",SUM(G$23:G26))</f>
        <v>4</v>
      </c>
      <c r="H60" s="126">
        <f>IF(H26="","",SUM(H$23:H26))</f>
        <v>4</v>
      </c>
      <c r="K60" s="25">
        <v>13</v>
      </c>
      <c r="L60" s="129">
        <v>100</v>
      </c>
      <c r="M60" s="15">
        <f>IF(节奏预期!S44="","",INDEX(装备突破!D$57:D$71,MATCH(节奏预期!S44,装备突破!$C$57:$C$71,0)))</f>
        <v>1</v>
      </c>
      <c r="N60" s="126">
        <f>IF(节奏预期!T44="","",INDEX(装备突破!E$57:E$71,MATCH(节奏预期!T44,装备突破!$C$57:$C$71,0)))</f>
        <v>1</v>
      </c>
      <c r="O60" s="126">
        <f>IF(节奏预期!U44="","",INDEX(装备突破!F$57:F$71,MATCH(节奏预期!U44,装备突破!$C$57:$C$71,0)))</f>
        <v>1</v>
      </c>
      <c r="P60" s="126">
        <f>IF(节奏预期!V44="","",INDEX(装备突破!G$57:G$71,MATCH(节奏预期!V44,装备突破!$C$57:$C$71,0)))</f>
        <v>1</v>
      </c>
      <c r="Q60" s="127">
        <f>IF(节奏预期!W44="","",INDEX(装备突破!H$57:H$71,MATCH(节奏预期!W44,装备突破!$C$57:$C$71,0)))</f>
        <v>6</v>
      </c>
      <c r="R60" s="15">
        <f>IF(节奏预期!S44="","",INDEX(装备突破!D$74:D$88,MATCH(节奏预期!S44,装备突破!$C$74:$C$88,0))*节奏预期!D44)</f>
        <v>0</v>
      </c>
      <c r="S60" s="126">
        <f>IF(节奏预期!T44="","",INDEX(装备突破!E$74:E$88,MATCH(节奏预期!T44,装备突破!$C$74:$C$88,0))*节奏预期!E44)</f>
        <v>0</v>
      </c>
      <c r="T60" s="126">
        <f>IF(节奏预期!U44="","",INDEX(装备突破!F$74:F$88,MATCH(节奏预期!U44,装备突破!$C$74:$C$88,0))*节奏预期!F44)</f>
        <v>0</v>
      </c>
      <c r="U60" s="126">
        <f>IF(节奏预期!V44="","",INDEX(装备突破!G$74:G$88,MATCH(节奏预期!V44,装备突破!$C$74:$C$88,0))*节奏预期!G44)</f>
        <v>0</v>
      </c>
      <c r="V60" s="126">
        <f>IF(节奏预期!W44="","",INDEX(装备突破!H$74:H$88,MATCH(节奏预期!W44,装备突破!$C$74:$C$88,0))*节奏预期!H44)</f>
        <v>66960000</v>
      </c>
      <c r="W60" s="16">
        <f>MAX(SUM(R60:V60),$W$51:W59)</f>
        <v>66960000</v>
      </c>
      <c r="X60" s="46"/>
      <c r="AA60" s="128">
        <v>100</v>
      </c>
      <c r="AB60" s="75">
        <f>INDEX('[1]功能-行军令'!$N$4:$R$163,AA15,2)*75*'[1]功能-行军令'!$AD$15</f>
        <v>1319637.0082500002</v>
      </c>
      <c r="AC60" s="75"/>
      <c r="AD60" s="75">
        <f t="shared" si="12"/>
        <v>66960000</v>
      </c>
      <c r="AE60" s="75">
        <f>(AD60-AD59)*INDEX('[1]功能-付费相关'!$AR$6:$AR$165,$AA60,1)+AE59</f>
        <v>64432.511238761239</v>
      </c>
      <c r="AG60" s="128">
        <v>100</v>
      </c>
      <c r="AH60" s="128">
        <f t="shared" ref="AH60:AH66" si="16">AB60</f>
        <v>1319637.0082500002</v>
      </c>
      <c r="AI60" s="128">
        <f t="shared" ref="AI60:AI66" si="17">AE60</f>
        <v>64432.511238761239</v>
      </c>
      <c r="AJ60" s="84">
        <f t="shared" ref="AJ60:AJ66" si="18">SUM(AH60:AI60)</f>
        <v>1384069.5194887614</v>
      </c>
      <c r="AK60" s="46"/>
    </row>
    <row r="61" spans="1:37" x14ac:dyDescent="0.15">
      <c r="A61" s="46"/>
      <c r="B61" s="200"/>
      <c r="C61" s="23">
        <v>4</v>
      </c>
      <c r="D61" s="126" t="str">
        <f>IF(D27="","",SUM(D$23:D27))</f>
        <v/>
      </c>
      <c r="E61" s="126" t="str">
        <f>IF(E27="","",SUM(E$23:E27))</f>
        <v/>
      </c>
      <c r="F61" s="126" t="str">
        <f>IF(F27="","",SUM(F$23:F27))</f>
        <v/>
      </c>
      <c r="G61" s="126" t="str">
        <f>IF(G27="","",SUM(G$23:G27))</f>
        <v/>
      </c>
      <c r="H61" s="126">
        <f>IF(H27="","",SUM(H$23:H27))</f>
        <v>5</v>
      </c>
      <c r="K61" s="25">
        <v>14</v>
      </c>
      <c r="L61" s="129">
        <v>110</v>
      </c>
      <c r="M61" s="15">
        <f>IF(节奏预期!S45="","",INDEX(装备突破!D$57:D$71,MATCH(节奏预期!S45,装备突破!$C$57:$C$71,0)))</f>
        <v>1</v>
      </c>
      <c r="N61" s="126">
        <f>IF(节奏预期!T45="","",INDEX(装备突破!E$57:E$71,MATCH(节奏预期!T45,装备突破!$C$57:$C$71,0)))</f>
        <v>1</v>
      </c>
      <c r="O61" s="126">
        <f>IF(节奏预期!U45="","",INDEX(装备突破!F$57:F$71,MATCH(节奏预期!U45,装备突破!$C$57:$C$71,0)))</f>
        <v>1</v>
      </c>
      <c r="P61" s="126">
        <f>IF(节奏预期!V45="","",INDEX(装备突破!G$57:G$71,MATCH(节奏预期!V45,装备突破!$C$57:$C$71,0)))</f>
        <v>1</v>
      </c>
      <c r="Q61" s="127">
        <f>IF(节奏预期!W45="","",INDEX(装备突破!H$57:H$71,MATCH(节奏预期!W45,装备突破!$C$57:$C$71,0)))</f>
        <v>7</v>
      </c>
      <c r="R61" s="15">
        <f>IF(节奏预期!S45="","",INDEX(装备突破!D$74:D$88,MATCH(节奏预期!S45,装备突破!$C$74:$C$88,0))*节奏预期!D45)</f>
        <v>0</v>
      </c>
      <c r="S61" s="126">
        <f>IF(节奏预期!T45="","",INDEX(装备突破!E$74:E$88,MATCH(节奏预期!T45,装备突破!$C$74:$C$88,0))*节奏预期!E45)</f>
        <v>0</v>
      </c>
      <c r="T61" s="126">
        <f>IF(节奏预期!U45="","",INDEX(装备突破!F$74:F$88,MATCH(节奏预期!U45,装备突破!$C$74:$C$88,0))*节奏预期!F45)</f>
        <v>0</v>
      </c>
      <c r="U61" s="126">
        <f>IF(节奏预期!V45="","",INDEX(装备突破!G$74:G$88,MATCH(节奏预期!V45,装备突破!$C$74:$C$88,0))*节奏预期!G45)</f>
        <v>0</v>
      </c>
      <c r="V61" s="126">
        <f>IF(节奏预期!W45="","",INDEX(装备突破!H$74:H$88,MATCH(节奏预期!W45,装备突破!$C$74:$C$88,0))*节奏预期!H45)</f>
        <v>136080000</v>
      </c>
      <c r="W61" s="16">
        <f>MAX(SUM(R61:V61),$W$51:W60)</f>
        <v>136080000</v>
      </c>
      <c r="X61" s="46"/>
      <c r="AA61" s="128">
        <v>110</v>
      </c>
      <c r="AB61" s="75">
        <f>INDEX('[1]功能-行军令'!$N$4:$R$163,AA16,2)*75*'[1]功能-行军令'!$AD$15</f>
        <v>2625134.72175</v>
      </c>
      <c r="AC61" s="75"/>
      <c r="AD61" s="75">
        <f t="shared" si="12"/>
        <v>136080000</v>
      </c>
      <c r="AE61" s="75">
        <f>(AD61-AD60)*INDEX('[1]功能-付费相关'!$AR$6:$AR$165,$AA61,1)+AE60</f>
        <v>122032.51123876125</v>
      </c>
      <c r="AG61" s="128">
        <v>110</v>
      </c>
      <c r="AH61" s="128">
        <f t="shared" si="16"/>
        <v>2625134.72175</v>
      </c>
      <c r="AI61" s="128">
        <f t="shared" si="17"/>
        <v>122032.51123876125</v>
      </c>
      <c r="AJ61" s="84">
        <f t="shared" si="18"/>
        <v>2747167.2329887613</v>
      </c>
      <c r="AK61" s="46"/>
    </row>
    <row r="62" spans="1:37" x14ac:dyDescent="0.15">
      <c r="A62" s="46"/>
      <c r="B62" s="200"/>
      <c r="C62" s="23">
        <v>5</v>
      </c>
      <c r="D62" s="126" t="str">
        <f>IF(D28="","",SUM(D$23:D28))</f>
        <v/>
      </c>
      <c r="E62" s="126" t="str">
        <f>IF(E28="","",SUM(E$23:E28))</f>
        <v/>
      </c>
      <c r="F62" s="126" t="str">
        <f>IF(F28="","",SUM(F$23:F28))</f>
        <v/>
      </c>
      <c r="G62" s="126" t="str">
        <f>IF(G28="","",SUM(G$23:G28))</f>
        <v/>
      </c>
      <c r="H62" s="126">
        <f>IF(H28="","",SUM(H$23:H28))</f>
        <v>6</v>
      </c>
      <c r="K62" s="25">
        <v>15</v>
      </c>
      <c r="L62" s="129">
        <v>120</v>
      </c>
      <c r="M62" s="15">
        <f>IF(节奏预期!S46="","",INDEX(装备突破!D$57:D$71,MATCH(节奏预期!S46,装备突破!$C$57:$C$71,0)))</f>
        <v>1</v>
      </c>
      <c r="N62" s="126">
        <f>IF(节奏预期!T46="","",INDEX(装备突破!E$57:E$71,MATCH(节奏预期!T46,装备突破!$C$57:$C$71,0)))</f>
        <v>1</v>
      </c>
      <c r="O62" s="126">
        <f>IF(节奏预期!U46="","",INDEX(装备突破!F$57:F$71,MATCH(节奏预期!U46,装备突破!$C$57:$C$71,0)))</f>
        <v>1</v>
      </c>
      <c r="P62" s="126">
        <f>IF(节奏预期!V46="","",INDEX(装备突破!G$57:G$71,MATCH(节奏预期!V46,装备突破!$C$57:$C$71,0)))</f>
        <v>1</v>
      </c>
      <c r="Q62" s="127">
        <f>IF(节奏预期!W46="","",INDEX(装备突破!H$57:H$71,MATCH(节奏预期!W46,装备突破!$C$57:$C$71,0)))</f>
        <v>8</v>
      </c>
      <c r="R62" s="15">
        <f>IF(节奏预期!S46="","",INDEX(装备突破!D$74:D$88,MATCH(节奏预期!S46,装备突破!$C$74:$C$88,0))*节奏预期!D46)</f>
        <v>0</v>
      </c>
      <c r="S62" s="126">
        <f>IF(节奏预期!T46="","",INDEX(装备突破!E$74:E$88,MATCH(节奏预期!T46,装备突破!$C$74:$C$88,0))*节奏预期!E46)</f>
        <v>0</v>
      </c>
      <c r="T62" s="126">
        <f>IF(节奏预期!U46="","",INDEX(装备突破!F$74:F$88,MATCH(节奏预期!U46,装备突破!$C$74:$C$88,0))*节奏预期!F46)</f>
        <v>0</v>
      </c>
      <c r="U62" s="126">
        <f>IF(节奏预期!V46="","",INDEX(装备突破!G$74:G$88,MATCH(节奏预期!V46,装备突破!$C$74:$C$88,0))*节奏预期!G46)</f>
        <v>0</v>
      </c>
      <c r="V62" s="126">
        <f>IF(节奏预期!W46="","",INDEX(装备突破!H$74:H$88,MATCH(节奏预期!W46,装备突破!$C$74:$C$88,0))*节奏预期!H46)</f>
        <v>274320000</v>
      </c>
      <c r="W62" s="16">
        <f>MAX(SUM(R62:V62),$W$51:W61)</f>
        <v>274320000</v>
      </c>
      <c r="X62" s="46"/>
      <c r="AA62" s="128">
        <v>120</v>
      </c>
      <c r="AB62" s="75">
        <f>INDEX('[1]功能-行军令'!$N$4:$R$163,AA17,2)*75*'[1]功能-行军令'!$AD$15</f>
        <v>5255255.8012499996</v>
      </c>
      <c r="AC62" s="75"/>
      <c r="AD62" s="75">
        <f t="shared" si="12"/>
        <v>274320000</v>
      </c>
      <c r="AE62" s="75">
        <f>(AD62-AD61)*INDEX('[1]功能-付费相关'!$AR$6:$AR$165,$AA62,1)+AE61</f>
        <v>230032.51123876125</v>
      </c>
      <c r="AG62" s="128">
        <v>120</v>
      </c>
      <c r="AH62" s="128">
        <f t="shared" si="16"/>
        <v>5255255.8012499996</v>
      </c>
      <c r="AI62" s="128">
        <f t="shared" si="17"/>
        <v>230032.51123876125</v>
      </c>
      <c r="AJ62" s="84">
        <f t="shared" si="18"/>
        <v>5485288.3124887608</v>
      </c>
      <c r="AK62" s="46"/>
    </row>
    <row r="63" spans="1:37" x14ac:dyDescent="0.15">
      <c r="A63" s="46"/>
      <c r="B63" s="200"/>
      <c r="C63" s="23">
        <v>6</v>
      </c>
      <c r="D63" s="126" t="str">
        <f>IF(D29="","",SUM(D$23:D29))</f>
        <v/>
      </c>
      <c r="E63" s="126" t="str">
        <f>IF(E29="","",SUM(E$23:E29))</f>
        <v/>
      </c>
      <c r="F63" s="126" t="str">
        <f>IF(F29="","",SUM(F$23:F29))</f>
        <v/>
      </c>
      <c r="G63" s="126" t="str">
        <f>IF(G29="","",SUM(G$23:G29))</f>
        <v/>
      </c>
      <c r="H63" s="126">
        <f>IF(H29="","",SUM(H$23:H29))</f>
        <v>7</v>
      </c>
      <c r="K63" s="25">
        <v>16</v>
      </c>
      <c r="L63" s="129">
        <v>130</v>
      </c>
      <c r="M63" s="15">
        <f>IF(节奏预期!S47="","",INDEX(装备突破!D$57:D$71,MATCH(节奏预期!S47,装备突破!$C$57:$C$71,0)))</f>
        <v>1</v>
      </c>
      <c r="N63" s="126">
        <f>IF(节奏预期!T47="","",INDEX(装备突破!E$57:E$71,MATCH(节奏预期!T47,装备突破!$C$57:$C$71,0)))</f>
        <v>1</v>
      </c>
      <c r="O63" s="126">
        <f>IF(节奏预期!U47="","",INDEX(装备突破!F$57:F$71,MATCH(节奏预期!U47,装备突破!$C$57:$C$71,0)))</f>
        <v>1</v>
      </c>
      <c r="P63" s="126">
        <f>IF(节奏预期!V47="","",INDEX(装备突破!G$57:G$71,MATCH(节奏预期!V47,装备突破!$C$57:$C$71,0)))</f>
        <v>1</v>
      </c>
      <c r="Q63" s="127">
        <f>IF(节奏预期!W47="","",INDEX(装备突破!H$57:H$71,MATCH(节奏预期!W47,装备突破!$C$57:$C$71,0)))</f>
        <v>9</v>
      </c>
      <c r="R63" s="15">
        <f>IF(节奏预期!S47="","",INDEX(装备突破!D$74:D$88,MATCH(节奏预期!S47,装备突破!$C$74:$C$88,0))*节奏预期!D47)</f>
        <v>0</v>
      </c>
      <c r="S63" s="126">
        <f>IF(节奏预期!T47="","",INDEX(装备突破!E$74:E$88,MATCH(节奏预期!T47,装备突破!$C$74:$C$88,0))*节奏预期!E47)</f>
        <v>0</v>
      </c>
      <c r="T63" s="126">
        <f>IF(节奏预期!U47="","",INDEX(装备突破!F$74:F$88,MATCH(节奏预期!U47,装备突破!$C$74:$C$88,0))*节奏预期!F47)</f>
        <v>0</v>
      </c>
      <c r="U63" s="126">
        <f>IF(节奏预期!V47="","",INDEX(装备突破!G$74:G$88,MATCH(节奏预期!V47,装备突破!$C$74:$C$88,0))*节奏预期!G47)</f>
        <v>0</v>
      </c>
      <c r="V63" s="126">
        <f>IF(节奏预期!W47="","",INDEX(装备突破!H$74:H$88,MATCH(节奏预期!W47,装备突破!$C$74:$C$88,0))*节奏预期!H47)</f>
        <v>550800000</v>
      </c>
      <c r="W63" s="16">
        <f>MAX(SUM(R63:V63),$W$51:W62)</f>
        <v>550800000</v>
      </c>
      <c r="X63" s="46"/>
      <c r="AA63" s="128">
        <v>130</v>
      </c>
      <c r="AB63" s="75">
        <f>INDEX('[1]功能-行军令'!$N$4:$R$163,AA18,2)*75*'[1]功能-行军令'!$AD$15</f>
        <v>10464872.793749999</v>
      </c>
      <c r="AC63" s="75"/>
      <c r="AD63" s="75">
        <f t="shared" si="12"/>
        <v>550800000</v>
      </c>
      <c r="AE63" s="75">
        <f>(AD63-AD62)*INDEX('[1]功能-付费相关'!$AR$6:$AR$165,$AA63,1)+AE62</f>
        <v>433326.62888582004</v>
      </c>
      <c r="AG63" s="128">
        <v>130</v>
      </c>
      <c r="AH63" s="128">
        <f t="shared" si="16"/>
        <v>10464872.793749999</v>
      </c>
      <c r="AI63" s="128">
        <f t="shared" si="17"/>
        <v>433326.62888582004</v>
      </c>
      <c r="AJ63" s="84">
        <f t="shared" si="18"/>
        <v>10898199.42263582</v>
      </c>
      <c r="AK63" s="46"/>
    </row>
    <row r="64" spans="1:37" x14ac:dyDescent="0.15">
      <c r="A64" s="46"/>
      <c r="B64" s="200"/>
      <c r="C64" s="126">
        <v>7</v>
      </c>
      <c r="D64" s="126" t="str">
        <f>IF(D30="","",SUM(D$23:D30))</f>
        <v/>
      </c>
      <c r="E64" s="126" t="str">
        <f>IF(E30="","",SUM(E$23:E30))</f>
        <v/>
      </c>
      <c r="F64" s="126" t="str">
        <f>IF(F30="","",SUM(F$23:F30))</f>
        <v/>
      </c>
      <c r="G64" s="126" t="str">
        <f>IF(G30="","",SUM(G$23:G30))</f>
        <v/>
      </c>
      <c r="H64" s="126">
        <f>IF(H30="","",SUM(H$23:H30))</f>
        <v>8</v>
      </c>
      <c r="K64" s="25">
        <v>17</v>
      </c>
      <c r="L64" s="129">
        <v>140</v>
      </c>
      <c r="M64" s="15">
        <f>IF(节奏预期!S48="","",INDEX(装备突破!D$57:D$71,MATCH(节奏预期!S48,装备突破!$C$57:$C$71,0)))</f>
        <v>1</v>
      </c>
      <c r="N64" s="126">
        <f>IF(节奏预期!T48="","",INDEX(装备突破!E$57:E$71,MATCH(节奏预期!T48,装备突破!$C$57:$C$71,0)))</f>
        <v>1</v>
      </c>
      <c r="O64" s="126">
        <f>IF(节奏预期!U48="","",INDEX(装备突破!F$57:F$71,MATCH(节奏预期!U48,装备突破!$C$57:$C$71,0)))</f>
        <v>1</v>
      </c>
      <c r="P64" s="126">
        <f>IF(节奏预期!V48="","",INDEX(装备突破!G$57:G$71,MATCH(节奏预期!V48,装备突破!$C$57:$C$71,0)))</f>
        <v>1</v>
      </c>
      <c r="Q64" s="127">
        <f>IF(节奏预期!W48="","",INDEX(装备突破!H$57:H$71,MATCH(节奏预期!W48,装备突破!$C$57:$C$71,0)))</f>
        <v>10</v>
      </c>
      <c r="R64" s="15">
        <f>IF(节奏预期!S48="","",INDEX(装备突破!D$74:D$88,MATCH(节奏预期!S48,装备突破!$C$74:$C$88,0))*节奏预期!D48)</f>
        <v>0</v>
      </c>
      <c r="S64" s="126">
        <f>IF(节奏预期!T48="","",INDEX(装备突破!E$74:E$88,MATCH(节奏预期!T48,装备突破!$C$74:$C$88,0))*节奏预期!E48)</f>
        <v>0</v>
      </c>
      <c r="T64" s="126">
        <f>IF(节奏预期!U48="","",INDEX(装备突破!F$74:F$88,MATCH(节奏预期!U48,装备突破!$C$74:$C$88,0))*节奏预期!F48)</f>
        <v>0</v>
      </c>
      <c r="U64" s="126">
        <f>IF(节奏预期!V48="","",INDEX(装备突破!G$74:G$88,MATCH(节奏预期!V48,装备突破!$C$74:$C$88,0))*节奏预期!G48)</f>
        <v>0</v>
      </c>
      <c r="V64" s="126">
        <f>IF(节奏预期!W48="","",INDEX(装备突破!H$74:H$88,MATCH(节奏预期!W48,装备突破!$C$74:$C$88,0))*节奏预期!H48)</f>
        <v>1103760000</v>
      </c>
      <c r="W64" s="16">
        <f>MAX(SUM(R64:V64),$W$51:W63)</f>
        <v>1103760000</v>
      </c>
      <c r="X64" s="46"/>
      <c r="AA64" s="128">
        <v>140</v>
      </c>
      <c r="AB64" s="75">
        <f>INDEX('[1]功能-行军令'!$N$4:$R$163,AA19,2)*75*'[1]功能-行军令'!$AD$15</f>
        <v>20926083.719250001</v>
      </c>
      <c r="AC64" s="75"/>
      <c r="AD64" s="75">
        <f t="shared" si="12"/>
        <v>1103760000</v>
      </c>
      <c r="AE64" s="75">
        <f>(AD64-AD63)*INDEX('[1]功能-付费相关'!$AR$6:$AR$165,$AA64,1)+AE63</f>
        <v>817326.62888582004</v>
      </c>
      <c r="AG64" s="128">
        <v>140</v>
      </c>
      <c r="AH64" s="128">
        <f t="shared" si="16"/>
        <v>20926083.719250001</v>
      </c>
      <c r="AI64" s="128">
        <f t="shared" si="17"/>
        <v>817326.62888582004</v>
      </c>
      <c r="AJ64" s="84">
        <f t="shared" si="18"/>
        <v>21743410.348135822</v>
      </c>
      <c r="AK64" s="46"/>
    </row>
    <row r="65" spans="1:37" x14ac:dyDescent="0.15">
      <c r="A65" s="46"/>
      <c r="B65" s="200"/>
      <c r="C65" s="126">
        <v>8</v>
      </c>
      <c r="D65" s="126" t="str">
        <f>IF(D31="","",SUM(D$23:D31))</f>
        <v/>
      </c>
      <c r="E65" s="126" t="str">
        <f>IF(E31="","",SUM(E$23:E31))</f>
        <v/>
      </c>
      <c r="F65" s="126" t="str">
        <f>IF(F31="","",SUM(F$23:F31))</f>
        <v/>
      </c>
      <c r="G65" s="126" t="str">
        <f>IF(G31="","",SUM(G$23:G31))</f>
        <v/>
      </c>
      <c r="H65" s="126">
        <f>IF(H31="","",SUM(H$23:H31))</f>
        <v>9</v>
      </c>
      <c r="K65" s="25">
        <v>18</v>
      </c>
      <c r="L65" s="129">
        <v>150</v>
      </c>
      <c r="M65" s="15">
        <f>IF(节奏预期!S49="","",INDEX(装备突破!D$57:D$71,MATCH(节奏预期!S49,装备突破!$C$57:$C$71,0)))</f>
        <v>1</v>
      </c>
      <c r="N65" s="126">
        <f>IF(节奏预期!T49="","",INDEX(装备突破!E$57:E$71,MATCH(节奏预期!T49,装备突破!$C$57:$C$71,0)))</f>
        <v>1</v>
      </c>
      <c r="O65" s="126">
        <f>IF(节奏预期!U49="","",INDEX(装备突破!F$57:F$71,MATCH(节奏预期!U49,装备突破!$C$57:$C$71,0)))</f>
        <v>1</v>
      </c>
      <c r="P65" s="126">
        <f>IF(节奏预期!V49="","",INDEX(装备突破!G$57:G$71,MATCH(节奏预期!V49,装备突破!$C$57:$C$71,0)))</f>
        <v>1</v>
      </c>
      <c r="Q65" s="127">
        <f>IF(节奏预期!W49="","",INDEX(装备突破!H$57:H$71,MATCH(节奏预期!W49,装备突破!$C$57:$C$71,0)))</f>
        <v>11</v>
      </c>
      <c r="R65" s="15">
        <f>IF(节奏预期!S49="","",INDEX(装备突破!D$74:D$88,MATCH(节奏预期!S49,装备突破!$C$74:$C$88,0))*节奏预期!D49)</f>
        <v>0</v>
      </c>
      <c r="S65" s="126">
        <f>IF(节奏预期!T49="","",INDEX(装备突破!E$74:E$88,MATCH(节奏预期!T49,装备突破!$C$74:$C$88,0))*节奏预期!E49)</f>
        <v>0</v>
      </c>
      <c r="T65" s="126">
        <f>IF(节奏预期!U49="","",INDEX(装备突破!F$74:F$88,MATCH(节奏预期!U49,装备突破!$C$74:$C$88,0))*节奏预期!F49)</f>
        <v>0</v>
      </c>
      <c r="U65" s="126">
        <f>IF(节奏预期!V49="","",INDEX(装备突破!G$74:G$88,MATCH(节奏预期!V49,装备突破!$C$74:$C$88,0))*节奏预期!G49)</f>
        <v>0</v>
      </c>
      <c r="V65" s="126">
        <f>IF(节奏预期!W49="","",INDEX(装备突破!H$74:H$88,MATCH(节奏预期!W49,装备突破!$C$74:$C$88,0))*节奏预期!H49)</f>
        <v>2209680000</v>
      </c>
      <c r="W65" s="16">
        <f>MAX(SUM(R65:V65),$W$51:W64)</f>
        <v>2209680000</v>
      </c>
      <c r="X65" s="46"/>
      <c r="AA65" s="128">
        <v>150</v>
      </c>
      <c r="AB65" s="75">
        <f>INDEX('[1]功能-行军令'!$N$4:$R$163,AA20,2)*75*'[1]功能-行军令'!$AD$15</f>
        <v>41715135.236249998</v>
      </c>
      <c r="AC65" s="75"/>
      <c r="AD65" s="75">
        <f t="shared" si="12"/>
        <v>2209680000</v>
      </c>
      <c r="AE65" s="75">
        <f>(AD65-AD64)*INDEX('[1]功能-付费相关'!$AR$6:$AR$165,$AA65,1)+AE64</f>
        <v>1544905.5762542412</v>
      </c>
      <c r="AG65" s="128">
        <v>150</v>
      </c>
      <c r="AH65" s="128">
        <f t="shared" si="16"/>
        <v>41715135.236249998</v>
      </c>
      <c r="AI65" s="128">
        <f t="shared" si="17"/>
        <v>1544905.5762542412</v>
      </c>
      <c r="AJ65" s="84">
        <f t="shared" si="18"/>
        <v>43260040.812504239</v>
      </c>
      <c r="AK65" s="46"/>
    </row>
    <row r="66" spans="1:37" x14ac:dyDescent="0.15">
      <c r="A66" s="46"/>
      <c r="B66" s="200"/>
      <c r="C66" s="126">
        <v>9</v>
      </c>
      <c r="D66" s="126" t="str">
        <f>IF(D32="","",SUM(D$23:D32))</f>
        <v/>
      </c>
      <c r="E66" s="126" t="str">
        <f>IF(E32="","",SUM(E$23:E32))</f>
        <v/>
      </c>
      <c r="F66" s="126" t="str">
        <f>IF(F32="","",SUM(F$23:F32))</f>
        <v/>
      </c>
      <c r="G66" s="126" t="str">
        <f>IF(G32="","",SUM(G$23:G32))</f>
        <v/>
      </c>
      <c r="H66" s="126">
        <f>IF(H32="","",SUM(H$23:H32))</f>
        <v>10</v>
      </c>
      <c r="K66" s="25">
        <v>19</v>
      </c>
      <c r="L66" s="129">
        <v>160</v>
      </c>
      <c r="M66" s="15">
        <f>IF(节奏预期!S50="","",INDEX(装备突破!D$57:D$71,MATCH(节奏预期!S50,装备突破!$C$57:$C$71,0)))</f>
        <v>1</v>
      </c>
      <c r="N66" s="126">
        <f>IF(节奏预期!T50="","",INDEX(装备突破!E$57:E$71,MATCH(节奏预期!T50,装备突破!$C$57:$C$71,0)))</f>
        <v>1</v>
      </c>
      <c r="O66" s="126">
        <f>IF(节奏预期!U50="","",INDEX(装备突破!F$57:F$71,MATCH(节奏预期!U50,装备突破!$C$57:$C$71,0)))</f>
        <v>1</v>
      </c>
      <c r="P66" s="126">
        <f>IF(节奏预期!V50="","",INDEX(装备突破!G$57:G$71,MATCH(节奏预期!V50,装备突破!$C$57:$C$71,0)))</f>
        <v>1</v>
      </c>
      <c r="Q66" s="127">
        <f>IF(节奏预期!W50="","",INDEX(装备突破!H$57:H$71,MATCH(节奏预期!W50,装备突破!$C$57:$C$71,0)))</f>
        <v>12</v>
      </c>
      <c r="R66" s="15">
        <f>IF(节奏预期!S50="","",INDEX(装备突破!D$74:D$88,MATCH(节奏预期!S50,装备突破!$C$74:$C$88,0))*节奏预期!D50)</f>
        <v>0</v>
      </c>
      <c r="S66" s="126">
        <f>IF(节奏预期!T50="","",INDEX(装备突破!E$74:E$88,MATCH(节奏预期!T50,装备突破!$C$74:$C$88,0))*节奏预期!E50)</f>
        <v>0</v>
      </c>
      <c r="T66" s="126">
        <f>IF(节奏预期!U50="","",INDEX(装备突破!F$74:F$88,MATCH(节奏预期!U50,装备突破!$C$74:$C$88,0))*节奏预期!F50)</f>
        <v>0</v>
      </c>
      <c r="U66" s="126">
        <f>IF(节奏预期!V50="","",INDEX(装备突破!G$74:G$88,MATCH(节奏预期!V50,装备突破!$C$74:$C$88,0))*节奏预期!G50)</f>
        <v>0</v>
      </c>
      <c r="V66" s="126">
        <f>IF(节奏预期!W50="","",INDEX(装备突破!H$74:H$88,MATCH(节奏预期!W50,装备突破!$C$74:$C$88,0))*节奏预期!H50)</f>
        <v>4421520000</v>
      </c>
      <c r="W66" s="16">
        <f>MAX(SUM(R66:V66),$W$51:W65)</f>
        <v>4421520000</v>
      </c>
      <c r="X66" s="46"/>
      <c r="AA66" s="128">
        <v>160</v>
      </c>
      <c r="AB66" s="75">
        <f>INDEX('[1]功能-行军令'!$N$4:$R$163,AA21,2)*75*'[1]功能-行军令'!$AD$15</f>
        <v>98794012.5</v>
      </c>
      <c r="AC66" s="75"/>
      <c r="AD66" s="75">
        <f t="shared" si="12"/>
        <v>4421520000</v>
      </c>
      <c r="AE66" s="75">
        <f>(AD66-AD65)*INDEX('[1]功能-付费相关'!$AR$6:$AR$165,$AA66,1)+AE65</f>
        <v>2927305.5762542412</v>
      </c>
      <c r="AG66" s="128">
        <v>160</v>
      </c>
      <c r="AH66" s="128">
        <f t="shared" si="16"/>
        <v>98794012.5</v>
      </c>
      <c r="AI66" s="128">
        <f t="shared" si="17"/>
        <v>2927305.5762542412</v>
      </c>
      <c r="AJ66" s="84">
        <f t="shared" si="18"/>
        <v>101721318.07625425</v>
      </c>
      <c r="AK66" s="46"/>
    </row>
    <row r="67" spans="1:37" x14ac:dyDescent="0.15">
      <c r="A67" s="46"/>
      <c r="B67" s="200"/>
      <c r="C67" s="126">
        <v>10</v>
      </c>
      <c r="D67" s="126" t="str">
        <f>IF(D33="","",SUM(D$23:D33))</f>
        <v/>
      </c>
      <c r="E67" s="126" t="str">
        <f>IF(E33="","",SUM(E$23:E33))</f>
        <v/>
      </c>
      <c r="F67" s="126" t="str">
        <f>IF(F33="","",SUM(F$23:F33))</f>
        <v/>
      </c>
      <c r="G67" s="126" t="str">
        <f>IF(G33="","",SUM(G$23:G33))</f>
        <v/>
      </c>
      <c r="H67" s="126">
        <f>IF(H33="","",SUM(H$23:H33))</f>
        <v>11</v>
      </c>
      <c r="K67" s="25">
        <v>20</v>
      </c>
      <c r="AK67" s="46"/>
    </row>
    <row r="68" spans="1:37" x14ac:dyDescent="0.15">
      <c r="A68" s="46"/>
      <c r="B68" s="200"/>
      <c r="C68" s="126">
        <v>11</v>
      </c>
      <c r="D68" s="126" t="str">
        <f>IF(D34="","",SUM(D$23:D34))</f>
        <v/>
      </c>
      <c r="E68" s="126" t="str">
        <f>IF(E34="","",SUM(E$23:E34))</f>
        <v/>
      </c>
      <c r="F68" s="126" t="str">
        <f>IF(F34="","",SUM(F$23:F34))</f>
        <v/>
      </c>
      <c r="G68" s="126" t="str">
        <f>IF(G34="","",SUM(G$23:G34))</f>
        <v/>
      </c>
      <c r="H68" s="126">
        <f>IF(H34="","",SUM(H$23:H34))</f>
        <v>12</v>
      </c>
      <c r="K68" s="25">
        <v>21</v>
      </c>
    </row>
    <row r="69" spans="1:37" x14ac:dyDescent="0.15">
      <c r="A69" s="46"/>
      <c r="B69" s="200"/>
      <c r="C69" s="126"/>
      <c r="D69" s="126"/>
      <c r="E69" s="126"/>
      <c r="F69" s="126"/>
      <c r="G69" s="126"/>
      <c r="H69" s="126"/>
      <c r="K69" s="25">
        <v>22</v>
      </c>
      <c r="L69" s="46"/>
      <c r="M69" s="46"/>
      <c r="N69" s="46"/>
      <c r="O69" s="46"/>
      <c r="P69" s="46"/>
      <c r="Q69" s="46"/>
      <c r="R69" s="46"/>
      <c r="S69" s="46"/>
      <c r="T69" s="46"/>
      <c r="U69" s="46"/>
      <c r="V69" s="46"/>
      <c r="W69" s="46"/>
    </row>
    <row r="70" spans="1:37" x14ac:dyDescent="0.15">
      <c r="B70" s="200"/>
      <c r="C70" s="126"/>
      <c r="D70" s="126"/>
      <c r="E70" s="126"/>
      <c r="F70" s="126"/>
      <c r="G70" s="126"/>
      <c r="H70" s="126"/>
      <c r="K70" s="25">
        <v>23</v>
      </c>
      <c r="L70" s="46"/>
      <c r="M70" s="46"/>
      <c r="N70" s="46"/>
      <c r="O70" s="46"/>
      <c r="P70" s="46"/>
      <c r="Q70" s="46"/>
      <c r="R70" s="46"/>
      <c r="S70" s="46"/>
      <c r="T70" s="46"/>
      <c r="U70" s="46"/>
      <c r="V70" s="46"/>
      <c r="W70" s="46"/>
    </row>
    <row r="71" spans="1:37" x14ac:dyDescent="0.15">
      <c r="B71" s="201"/>
      <c r="C71" s="126"/>
      <c r="D71" s="126"/>
      <c r="E71" s="126"/>
      <c r="F71" s="126"/>
      <c r="G71" s="126"/>
      <c r="H71" s="126"/>
      <c r="K71" s="25">
        <v>24</v>
      </c>
      <c r="L71" s="46"/>
      <c r="M71" s="46"/>
      <c r="N71" s="46"/>
      <c r="O71" s="46"/>
      <c r="P71" s="46"/>
      <c r="Q71" s="46"/>
      <c r="R71" s="46"/>
      <c r="S71" s="46"/>
      <c r="T71" s="46"/>
      <c r="U71" s="46"/>
      <c r="V71" s="46"/>
      <c r="W71" s="46"/>
    </row>
    <row r="72" spans="1:37" x14ac:dyDescent="0.15">
      <c r="A72" s="7">
        <v>1</v>
      </c>
      <c r="B72" s="183" t="s">
        <v>145</v>
      </c>
      <c r="C72" s="183"/>
      <c r="D72" s="23">
        <f>D38</f>
        <v>0</v>
      </c>
      <c r="E72" s="23">
        <f>E38</f>
        <v>1</v>
      </c>
      <c r="F72" s="23">
        <f>F38</f>
        <v>2</v>
      </c>
      <c r="G72" s="23">
        <f>G38</f>
        <v>3</v>
      </c>
      <c r="H72" s="23">
        <f>H38</f>
        <v>5</v>
      </c>
      <c r="K72" s="25">
        <v>25</v>
      </c>
      <c r="L72" s="46"/>
      <c r="M72" s="46"/>
      <c r="N72" s="46"/>
      <c r="O72" s="46"/>
      <c r="P72" s="46"/>
      <c r="Q72" s="46"/>
      <c r="R72" s="46"/>
      <c r="S72" s="46"/>
      <c r="T72" s="46"/>
      <c r="U72" s="46"/>
      <c r="V72" s="46"/>
      <c r="W72" s="46"/>
    </row>
    <row r="73" spans="1:37" x14ac:dyDescent="0.15">
      <c r="A73" s="7">
        <v>2</v>
      </c>
      <c r="B73" s="199" t="s">
        <v>177</v>
      </c>
      <c r="C73" s="23" t="s">
        <v>147</v>
      </c>
      <c r="D73" s="23" t="s">
        <v>140</v>
      </c>
      <c r="E73" s="23" t="s">
        <v>141</v>
      </c>
      <c r="F73" s="23" t="s">
        <v>142</v>
      </c>
      <c r="G73" s="23" t="s">
        <v>143</v>
      </c>
      <c r="H73" s="23" t="s">
        <v>144</v>
      </c>
      <c r="K73" s="25">
        <v>26</v>
      </c>
      <c r="L73" s="46"/>
      <c r="M73" s="46"/>
      <c r="N73" s="46"/>
      <c r="O73" s="46"/>
      <c r="P73" s="46"/>
      <c r="Q73" s="46"/>
      <c r="R73" s="46"/>
      <c r="S73" s="46"/>
      <c r="T73" s="46"/>
      <c r="U73" s="46"/>
      <c r="V73" s="46"/>
      <c r="W73" s="46"/>
      <c r="AK73" s="46"/>
    </row>
    <row r="74" spans="1:37" x14ac:dyDescent="0.15">
      <c r="A74" s="46">
        <v>3</v>
      </c>
      <c r="B74" s="200"/>
      <c r="C74" s="23">
        <v>0</v>
      </c>
      <c r="D74" s="118">
        <f>IF(D40="","",SUM(D$40:D40))</f>
        <v>0</v>
      </c>
      <c r="E74" s="118">
        <f>IF(E40="","",SUM(E$40:E40))</f>
        <v>0</v>
      </c>
      <c r="F74" s="118">
        <f>IF(F40="","",SUM(F$40:F40))</f>
        <v>0</v>
      </c>
      <c r="G74" s="118">
        <f>IF(G40="","",SUM(G$40:G40))</f>
        <v>0</v>
      </c>
      <c r="H74" s="118">
        <f>IF(H40="","",SUM(H$40:H40))</f>
        <v>0</v>
      </c>
      <c r="K74" s="25">
        <v>27</v>
      </c>
      <c r="L74" s="46"/>
      <c r="M74" s="46"/>
      <c r="N74" s="46"/>
      <c r="O74" s="46"/>
      <c r="P74" s="46"/>
      <c r="Q74" s="46"/>
      <c r="R74" s="46"/>
      <c r="S74" s="46"/>
      <c r="T74" s="46"/>
      <c r="U74" s="46"/>
      <c r="V74" s="46"/>
      <c r="W74" s="46"/>
      <c r="AA74" s="36"/>
      <c r="AK74" s="46"/>
    </row>
    <row r="75" spans="1:37" x14ac:dyDescent="0.15">
      <c r="A75" s="46">
        <v>4</v>
      </c>
      <c r="B75" s="200"/>
      <c r="C75" s="23">
        <v>1</v>
      </c>
      <c r="D75" s="126" t="str">
        <f>IF(D41="","",SUM(D$40:D41))</f>
        <v/>
      </c>
      <c r="E75" s="126">
        <f>IF(E41="","",SUM(E$40:E41))</f>
        <v>5000</v>
      </c>
      <c r="F75" s="126">
        <f>IF(F41="","",SUM(F$40:F41))</f>
        <v>10000</v>
      </c>
      <c r="G75" s="126">
        <f>IF(G41="","",SUM(G$40:G41))</f>
        <v>30000</v>
      </c>
      <c r="H75" s="126">
        <f>IF(H41="","",SUM(H$40:H41))</f>
        <v>120000</v>
      </c>
      <c r="I75" s="46"/>
      <c r="K75" s="25">
        <v>28</v>
      </c>
      <c r="L75" s="46"/>
      <c r="M75" s="46"/>
      <c r="N75" s="46"/>
      <c r="O75" s="46"/>
      <c r="P75" s="46"/>
      <c r="Q75" s="46"/>
      <c r="R75" s="46"/>
      <c r="S75" s="46"/>
      <c r="T75" s="46"/>
      <c r="U75" s="46"/>
      <c r="V75" s="46"/>
      <c r="W75" s="46"/>
      <c r="AA75" s="36"/>
      <c r="AK75" s="46"/>
    </row>
    <row r="76" spans="1:37" x14ac:dyDescent="0.15">
      <c r="A76" s="46">
        <v>5</v>
      </c>
      <c r="B76" s="200"/>
      <c r="C76" s="23">
        <v>2</v>
      </c>
      <c r="D76" s="126" t="str">
        <f>IF(D42="","",SUM(D$40:D42))</f>
        <v/>
      </c>
      <c r="E76" s="126" t="str">
        <f>IF(E42="","",SUM(E$40:E42))</f>
        <v/>
      </c>
      <c r="F76" s="126">
        <f>IF(F42="","",SUM(F$40:F42))</f>
        <v>30000</v>
      </c>
      <c r="G76" s="126">
        <f>IF(G42="","",SUM(G$40:G42))</f>
        <v>90000</v>
      </c>
      <c r="H76" s="126">
        <f>IF(H42="","",SUM(H$40:H42))</f>
        <v>360000</v>
      </c>
      <c r="I76" s="46"/>
      <c r="K76" s="25">
        <v>29</v>
      </c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AK76" s="46"/>
    </row>
    <row r="77" spans="1:37" x14ac:dyDescent="0.15">
      <c r="A77" s="46">
        <v>6</v>
      </c>
      <c r="B77" s="200"/>
      <c r="C77" s="23">
        <v>3</v>
      </c>
      <c r="D77" s="126" t="str">
        <f>IF(D43="","",SUM(D$40:D43))</f>
        <v/>
      </c>
      <c r="E77" s="126" t="str">
        <f>IF(E43="","",SUM(E$40:E43))</f>
        <v/>
      </c>
      <c r="F77" s="126" t="str">
        <f>IF(F43="","",SUM(F$40:F43))</f>
        <v/>
      </c>
      <c r="G77" s="126">
        <f>IF(G43="","",SUM(G$40:G43))</f>
        <v>210000</v>
      </c>
      <c r="H77" s="126">
        <f>IF(H43="","",SUM(H$40:H43))</f>
        <v>840000</v>
      </c>
      <c r="I77" s="46"/>
      <c r="K77" s="25">
        <v>30</v>
      </c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AK77" s="46"/>
    </row>
    <row r="78" spans="1:37" x14ac:dyDescent="0.15">
      <c r="A78" s="46">
        <v>7</v>
      </c>
      <c r="B78" s="200"/>
      <c r="C78" s="23">
        <v>4</v>
      </c>
      <c r="D78" s="126" t="str">
        <f>IF(D44="","",SUM(D$40:D44))</f>
        <v/>
      </c>
      <c r="E78" s="126" t="str">
        <f>IF(E44="","",SUM(E$40:E44))</f>
        <v/>
      </c>
      <c r="F78" s="126" t="str">
        <f>IF(F44="","",SUM(F$40:F44))</f>
        <v/>
      </c>
      <c r="G78" s="126" t="str">
        <f>IF(G44="","",SUM(G$40:G44))</f>
        <v/>
      </c>
      <c r="H78" s="126">
        <f>IF(H44="","",SUM(H$40:H44))</f>
        <v>1800000</v>
      </c>
      <c r="I78" s="46"/>
      <c r="K78" s="25">
        <v>31</v>
      </c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AK78" s="46"/>
    </row>
    <row r="79" spans="1:37" x14ac:dyDescent="0.15">
      <c r="A79" s="46">
        <v>8</v>
      </c>
      <c r="B79" s="200"/>
      <c r="C79" s="23">
        <v>5</v>
      </c>
      <c r="D79" s="126" t="str">
        <f>IF(D45="","",SUM(D$40:D45))</f>
        <v/>
      </c>
      <c r="E79" s="126" t="str">
        <f>IF(E45="","",SUM(E$40:E45))</f>
        <v/>
      </c>
      <c r="F79" s="126" t="str">
        <f>IF(F45="","",SUM(F$40:F45))</f>
        <v/>
      </c>
      <c r="G79" s="126" t="str">
        <f>IF(G45="","",SUM(G$40:G45))</f>
        <v/>
      </c>
      <c r="H79" s="126">
        <f>IF(H45="","",SUM(H$40:H45))</f>
        <v>3720000</v>
      </c>
      <c r="I79" s="46"/>
      <c r="K79" s="25">
        <v>32</v>
      </c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</row>
    <row r="80" spans="1:37" x14ac:dyDescent="0.15">
      <c r="A80" s="46">
        <v>9</v>
      </c>
      <c r="B80" s="200"/>
      <c r="C80" s="23">
        <v>6</v>
      </c>
      <c r="D80" s="126" t="str">
        <f>IF(D46="","",SUM(D$40:D46))</f>
        <v/>
      </c>
      <c r="E80" s="126" t="str">
        <f>IF(E46="","",SUM(E$40:E46))</f>
        <v/>
      </c>
      <c r="F80" s="126" t="str">
        <f>IF(F46="","",SUM(F$40:F46))</f>
        <v/>
      </c>
      <c r="G80" s="126" t="str">
        <f>IF(G46="","",SUM(G$40:G46))</f>
        <v/>
      </c>
      <c r="H80" s="126">
        <f>IF(H46="","",SUM(H$40:H46))</f>
        <v>7560000</v>
      </c>
      <c r="I80" s="46"/>
      <c r="K80" s="25">
        <v>33</v>
      </c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</row>
    <row r="81" spans="1:37" x14ac:dyDescent="0.15">
      <c r="A81" s="46">
        <v>10</v>
      </c>
      <c r="B81" s="200"/>
      <c r="C81" s="126">
        <v>7</v>
      </c>
      <c r="D81" s="126" t="str">
        <f>IF(D47="","",SUM(D$40:D47))</f>
        <v/>
      </c>
      <c r="E81" s="126" t="str">
        <f>IF(E47="","",SUM(E$40:E47))</f>
        <v/>
      </c>
      <c r="F81" s="126" t="str">
        <f>IF(F47="","",SUM(F$40:F47))</f>
        <v/>
      </c>
      <c r="G81" s="126" t="str">
        <f>IF(G47="","",SUM(G$40:G47))</f>
        <v/>
      </c>
      <c r="H81" s="126">
        <f>IF(H47="","",SUM(H$40:H47))</f>
        <v>15240000</v>
      </c>
      <c r="I81" s="46"/>
      <c r="K81" s="25">
        <v>34</v>
      </c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</row>
    <row r="82" spans="1:37" x14ac:dyDescent="0.15">
      <c r="A82" s="46">
        <v>11</v>
      </c>
      <c r="B82" s="200"/>
      <c r="C82" s="126">
        <v>8</v>
      </c>
      <c r="D82" s="126" t="str">
        <f>IF(D48="","",SUM(D$40:D48))</f>
        <v/>
      </c>
      <c r="E82" s="126" t="str">
        <f>IF(E48="","",SUM(E$40:E48))</f>
        <v/>
      </c>
      <c r="F82" s="126" t="str">
        <f>IF(F48="","",SUM(F$40:F48))</f>
        <v/>
      </c>
      <c r="G82" s="126" t="str">
        <f>IF(G48="","",SUM(G$40:G48))</f>
        <v/>
      </c>
      <c r="H82" s="126">
        <f>IF(H48="","",SUM(H$40:H48))</f>
        <v>30600000</v>
      </c>
      <c r="I82" s="46"/>
      <c r="K82" s="25">
        <v>35</v>
      </c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</row>
    <row r="83" spans="1:37" x14ac:dyDescent="0.15">
      <c r="A83" s="46">
        <v>12</v>
      </c>
      <c r="B83" s="200"/>
      <c r="C83" s="126">
        <v>9</v>
      </c>
      <c r="D83" s="126" t="str">
        <f>IF(D49="","",SUM(D$40:D49))</f>
        <v/>
      </c>
      <c r="E83" s="126" t="str">
        <f>IF(E49="","",SUM(E$40:E49))</f>
        <v/>
      </c>
      <c r="F83" s="126" t="str">
        <f>IF(F49="","",SUM(F$40:F49))</f>
        <v/>
      </c>
      <c r="G83" s="126" t="str">
        <f>IF(G49="","",SUM(G$40:G49))</f>
        <v/>
      </c>
      <c r="H83" s="126">
        <f>IF(H49="","",SUM(H$40:H49))</f>
        <v>61320000</v>
      </c>
      <c r="I83" s="46"/>
      <c r="K83" s="25">
        <v>36</v>
      </c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</row>
    <row r="84" spans="1:37" x14ac:dyDescent="0.15">
      <c r="A84" s="46">
        <v>13</v>
      </c>
      <c r="B84" s="200"/>
      <c r="C84" s="126">
        <v>10</v>
      </c>
      <c r="D84" s="126" t="str">
        <f>IF(D50="","",SUM(D$40:D50))</f>
        <v/>
      </c>
      <c r="E84" s="126" t="str">
        <f>IF(E50="","",SUM(E$40:E50))</f>
        <v/>
      </c>
      <c r="F84" s="126" t="str">
        <f>IF(F50="","",SUM(F$40:F50))</f>
        <v/>
      </c>
      <c r="G84" s="126" t="str">
        <f>IF(G50="","",SUM(G$40:G50))</f>
        <v/>
      </c>
      <c r="H84" s="126">
        <f>IF(H50="","",SUM(H$40:H50))</f>
        <v>122760000</v>
      </c>
      <c r="I84" s="46"/>
      <c r="K84" s="25">
        <v>37</v>
      </c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</row>
    <row r="85" spans="1:37" x14ac:dyDescent="0.15">
      <c r="A85" s="46">
        <v>14</v>
      </c>
      <c r="B85" s="200"/>
      <c r="C85" s="126">
        <v>11</v>
      </c>
      <c r="D85" s="126" t="str">
        <f>IF(D51="","",SUM(D$40:D51))</f>
        <v/>
      </c>
      <c r="E85" s="126" t="str">
        <f>IF(E51="","",SUM(E$40:E51))</f>
        <v/>
      </c>
      <c r="F85" s="126" t="str">
        <f>IF(F51="","",SUM(F$40:F51))</f>
        <v/>
      </c>
      <c r="G85" s="126" t="str">
        <f>IF(G51="","",SUM(G$40:G51))</f>
        <v/>
      </c>
      <c r="H85" s="126">
        <f>IF(H51="","",SUM(H$40:H51))</f>
        <v>245640000</v>
      </c>
      <c r="I85" s="46"/>
      <c r="K85" s="25">
        <v>38</v>
      </c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</row>
    <row r="86" spans="1:37" x14ac:dyDescent="0.15">
      <c r="A86" s="46">
        <v>15</v>
      </c>
      <c r="B86" s="200"/>
      <c r="C86" s="126"/>
      <c r="D86" s="126"/>
      <c r="E86" s="126"/>
      <c r="F86" s="126"/>
      <c r="G86" s="126"/>
      <c r="H86" s="126"/>
      <c r="K86" s="25">
        <v>39</v>
      </c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AK86" s="46"/>
    </row>
    <row r="87" spans="1:37" x14ac:dyDescent="0.15">
      <c r="A87" s="46">
        <v>16</v>
      </c>
      <c r="B87" s="200"/>
      <c r="C87" s="126"/>
      <c r="D87" s="126"/>
      <c r="E87" s="126"/>
      <c r="F87" s="126"/>
      <c r="G87" s="126"/>
      <c r="H87" s="126"/>
      <c r="K87" s="25">
        <v>40</v>
      </c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AK87" s="46"/>
    </row>
    <row r="88" spans="1:37" x14ac:dyDescent="0.15">
      <c r="B88" s="201"/>
      <c r="C88" s="126"/>
      <c r="D88" s="126"/>
      <c r="E88" s="126"/>
      <c r="F88" s="126"/>
      <c r="G88" s="126"/>
      <c r="H88" s="126"/>
      <c r="K88" s="25">
        <v>41</v>
      </c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AK88" s="46"/>
    </row>
    <row r="89" spans="1:37" x14ac:dyDescent="0.15">
      <c r="B89" s="81"/>
      <c r="C89" s="35"/>
      <c r="D89" s="35"/>
      <c r="E89" s="35"/>
      <c r="F89" s="35"/>
      <c r="G89" s="35"/>
      <c r="H89" s="35"/>
      <c r="K89" s="25">
        <v>42</v>
      </c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AK89" s="46"/>
    </row>
    <row r="90" spans="1:37" x14ac:dyDescent="0.15">
      <c r="B90" s="81"/>
      <c r="C90" s="35"/>
      <c r="D90" s="35"/>
      <c r="E90" s="35"/>
      <c r="F90" s="35"/>
      <c r="G90" s="35"/>
      <c r="H90" s="35"/>
      <c r="K90" s="25">
        <v>43</v>
      </c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AK90" s="46"/>
    </row>
    <row r="91" spans="1:37" x14ac:dyDescent="0.15">
      <c r="B91" s="184" t="s">
        <v>368</v>
      </c>
      <c r="C91" s="185"/>
      <c r="D91" s="78">
        <v>1</v>
      </c>
      <c r="E91" s="78">
        <v>0.8</v>
      </c>
      <c r="F91" s="78">
        <v>0.8</v>
      </c>
      <c r="G91" s="78">
        <v>0.8</v>
      </c>
      <c r="H91" s="78">
        <v>0.8</v>
      </c>
      <c r="K91" s="25">
        <v>44</v>
      </c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AK91" s="46"/>
    </row>
    <row r="92" spans="1:37" x14ac:dyDescent="0.15">
      <c r="B92" s="184" t="s">
        <v>369</v>
      </c>
      <c r="C92" s="185"/>
      <c r="D92" s="78">
        <f>1-D91</f>
        <v>0</v>
      </c>
      <c r="E92" s="78">
        <f t="shared" ref="E92:H92" si="19">1-E91</f>
        <v>0.19999999999999996</v>
      </c>
      <c r="F92" s="78">
        <f t="shared" si="19"/>
        <v>0.19999999999999996</v>
      </c>
      <c r="G92" s="78">
        <f t="shared" si="19"/>
        <v>0.19999999999999996</v>
      </c>
      <c r="H92" s="78">
        <f t="shared" si="19"/>
        <v>0.19999999999999996</v>
      </c>
      <c r="K92" s="25">
        <v>45</v>
      </c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AK92" s="46"/>
    </row>
    <row r="93" spans="1:37" ht="11.25" customHeight="1" x14ac:dyDescent="0.15">
      <c r="B93" s="202" t="s">
        <v>367</v>
      </c>
      <c r="C93" s="126" t="s">
        <v>404</v>
      </c>
      <c r="D93" s="126" t="s">
        <v>140</v>
      </c>
      <c r="E93" s="126" t="s">
        <v>141</v>
      </c>
      <c r="F93" s="126" t="s">
        <v>142</v>
      </c>
      <c r="G93" s="126" t="s">
        <v>143</v>
      </c>
      <c r="H93" s="126" t="s">
        <v>144</v>
      </c>
      <c r="K93" s="25">
        <v>1</v>
      </c>
      <c r="L93" s="183" t="s">
        <v>137</v>
      </c>
      <c r="M93" s="183"/>
      <c r="N93" s="183"/>
      <c r="O93" s="183"/>
      <c r="P93" s="183"/>
      <c r="Q93" s="183"/>
      <c r="R93" s="183"/>
      <c r="S93" s="183"/>
      <c r="T93" s="183"/>
      <c r="U93" s="183"/>
      <c r="V93" s="183"/>
      <c r="W93" s="183"/>
      <c r="AK93" s="46"/>
    </row>
    <row r="94" spans="1:37" x14ac:dyDescent="0.15">
      <c r="B94" s="202"/>
      <c r="C94" s="126">
        <v>0</v>
      </c>
      <c r="D94" s="126">
        <v>0.9</v>
      </c>
      <c r="E94" s="126">
        <v>0.7</v>
      </c>
      <c r="F94" s="126">
        <v>0.6</v>
      </c>
      <c r="G94" s="126">
        <v>0.55000000000000004</v>
      </c>
      <c r="H94" s="143">
        <v>0.48</v>
      </c>
      <c r="K94" s="25">
        <v>2</v>
      </c>
      <c r="L94" s="17"/>
      <c r="M94" s="196" t="s">
        <v>195</v>
      </c>
      <c r="N94" s="197"/>
      <c r="O94" s="197"/>
      <c r="P94" s="197"/>
      <c r="Q94" s="197"/>
      <c r="R94" s="196" t="s">
        <v>184</v>
      </c>
      <c r="S94" s="197"/>
      <c r="T94" s="197"/>
      <c r="U94" s="197"/>
      <c r="V94" s="197"/>
      <c r="W94" s="198"/>
      <c r="AA94" s="73" t="s">
        <v>356</v>
      </c>
      <c r="AB94" s="183" t="s">
        <v>376</v>
      </c>
      <c r="AC94" s="183"/>
      <c r="AD94" s="183"/>
      <c r="AE94" s="183"/>
      <c r="AG94" s="70" t="s">
        <v>356</v>
      </c>
      <c r="AH94" s="184" t="s">
        <v>351</v>
      </c>
      <c r="AI94" s="185"/>
      <c r="AK94" s="46"/>
    </row>
    <row r="95" spans="1:37" x14ac:dyDescent="0.15">
      <c r="B95" s="202"/>
      <c r="C95" s="126">
        <v>20</v>
      </c>
      <c r="D95" s="126" t="s">
        <v>397</v>
      </c>
      <c r="E95" s="126">
        <v>0.85</v>
      </c>
      <c r="F95" s="126">
        <v>0.7</v>
      </c>
      <c r="G95" s="126">
        <v>0.625</v>
      </c>
      <c r="H95" s="143">
        <v>0.54500000000000004</v>
      </c>
      <c r="K95" s="25">
        <v>3</v>
      </c>
      <c r="L95" s="6" t="s">
        <v>398</v>
      </c>
      <c r="M95" s="13" t="s">
        <v>179</v>
      </c>
      <c r="N95" s="22" t="s">
        <v>180</v>
      </c>
      <c r="O95" s="22" t="s">
        <v>181</v>
      </c>
      <c r="P95" s="22" t="s">
        <v>182</v>
      </c>
      <c r="Q95" s="26" t="s">
        <v>194</v>
      </c>
      <c r="R95" s="13" t="s">
        <v>179</v>
      </c>
      <c r="S95" s="22" t="s">
        <v>180</v>
      </c>
      <c r="T95" s="22" t="s">
        <v>181</v>
      </c>
      <c r="U95" s="22" t="s">
        <v>182</v>
      </c>
      <c r="V95" s="22" t="s">
        <v>172</v>
      </c>
      <c r="W95" s="22" t="s">
        <v>183</v>
      </c>
      <c r="AA95" s="51" t="s">
        <v>398</v>
      </c>
      <c r="AB95" s="83" t="s">
        <v>372</v>
      </c>
      <c r="AC95" s="83"/>
      <c r="AD95" s="83" t="s">
        <v>353</v>
      </c>
      <c r="AE95" s="83" t="s">
        <v>352</v>
      </c>
      <c r="AG95" s="51" t="s">
        <v>398</v>
      </c>
      <c r="AH95" s="83" t="s">
        <v>372</v>
      </c>
      <c r="AI95" s="83" t="s">
        <v>353</v>
      </c>
      <c r="AJ95" s="83" t="s">
        <v>370</v>
      </c>
      <c r="AK95" s="46"/>
    </row>
    <row r="96" spans="1:37" x14ac:dyDescent="0.15">
      <c r="B96" s="202"/>
      <c r="C96" s="126">
        <v>40</v>
      </c>
      <c r="D96" s="126" t="s">
        <v>397</v>
      </c>
      <c r="E96" s="126">
        <v>1</v>
      </c>
      <c r="F96" s="126">
        <v>0.8</v>
      </c>
      <c r="G96" s="126">
        <v>0.7</v>
      </c>
      <c r="H96" s="143">
        <v>0.61</v>
      </c>
      <c r="K96" s="25">
        <v>4</v>
      </c>
      <c r="L96" s="12">
        <v>10</v>
      </c>
      <c r="M96" s="15">
        <f>IF(节奏预期!S64="","",INDEX(装备突破!D$57:D$71,MATCH(节奏预期!S64,装备突破!$C$57:$C$71,0)))</f>
        <v>1</v>
      </c>
      <c r="N96" s="23">
        <f>IF(节奏预期!T64="","",INDEX(装备突破!E$57:E$71,MATCH(节奏预期!T64,装备突破!$C$57:$C$71,0)))</f>
        <v>1</v>
      </c>
      <c r="O96" s="23">
        <f>IF(节奏预期!U64="","",INDEX(装备突破!F$57:F$71,MATCH(节奏预期!U64,装备突破!$C$57:$C$71,0)))</f>
        <v>1</v>
      </c>
      <c r="P96" s="23">
        <f>IF(节奏预期!V64="","",INDEX(装备突破!G$57:G$71,MATCH(节奏预期!V64,装备突破!$C$57:$C$71,0)))</f>
        <v>1</v>
      </c>
      <c r="Q96" s="27">
        <f>IF(节奏预期!W64="","",INDEX(装备突破!H$57:H$71,MATCH(节奏预期!W64,装备突破!$C$57:$C$71,0)))</f>
        <v>1</v>
      </c>
      <c r="R96" s="15">
        <f>IF(节奏预期!S64="","",INDEX(装备突破!D$74:D$88,MATCH(节奏预期!S64,装备突破!$C$74:$C$88,0))*节奏预期!D64)</f>
        <v>0</v>
      </c>
      <c r="S96" s="23">
        <f>IF(节奏预期!T64="","",INDEX(装备突破!E$74:E$88,MATCH(节奏预期!T64,装备突破!$C$74:$C$88,0))*节奏预期!E64)</f>
        <v>0</v>
      </c>
      <c r="T96" s="23">
        <f>IF(节奏预期!U64="","",INDEX(装备突破!F$74:F$88,MATCH(节奏预期!U64,装备突破!$C$74:$C$88,0))*节奏预期!F64)</f>
        <v>0</v>
      </c>
      <c r="U96" s="23">
        <f>IF(节奏预期!V64="","",INDEX(装备突破!G$74:G$88,MATCH(节奏预期!V64,装备突破!$C$74:$C$88,0))*节奏预期!G64)</f>
        <v>0</v>
      </c>
      <c r="V96" s="23">
        <f>IF(节奏预期!W64="","",INDEX(装备突破!H$74:H$88,MATCH(节奏预期!W64,装备突破!$C$74:$C$88,0))*节奏预期!H64)</f>
        <v>0</v>
      </c>
      <c r="W96" s="16">
        <f>SUM(R96:V96)</f>
        <v>0</v>
      </c>
      <c r="AA96" s="71">
        <v>10</v>
      </c>
      <c r="AB96" s="75">
        <f>INDEX('[1]功能-行军令'!$N$4:$R$163,AA6,3)*75*'[1]功能-行军令'!$AD$15</f>
        <v>1411.75125</v>
      </c>
      <c r="AC96" s="76"/>
      <c r="AD96" s="75">
        <f t="shared" ref="AD96:AD111" si="20">$W96</f>
        <v>0</v>
      </c>
      <c r="AE96" s="76">
        <f>AD96*INDEX('[1]功能-付费相关'!$AS$6:$AS$105,$AA96,1)</f>
        <v>0</v>
      </c>
      <c r="AG96" s="71">
        <v>10</v>
      </c>
      <c r="AH96" s="83">
        <f>AB96</f>
        <v>1411.75125</v>
      </c>
      <c r="AI96" s="83">
        <f t="shared" ref="AI96:AI104" si="21">AE96</f>
        <v>0</v>
      </c>
      <c r="AJ96" s="84">
        <f>SUM(AH96:AI96)</f>
        <v>1411.75125</v>
      </c>
      <c r="AK96" s="46"/>
    </row>
    <row r="97" spans="2:37" x14ac:dyDescent="0.15">
      <c r="B97" s="202"/>
      <c r="C97" s="126">
        <v>60</v>
      </c>
      <c r="D97" s="126" t="s">
        <v>397</v>
      </c>
      <c r="E97" s="126" t="s">
        <v>397</v>
      </c>
      <c r="F97" s="126">
        <v>0.9</v>
      </c>
      <c r="G97" s="126">
        <v>0.77500000000000002</v>
      </c>
      <c r="H97" s="143">
        <v>0.67500000000000004</v>
      </c>
      <c r="K97" s="25">
        <v>5</v>
      </c>
      <c r="L97" s="12">
        <v>20</v>
      </c>
      <c r="M97" s="15">
        <f>IF(节奏预期!S65="","",INDEX(装备突破!D$57:D$71,MATCH(节奏预期!S65,装备突破!$C$57:$C$71,0)))</f>
        <v>1</v>
      </c>
      <c r="N97" s="23">
        <f>IF(节奏预期!T65="","",INDEX(装备突破!E$57:E$71,MATCH(节奏预期!T65,装备突破!$C$57:$C$71,0)))</f>
        <v>2</v>
      </c>
      <c r="O97" s="23">
        <f>IF(节奏预期!U65="","",INDEX(装备突破!F$57:F$71,MATCH(节奏预期!U65,装备突破!$C$57:$C$71,0)))</f>
        <v>1</v>
      </c>
      <c r="P97" s="23">
        <f>IF(节奏预期!V65="","",INDEX(装备突破!G$57:G$71,MATCH(节奏预期!V65,装备突破!$C$57:$C$71,0)))</f>
        <v>1</v>
      </c>
      <c r="Q97" s="27">
        <f>IF(节奏预期!W65="","",INDEX(装备突破!H$57:H$71,MATCH(节奏预期!W65,装备突破!$C$57:$C$71,0)))</f>
        <v>1</v>
      </c>
      <c r="R97" s="15">
        <f>IF(节奏预期!S65="","",INDEX(装备突破!D$74:D$88,MATCH(节奏预期!S65,装备突破!$C$74:$C$88,0))*节奏预期!D65)</f>
        <v>0</v>
      </c>
      <c r="S97" s="23">
        <f>IF(节奏预期!T65="","",INDEX(装备突破!E$74:E$88,MATCH(节奏预期!T65,装备突破!$C$74:$C$88,0))*节奏预期!E65)</f>
        <v>65000</v>
      </c>
      <c r="T97" s="23">
        <f>IF(节奏预期!U65="","",INDEX(装备突破!F$74:F$88,MATCH(节奏预期!U65,装备突破!$C$74:$C$88,0))*节奏预期!F65)</f>
        <v>0</v>
      </c>
      <c r="U97" s="23">
        <f>IF(节奏预期!V65="","",INDEX(装备突破!G$74:G$88,MATCH(节奏预期!V65,装备突破!$C$74:$C$88,0))*节奏预期!G65)</f>
        <v>0</v>
      </c>
      <c r="V97" s="23">
        <f>IF(节奏预期!W65="","",INDEX(装备突破!H$74:H$88,MATCH(节奏预期!W65,装备突破!$C$74:$C$88,0))*节奏预期!H65)</f>
        <v>0</v>
      </c>
      <c r="W97" s="16">
        <f>MAX(SUM(R97:V97),$W$96:W96)</f>
        <v>65000</v>
      </c>
      <c r="AA97" s="71">
        <v>20</v>
      </c>
      <c r="AB97" s="75">
        <f>INDEX('[1]功能-行军令'!$N$4:$R$163,AA7,3)*75*'[1]功能-行军令'!$AD$15</f>
        <v>4375.9169999999995</v>
      </c>
      <c r="AC97" s="75"/>
      <c r="AD97" s="75">
        <f t="shared" si="20"/>
        <v>65000</v>
      </c>
      <c r="AE97" s="75">
        <f>(AD97-AD96)*INDEX('[1]功能-付费相关'!$S$6:$AS$165,$AA97,1)+AE96</f>
        <v>35.725196500861543</v>
      </c>
      <c r="AG97" s="71">
        <v>20</v>
      </c>
      <c r="AH97" s="83">
        <f t="shared" ref="AH97:AH104" si="22">AB97</f>
        <v>4375.9169999999995</v>
      </c>
      <c r="AI97" s="83">
        <f t="shared" si="21"/>
        <v>35.725196500861543</v>
      </c>
      <c r="AJ97" s="84">
        <f t="shared" ref="AJ97:AJ104" si="23">SUM(AH97:AI97)</f>
        <v>4411.6421965008612</v>
      </c>
    </row>
    <row r="98" spans="2:37" x14ac:dyDescent="0.15">
      <c r="B98" s="202"/>
      <c r="C98" s="126">
        <v>80</v>
      </c>
      <c r="D98" s="126" t="s">
        <v>397</v>
      </c>
      <c r="E98" s="126" t="s">
        <v>397</v>
      </c>
      <c r="F98" s="126">
        <v>1</v>
      </c>
      <c r="G98" s="126">
        <v>0.85</v>
      </c>
      <c r="H98" s="143">
        <v>0.74</v>
      </c>
      <c r="K98" s="25">
        <v>6</v>
      </c>
      <c r="L98" s="12">
        <v>30</v>
      </c>
      <c r="M98" s="15">
        <f>IF(节奏预期!S66="","",INDEX(装备突破!D$57:D$71,MATCH(节奏预期!S66,装备突破!$C$57:$C$71,0)))</f>
        <v>1</v>
      </c>
      <c r="N98" s="23">
        <f>IF(节奏预期!T66="","",INDEX(装备突破!E$57:E$71,MATCH(节奏预期!T66,装备突破!$C$57:$C$71,0)))</f>
        <v>2</v>
      </c>
      <c r="O98" s="23">
        <f>IF(节奏预期!U66="","",INDEX(装备突破!F$57:F$71,MATCH(节奏预期!U66,装备突破!$C$57:$C$71,0)))</f>
        <v>2</v>
      </c>
      <c r="P98" s="23">
        <f>IF(节奏预期!V66="","",INDEX(装备突破!G$57:G$71,MATCH(节奏预期!V66,装备突破!$C$57:$C$71,0)))</f>
        <v>1</v>
      </c>
      <c r="Q98" s="27">
        <f>IF(节奏预期!W66="","",INDEX(装备突破!H$57:H$71,MATCH(节奏预期!W66,装备突破!$C$57:$C$71,0)))</f>
        <v>1</v>
      </c>
      <c r="R98" s="15">
        <f>IF(节奏预期!S66="","",INDEX(装备突破!D$74:D$88,MATCH(节奏预期!S66,装备突破!$C$74:$C$88,0))*节奏预期!D66)</f>
        <v>0</v>
      </c>
      <c r="S98" s="23">
        <f>IF(节奏预期!T66="","",INDEX(装备突破!E$74:E$88,MATCH(节奏预期!T66,装备突破!$C$74:$C$88,0))*节奏预期!E66)</f>
        <v>0</v>
      </c>
      <c r="T98" s="23">
        <f>IF(节奏预期!U66="","",INDEX(装备突破!F$74:F$88,MATCH(节奏预期!U66,装备突破!$C$74:$C$88,0))*节奏预期!F66)</f>
        <v>160000</v>
      </c>
      <c r="U98" s="23">
        <f>IF(节奏预期!V66="","",INDEX(装备突破!G$74:G$88,MATCH(节奏预期!V66,装备突破!$C$74:$C$88,0))*节奏预期!G66)</f>
        <v>0</v>
      </c>
      <c r="V98" s="23">
        <f>IF(节奏预期!W66="","",INDEX(装备突破!H$74:H$88,MATCH(节奏预期!W66,装备突破!$C$74:$C$88,0))*节奏预期!H66)</f>
        <v>0</v>
      </c>
      <c r="W98" s="16">
        <f>MAX(SUM(R98:V98),$W$96:W97)</f>
        <v>160000</v>
      </c>
      <c r="AA98" s="71">
        <v>30</v>
      </c>
      <c r="AB98" s="75">
        <f>INDEX('[1]功能-行军令'!$N$4:$R$163,AA8,3)*75*'[1]功能-行军令'!$AD$15</f>
        <v>10323.699750000002</v>
      </c>
      <c r="AC98" s="75"/>
      <c r="AD98" s="75">
        <f t="shared" si="20"/>
        <v>160000</v>
      </c>
      <c r="AE98" s="75">
        <f>(AD98-AD97)*INDEX('[1]功能-付费相关'!$S$6:$AS$165,$AA98,1)+AE97</f>
        <v>63.178975259525807</v>
      </c>
      <c r="AG98" s="71">
        <v>30</v>
      </c>
      <c r="AH98" s="83">
        <f t="shared" si="22"/>
        <v>10323.699750000002</v>
      </c>
      <c r="AI98" s="83">
        <f t="shared" si="21"/>
        <v>63.178975259525807</v>
      </c>
      <c r="AJ98" s="84">
        <f t="shared" si="23"/>
        <v>10386.878725259527</v>
      </c>
    </row>
    <row r="99" spans="2:37" x14ac:dyDescent="0.15">
      <c r="B99" s="202"/>
      <c r="C99" s="126">
        <v>100</v>
      </c>
      <c r="D99" s="126" t="s">
        <v>397</v>
      </c>
      <c r="E99" s="126" t="s">
        <v>397</v>
      </c>
      <c r="F99" s="126" t="s">
        <v>397</v>
      </c>
      <c r="G99" s="126">
        <v>0.92500000000000004</v>
      </c>
      <c r="H99" s="143">
        <v>0.80500000000000005</v>
      </c>
      <c r="K99" s="25">
        <v>7</v>
      </c>
      <c r="L99" s="12">
        <v>40</v>
      </c>
      <c r="M99" s="15">
        <f>IF(节奏预期!S67="","",INDEX(装备突破!D$57:D$71,MATCH(节奏预期!S67,装备突破!$C$57:$C$71,0)))</f>
        <v>1</v>
      </c>
      <c r="N99" s="23">
        <f>IF(节奏预期!T67="","",INDEX(装备突破!E$57:E$71,MATCH(节奏预期!T67,装备突破!$C$57:$C$71,0)))</f>
        <v>2</v>
      </c>
      <c r="O99" s="23">
        <f>IF(节奏预期!U67="","",INDEX(装备突破!F$57:F$71,MATCH(节奏预期!U67,装备突破!$C$57:$C$71,0)))</f>
        <v>3</v>
      </c>
      <c r="P99" s="23">
        <f>IF(节奏预期!V67="","",INDEX(装备突破!G$57:G$71,MATCH(节奏预期!V67,装备突破!$C$57:$C$71,0)))</f>
        <v>2</v>
      </c>
      <c r="Q99" s="27">
        <f>IF(节奏预期!W67="","",INDEX(装备突破!H$57:H$71,MATCH(节奏预期!W67,装备突破!$C$57:$C$71,0)))</f>
        <v>1</v>
      </c>
      <c r="R99" s="15">
        <f>IF(节奏预期!S67="","",INDEX(装备突破!D$74:D$88,MATCH(节奏预期!S67,装备突破!$C$74:$C$88,0))*节奏预期!D67)</f>
        <v>0</v>
      </c>
      <c r="S99" s="23">
        <f>IF(节奏预期!T67="","",INDEX(装备突破!E$74:E$88,MATCH(节奏预期!T67,装备突破!$C$74:$C$88,0))*节奏预期!E67)</f>
        <v>0</v>
      </c>
      <c r="T99" s="23">
        <f>IF(节奏预期!U67="","",INDEX(装备突破!F$74:F$88,MATCH(节奏预期!U67,装备突破!$C$74:$C$88,0))*节奏预期!F67)</f>
        <v>0</v>
      </c>
      <c r="U99" s="23">
        <f>IF(节奏预期!V67="","",INDEX(装备突破!G$74:G$88,MATCH(节奏预期!V67,装备突破!$C$74:$C$88,0))*节奏预期!G67)</f>
        <v>480000</v>
      </c>
      <c r="V99" s="23">
        <f>IF(节奏预期!W67="","",INDEX(装备突破!H$74:H$88,MATCH(节奏预期!W67,装备突破!$C$74:$C$88,0))*节奏预期!H67)</f>
        <v>0</v>
      </c>
      <c r="W99" s="16">
        <f>MAX(SUM(R99:V99),$W$96:W98)</f>
        <v>480000</v>
      </c>
      <c r="AA99" s="71">
        <v>40</v>
      </c>
      <c r="AB99" s="75">
        <f>INDEX('[1]功能-行军令'!$N$4:$R$163,AA9,3)*75*'[1]功能-行军令'!$AD$15</f>
        <v>22076.145</v>
      </c>
      <c r="AC99" s="75"/>
      <c r="AD99" s="75">
        <f t="shared" si="20"/>
        <v>480000</v>
      </c>
      <c r="AE99" s="75">
        <f>(AD99-AD98)*INDEX('[1]功能-付费相关'!$S$6:$AS$165,$AA99,1)+AE98</f>
        <v>113.97837755736364</v>
      </c>
      <c r="AG99" s="71">
        <v>40</v>
      </c>
      <c r="AH99" s="83">
        <f t="shared" si="22"/>
        <v>22076.145</v>
      </c>
      <c r="AI99" s="83">
        <f t="shared" si="21"/>
        <v>113.97837755736364</v>
      </c>
      <c r="AJ99" s="84">
        <f t="shared" si="23"/>
        <v>22190.123377557364</v>
      </c>
    </row>
    <row r="100" spans="2:37" x14ac:dyDescent="0.15">
      <c r="B100" s="202"/>
      <c r="C100" s="126">
        <v>120</v>
      </c>
      <c r="D100" s="126" t="s">
        <v>397</v>
      </c>
      <c r="E100" s="126" t="s">
        <v>397</v>
      </c>
      <c r="F100" s="126" t="s">
        <v>397</v>
      </c>
      <c r="G100" s="126">
        <v>1</v>
      </c>
      <c r="H100" s="126">
        <v>0.87</v>
      </c>
      <c r="K100" s="25">
        <v>8</v>
      </c>
      <c r="L100" s="12">
        <v>50</v>
      </c>
      <c r="M100" s="15">
        <f>IF(节奏预期!S68="","",INDEX(装备突破!D$57:D$71,MATCH(节奏预期!S68,装备突破!$C$57:$C$71,0)))</f>
        <v>1</v>
      </c>
      <c r="N100" s="23">
        <f>IF(节奏预期!T68="","",INDEX(装备突破!E$57:E$71,MATCH(节奏预期!T68,装备突破!$C$57:$C$71,0)))</f>
        <v>1</v>
      </c>
      <c r="O100" s="23">
        <f>IF(节奏预期!U68="","",INDEX(装备突破!F$57:F$71,MATCH(节奏预期!U68,装备突破!$C$57:$C$71,0)))</f>
        <v>3</v>
      </c>
      <c r="P100" s="23">
        <f>IF(节奏预期!V68="","",INDEX(装备突破!G$57:G$71,MATCH(节奏预期!V68,装备突破!$C$57:$C$71,0)))</f>
        <v>3</v>
      </c>
      <c r="Q100" s="27">
        <f>IF(节奏预期!W68="","",INDEX(装备突破!H$57:H$71,MATCH(节奏预期!W68,装备突破!$C$57:$C$71,0)))</f>
        <v>1</v>
      </c>
      <c r="R100" s="15">
        <f>IF(节奏预期!S68="","",INDEX(装备突破!D$74:D$88,MATCH(节奏预期!S68,装备突破!$C$74:$C$88,0))*节奏预期!D68)</f>
        <v>0</v>
      </c>
      <c r="S100" s="23">
        <f>IF(节奏预期!T68="","",INDEX(装备突破!E$74:E$88,MATCH(节奏预期!T68,装备突破!$C$74:$C$88,0))*节奏预期!E68)</f>
        <v>0</v>
      </c>
      <c r="T100" s="23">
        <f>IF(节奏预期!U68="","",INDEX(装备突破!F$74:F$88,MATCH(节奏预期!U68,装备突破!$C$74:$C$88,0))*节奏预期!F68)</f>
        <v>0</v>
      </c>
      <c r="U100" s="23">
        <f>IF(节奏预期!V68="","",INDEX(装备突破!G$74:G$88,MATCH(节奏预期!V68,装备突破!$C$74:$C$88,0))*节奏预期!G68)</f>
        <v>1260000</v>
      </c>
      <c r="V100" s="23">
        <f>IF(节奏预期!W68="","",INDEX(装备突破!H$74:H$88,MATCH(节奏预期!W68,装备突破!$C$74:$C$88,0))*节奏预期!H68)</f>
        <v>0</v>
      </c>
      <c r="W100" s="16">
        <f>MAX(SUM(R100:V100),$W$96:W99)</f>
        <v>1260000</v>
      </c>
      <c r="AA100" s="71">
        <v>50</v>
      </c>
      <c r="AB100" s="75">
        <f>INDEX('[1]功能-行军令'!$N$4:$R$163,AA10,3)*75*'[1]功能-行军令'!$AD$15</f>
        <v>45465.351750000002</v>
      </c>
      <c r="AC100" s="75"/>
      <c r="AD100" s="75">
        <f t="shared" si="20"/>
        <v>1260000</v>
      </c>
      <c r="AE100" s="75">
        <f>(AD100-AD99)*INDEX('[1]功能-付费相关'!$S$6:$AS$165,$AA100,1)+AE99</f>
        <v>183.50755400314324</v>
      </c>
      <c r="AG100" s="71">
        <v>50</v>
      </c>
      <c r="AH100" s="83">
        <f t="shared" si="22"/>
        <v>45465.351750000002</v>
      </c>
      <c r="AI100" s="83">
        <f t="shared" si="21"/>
        <v>183.50755400314324</v>
      </c>
      <c r="AJ100" s="84">
        <f t="shared" si="23"/>
        <v>45648.859304003148</v>
      </c>
    </row>
    <row r="101" spans="2:37" x14ac:dyDescent="0.15">
      <c r="B101" s="202"/>
      <c r="C101" s="126">
        <v>140</v>
      </c>
      <c r="D101" s="126" t="s">
        <v>397</v>
      </c>
      <c r="E101" s="126" t="s">
        <v>397</v>
      </c>
      <c r="F101" s="126" t="s">
        <v>397</v>
      </c>
      <c r="G101" s="126" t="s">
        <v>397</v>
      </c>
      <c r="H101" s="126">
        <v>0.93500000000000005</v>
      </c>
      <c r="K101" s="25">
        <v>9</v>
      </c>
      <c r="L101" s="12">
        <v>60</v>
      </c>
      <c r="M101" s="15">
        <f>IF(节奏预期!S69="","",INDEX(装备突破!D$57:D$71,MATCH(节奏预期!S69,装备突破!$C$57:$C$71,0)))</f>
        <v>1</v>
      </c>
      <c r="N101" s="23">
        <f>IF(节奏预期!T69="","",INDEX(装备突破!E$57:E$71,MATCH(节奏预期!T69,装备突破!$C$57:$C$71,0)))</f>
        <v>1</v>
      </c>
      <c r="O101" s="23">
        <f>IF(节奏预期!U69="","",INDEX(装备突破!F$57:F$71,MATCH(节奏预期!U69,装备突破!$C$57:$C$71,0)))</f>
        <v>1</v>
      </c>
      <c r="P101" s="23">
        <f>IF(节奏预期!V69="","",INDEX(装备突破!G$57:G$71,MATCH(节奏预期!V69,装备突破!$C$57:$C$71,0)))</f>
        <v>4</v>
      </c>
      <c r="Q101" s="27">
        <f>IF(节奏预期!W69="","",INDEX(装备突破!H$57:H$71,MATCH(节奏预期!W69,装备突破!$C$57:$C$71,0)))</f>
        <v>2</v>
      </c>
      <c r="R101" s="15">
        <f>IF(节奏预期!S69="","",INDEX(装备突破!D$74:D$88,MATCH(节奏预期!S69,装备突破!$C$74:$C$88,0))*节奏预期!D69)</f>
        <v>0</v>
      </c>
      <c r="S101" s="23">
        <f>IF(节奏预期!T69="","",INDEX(装备突破!E$74:E$88,MATCH(节奏预期!T69,装备突破!$C$74:$C$88,0))*节奏预期!E69)</f>
        <v>0</v>
      </c>
      <c r="T101" s="23">
        <f>IF(节奏预期!U69="","",INDEX(装备突破!F$74:F$88,MATCH(节奏预期!U69,装备突破!$C$74:$C$88,0))*节奏预期!F69)</f>
        <v>0</v>
      </c>
      <c r="U101" s="23">
        <f>IF(节奏预期!V69="","",INDEX(装备突破!G$74:G$88,MATCH(节奏预期!V69,装备突破!$C$74:$C$88,0))*节奏预期!G69)</f>
        <v>2520000</v>
      </c>
      <c r="V101" s="23">
        <f>IF(节奏预期!W69="","",INDEX(装备突破!H$74:H$88,MATCH(节奏预期!W69,装备突破!$C$74:$C$88,0))*节奏预期!H69)</f>
        <v>720000</v>
      </c>
      <c r="W101" s="16">
        <f>MAX(SUM(R101:V101),$W$96:W100)</f>
        <v>3240000</v>
      </c>
      <c r="AA101" s="71">
        <v>60</v>
      </c>
      <c r="AB101" s="75">
        <f>INDEX('[1]功能-行军令'!$N$4:$R$163,AA11,3)*75*'[1]功能-行军令'!$AD$15</f>
        <v>91558.876499999998</v>
      </c>
      <c r="AC101" s="75"/>
      <c r="AD101" s="75">
        <f t="shared" si="20"/>
        <v>3240000</v>
      </c>
      <c r="AE101" s="75">
        <f>(AD101-AD100)*INDEX('[1]功能-付费相关'!$S$6:$AS$165,$AA101,1)+AE100</f>
        <v>280.58924496194595</v>
      </c>
      <c r="AG101" s="71">
        <v>60</v>
      </c>
      <c r="AH101" s="83">
        <f t="shared" si="22"/>
        <v>91558.876499999998</v>
      </c>
      <c r="AI101" s="83">
        <f t="shared" si="21"/>
        <v>280.58924496194595</v>
      </c>
      <c r="AJ101" s="84">
        <f t="shared" si="23"/>
        <v>91839.465744961941</v>
      </c>
    </row>
    <row r="102" spans="2:37" x14ac:dyDescent="0.15">
      <c r="B102" s="202"/>
      <c r="C102" s="126">
        <v>160</v>
      </c>
      <c r="D102" s="126" t="s">
        <v>397</v>
      </c>
      <c r="E102" s="126" t="s">
        <v>397</v>
      </c>
      <c r="F102" s="126" t="s">
        <v>397</v>
      </c>
      <c r="G102" s="126" t="s">
        <v>397</v>
      </c>
      <c r="H102" s="126">
        <v>1</v>
      </c>
      <c r="K102" s="25">
        <v>10</v>
      </c>
      <c r="L102" s="12">
        <v>70</v>
      </c>
      <c r="M102" s="15">
        <f>IF(节奏预期!S70="","",INDEX(装备突破!D$57:D$71,MATCH(节奏预期!S70,装备突破!$C$57:$C$71,0)))</f>
        <v>1</v>
      </c>
      <c r="N102" s="23">
        <f>IF(节奏预期!T70="","",INDEX(装备突破!E$57:E$71,MATCH(节奏预期!T70,装备突破!$C$57:$C$71,0)))</f>
        <v>1</v>
      </c>
      <c r="O102" s="23">
        <f>IF(节奏预期!U70="","",INDEX(装备突破!F$57:F$71,MATCH(节奏预期!U70,装备突破!$C$57:$C$71,0)))</f>
        <v>1</v>
      </c>
      <c r="P102" s="23">
        <f>IF(节奏预期!V70="","",INDEX(装备突破!G$57:G$71,MATCH(节奏预期!V70,装备突破!$C$57:$C$71,0)))</f>
        <v>4</v>
      </c>
      <c r="Q102" s="27">
        <f>IF(节奏预期!W70="","",INDEX(装备突破!H$57:H$71,MATCH(节奏预期!W70,装备突破!$C$57:$C$71,0)))</f>
        <v>3</v>
      </c>
      <c r="R102" s="15">
        <f>IF(节奏预期!S70="","",INDEX(装备突破!D$74:D$88,MATCH(节奏预期!S70,装备突破!$C$74:$C$88,0))*节奏预期!D70)</f>
        <v>0</v>
      </c>
      <c r="S102" s="23">
        <f>IF(节奏预期!T70="","",INDEX(装备突破!E$74:E$88,MATCH(节奏预期!T70,装备突破!$C$74:$C$88,0))*节奏预期!E70)</f>
        <v>0</v>
      </c>
      <c r="T102" s="23">
        <f>IF(节奏预期!U70="","",INDEX(装备突破!F$74:F$88,MATCH(节奏预期!U70,装备突破!$C$74:$C$88,0))*节奏预期!F70)</f>
        <v>0</v>
      </c>
      <c r="U102" s="23">
        <f>IF(节奏预期!V70="","",INDEX(装备突破!G$74:G$88,MATCH(节奏预期!V70,装备突破!$C$74:$C$88,0))*节奏预期!G70)</f>
        <v>1260000</v>
      </c>
      <c r="V102" s="23">
        <f>IF(节奏预期!W70="","",INDEX(装备突破!H$74:H$88,MATCH(节奏预期!W70,装备突破!$C$74:$C$88,0))*节奏预期!H70)</f>
        <v>4320000</v>
      </c>
      <c r="W102" s="16">
        <f>MAX(SUM(R102:V102),$W$96:W101)</f>
        <v>5580000</v>
      </c>
      <c r="AA102" s="71">
        <v>70</v>
      </c>
      <c r="AB102" s="75">
        <f>INDEX('[1]功能-行军令'!$N$4:$R$163,AA12,3)*75*'[1]功能-行军令'!$AD$15</f>
        <v>184493.05874999997</v>
      </c>
      <c r="AC102" s="75"/>
      <c r="AD102" s="75">
        <f t="shared" si="20"/>
        <v>5580000</v>
      </c>
      <c r="AE102" s="75">
        <f>(AD102-AD101)*INDEX('[1]功能-付费相关'!$S$6:$AS$165,$AA102,1)+AE101</f>
        <v>377.40332026906214</v>
      </c>
      <c r="AG102" s="71">
        <v>70</v>
      </c>
      <c r="AH102" s="83">
        <f t="shared" si="22"/>
        <v>184493.05874999997</v>
      </c>
      <c r="AI102" s="83">
        <f t="shared" si="21"/>
        <v>377.40332026906214</v>
      </c>
      <c r="AJ102" s="84">
        <f t="shared" si="23"/>
        <v>184870.46207026902</v>
      </c>
      <c r="AK102" s="46"/>
    </row>
    <row r="103" spans="2:37" x14ac:dyDescent="0.15">
      <c r="B103" s="202"/>
      <c r="C103" s="126">
        <v>180</v>
      </c>
      <c r="D103" s="126"/>
      <c r="E103" s="126"/>
      <c r="F103" s="126"/>
      <c r="G103" s="126"/>
      <c r="H103" s="143"/>
      <c r="K103" s="25">
        <v>11</v>
      </c>
      <c r="L103" s="12">
        <v>80</v>
      </c>
      <c r="M103" s="15">
        <f>IF(节奏预期!S71="","",INDEX(装备突破!D$57:D$71,MATCH(节奏预期!S71,装备突破!$C$57:$C$71,0)))</f>
        <v>1</v>
      </c>
      <c r="N103" s="23">
        <f>IF(节奏预期!T71="","",INDEX(装备突破!E$57:E$71,MATCH(节奏预期!T71,装备突破!$C$57:$C$71,0)))</f>
        <v>1</v>
      </c>
      <c r="O103" s="23">
        <f>IF(节奏预期!U71="","",INDEX(装备突破!F$57:F$71,MATCH(节奏预期!U71,装备突破!$C$57:$C$71,0)))</f>
        <v>1</v>
      </c>
      <c r="P103" s="23">
        <f>IF(节奏预期!V71="","",INDEX(装备突破!G$57:G$71,MATCH(节奏预期!V71,装备突破!$C$57:$C$71,0)))</f>
        <v>1</v>
      </c>
      <c r="Q103" s="27">
        <f>IF(节奏预期!W71="","",INDEX(装备突破!H$57:H$71,MATCH(节奏预期!W71,装备突破!$C$57:$C$71,0)))</f>
        <v>4</v>
      </c>
      <c r="R103" s="15">
        <f>IF(节奏预期!S71="","",INDEX(装备突破!D$74:D$88,MATCH(节奏预期!S71,装备突破!$C$74:$C$88,0))*节奏预期!D71)</f>
        <v>0</v>
      </c>
      <c r="S103" s="23">
        <f>IF(节奏预期!T71="","",INDEX(装备突破!E$74:E$88,MATCH(节奏预期!T71,装备突破!$C$74:$C$88,0))*节奏预期!E71)</f>
        <v>0</v>
      </c>
      <c r="T103" s="23">
        <f>IF(节奏预期!U71="","",INDEX(装备突破!F$74:F$88,MATCH(节奏预期!U71,装备突破!$C$74:$C$88,0))*节奏预期!F71)</f>
        <v>0</v>
      </c>
      <c r="U103" s="23">
        <f>IF(节奏预期!V71="","",INDEX(装备突破!G$74:G$88,MATCH(节奏预期!V71,装备突破!$C$74:$C$88,0))*节奏预期!G71)</f>
        <v>0</v>
      </c>
      <c r="V103" s="23">
        <f>IF(节奏预期!W71="","",INDEX(装备突破!H$74:H$88,MATCH(节奏预期!W71,装备突破!$C$74:$C$88,0))*节奏预期!H71)</f>
        <v>15120000</v>
      </c>
      <c r="W103" s="16">
        <f>MAX(SUM(R103:V103),$W$96:W102)</f>
        <v>15120000</v>
      </c>
      <c r="AA103" s="71">
        <v>80</v>
      </c>
      <c r="AB103" s="75">
        <f>INDEX('[1]功能-行军令'!$N$4:$R$163,AA13,3)*75*'[1]功能-行军令'!$AD$15</f>
        <v>369237.96</v>
      </c>
      <c r="AC103" s="75"/>
      <c r="AD103" s="75">
        <f t="shared" si="20"/>
        <v>15120000</v>
      </c>
      <c r="AE103" s="75">
        <f>(AD103-AD102)*INDEX('[1]功能-付费相关'!$S$6:$AS$165,$AA103,1)+AE102</f>
        <v>719.16879794808415</v>
      </c>
      <c r="AG103" s="71">
        <v>80</v>
      </c>
      <c r="AH103" s="83">
        <f t="shared" si="22"/>
        <v>369237.96</v>
      </c>
      <c r="AI103" s="83">
        <f t="shared" si="21"/>
        <v>719.16879794808415</v>
      </c>
      <c r="AJ103" s="84">
        <f t="shared" si="23"/>
        <v>369957.12879794813</v>
      </c>
      <c r="AK103" s="46"/>
    </row>
    <row r="104" spans="2:37" x14ac:dyDescent="0.15">
      <c r="B104" s="202"/>
      <c r="C104" s="126">
        <v>200</v>
      </c>
      <c r="D104" s="126"/>
      <c r="E104" s="126"/>
      <c r="F104" s="126"/>
      <c r="G104" s="126"/>
      <c r="H104" s="143"/>
      <c r="K104" s="25">
        <v>12</v>
      </c>
      <c r="L104" s="12">
        <v>90</v>
      </c>
      <c r="M104" s="15">
        <f>IF(节奏预期!S72="","",INDEX(装备突破!D$57:D$71,MATCH(节奏预期!S72,装备突破!$C$57:$C$71,0)))</f>
        <v>1</v>
      </c>
      <c r="N104" s="23">
        <f>IF(节奏预期!T72="","",INDEX(装备突破!E$57:E$71,MATCH(节奏预期!T72,装备突破!$C$57:$C$71,0)))</f>
        <v>1</v>
      </c>
      <c r="O104" s="23">
        <f>IF(节奏预期!U72="","",INDEX(装备突破!F$57:F$71,MATCH(节奏预期!U72,装备突破!$C$57:$C$71,0)))</f>
        <v>1</v>
      </c>
      <c r="P104" s="23">
        <f>IF(节奏预期!V72="","",INDEX(装备突破!G$57:G$71,MATCH(节奏预期!V72,装备突破!$C$57:$C$71,0)))</f>
        <v>1</v>
      </c>
      <c r="Q104" s="27">
        <f>IF(节奏预期!W72="","",INDEX(装备突破!H$57:H$71,MATCH(节奏预期!W72,装备突破!$C$57:$C$71,0)))</f>
        <v>5</v>
      </c>
      <c r="R104" s="15">
        <f>IF(节奏预期!S72="","",INDEX(装备突破!D$74:D$88,MATCH(节奏预期!S72,装备突破!$C$74:$C$88,0))*节奏预期!D72)</f>
        <v>0</v>
      </c>
      <c r="S104" s="23">
        <f>IF(节奏预期!T72="","",INDEX(装备突破!E$74:E$88,MATCH(节奏预期!T72,装备突破!$C$74:$C$88,0))*节奏预期!E72)</f>
        <v>0</v>
      </c>
      <c r="T104" s="23">
        <f>IF(节奏预期!U72="","",INDEX(装备突破!F$74:F$88,MATCH(节奏预期!U72,装备突破!$C$74:$C$88,0))*节奏预期!F72)</f>
        <v>0</v>
      </c>
      <c r="U104" s="23">
        <f>IF(节奏预期!V72="","",INDEX(装备突破!G$74:G$88,MATCH(节奏预期!V72,装备突破!$C$74:$C$88,0))*节奏预期!G72)</f>
        <v>0</v>
      </c>
      <c r="V104" s="23">
        <f>IF(节奏预期!W72="","",INDEX(装备突破!H$74:H$88,MATCH(节奏预期!W72,装备突破!$C$74:$C$88,0))*节奏预期!H72)</f>
        <v>32400000</v>
      </c>
      <c r="W104" s="16">
        <f>MAX(SUM(R104:V104),$W$96:W103)</f>
        <v>32400000</v>
      </c>
      <c r="AA104" s="71">
        <v>90</v>
      </c>
      <c r="AB104" s="75">
        <f>INDEX('[1]功能-行军令'!$N$4:$R$163,AA14,3)*75*'[1]功能-行军令'!$AD$15</f>
        <v>725066.84250000003</v>
      </c>
      <c r="AC104" s="75"/>
      <c r="AD104" s="75">
        <f t="shared" si="20"/>
        <v>32400000</v>
      </c>
      <c r="AE104" s="75">
        <f>(AD104-AD103)*INDEX('[1]功能-付费相关'!$S$6:$AS$165,$AA104,1)+AE103</f>
        <v>1184.5315731709459</v>
      </c>
      <c r="AG104" s="71">
        <v>90</v>
      </c>
      <c r="AH104" s="83">
        <f t="shared" si="22"/>
        <v>725066.84250000003</v>
      </c>
      <c r="AI104" s="83">
        <f t="shared" si="21"/>
        <v>1184.5315731709459</v>
      </c>
      <c r="AJ104" s="84">
        <f t="shared" si="23"/>
        <v>726251.37407317094</v>
      </c>
      <c r="AK104" s="46"/>
    </row>
    <row r="105" spans="2:37" x14ac:dyDescent="0.15">
      <c r="B105" s="202"/>
      <c r="C105" s="126">
        <v>220</v>
      </c>
      <c r="D105" s="126"/>
      <c r="E105" s="126"/>
      <c r="F105" s="126"/>
      <c r="G105" s="126"/>
      <c r="H105" s="143"/>
      <c r="K105" s="25">
        <v>13</v>
      </c>
      <c r="L105" s="129">
        <v>100</v>
      </c>
      <c r="M105" s="15">
        <f>IF(节奏预期!S73="","",INDEX(装备突破!D$57:D$71,MATCH(节奏预期!S73,装备突破!$C$57:$C$71,0)))</f>
        <v>1</v>
      </c>
      <c r="N105" s="126">
        <f>IF(节奏预期!T73="","",INDEX(装备突破!E$57:E$71,MATCH(节奏预期!T73,装备突破!$C$57:$C$71,0)))</f>
        <v>1</v>
      </c>
      <c r="O105" s="126">
        <f>IF(节奏预期!U73="","",INDEX(装备突破!F$57:F$71,MATCH(节奏预期!U73,装备突破!$C$57:$C$71,0)))</f>
        <v>1</v>
      </c>
      <c r="P105" s="126">
        <f>IF(节奏预期!V73="","",INDEX(装备突破!G$57:G$71,MATCH(节奏预期!V73,装备突破!$C$57:$C$71,0)))</f>
        <v>1</v>
      </c>
      <c r="Q105" s="127">
        <f>IF(节奏预期!W73="","",INDEX(装备突破!H$57:H$71,MATCH(节奏预期!W73,装备突破!$C$57:$C$71,0)))</f>
        <v>6</v>
      </c>
      <c r="R105" s="15">
        <f>IF(节奏预期!S73="","",INDEX(装备突破!D$74:D$88,MATCH(节奏预期!S73,装备突破!$C$74:$C$88,0))*节奏预期!D73)</f>
        <v>0</v>
      </c>
      <c r="S105" s="126">
        <f>IF(节奏预期!T73="","",INDEX(装备突破!E$74:E$88,MATCH(节奏预期!T73,装备突破!$C$74:$C$88,0))*节奏预期!E73)</f>
        <v>0</v>
      </c>
      <c r="T105" s="126">
        <f>IF(节奏预期!U73="","",INDEX(装备突破!F$74:F$88,MATCH(节奏预期!U73,装备突破!$C$74:$C$88,0))*节奏预期!F73)</f>
        <v>0</v>
      </c>
      <c r="U105" s="126">
        <f>IF(节奏预期!V73="","",INDEX(装备突破!G$74:G$88,MATCH(节奏预期!V73,装备突破!$C$74:$C$88,0))*节奏预期!G73)</f>
        <v>0</v>
      </c>
      <c r="V105" s="126">
        <f>IF(节奏预期!W73="","",INDEX(装备突破!H$74:H$88,MATCH(节奏预期!W73,装备突破!$C$74:$C$88,0))*节奏预期!H73)</f>
        <v>66960000</v>
      </c>
      <c r="W105" s="16">
        <f>MAX(SUM(R105:V105),$W$96:W104)</f>
        <v>66960000</v>
      </c>
      <c r="X105" s="46"/>
      <c r="AA105" s="128">
        <v>100</v>
      </c>
      <c r="AB105" s="75">
        <f>INDEX('[1]功能-行军令'!$N$4:$R$163,AA15,3)*75*'[1]功能-行军令'!$AD$15</f>
        <v>1446944.4990000001</v>
      </c>
      <c r="AC105" s="75"/>
      <c r="AD105" s="75">
        <f t="shared" si="20"/>
        <v>66960000</v>
      </c>
      <c r="AE105" s="75">
        <f>(AD105-AD104)*INDEX('[1]功能-付费相关'!$S$6:$AS$165,$AA105,1)+AE104</f>
        <v>1488.53349972144</v>
      </c>
      <c r="AG105" s="128">
        <v>100</v>
      </c>
      <c r="AH105" s="128">
        <f t="shared" ref="AH105:AH111" si="24">AB105</f>
        <v>1446944.4990000001</v>
      </c>
      <c r="AI105" s="128">
        <f t="shared" ref="AI105:AI111" si="25">AE105</f>
        <v>1488.53349972144</v>
      </c>
      <c r="AJ105" s="84">
        <f t="shared" ref="AJ105:AJ111" si="26">SUM(AH105:AI105)</f>
        <v>1448433.0324997215</v>
      </c>
      <c r="AK105" s="46"/>
    </row>
    <row r="106" spans="2:37" x14ac:dyDescent="0.15">
      <c r="B106" s="202"/>
      <c r="C106" s="126">
        <v>240</v>
      </c>
      <c r="D106" s="126"/>
      <c r="E106" s="126"/>
      <c r="F106" s="126"/>
      <c r="G106" s="126"/>
      <c r="H106" s="143"/>
      <c r="K106" s="25">
        <v>14</v>
      </c>
      <c r="L106" s="129">
        <v>110</v>
      </c>
      <c r="M106" s="15">
        <f>IF(节奏预期!S74="","",INDEX(装备突破!D$57:D$71,MATCH(节奏预期!S74,装备突破!$C$57:$C$71,0)))</f>
        <v>1</v>
      </c>
      <c r="N106" s="126">
        <f>IF(节奏预期!T74="","",INDEX(装备突破!E$57:E$71,MATCH(节奏预期!T74,装备突破!$C$57:$C$71,0)))</f>
        <v>1</v>
      </c>
      <c r="O106" s="126">
        <f>IF(节奏预期!U74="","",INDEX(装备突破!F$57:F$71,MATCH(节奏预期!U74,装备突破!$C$57:$C$71,0)))</f>
        <v>1</v>
      </c>
      <c r="P106" s="126">
        <f>IF(节奏预期!V74="","",INDEX(装备突破!G$57:G$71,MATCH(节奏预期!V74,装备突破!$C$57:$C$71,0)))</f>
        <v>1</v>
      </c>
      <c r="Q106" s="127">
        <f>IF(节奏预期!W74="","",INDEX(装备突破!H$57:H$71,MATCH(节奏预期!W74,装备突破!$C$57:$C$71,0)))</f>
        <v>7</v>
      </c>
      <c r="R106" s="15">
        <f>IF(节奏预期!S74="","",INDEX(装备突破!D$74:D$88,MATCH(节奏预期!S74,装备突破!$C$74:$C$88,0))*节奏预期!D74)</f>
        <v>0</v>
      </c>
      <c r="S106" s="126">
        <f>IF(节奏预期!T74="","",INDEX(装备突破!E$74:E$88,MATCH(节奏预期!T74,装备突破!$C$74:$C$88,0))*节奏预期!E74)</f>
        <v>0</v>
      </c>
      <c r="T106" s="126">
        <f>IF(节奏预期!U74="","",INDEX(装备突破!F$74:F$88,MATCH(节奏预期!U74,装备突破!$C$74:$C$88,0))*节奏预期!F74)</f>
        <v>0</v>
      </c>
      <c r="U106" s="126">
        <f>IF(节奏预期!V74="","",INDEX(装备突破!G$74:G$88,MATCH(节奏预期!V74,装备突破!$C$74:$C$88,0))*节奏预期!G74)</f>
        <v>0</v>
      </c>
      <c r="V106" s="126">
        <f>IF(节奏预期!W74="","",INDEX(装备突破!H$74:H$88,MATCH(节奏预期!W74,装备突破!$C$74:$C$88,0))*节奏预期!H74)</f>
        <v>136080000</v>
      </c>
      <c r="W106" s="16">
        <f>MAX(SUM(R106:V106),$W$96:W105)</f>
        <v>136080000</v>
      </c>
      <c r="X106" s="46"/>
      <c r="AA106" s="128">
        <v>110</v>
      </c>
      <c r="AB106" s="75">
        <f>INDEX('[1]功能-行军令'!$N$4:$R$163,AA16,3)*75*'[1]功能-行军令'!$AD$15</f>
        <v>2860935.3044999996</v>
      </c>
      <c r="AC106" s="75"/>
      <c r="AD106" s="75">
        <f t="shared" si="20"/>
        <v>136080000</v>
      </c>
      <c r="AE106" s="75">
        <f>(AD106-AD105)*INDEX('[1]功能-付费相关'!$S$6:$AS$165,$AA106,1)+AE105</f>
        <v>2052.0434505939866</v>
      </c>
      <c r="AG106" s="128">
        <v>110</v>
      </c>
      <c r="AH106" s="128">
        <f t="shared" si="24"/>
        <v>2860935.3044999996</v>
      </c>
      <c r="AI106" s="128">
        <f t="shared" si="25"/>
        <v>2052.0434505939866</v>
      </c>
      <c r="AJ106" s="84">
        <f t="shared" si="26"/>
        <v>2862987.3479505936</v>
      </c>
      <c r="AK106" s="46"/>
    </row>
    <row r="107" spans="2:37" x14ac:dyDescent="0.15">
      <c r="B107" s="202"/>
      <c r="C107" s="126">
        <v>260</v>
      </c>
      <c r="D107" s="126"/>
      <c r="E107" s="126"/>
      <c r="F107" s="126"/>
      <c r="G107" s="126"/>
      <c r="H107" s="143"/>
      <c r="K107" s="25">
        <v>15</v>
      </c>
      <c r="L107" s="129">
        <v>120</v>
      </c>
      <c r="M107" s="15">
        <f>IF(节奏预期!S75="","",INDEX(装备突破!D$57:D$71,MATCH(节奏预期!S75,装备突破!$C$57:$C$71,0)))</f>
        <v>1</v>
      </c>
      <c r="N107" s="126">
        <f>IF(节奏预期!T75="","",INDEX(装备突破!E$57:E$71,MATCH(节奏预期!T75,装备突破!$C$57:$C$71,0)))</f>
        <v>1</v>
      </c>
      <c r="O107" s="126">
        <f>IF(节奏预期!U75="","",INDEX(装备突破!F$57:F$71,MATCH(节奏预期!U75,装备突破!$C$57:$C$71,0)))</f>
        <v>1</v>
      </c>
      <c r="P107" s="126">
        <f>IF(节奏预期!V75="","",INDEX(装备突破!G$57:G$71,MATCH(节奏预期!V75,装备突破!$C$57:$C$71,0)))</f>
        <v>1</v>
      </c>
      <c r="Q107" s="127">
        <f>IF(节奏预期!W75="","",INDEX(装备突破!H$57:H$71,MATCH(节奏预期!W75,装备突破!$C$57:$C$71,0)))</f>
        <v>8</v>
      </c>
      <c r="R107" s="15">
        <f>IF(节奏预期!S75="","",INDEX(装备突破!D$74:D$88,MATCH(节奏预期!S75,装备突破!$C$74:$C$88,0))*节奏预期!D75)</f>
        <v>0</v>
      </c>
      <c r="S107" s="126">
        <f>IF(节奏预期!T75="","",INDEX(装备突破!E$74:E$88,MATCH(节奏预期!T75,装备突破!$C$74:$C$88,0))*节奏预期!E75)</f>
        <v>0</v>
      </c>
      <c r="T107" s="126">
        <f>IF(节奏预期!U75="","",INDEX(装备突破!F$74:F$88,MATCH(节奏预期!U75,装备突破!$C$74:$C$88,0))*节奏预期!F75)</f>
        <v>0</v>
      </c>
      <c r="U107" s="126">
        <f>IF(节奏预期!V75="","",INDEX(装备突破!G$74:G$88,MATCH(节奏预期!V75,装备突破!$C$74:$C$88,0))*节奏预期!G75)</f>
        <v>0</v>
      </c>
      <c r="V107" s="126">
        <f>IF(节奏预期!W75="","",INDEX(装备突破!H$74:H$88,MATCH(节奏预期!W75,装备突破!$C$74:$C$88,0))*节奏预期!H75)</f>
        <v>274320000</v>
      </c>
      <c r="W107" s="16">
        <f>MAX(SUM(R107:V107),$W$96:W106)</f>
        <v>274320000</v>
      </c>
      <c r="X107" s="46"/>
      <c r="AA107" s="128">
        <v>120</v>
      </c>
      <c r="AB107" s="75">
        <f>INDEX('[1]功能-行军令'!$N$4:$R$163,AA17,3)*75*'[1]功能-行军令'!$AD$15</f>
        <v>5716560.6224999996</v>
      </c>
      <c r="AC107" s="75"/>
      <c r="AD107" s="75">
        <f t="shared" si="20"/>
        <v>274320000</v>
      </c>
      <c r="AE107" s="75">
        <f>(AD107-AD106)*INDEX('[1]功能-付费相关'!$S$6:$AS$165,$AA107,1)+AE106</f>
        <v>3159.4891006982789</v>
      </c>
      <c r="AG107" s="128">
        <v>120</v>
      </c>
      <c r="AH107" s="128">
        <f t="shared" si="24"/>
        <v>5716560.6224999996</v>
      </c>
      <c r="AI107" s="128">
        <f t="shared" si="25"/>
        <v>3159.4891006982789</v>
      </c>
      <c r="AJ107" s="84">
        <f t="shared" si="26"/>
        <v>5719720.111600698</v>
      </c>
      <c r="AK107" s="46"/>
    </row>
    <row r="108" spans="2:37" x14ac:dyDescent="0.15">
      <c r="B108" s="202"/>
      <c r="C108" s="126">
        <v>280</v>
      </c>
      <c r="D108" s="126"/>
      <c r="E108" s="126"/>
      <c r="F108" s="126"/>
      <c r="G108" s="126"/>
      <c r="H108" s="143"/>
      <c r="K108" s="25">
        <v>16</v>
      </c>
      <c r="L108" s="129">
        <v>130</v>
      </c>
      <c r="M108" s="15">
        <f>IF(节奏预期!S76="","",INDEX(装备突破!D$57:D$71,MATCH(节奏预期!S76,装备突破!$C$57:$C$71,0)))</f>
        <v>1</v>
      </c>
      <c r="N108" s="126">
        <f>IF(节奏预期!T76="","",INDEX(装备突破!E$57:E$71,MATCH(节奏预期!T76,装备突破!$C$57:$C$71,0)))</f>
        <v>1</v>
      </c>
      <c r="O108" s="126">
        <f>IF(节奏预期!U76="","",INDEX(装备突破!F$57:F$71,MATCH(节奏预期!U76,装备突破!$C$57:$C$71,0)))</f>
        <v>1</v>
      </c>
      <c r="P108" s="126">
        <f>IF(节奏预期!V76="","",INDEX(装备突破!G$57:G$71,MATCH(节奏预期!V76,装备突破!$C$57:$C$71,0)))</f>
        <v>1</v>
      </c>
      <c r="Q108" s="127">
        <f>IF(节奏预期!W76="","",INDEX(装备突破!H$57:H$71,MATCH(节奏预期!W76,装备突破!$C$57:$C$71,0)))</f>
        <v>9</v>
      </c>
      <c r="R108" s="15">
        <f>IF(节奏预期!S76="","",INDEX(装备突破!D$74:D$88,MATCH(节奏预期!S76,装备突破!$C$74:$C$88,0))*节奏预期!D76)</f>
        <v>0</v>
      </c>
      <c r="S108" s="126">
        <f>IF(节奏预期!T76="","",INDEX(装备突破!E$74:E$88,MATCH(节奏预期!T76,装备突破!$C$74:$C$88,0))*节奏预期!E76)</f>
        <v>0</v>
      </c>
      <c r="T108" s="126">
        <f>IF(节奏预期!U76="","",INDEX(装备突破!F$74:F$88,MATCH(节奏预期!U76,装备突破!$C$74:$C$88,0))*节奏预期!F76)</f>
        <v>0</v>
      </c>
      <c r="U108" s="126">
        <f>IF(节奏预期!V76="","",INDEX(装备突破!G$74:G$88,MATCH(节奏预期!V76,装备突破!$C$74:$C$88,0))*节奏预期!G76)</f>
        <v>0</v>
      </c>
      <c r="V108" s="126">
        <f>IF(节奏预期!W76="","",INDEX(装备突破!H$74:H$88,MATCH(节奏预期!W76,装备突破!$C$74:$C$88,0))*节奏预期!H76)</f>
        <v>550800000</v>
      </c>
      <c r="W108" s="16">
        <f>MAX(SUM(R108:V108),$W$96:W107)</f>
        <v>550800000</v>
      </c>
      <c r="X108" s="46"/>
      <c r="AA108" s="128">
        <v>130</v>
      </c>
      <c r="AB108" s="75">
        <f>INDEX('[1]功能-行军令'!$N$4:$R$163,AA18,3)*75*'[1]功能-行军令'!$AD$15</f>
        <v>11347307.6535</v>
      </c>
      <c r="AC108" s="75"/>
      <c r="AD108" s="75">
        <f t="shared" si="20"/>
        <v>550800000</v>
      </c>
      <c r="AE108" s="75">
        <f>(AD108-AD107)*INDEX('[1]功能-付费相关'!$S$6:$AS$165,$AA108,1)+AE107</f>
        <v>5343.0055621299634</v>
      </c>
      <c r="AG108" s="128">
        <v>130</v>
      </c>
      <c r="AH108" s="128">
        <f t="shared" si="24"/>
        <v>11347307.6535</v>
      </c>
      <c r="AI108" s="128">
        <f t="shared" si="25"/>
        <v>5343.0055621299634</v>
      </c>
      <c r="AJ108" s="84">
        <f t="shared" si="26"/>
        <v>11352650.65906213</v>
      </c>
    </row>
    <row r="109" spans="2:37" x14ac:dyDescent="0.15">
      <c r="B109" s="202"/>
      <c r="C109" s="126">
        <v>300</v>
      </c>
      <c r="D109" s="126"/>
      <c r="E109" s="126"/>
      <c r="F109" s="126"/>
      <c r="G109" s="126"/>
      <c r="H109" s="143"/>
      <c r="K109" s="25">
        <v>17</v>
      </c>
      <c r="L109" s="129">
        <v>140</v>
      </c>
      <c r="M109" s="15">
        <f>IF(节奏预期!S77="","",INDEX(装备突破!D$57:D$71,MATCH(节奏预期!S77,装备突破!$C$57:$C$71,0)))</f>
        <v>1</v>
      </c>
      <c r="N109" s="126">
        <f>IF(节奏预期!T77="","",INDEX(装备突破!E$57:E$71,MATCH(节奏预期!T77,装备突破!$C$57:$C$71,0)))</f>
        <v>1</v>
      </c>
      <c r="O109" s="126">
        <f>IF(节奏预期!U77="","",INDEX(装备突破!F$57:F$71,MATCH(节奏预期!U77,装备突破!$C$57:$C$71,0)))</f>
        <v>1</v>
      </c>
      <c r="P109" s="126">
        <f>IF(节奏预期!V77="","",INDEX(装备突破!G$57:G$71,MATCH(节奏预期!V77,装备突破!$C$57:$C$71,0)))</f>
        <v>1</v>
      </c>
      <c r="Q109" s="127">
        <f>IF(节奏预期!W77="","",INDEX(装备突破!H$57:H$71,MATCH(节奏预期!W77,装备突破!$C$57:$C$71,0)))</f>
        <v>10</v>
      </c>
      <c r="R109" s="15">
        <f>IF(节奏预期!S77="","",INDEX(装备突破!D$74:D$88,MATCH(节奏预期!S77,装备突破!$C$74:$C$88,0))*节奏预期!D77)</f>
        <v>0</v>
      </c>
      <c r="S109" s="126">
        <f>IF(节奏预期!T77="","",INDEX(装备突破!E$74:E$88,MATCH(节奏预期!T77,装备突破!$C$74:$C$88,0))*节奏预期!E77)</f>
        <v>0</v>
      </c>
      <c r="T109" s="126">
        <f>IF(节奏预期!U77="","",INDEX(装备突破!F$74:F$88,MATCH(节奏预期!U77,装备突破!$C$74:$C$88,0))*节奏预期!F77)</f>
        <v>0</v>
      </c>
      <c r="U109" s="126">
        <f>IF(节奏预期!V77="","",INDEX(装备突破!G$74:G$88,MATCH(节奏预期!V77,装备突破!$C$74:$C$88,0))*节奏预期!G77)</f>
        <v>0</v>
      </c>
      <c r="V109" s="126">
        <f>IF(节奏预期!W77="","",INDEX(装备突破!H$74:H$88,MATCH(节奏预期!W77,装备突破!$C$74:$C$88,0))*节奏预期!H77)</f>
        <v>1103760000</v>
      </c>
      <c r="W109" s="16">
        <f>MAX(SUM(R109:V109),$W$96:W108)</f>
        <v>1103760000</v>
      </c>
      <c r="X109" s="46"/>
      <c r="AA109" s="128">
        <v>140</v>
      </c>
      <c r="AB109" s="75">
        <f>INDEX('[1]功能-行军令'!$N$4:$R$163,AA19,3)*75*'[1]功能-行军令'!$AD$15</f>
        <v>22598722.487249997</v>
      </c>
      <c r="AC109" s="75"/>
      <c r="AD109" s="75">
        <f t="shared" si="20"/>
        <v>1103760000</v>
      </c>
      <c r="AE109" s="75">
        <f>(AD109-AD108)*INDEX('[1]功能-付费相关'!$S$6:$AS$165,$AA109,1)+AE108</f>
        <v>9450.9178284466543</v>
      </c>
      <c r="AG109" s="128">
        <v>140</v>
      </c>
      <c r="AH109" s="128">
        <f t="shared" si="24"/>
        <v>22598722.487249997</v>
      </c>
      <c r="AI109" s="128">
        <f t="shared" si="25"/>
        <v>9450.9178284466543</v>
      </c>
      <c r="AJ109" s="84">
        <f t="shared" si="26"/>
        <v>22608173.405078445</v>
      </c>
    </row>
    <row r="110" spans="2:37" x14ac:dyDescent="0.15">
      <c r="B110" s="202"/>
      <c r="C110" s="126">
        <v>320</v>
      </c>
      <c r="D110" s="126"/>
      <c r="E110" s="126"/>
      <c r="F110" s="126"/>
      <c r="G110" s="126"/>
      <c r="H110" s="143"/>
      <c r="K110" s="25">
        <v>18</v>
      </c>
      <c r="L110" s="129">
        <v>150</v>
      </c>
      <c r="M110" s="15">
        <f>IF(节奏预期!S78="","",INDEX(装备突破!D$57:D$71,MATCH(节奏预期!S78,装备突破!$C$57:$C$71,0)))</f>
        <v>1</v>
      </c>
      <c r="N110" s="126">
        <f>IF(节奏预期!T78="","",INDEX(装备突破!E$57:E$71,MATCH(节奏预期!T78,装备突破!$C$57:$C$71,0)))</f>
        <v>1</v>
      </c>
      <c r="O110" s="126">
        <f>IF(节奏预期!U78="","",INDEX(装备突破!F$57:F$71,MATCH(节奏预期!U78,装备突破!$C$57:$C$71,0)))</f>
        <v>1</v>
      </c>
      <c r="P110" s="126">
        <f>IF(节奏预期!V78="","",INDEX(装备突破!G$57:G$71,MATCH(节奏预期!V78,装备突破!$C$57:$C$71,0)))</f>
        <v>1</v>
      </c>
      <c r="Q110" s="127">
        <f>IF(节奏预期!W78="","",INDEX(装备突破!H$57:H$71,MATCH(节奏预期!W78,装备突破!$C$57:$C$71,0)))</f>
        <v>11</v>
      </c>
      <c r="R110" s="15">
        <f>IF(节奏预期!S78="","",INDEX(装备突破!D$74:D$88,MATCH(节奏预期!S78,装备突破!$C$74:$C$88,0))*节奏预期!D78)</f>
        <v>0</v>
      </c>
      <c r="S110" s="126">
        <f>IF(节奏预期!T78="","",INDEX(装备突破!E$74:E$88,MATCH(节奏预期!T78,装备突破!$C$74:$C$88,0))*节奏预期!E78)</f>
        <v>0</v>
      </c>
      <c r="T110" s="126">
        <f>IF(节奏预期!U78="","",INDEX(装备突破!F$74:F$88,MATCH(节奏预期!U78,装备突破!$C$74:$C$88,0))*节奏预期!F78)</f>
        <v>0</v>
      </c>
      <c r="U110" s="126">
        <f>IF(节奏预期!V78="","",INDEX(装备突破!G$74:G$88,MATCH(节奏预期!V78,装备突破!$C$74:$C$88,0))*节奏预期!G78)</f>
        <v>0</v>
      </c>
      <c r="V110" s="126">
        <f>IF(节奏预期!W78="","",INDEX(装备突破!H$74:H$88,MATCH(节奏预期!W78,装备突破!$C$74:$C$88,0))*节奏预期!H78)</f>
        <v>2209680000</v>
      </c>
      <c r="W110" s="16">
        <f>MAX(SUM(R110:V110),$W$96:W109)</f>
        <v>2209680000</v>
      </c>
      <c r="X110" s="46"/>
      <c r="AA110" s="128">
        <v>150</v>
      </c>
      <c r="AB110" s="75">
        <f>INDEX('[1]功能-行军令'!$N$4:$R$163,AA20,3)*75*'[1]功能-行军令'!$AD$15</f>
        <v>45037807.337250002</v>
      </c>
      <c r="AC110" s="75"/>
      <c r="AD110" s="75">
        <f t="shared" si="20"/>
        <v>2209680000</v>
      </c>
      <c r="AE110" s="75">
        <f>(AD110-AD109)*INDEX('[1]功能-付费相关'!$S$6:$AS$165,$AA110,1)+AE109</f>
        <v>17469.188627794127</v>
      </c>
      <c r="AG110" s="128">
        <v>150</v>
      </c>
      <c r="AH110" s="128">
        <f t="shared" si="24"/>
        <v>45037807.337250002</v>
      </c>
      <c r="AI110" s="128">
        <f t="shared" si="25"/>
        <v>17469.188627794127</v>
      </c>
      <c r="AJ110" s="84">
        <f t="shared" si="26"/>
        <v>45055276.525877796</v>
      </c>
    </row>
    <row r="111" spans="2:37" x14ac:dyDescent="0.15">
      <c r="B111" s="202"/>
      <c r="C111" s="126"/>
      <c r="D111" s="126"/>
      <c r="E111" s="126"/>
      <c r="F111" s="126"/>
      <c r="G111" s="126"/>
      <c r="H111" s="126"/>
      <c r="K111" s="25">
        <v>19</v>
      </c>
      <c r="L111" s="129">
        <v>160</v>
      </c>
      <c r="M111" s="15">
        <f>IF(节奏预期!S79="","",INDEX(装备突破!D$57:D$71,MATCH(节奏预期!S79,装备突破!$C$57:$C$71,0)))</f>
        <v>1</v>
      </c>
      <c r="N111" s="126">
        <f>IF(节奏预期!T79="","",INDEX(装备突破!E$57:E$71,MATCH(节奏预期!T79,装备突破!$C$57:$C$71,0)))</f>
        <v>1</v>
      </c>
      <c r="O111" s="126">
        <f>IF(节奏预期!U79="","",INDEX(装备突破!F$57:F$71,MATCH(节奏预期!U79,装备突破!$C$57:$C$71,0)))</f>
        <v>1</v>
      </c>
      <c r="P111" s="126">
        <f>IF(节奏预期!V79="","",INDEX(装备突破!G$57:G$71,MATCH(节奏预期!V79,装备突破!$C$57:$C$71,0)))</f>
        <v>1</v>
      </c>
      <c r="Q111" s="127">
        <f>IF(节奏预期!W79="","",INDEX(装备突破!H$57:H$71,MATCH(节奏预期!W79,装备突破!$C$57:$C$71,0)))</f>
        <v>12</v>
      </c>
      <c r="R111" s="15">
        <f>IF(节奏预期!S79="","",INDEX(装备突破!D$74:D$88,MATCH(节奏预期!S79,装备突破!$C$74:$C$88,0))*节奏预期!D79)</f>
        <v>0</v>
      </c>
      <c r="S111" s="126">
        <f>IF(节奏预期!T79="","",INDEX(装备突破!E$74:E$88,MATCH(节奏预期!T79,装备突破!$C$74:$C$88,0))*节奏预期!E79)</f>
        <v>0</v>
      </c>
      <c r="T111" s="126">
        <f>IF(节奏预期!U79="","",INDEX(装备突破!F$74:F$88,MATCH(节奏预期!U79,装备突破!$C$74:$C$88,0))*节奏预期!F79)</f>
        <v>0</v>
      </c>
      <c r="U111" s="126">
        <f>IF(节奏预期!V79="","",INDEX(装备突破!G$74:G$88,MATCH(节奏预期!V79,装备突破!$C$74:$C$88,0))*节奏预期!G79)</f>
        <v>0</v>
      </c>
      <c r="V111" s="126">
        <f>IF(节奏预期!W79="","",INDEX(装备突破!H$74:H$88,MATCH(节奏预期!W79,装备突破!$C$74:$C$88,0))*节奏预期!H79)</f>
        <v>4421520000</v>
      </c>
      <c r="W111" s="16">
        <f>MAX(SUM(R111:V111),$W$96:W110)</f>
        <v>4421520000</v>
      </c>
      <c r="X111" s="46"/>
      <c r="AA111" s="128">
        <v>160</v>
      </c>
      <c r="AB111" s="75">
        <f>INDEX('[1]功能-行军令'!$N$4:$R$163,AA21,3)*75*'[1]功能-行军令'!$AD$15</f>
        <v>135524741.625</v>
      </c>
      <c r="AC111" s="75"/>
      <c r="AD111" s="75">
        <f t="shared" si="20"/>
        <v>4421520000</v>
      </c>
      <c r="AE111" s="75">
        <f>(AD111-AD110)*INDEX('[1]功能-付费相关'!$S$6:$AS$165,$AA111,1)+AE110</f>
        <v>33505.730226489068</v>
      </c>
      <c r="AG111" s="128">
        <v>160</v>
      </c>
      <c r="AH111" s="128">
        <f t="shared" si="24"/>
        <v>135524741.625</v>
      </c>
      <c r="AI111" s="128">
        <f t="shared" si="25"/>
        <v>33505.730226489068</v>
      </c>
      <c r="AJ111" s="84">
        <f t="shared" si="26"/>
        <v>135558247.35522649</v>
      </c>
    </row>
    <row r="112" spans="2:37" x14ac:dyDescent="0.15">
      <c r="B112" s="202"/>
      <c r="C112" s="126"/>
      <c r="D112" s="126"/>
      <c r="E112" s="126"/>
      <c r="F112" s="126"/>
      <c r="G112" s="126"/>
      <c r="H112" s="126"/>
      <c r="K112" s="25">
        <v>20</v>
      </c>
    </row>
    <row r="113" spans="2:37" x14ac:dyDescent="0.15">
      <c r="B113" s="202"/>
      <c r="C113" s="126"/>
      <c r="D113" s="126"/>
      <c r="E113" s="126"/>
      <c r="F113" s="126"/>
      <c r="G113" s="126"/>
      <c r="H113" s="126"/>
      <c r="K113" s="25">
        <v>21</v>
      </c>
    </row>
    <row r="114" spans="2:37" x14ac:dyDescent="0.15">
      <c r="K114" s="25">
        <v>22</v>
      </c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</row>
    <row r="115" spans="2:37" x14ac:dyDescent="0.15">
      <c r="K115" s="25">
        <v>23</v>
      </c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AK115" s="46"/>
    </row>
    <row r="116" spans="2:37" x14ac:dyDescent="0.15">
      <c r="B116" s="199" t="s">
        <v>403</v>
      </c>
      <c r="C116" s="117" t="s">
        <v>147</v>
      </c>
      <c r="D116" s="117" t="s">
        <v>140</v>
      </c>
      <c r="E116" s="117" t="s">
        <v>141</v>
      </c>
      <c r="F116" s="117" t="s">
        <v>142</v>
      </c>
      <c r="G116" s="117" t="s">
        <v>143</v>
      </c>
      <c r="H116" s="117" t="s">
        <v>144</v>
      </c>
      <c r="K116" s="25">
        <v>24</v>
      </c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AK116" s="46"/>
    </row>
    <row r="117" spans="2:37" x14ac:dyDescent="0.15">
      <c r="B117" s="200"/>
      <c r="C117" s="117">
        <v>0</v>
      </c>
      <c r="D117" s="117">
        <v>0</v>
      </c>
      <c r="E117" s="117">
        <v>0</v>
      </c>
      <c r="F117" s="117">
        <v>0</v>
      </c>
      <c r="G117" s="117">
        <v>0</v>
      </c>
      <c r="H117" s="117">
        <v>0</v>
      </c>
      <c r="K117" s="25">
        <v>25</v>
      </c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AK117" s="46"/>
    </row>
    <row r="118" spans="2:37" x14ac:dyDescent="0.15">
      <c r="B118" s="200"/>
      <c r="C118" s="117">
        <v>1</v>
      </c>
      <c r="D118" s="43">
        <v>999</v>
      </c>
      <c r="E118" s="30">
        <v>20</v>
      </c>
      <c r="F118" s="30">
        <v>30</v>
      </c>
      <c r="G118" s="30">
        <v>40</v>
      </c>
      <c r="H118" s="30">
        <v>60</v>
      </c>
      <c r="K118" s="25">
        <v>26</v>
      </c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AK118" s="46"/>
    </row>
    <row r="119" spans="2:37" x14ac:dyDescent="0.15">
      <c r="B119" s="200"/>
      <c r="C119" s="117">
        <v>2</v>
      </c>
      <c r="D119" s="30"/>
      <c r="E119" s="43">
        <v>999</v>
      </c>
      <c r="F119" s="30">
        <v>40</v>
      </c>
      <c r="G119" s="30">
        <v>50</v>
      </c>
      <c r="H119" s="30">
        <v>70</v>
      </c>
      <c r="K119" s="25">
        <v>27</v>
      </c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AA119" s="36"/>
      <c r="AK119" s="46"/>
    </row>
    <row r="120" spans="2:37" x14ac:dyDescent="0.15">
      <c r="B120" s="200"/>
      <c r="C120" s="117">
        <v>3</v>
      </c>
      <c r="D120" s="30"/>
      <c r="E120" s="30"/>
      <c r="F120" s="43">
        <v>999</v>
      </c>
      <c r="G120" s="30">
        <v>60</v>
      </c>
      <c r="H120" s="30">
        <v>80</v>
      </c>
      <c r="K120" s="25">
        <v>28</v>
      </c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AA120" s="36"/>
      <c r="AK120" s="46"/>
    </row>
    <row r="121" spans="2:37" x14ac:dyDescent="0.15">
      <c r="B121" s="200"/>
      <c r="C121" s="117">
        <v>4</v>
      </c>
      <c r="D121" s="30"/>
      <c r="E121" s="30"/>
      <c r="F121" s="30"/>
      <c r="G121" s="43">
        <v>999</v>
      </c>
      <c r="H121" s="30">
        <v>90</v>
      </c>
      <c r="K121" s="25">
        <v>29</v>
      </c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AK121" s="46"/>
    </row>
    <row r="122" spans="2:37" x14ac:dyDescent="0.15">
      <c r="B122" s="200"/>
      <c r="C122" s="117">
        <v>5</v>
      </c>
      <c r="D122" s="30"/>
      <c r="E122" s="30"/>
      <c r="F122" s="30"/>
      <c r="G122" s="30"/>
      <c r="H122" s="30">
        <v>100</v>
      </c>
      <c r="K122" s="25">
        <v>30</v>
      </c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AK122" s="46"/>
    </row>
    <row r="123" spans="2:37" x14ac:dyDescent="0.15">
      <c r="B123" s="200"/>
      <c r="C123" s="117">
        <v>6</v>
      </c>
      <c r="D123" s="30"/>
      <c r="E123" s="30"/>
      <c r="F123" s="30"/>
      <c r="G123" s="30"/>
      <c r="H123" s="30">
        <v>110</v>
      </c>
      <c r="K123" s="25">
        <v>31</v>
      </c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AK123" s="46"/>
    </row>
    <row r="124" spans="2:37" x14ac:dyDescent="0.15">
      <c r="B124" s="200"/>
      <c r="C124" s="126">
        <v>7</v>
      </c>
      <c r="D124" s="30"/>
      <c r="E124" s="30"/>
      <c r="F124" s="30"/>
      <c r="G124" s="30"/>
      <c r="H124" s="30">
        <v>120</v>
      </c>
      <c r="K124" s="25">
        <v>32</v>
      </c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AK124" s="46"/>
    </row>
    <row r="125" spans="2:37" x14ac:dyDescent="0.15">
      <c r="B125" s="200"/>
      <c r="C125" s="126">
        <v>8</v>
      </c>
      <c r="D125" s="30"/>
      <c r="E125" s="30"/>
      <c r="F125" s="30"/>
      <c r="G125" s="30"/>
      <c r="H125" s="30">
        <v>130</v>
      </c>
      <c r="K125" s="25">
        <v>33</v>
      </c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AK125" s="46"/>
    </row>
    <row r="126" spans="2:37" x14ac:dyDescent="0.15">
      <c r="B126" s="200"/>
      <c r="C126" s="126">
        <v>9</v>
      </c>
      <c r="D126" s="30"/>
      <c r="E126" s="30"/>
      <c r="F126" s="30"/>
      <c r="G126" s="30"/>
      <c r="H126" s="30">
        <v>140</v>
      </c>
      <c r="K126" s="25">
        <v>34</v>
      </c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AK126" s="46"/>
    </row>
    <row r="127" spans="2:37" x14ac:dyDescent="0.15">
      <c r="B127" s="200"/>
      <c r="C127" s="126">
        <v>10</v>
      </c>
      <c r="D127" s="30"/>
      <c r="E127" s="30"/>
      <c r="F127" s="30"/>
      <c r="G127" s="30"/>
      <c r="H127" s="30">
        <v>150</v>
      </c>
      <c r="K127" s="25">
        <v>35</v>
      </c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AK127" s="46"/>
    </row>
    <row r="128" spans="2:37" x14ac:dyDescent="0.15">
      <c r="B128" s="200"/>
      <c r="C128" s="126">
        <v>11</v>
      </c>
      <c r="D128" s="30"/>
      <c r="E128" s="30"/>
      <c r="F128" s="30"/>
      <c r="G128" s="30"/>
      <c r="H128" s="30">
        <v>160</v>
      </c>
      <c r="K128" s="25">
        <v>36</v>
      </c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AK128" s="46"/>
    </row>
    <row r="129" spans="2:37" x14ac:dyDescent="0.15">
      <c r="B129" s="200"/>
      <c r="C129" s="126"/>
      <c r="D129" s="30"/>
      <c r="E129" s="30"/>
      <c r="F129" s="30"/>
      <c r="G129" s="30"/>
      <c r="H129" s="30"/>
      <c r="K129" s="25">
        <v>37</v>
      </c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AK129" s="46"/>
    </row>
    <row r="130" spans="2:37" x14ac:dyDescent="0.15">
      <c r="B130" s="200"/>
      <c r="C130" s="126"/>
      <c r="D130" s="30"/>
      <c r="E130" s="30"/>
      <c r="F130" s="30"/>
      <c r="G130" s="30"/>
      <c r="H130" s="30"/>
      <c r="K130" s="25">
        <v>38</v>
      </c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AK130" s="46"/>
    </row>
    <row r="131" spans="2:37" x14ac:dyDescent="0.15">
      <c r="B131" s="201"/>
      <c r="C131" s="126"/>
      <c r="D131" s="30"/>
      <c r="E131" s="30"/>
      <c r="F131" s="30"/>
      <c r="G131" s="30"/>
      <c r="H131" s="30"/>
      <c r="K131" s="25">
        <v>39</v>
      </c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AK131" s="46"/>
    </row>
    <row r="132" spans="2:37" x14ac:dyDescent="0.15">
      <c r="K132" s="25">
        <v>40</v>
      </c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AK132" s="46"/>
    </row>
    <row r="133" spans="2:37" x14ac:dyDescent="0.15">
      <c r="K133" s="25">
        <v>41</v>
      </c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AK133" s="46"/>
    </row>
    <row r="134" spans="2:37" x14ac:dyDescent="0.15">
      <c r="K134" s="25">
        <v>42</v>
      </c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AK134" s="46"/>
    </row>
    <row r="135" spans="2:37" x14ac:dyDescent="0.15">
      <c r="K135" s="25">
        <v>43</v>
      </c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AK135" s="46"/>
    </row>
    <row r="136" spans="2:37" x14ac:dyDescent="0.15">
      <c r="K136" s="25">
        <v>44</v>
      </c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AK136" s="46"/>
    </row>
    <row r="137" spans="2:37" x14ac:dyDescent="0.15">
      <c r="K137" s="25">
        <v>45</v>
      </c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AK137" s="46"/>
    </row>
    <row r="138" spans="2:37" x14ac:dyDescent="0.15">
      <c r="K138" s="25">
        <v>1</v>
      </c>
      <c r="L138" s="183" t="s">
        <v>138</v>
      </c>
      <c r="M138" s="183"/>
      <c r="N138" s="183"/>
      <c r="O138" s="183"/>
      <c r="P138" s="183"/>
      <c r="Q138" s="183"/>
      <c r="R138" s="183"/>
      <c r="S138" s="183"/>
      <c r="T138" s="183"/>
      <c r="U138" s="183"/>
      <c r="V138" s="183"/>
      <c r="W138" s="183"/>
      <c r="AK138" s="46"/>
    </row>
    <row r="139" spans="2:37" x14ac:dyDescent="0.15">
      <c r="K139" s="25">
        <v>2</v>
      </c>
      <c r="L139" s="17"/>
      <c r="M139" s="196" t="s">
        <v>195</v>
      </c>
      <c r="N139" s="197"/>
      <c r="O139" s="197"/>
      <c r="P139" s="197"/>
      <c r="Q139" s="197"/>
      <c r="R139" s="196" t="s">
        <v>184</v>
      </c>
      <c r="S139" s="197"/>
      <c r="T139" s="197"/>
      <c r="U139" s="197"/>
      <c r="V139" s="197"/>
      <c r="W139" s="198"/>
      <c r="AA139" s="73" t="s">
        <v>359</v>
      </c>
      <c r="AB139" s="183" t="s">
        <v>377</v>
      </c>
      <c r="AC139" s="183"/>
      <c r="AD139" s="183"/>
      <c r="AE139" s="183"/>
      <c r="AG139" s="70" t="s">
        <v>358</v>
      </c>
      <c r="AH139" s="184" t="s">
        <v>351</v>
      </c>
      <c r="AI139" s="185"/>
      <c r="AK139" s="46"/>
    </row>
    <row r="140" spans="2:37" x14ac:dyDescent="0.15">
      <c r="K140" s="25">
        <v>3</v>
      </c>
      <c r="L140" s="6" t="s">
        <v>398</v>
      </c>
      <c r="M140" s="13" t="s">
        <v>179</v>
      </c>
      <c r="N140" s="22" t="s">
        <v>180</v>
      </c>
      <c r="O140" s="22" t="s">
        <v>181</v>
      </c>
      <c r="P140" s="22" t="s">
        <v>182</v>
      </c>
      <c r="Q140" s="26" t="s">
        <v>194</v>
      </c>
      <c r="R140" s="13" t="s">
        <v>179</v>
      </c>
      <c r="S140" s="22" t="s">
        <v>180</v>
      </c>
      <c r="T140" s="22" t="s">
        <v>181</v>
      </c>
      <c r="U140" s="22" t="s">
        <v>182</v>
      </c>
      <c r="V140" s="22" t="s">
        <v>172</v>
      </c>
      <c r="W140" s="22" t="s">
        <v>183</v>
      </c>
      <c r="AA140" s="51" t="s">
        <v>398</v>
      </c>
      <c r="AB140" s="83" t="s">
        <v>372</v>
      </c>
      <c r="AC140" s="83"/>
      <c r="AD140" s="83" t="s">
        <v>353</v>
      </c>
      <c r="AE140" s="83" t="s">
        <v>352</v>
      </c>
      <c r="AG140" s="51" t="s">
        <v>398</v>
      </c>
      <c r="AH140" s="83" t="s">
        <v>372</v>
      </c>
      <c r="AI140" s="83" t="s">
        <v>353</v>
      </c>
      <c r="AJ140" s="83" t="s">
        <v>370</v>
      </c>
      <c r="AK140" s="46"/>
    </row>
    <row r="141" spans="2:37" x14ac:dyDescent="0.15">
      <c r="K141" s="25">
        <v>4</v>
      </c>
      <c r="L141" s="12">
        <v>10</v>
      </c>
      <c r="M141" s="15">
        <f>IF(节奏预期!S93="","",INDEX(装备突破!D$57:D$71,MATCH(节奏预期!S93,装备突破!$C$57:$C$71,0)))</f>
        <v>1</v>
      </c>
      <c r="N141" s="23">
        <f>IF(节奏预期!T93="","",INDEX(装备突破!E$57:E$71,MATCH(节奏预期!T93,装备突破!$C$57:$C$71,0)))</f>
        <v>1</v>
      </c>
      <c r="O141" s="23">
        <f>IF(节奏预期!U93="","",INDEX(装备突破!F$57:F$71,MATCH(节奏预期!U93,装备突破!$C$57:$C$71,0)))</f>
        <v>1</v>
      </c>
      <c r="P141" s="23">
        <f>IF(节奏预期!V93="","",INDEX(装备突破!G$57:G$71,MATCH(节奏预期!V93,装备突破!$C$57:$C$71,0)))</f>
        <v>1</v>
      </c>
      <c r="Q141" s="27">
        <f>IF(节奏预期!W93="","",INDEX(装备突破!H$57:H$71,MATCH(节奏预期!W93,装备突破!$C$57:$C$71,0)))</f>
        <v>1</v>
      </c>
      <c r="R141" s="15">
        <f>IF(节奏预期!S93="","",INDEX(装备突破!D$74:D$88,MATCH(节奏预期!S93,装备突破!$C$74:$C$88,0))*节奏预期!D93)</f>
        <v>0</v>
      </c>
      <c r="S141" s="23">
        <f>IF(节奏预期!T93="","",INDEX(装备突破!E$74:E$88,MATCH(节奏预期!T93,装备突破!$C$74:$C$88,0))*节奏预期!E93)</f>
        <v>0</v>
      </c>
      <c r="T141" s="23">
        <f>IF(节奏预期!U93="","",INDEX(装备突破!F$74:F$88,MATCH(节奏预期!U93,装备突破!$C$74:$C$88,0))*节奏预期!F93)</f>
        <v>0</v>
      </c>
      <c r="U141" s="23">
        <f>IF(节奏预期!V93="","",INDEX(装备突破!G$74:G$88,MATCH(节奏预期!V93,装备突破!$C$74:$C$88,0))*节奏预期!G93)</f>
        <v>0</v>
      </c>
      <c r="V141" s="23">
        <f>IF(节奏预期!W93="","",INDEX(装备突破!H$74:H$88,MATCH(节奏预期!W93,装备突破!$C$74:$C$88,0))*节奏预期!H93)</f>
        <v>0</v>
      </c>
      <c r="W141" s="16">
        <f>SUM(R141:V141)</f>
        <v>0</v>
      </c>
      <c r="AA141" s="71">
        <v>10</v>
      </c>
      <c r="AB141" s="75">
        <f>INDEX('[1]功能-行军令'!$N$4:$R$163,AA6,4)*75*'[1]功能-行军令'!$AD$15</f>
        <v>1158.2865000000002</v>
      </c>
      <c r="AC141" s="76"/>
      <c r="AD141" s="75">
        <f t="shared" ref="AD141:AD156" si="27">$W141</f>
        <v>0</v>
      </c>
      <c r="AE141" s="76">
        <f>AD141*INDEX('[1]功能-付费相关'!$AT$6:$AT$165,$AA141,1)</f>
        <v>0</v>
      </c>
      <c r="AG141" s="71">
        <v>10</v>
      </c>
      <c r="AH141" s="83">
        <f>AB141</f>
        <v>1158.2865000000002</v>
      </c>
      <c r="AI141" s="83">
        <f t="shared" ref="AI141:AI149" si="28">AE141</f>
        <v>0</v>
      </c>
      <c r="AJ141" s="84">
        <f>SUM(AH141:AI141)</f>
        <v>1158.2865000000002</v>
      </c>
      <c r="AK141" s="46"/>
    </row>
    <row r="142" spans="2:37" x14ac:dyDescent="0.15">
      <c r="K142" s="25">
        <v>5</v>
      </c>
      <c r="L142" s="12">
        <v>20</v>
      </c>
      <c r="M142" s="15">
        <f>IF(节奏预期!S94="","",INDEX(装备突破!D$57:D$71,MATCH(节奏预期!S94,装备突破!$C$57:$C$71,0)))</f>
        <v>1</v>
      </c>
      <c r="N142" s="23">
        <f>IF(节奏预期!T94="","",INDEX(装备突破!E$57:E$71,MATCH(节奏预期!T94,装备突破!$C$57:$C$71,0)))</f>
        <v>2</v>
      </c>
      <c r="O142" s="23">
        <f>IF(节奏预期!U94="","",INDEX(装备突破!F$57:F$71,MATCH(节奏预期!U94,装备突破!$C$57:$C$71,0)))</f>
        <v>1</v>
      </c>
      <c r="P142" s="23">
        <f>IF(节奏预期!V94="","",INDEX(装备突破!G$57:G$71,MATCH(节奏预期!V94,装备突破!$C$57:$C$71,0)))</f>
        <v>1</v>
      </c>
      <c r="Q142" s="27">
        <f>IF(节奏预期!W94="","",INDEX(装备突破!H$57:H$71,MATCH(节奏预期!W94,装备突破!$C$57:$C$71,0)))</f>
        <v>1</v>
      </c>
      <c r="R142" s="15">
        <f>IF(节奏预期!S94="","",INDEX(装备突破!D$74:D$88,MATCH(节奏预期!S94,装备突破!$C$74:$C$88,0))*节奏预期!D94)</f>
        <v>0</v>
      </c>
      <c r="S142" s="23">
        <f>IF(节奏预期!T94="","",INDEX(装备突破!E$74:E$88,MATCH(节奏预期!T94,装备突破!$C$74:$C$88,0))*节奏预期!E94)</f>
        <v>65000</v>
      </c>
      <c r="T142" s="23">
        <f>IF(节奏预期!U94="","",INDEX(装备突破!F$74:F$88,MATCH(节奏预期!U94,装备突破!$C$74:$C$88,0))*节奏预期!F94)</f>
        <v>0</v>
      </c>
      <c r="U142" s="23">
        <f>IF(节奏预期!V94="","",INDEX(装备突破!G$74:G$88,MATCH(节奏预期!V94,装备突破!$C$74:$C$88,0))*节奏预期!G94)</f>
        <v>0</v>
      </c>
      <c r="V142" s="23">
        <f>IF(节奏预期!W94="","",INDEX(装备突破!H$74:H$88,MATCH(节奏预期!W94,装备突破!$C$74:$C$88,0))*节奏预期!H94)</f>
        <v>0</v>
      </c>
      <c r="W142" s="16">
        <f>MAX(SUM(R142:V142),$W$141:W141)</f>
        <v>65000</v>
      </c>
      <c r="AA142" s="71">
        <v>20</v>
      </c>
      <c r="AB142" s="75">
        <f>INDEX('[1]功能-行军令'!$N$4:$R$163,AA7,4)*75*'[1]功能-行军令'!$AD$15</f>
        <v>3661.8817499999996</v>
      </c>
      <c r="AC142" s="75"/>
      <c r="AD142" s="75">
        <f t="shared" si="27"/>
        <v>65000</v>
      </c>
      <c r="AE142" s="75">
        <f>(AD142-AD141)*INDEX('[1]功能-付费相关'!$AT$6:$AT$165,$AA142,1)+AE141</f>
        <v>135.41666666666666</v>
      </c>
      <c r="AG142" s="71">
        <v>20</v>
      </c>
      <c r="AH142" s="83">
        <f t="shared" ref="AH142:AH149" si="29">AB142</f>
        <v>3661.8817499999996</v>
      </c>
      <c r="AI142" s="83">
        <f t="shared" si="28"/>
        <v>135.41666666666666</v>
      </c>
      <c r="AJ142" s="84">
        <f t="shared" ref="AJ142:AJ149" si="30">SUM(AH142:AI142)</f>
        <v>3797.2984166666661</v>
      </c>
    </row>
    <row r="143" spans="2:37" x14ac:dyDescent="0.15">
      <c r="K143" s="25">
        <v>6</v>
      </c>
      <c r="L143" s="12">
        <v>30</v>
      </c>
      <c r="M143" s="15">
        <f>IF(节奏预期!S95="","",INDEX(装备突破!D$57:D$71,MATCH(节奏预期!S95,装备突破!$C$57:$C$71,0)))</f>
        <v>1</v>
      </c>
      <c r="N143" s="23">
        <f>IF(节奏预期!T95="","",INDEX(装备突破!E$57:E$71,MATCH(节奏预期!T95,装备突破!$C$57:$C$71,0)))</f>
        <v>2</v>
      </c>
      <c r="O143" s="23">
        <f>IF(节奏预期!U95="","",INDEX(装备突破!F$57:F$71,MATCH(节奏预期!U95,装备突破!$C$57:$C$71,0)))</f>
        <v>2</v>
      </c>
      <c r="P143" s="23">
        <f>IF(节奏预期!V95="","",INDEX(装备突破!G$57:G$71,MATCH(节奏预期!V95,装备突破!$C$57:$C$71,0)))</f>
        <v>1</v>
      </c>
      <c r="Q143" s="27">
        <f>IF(节奏预期!W95="","",INDEX(装备突破!H$57:H$71,MATCH(节奏预期!W95,装备突破!$C$57:$C$71,0)))</f>
        <v>1</v>
      </c>
      <c r="R143" s="15">
        <f>IF(节奏预期!S95="","",INDEX(装备突破!D$74:D$88,MATCH(节奏预期!S95,装备突破!$C$74:$C$88,0))*节奏预期!D95)</f>
        <v>0</v>
      </c>
      <c r="S143" s="23">
        <f>IF(节奏预期!T95="","",INDEX(装备突破!E$74:E$88,MATCH(节奏预期!T95,装备突破!$C$74:$C$88,0))*节奏预期!E95)</f>
        <v>0</v>
      </c>
      <c r="T143" s="23">
        <f>IF(节奏预期!U95="","",INDEX(装备突破!F$74:F$88,MATCH(节奏预期!U95,装备突破!$C$74:$C$88,0))*节奏预期!F95)</f>
        <v>160000</v>
      </c>
      <c r="U143" s="23">
        <f>IF(节奏预期!V95="","",INDEX(装备突破!G$74:G$88,MATCH(节奏预期!V95,装备突破!$C$74:$C$88,0))*节奏预期!G95)</f>
        <v>0</v>
      </c>
      <c r="V143" s="23">
        <f>IF(节奏预期!W95="","",INDEX(装备突破!H$74:H$88,MATCH(节奏预期!W95,装备突破!$C$74:$C$88,0))*节奏预期!H95)</f>
        <v>0</v>
      </c>
      <c r="W143" s="16">
        <f>MAX(SUM(R143:V143),$W$141:W142)</f>
        <v>160000</v>
      </c>
      <c r="AA143" s="71">
        <v>30</v>
      </c>
      <c r="AB143" s="75">
        <f>INDEX('[1]功能-行军令'!$N$4:$R$163,AA8,4)*75*'[1]功能-行军令'!$AD$15</f>
        <v>8674.1707499999993</v>
      </c>
      <c r="AC143" s="75"/>
      <c r="AD143" s="75">
        <f t="shared" si="27"/>
        <v>160000</v>
      </c>
      <c r="AE143" s="75">
        <f>(AD143-AD142)*INDEX('[1]功能-付费相关'!$AT$6:$AT$165,$AA143,1)+AE142</f>
        <v>305.0595238095238</v>
      </c>
      <c r="AG143" s="71">
        <v>30</v>
      </c>
      <c r="AH143" s="83">
        <f t="shared" si="29"/>
        <v>8674.1707499999993</v>
      </c>
      <c r="AI143" s="83">
        <f t="shared" si="28"/>
        <v>305.0595238095238</v>
      </c>
      <c r="AJ143" s="84">
        <f t="shared" si="30"/>
        <v>8979.2302738095223</v>
      </c>
    </row>
    <row r="144" spans="2:37" x14ac:dyDescent="0.15">
      <c r="K144" s="25">
        <v>7</v>
      </c>
      <c r="L144" s="12">
        <v>40</v>
      </c>
      <c r="M144" s="15">
        <f>IF(节奏预期!S96="","",INDEX(装备突破!D$57:D$71,MATCH(节奏预期!S96,装备突破!$C$57:$C$71,0)))</f>
        <v>1</v>
      </c>
      <c r="N144" s="23">
        <f>IF(节奏预期!T96="","",INDEX(装备突破!E$57:E$71,MATCH(节奏预期!T96,装备突破!$C$57:$C$71,0)))</f>
        <v>2</v>
      </c>
      <c r="O144" s="23">
        <f>IF(节奏预期!U96="","",INDEX(装备突破!F$57:F$71,MATCH(节奏预期!U96,装备突破!$C$57:$C$71,0)))</f>
        <v>3</v>
      </c>
      <c r="P144" s="23">
        <f>IF(节奏预期!V96="","",INDEX(装备突破!G$57:G$71,MATCH(节奏预期!V96,装备突破!$C$57:$C$71,0)))</f>
        <v>2</v>
      </c>
      <c r="Q144" s="27">
        <f>IF(节奏预期!W96="","",INDEX(装备突破!H$57:H$71,MATCH(节奏预期!W96,装备突破!$C$57:$C$71,0)))</f>
        <v>1</v>
      </c>
      <c r="R144" s="15">
        <f>IF(节奏预期!S96="","",INDEX(装备突破!D$74:D$88,MATCH(节奏预期!S96,装备突破!$C$74:$C$88,0))*节奏预期!D96)</f>
        <v>0</v>
      </c>
      <c r="S144" s="23">
        <f>IF(节奏预期!T96="","",INDEX(装备突破!E$74:E$88,MATCH(节奏预期!T96,装备突破!$C$74:$C$88,0))*节奏预期!E96)</f>
        <v>0</v>
      </c>
      <c r="T144" s="23">
        <f>IF(节奏预期!U96="","",INDEX(装备突破!F$74:F$88,MATCH(节奏预期!U96,装备突破!$C$74:$C$88,0))*节奏预期!F96)</f>
        <v>0</v>
      </c>
      <c r="U144" s="23">
        <f>IF(节奏预期!V96="","",INDEX(装备突破!G$74:G$88,MATCH(节奏预期!V96,装备突破!$C$74:$C$88,0))*节奏预期!G96)</f>
        <v>480000</v>
      </c>
      <c r="V144" s="23">
        <f>IF(节奏预期!W96="","",INDEX(装备突破!H$74:H$88,MATCH(节奏预期!W96,装备突破!$C$74:$C$88,0))*节奏预期!H96)</f>
        <v>0</v>
      </c>
      <c r="W144" s="16">
        <f>MAX(SUM(R144:V144),$W$141:W143)</f>
        <v>480000</v>
      </c>
      <c r="AA144" s="71">
        <v>40</v>
      </c>
      <c r="AB144" s="75">
        <f>INDEX('[1]功能-行军令'!$N$4:$R$163,AA9,4)*75*'[1]功能-行军令'!$AD$15</f>
        <v>18542.317499999997</v>
      </c>
      <c r="AC144" s="75"/>
      <c r="AD144" s="75">
        <f t="shared" si="27"/>
        <v>480000</v>
      </c>
      <c r="AE144" s="75">
        <f>(AD144-AD143)*INDEX('[1]功能-付费相关'!$AT$6:$AT$165,$AA144,1)+AE143</f>
        <v>805.05952380952385</v>
      </c>
      <c r="AG144" s="71">
        <v>40</v>
      </c>
      <c r="AH144" s="83">
        <f t="shared" si="29"/>
        <v>18542.317499999997</v>
      </c>
      <c r="AI144" s="83">
        <f t="shared" si="28"/>
        <v>805.05952380952385</v>
      </c>
      <c r="AJ144" s="84">
        <f t="shared" si="30"/>
        <v>19347.37702380952</v>
      </c>
    </row>
    <row r="145" spans="11:37" x14ac:dyDescent="0.15">
      <c r="K145" s="25">
        <v>8</v>
      </c>
      <c r="L145" s="12">
        <v>50</v>
      </c>
      <c r="M145" s="15">
        <f>IF(节奏预期!S97="","",INDEX(装备突破!D$57:D$71,MATCH(节奏预期!S97,装备突破!$C$57:$C$71,0)))</f>
        <v>1</v>
      </c>
      <c r="N145" s="23">
        <f>IF(节奏预期!T97="","",INDEX(装备突破!E$57:E$71,MATCH(节奏预期!T97,装备突破!$C$57:$C$71,0)))</f>
        <v>1</v>
      </c>
      <c r="O145" s="23">
        <f>IF(节奏预期!U97="","",INDEX(装备突破!F$57:F$71,MATCH(节奏预期!U97,装备突破!$C$57:$C$71,0)))</f>
        <v>3</v>
      </c>
      <c r="P145" s="23">
        <f>IF(节奏预期!V97="","",INDEX(装备突破!G$57:G$71,MATCH(节奏预期!V97,装备突破!$C$57:$C$71,0)))</f>
        <v>3</v>
      </c>
      <c r="Q145" s="27">
        <f>IF(节奏预期!W97="","",INDEX(装备突破!H$57:H$71,MATCH(节奏预期!W97,装备突破!$C$57:$C$71,0)))</f>
        <v>1</v>
      </c>
      <c r="R145" s="15">
        <f>IF(节奏预期!S97="","",INDEX(装备突破!D$74:D$88,MATCH(节奏预期!S97,装备突破!$C$74:$C$88,0))*节奏预期!D97)</f>
        <v>0</v>
      </c>
      <c r="S145" s="23">
        <f>IF(节奏预期!T97="","",INDEX(装备突破!E$74:E$88,MATCH(节奏预期!T97,装备突破!$C$74:$C$88,0))*节奏预期!E97)</f>
        <v>0</v>
      </c>
      <c r="T145" s="23">
        <f>IF(节奏预期!U97="","",INDEX(装备突破!F$74:F$88,MATCH(节奏预期!U97,装备突破!$C$74:$C$88,0))*节奏预期!F97)</f>
        <v>0</v>
      </c>
      <c r="U145" s="23">
        <f>IF(节奏预期!V97="","",INDEX(装备突破!G$74:G$88,MATCH(节奏预期!V97,装备突破!$C$74:$C$88,0))*节奏预期!G97)</f>
        <v>1260000</v>
      </c>
      <c r="V145" s="23">
        <f>IF(节奏预期!W97="","",INDEX(装备突破!H$74:H$88,MATCH(节奏预期!W97,装备突破!$C$74:$C$88,0))*节奏预期!H97)</f>
        <v>0</v>
      </c>
      <c r="W145" s="16">
        <f>MAX(SUM(R145:V145),$W$141:W144)</f>
        <v>1260000</v>
      </c>
      <c r="AA145" s="71">
        <v>50</v>
      </c>
      <c r="AB145" s="75">
        <f>INDEX('[1]功能-行军令'!$N$4:$R$163,AA10,4)*75*'[1]功能-行军令'!$AD$15</f>
        <v>37975.945499999994</v>
      </c>
      <c r="AC145" s="75"/>
      <c r="AD145" s="75">
        <f t="shared" si="27"/>
        <v>1260000</v>
      </c>
      <c r="AE145" s="75">
        <f>(AD145-AD144)*INDEX('[1]功能-付费相关'!$AT$6:$AT$165,$AA145,1)+AE144</f>
        <v>1888.3928571428573</v>
      </c>
      <c r="AG145" s="71">
        <v>50</v>
      </c>
      <c r="AH145" s="83">
        <f t="shared" si="29"/>
        <v>37975.945499999994</v>
      </c>
      <c r="AI145" s="83">
        <f t="shared" si="28"/>
        <v>1888.3928571428573</v>
      </c>
      <c r="AJ145" s="84">
        <f t="shared" si="30"/>
        <v>39864.338357142849</v>
      </c>
    </row>
    <row r="146" spans="11:37" x14ac:dyDescent="0.15">
      <c r="K146" s="25">
        <v>9</v>
      </c>
      <c r="L146" s="12">
        <v>60</v>
      </c>
      <c r="M146" s="15">
        <f>IF(节奏预期!S98="","",INDEX(装备突破!D$57:D$71,MATCH(节奏预期!S98,装备突破!$C$57:$C$71,0)))</f>
        <v>1</v>
      </c>
      <c r="N146" s="23">
        <f>IF(节奏预期!T98="","",INDEX(装备突破!E$57:E$71,MATCH(节奏预期!T98,装备突破!$C$57:$C$71,0)))</f>
        <v>1</v>
      </c>
      <c r="O146" s="23">
        <f>IF(节奏预期!U98="","",INDEX(装备突破!F$57:F$71,MATCH(节奏预期!U98,装备突破!$C$57:$C$71,0)))</f>
        <v>1</v>
      </c>
      <c r="P146" s="23">
        <f>IF(节奏预期!V98="","",INDEX(装备突破!G$57:G$71,MATCH(节奏预期!V98,装备突破!$C$57:$C$71,0)))</f>
        <v>4</v>
      </c>
      <c r="Q146" s="27">
        <f>IF(节奏预期!W98="","",INDEX(装备突破!H$57:H$71,MATCH(节奏预期!W98,装备突破!$C$57:$C$71,0)))</f>
        <v>2</v>
      </c>
      <c r="R146" s="15">
        <f>IF(节奏预期!S98="","",INDEX(装备突破!D$74:D$88,MATCH(节奏预期!S98,装备突破!$C$74:$C$88,0))*节奏预期!D98)</f>
        <v>0</v>
      </c>
      <c r="S146" s="23">
        <f>IF(节奏预期!T98="","",INDEX(装备突破!E$74:E$88,MATCH(节奏预期!T98,装备突破!$C$74:$C$88,0))*节奏预期!E98)</f>
        <v>0</v>
      </c>
      <c r="T146" s="23">
        <f>IF(节奏预期!U98="","",INDEX(装备突破!F$74:F$88,MATCH(节奏预期!U98,装备突破!$C$74:$C$88,0))*节奏预期!F98)</f>
        <v>0</v>
      </c>
      <c r="U146" s="23">
        <f>IF(节奏预期!V98="","",INDEX(装备突破!G$74:G$88,MATCH(节奏预期!V98,装备突破!$C$74:$C$88,0))*节奏预期!G98)</f>
        <v>2520000</v>
      </c>
      <c r="V146" s="23">
        <f>IF(节奏预期!W98="","",INDEX(装备突破!H$74:H$88,MATCH(节奏预期!W98,装备突破!$C$74:$C$88,0))*节奏预期!H98)</f>
        <v>720000</v>
      </c>
      <c r="W146" s="16">
        <f>MAX(SUM(R146:V146),$W$141:W145)</f>
        <v>3240000</v>
      </c>
      <c r="AA146" s="71">
        <v>60</v>
      </c>
      <c r="AB146" s="75">
        <f>INDEX('[1]功能-行军令'!$N$4:$R$163,AA11,4)*75*'[1]功能-行军令'!$AD$15</f>
        <v>76038.101999999999</v>
      </c>
      <c r="AC146" s="75"/>
      <c r="AD146" s="75">
        <f t="shared" si="27"/>
        <v>3240000</v>
      </c>
      <c r="AE146" s="75">
        <f>(AD146-AD145)*INDEX('[1]功能-付费相关'!$AT$6:$AT$165,$AA146,1)+AE145</f>
        <v>4363.3928571428569</v>
      </c>
      <c r="AG146" s="71">
        <v>60</v>
      </c>
      <c r="AH146" s="83">
        <f t="shared" si="29"/>
        <v>76038.101999999999</v>
      </c>
      <c r="AI146" s="83">
        <f t="shared" si="28"/>
        <v>4363.3928571428569</v>
      </c>
      <c r="AJ146" s="84">
        <f t="shared" si="30"/>
        <v>80401.494857142854</v>
      </c>
    </row>
    <row r="147" spans="11:37" x14ac:dyDescent="0.15">
      <c r="K147" s="25">
        <v>10</v>
      </c>
      <c r="L147" s="12">
        <v>70</v>
      </c>
      <c r="M147" s="15">
        <f>IF(节奏预期!S99="","",INDEX(装备突破!D$57:D$71,MATCH(节奏预期!S99,装备突破!$C$57:$C$71,0)))</f>
        <v>1</v>
      </c>
      <c r="N147" s="23">
        <f>IF(节奏预期!T99="","",INDEX(装备突破!E$57:E$71,MATCH(节奏预期!T99,装备突破!$C$57:$C$71,0)))</f>
        <v>1</v>
      </c>
      <c r="O147" s="23">
        <f>IF(节奏预期!U99="","",INDEX(装备突破!F$57:F$71,MATCH(节奏预期!U99,装备突破!$C$57:$C$71,0)))</f>
        <v>1</v>
      </c>
      <c r="P147" s="23">
        <f>IF(节奏预期!V99="","",INDEX(装备突破!G$57:G$71,MATCH(节奏预期!V99,装备突破!$C$57:$C$71,0)))</f>
        <v>4</v>
      </c>
      <c r="Q147" s="27">
        <f>IF(节奏预期!W99="","",INDEX(装备突破!H$57:H$71,MATCH(节奏预期!W99,装备突破!$C$57:$C$71,0)))</f>
        <v>3</v>
      </c>
      <c r="R147" s="15">
        <f>IF(节奏预期!S99="","",INDEX(装备突破!D$74:D$88,MATCH(节奏预期!S99,装备突破!$C$74:$C$88,0))*节奏预期!D99)</f>
        <v>0</v>
      </c>
      <c r="S147" s="23">
        <f>IF(节奏预期!T99="","",INDEX(装备突破!E$74:E$88,MATCH(节奏预期!T99,装备突破!$C$74:$C$88,0))*节奏预期!E99)</f>
        <v>0</v>
      </c>
      <c r="T147" s="23">
        <f>IF(节奏预期!U99="","",INDEX(装备突破!F$74:F$88,MATCH(节奏预期!U99,装备突破!$C$74:$C$88,0))*节奏预期!F99)</f>
        <v>0</v>
      </c>
      <c r="U147" s="23">
        <f>IF(节奏预期!V99="","",INDEX(装备突破!G$74:G$88,MATCH(节奏预期!V99,装备突破!$C$74:$C$88,0))*节奏预期!G99)</f>
        <v>1260000</v>
      </c>
      <c r="V147" s="23">
        <f>IF(节奏预期!W99="","",INDEX(装备突破!H$74:H$88,MATCH(节奏预期!W99,装备突破!$C$74:$C$88,0))*节奏预期!H99)</f>
        <v>4320000</v>
      </c>
      <c r="W147" s="16">
        <f>MAX(SUM(R147:V147),$W$141:W146)</f>
        <v>5580000</v>
      </c>
      <c r="AA147" s="71">
        <v>70</v>
      </c>
      <c r="AB147" s="75">
        <f>INDEX('[1]功能-行军令'!$N$4:$R$163,AA12,4)*75*'[1]功能-行军令'!$AD$15</f>
        <v>152782.80975000001</v>
      </c>
      <c r="AC147" s="75"/>
      <c r="AD147" s="75">
        <f t="shared" si="27"/>
        <v>5580000</v>
      </c>
      <c r="AE147" s="75">
        <f>(AD147-AD146)*INDEX('[1]功能-付费相关'!$AT$6:$AT$165,$AA147,1)+AE146</f>
        <v>7022.4837662337659</v>
      </c>
      <c r="AG147" s="71">
        <v>70</v>
      </c>
      <c r="AH147" s="83">
        <f t="shared" si="29"/>
        <v>152782.80975000001</v>
      </c>
      <c r="AI147" s="83">
        <f t="shared" si="28"/>
        <v>7022.4837662337659</v>
      </c>
      <c r="AJ147" s="84">
        <f t="shared" si="30"/>
        <v>159805.29351623377</v>
      </c>
      <c r="AK147" s="46"/>
    </row>
    <row r="148" spans="11:37" x14ac:dyDescent="0.15">
      <c r="K148" s="25">
        <v>11</v>
      </c>
      <c r="L148" s="12">
        <v>80</v>
      </c>
      <c r="M148" s="15">
        <f>IF(节奏预期!S100="","",INDEX(装备突破!D$57:D$71,MATCH(节奏预期!S100,装备突破!$C$57:$C$71,0)))</f>
        <v>1</v>
      </c>
      <c r="N148" s="23">
        <f>IF(节奏预期!T100="","",INDEX(装备突破!E$57:E$71,MATCH(节奏预期!T100,装备突破!$C$57:$C$71,0)))</f>
        <v>1</v>
      </c>
      <c r="O148" s="23">
        <f>IF(节奏预期!U100="","",INDEX(装备突破!F$57:F$71,MATCH(节奏预期!U100,装备突破!$C$57:$C$71,0)))</f>
        <v>1</v>
      </c>
      <c r="P148" s="23">
        <f>IF(节奏预期!V100="","",INDEX(装备突破!G$57:G$71,MATCH(节奏预期!V100,装备突破!$C$57:$C$71,0)))</f>
        <v>1</v>
      </c>
      <c r="Q148" s="27">
        <f>IF(节奏预期!W100="","",INDEX(装备突破!H$57:H$71,MATCH(节奏预期!W100,装备突破!$C$57:$C$71,0)))</f>
        <v>4</v>
      </c>
      <c r="R148" s="15">
        <f>IF(节奏预期!S100="","",INDEX(装备突破!D$74:D$88,MATCH(节奏预期!S100,装备突破!$C$74:$C$88,0))*节奏预期!D100)</f>
        <v>0</v>
      </c>
      <c r="S148" s="23">
        <f>IF(节奏预期!T100="","",INDEX(装备突破!E$74:E$88,MATCH(节奏预期!T100,装备突破!$C$74:$C$88,0))*节奏预期!E100)</f>
        <v>0</v>
      </c>
      <c r="T148" s="23">
        <f>IF(节奏预期!U100="","",INDEX(装备突破!F$74:F$88,MATCH(节奏预期!U100,装备突破!$C$74:$C$88,0))*节奏预期!F100)</f>
        <v>0</v>
      </c>
      <c r="U148" s="23">
        <f>IF(节奏预期!V100="","",INDEX(装备突破!G$74:G$88,MATCH(节奏预期!V100,装备突破!$C$74:$C$88,0))*节奏预期!G100)</f>
        <v>0</v>
      </c>
      <c r="V148" s="23">
        <f>IF(节奏预期!W100="","",INDEX(装备突破!H$74:H$88,MATCH(节奏预期!W100,装备突破!$C$74:$C$88,0))*节奏预期!H100)</f>
        <v>15120000</v>
      </c>
      <c r="W148" s="16">
        <f>MAX(SUM(R148:V148),$W$141:W147)</f>
        <v>15120000</v>
      </c>
      <c r="AA148" s="71">
        <v>80</v>
      </c>
      <c r="AB148" s="75">
        <f>INDEX('[1]功能-行军令'!$N$4:$R$163,AA13,4)*75*'[1]功能-行军令'!$AD$15</f>
        <v>304936.65000000002</v>
      </c>
      <c r="AC148" s="75"/>
      <c r="AD148" s="75">
        <f t="shared" si="27"/>
        <v>15120000</v>
      </c>
      <c r="AE148" s="75">
        <f>(AD148-AD147)*INDEX('[1]功能-付费相关'!$AT$6:$AT$165,$AA148,1)+AE147</f>
        <v>16959.983766233767</v>
      </c>
      <c r="AG148" s="71">
        <v>80</v>
      </c>
      <c r="AH148" s="83">
        <f t="shared" si="29"/>
        <v>304936.65000000002</v>
      </c>
      <c r="AI148" s="83">
        <f t="shared" si="28"/>
        <v>16959.983766233767</v>
      </c>
      <c r="AJ148" s="84">
        <f t="shared" si="30"/>
        <v>321896.6337662338</v>
      </c>
      <c r="AK148" s="46"/>
    </row>
    <row r="149" spans="11:37" x14ac:dyDescent="0.15">
      <c r="K149" s="25">
        <v>12</v>
      </c>
      <c r="L149" s="12">
        <v>90</v>
      </c>
      <c r="M149" s="15">
        <f>IF(节奏预期!S101="","",INDEX(装备突破!D$57:D$71,MATCH(节奏预期!S101,装备突破!$C$57:$C$71,0)))</f>
        <v>1</v>
      </c>
      <c r="N149" s="23">
        <f>IF(节奏预期!T101="","",INDEX(装备突破!E$57:E$71,MATCH(节奏预期!T101,装备突破!$C$57:$C$71,0)))</f>
        <v>1</v>
      </c>
      <c r="O149" s="23">
        <f>IF(节奏预期!U101="","",INDEX(装备突破!F$57:F$71,MATCH(节奏预期!U101,装备突破!$C$57:$C$71,0)))</f>
        <v>1</v>
      </c>
      <c r="P149" s="23">
        <f>IF(节奏预期!V101="","",INDEX(装备突破!G$57:G$71,MATCH(节奏预期!V101,装备突破!$C$57:$C$71,0)))</f>
        <v>1</v>
      </c>
      <c r="Q149" s="27">
        <f>IF(节奏预期!W101="","",INDEX(装备突破!H$57:H$71,MATCH(节奏预期!W101,装备突破!$C$57:$C$71,0)))</f>
        <v>5</v>
      </c>
      <c r="R149" s="15">
        <f>IF(节奏预期!S101="","",INDEX(装备突破!D$74:D$88,MATCH(节奏预期!S101,装备突破!$C$74:$C$88,0))*节奏预期!D101)</f>
        <v>0</v>
      </c>
      <c r="S149" s="23">
        <f>IF(节奏预期!T101="","",INDEX(装备突破!E$74:E$88,MATCH(节奏预期!T101,装备突破!$C$74:$C$88,0))*节奏预期!E101)</f>
        <v>0</v>
      </c>
      <c r="T149" s="23">
        <f>IF(节奏预期!U101="","",INDEX(装备突破!F$74:F$88,MATCH(节奏预期!U101,装备突破!$C$74:$C$88,0))*节奏预期!F101)</f>
        <v>0</v>
      </c>
      <c r="U149" s="23">
        <f>IF(节奏预期!V101="","",INDEX(装备突破!G$74:G$88,MATCH(节奏预期!V101,装备突破!$C$74:$C$88,0))*节奏预期!G101)</f>
        <v>0</v>
      </c>
      <c r="V149" s="23">
        <f>IF(节奏预期!W101="","",INDEX(装备突破!H$74:H$88,MATCH(节奏预期!W101,装备突破!$C$74:$C$88,0))*节奏预期!H101)</f>
        <v>32400000</v>
      </c>
      <c r="W149" s="16">
        <f>MAX(SUM(R149:V149),$W$141:W148)</f>
        <v>32400000</v>
      </c>
      <c r="AA149" s="71">
        <v>90</v>
      </c>
      <c r="AB149" s="75">
        <f>INDEX('[1]功能-行军令'!$N$4:$R$163,AA14,4)*75*'[1]功能-行军令'!$AD$15</f>
        <v>590700.15899999999</v>
      </c>
      <c r="AC149" s="75"/>
      <c r="AD149" s="75">
        <f t="shared" si="27"/>
        <v>32400000</v>
      </c>
      <c r="AE149" s="75">
        <f>(AD149-AD148)*INDEX('[1]功能-付费相关'!$AT$6:$AT$165,$AA149,1)+AE148</f>
        <v>33575.368381618384</v>
      </c>
      <c r="AG149" s="71">
        <v>90</v>
      </c>
      <c r="AH149" s="83">
        <f t="shared" si="29"/>
        <v>590700.15899999999</v>
      </c>
      <c r="AI149" s="83">
        <f t="shared" si="28"/>
        <v>33575.368381618384</v>
      </c>
      <c r="AJ149" s="84">
        <f t="shared" si="30"/>
        <v>624275.52738161839</v>
      </c>
      <c r="AK149" s="46"/>
    </row>
    <row r="150" spans="11:37" x14ac:dyDescent="0.15">
      <c r="K150" s="25">
        <v>13</v>
      </c>
      <c r="L150" s="129">
        <v>100</v>
      </c>
      <c r="M150" s="15">
        <f>IF(节奏预期!S102="","",INDEX(装备突破!D$57:D$71,MATCH(节奏预期!S102,装备突破!$C$57:$C$71,0)))</f>
        <v>1</v>
      </c>
      <c r="N150" s="126">
        <f>IF(节奏预期!T102="","",INDEX(装备突破!E$57:E$71,MATCH(节奏预期!T102,装备突破!$C$57:$C$71,0)))</f>
        <v>1</v>
      </c>
      <c r="O150" s="126">
        <f>IF(节奏预期!U102="","",INDEX(装备突破!F$57:F$71,MATCH(节奏预期!U102,装备突破!$C$57:$C$71,0)))</f>
        <v>1</v>
      </c>
      <c r="P150" s="126">
        <f>IF(节奏预期!V102="","",INDEX(装备突破!G$57:G$71,MATCH(节奏预期!V102,装备突破!$C$57:$C$71,0)))</f>
        <v>1</v>
      </c>
      <c r="Q150" s="127">
        <f>IF(节奏预期!W102="","",INDEX(装备突破!H$57:H$71,MATCH(节奏预期!W102,装备突破!$C$57:$C$71,0)))</f>
        <v>6</v>
      </c>
      <c r="R150" s="15">
        <f>IF(节奏预期!S102="","",INDEX(装备突破!D$74:D$88,MATCH(节奏预期!S102,装备突破!$C$74:$C$88,0))*节奏预期!D102)</f>
        <v>0</v>
      </c>
      <c r="S150" s="126">
        <f>IF(节奏预期!T102="","",INDEX(装备突破!E$74:E$88,MATCH(节奏预期!T102,装备突破!$C$74:$C$88,0))*节奏预期!E102)</f>
        <v>0</v>
      </c>
      <c r="T150" s="126">
        <f>IF(节奏预期!U102="","",INDEX(装备突破!F$74:F$88,MATCH(节奏预期!U102,装备突破!$C$74:$C$88,0))*节奏预期!F102)</f>
        <v>0</v>
      </c>
      <c r="U150" s="126">
        <f>IF(节奏预期!V102="","",INDEX(装备突破!G$74:G$88,MATCH(节奏预期!V102,装备突破!$C$74:$C$88,0))*节奏预期!G102)</f>
        <v>0</v>
      </c>
      <c r="V150" s="126">
        <f>IF(节奏预期!W102="","",INDEX(装备突破!H$74:H$88,MATCH(节奏预期!W102,装备突破!$C$74:$C$88,0))*节奏预期!H102)</f>
        <v>66960000</v>
      </c>
      <c r="W150" s="16">
        <f>MAX(SUM(R150:V150),$W$141:W149)</f>
        <v>66960000</v>
      </c>
      <c r="X150" s="46"/>
      <c r="AA150" s="128">
        <v>100</v>
      </c>
      <c r="AB150" s="75">
        <f>INDEX('[1]功能-行军令'!$N$4:$R$163,AA15,4)*75*'[1]功能-行军令'!$AD$15</f>
        <v>1177814.682</v>
      </c>
      <c r="AC150" s="75"/>
      <c r="AD150" s="75">
        <f t="shared" si="27"/>
        <v>66960000</v>
      </c>
      <c r="AE150" s="75">
        <f>(AD150-AD149)*INDEX('[1]功能-付费相关'!$AT$6:$AT$165,$AA150,1)+AE149</f>
        <v>64432.511238761239</v>
      </c>
      <c r="AG150" s="128">
        <v>100</v>
      </c>
      <c r="AH150" s="128">
        <f t="shared" ref="AH150:AH156" si="31">AB150</f>
        <v>1177814.682</v>
      </c>
      <c r="AI150" s="128">
        <f t="shared" ref="AI150:AI156" si="32">AE150</f>
        <v>64432.511238761239</v>
      </c>
      <c r="AJ150" s="84">
        <f t="shared" ref="AJ150:AJ156" si="33">SUM(AH150:AI150)</f>
        <v>1242247.1932387613</v>
      </c>
      <c r="AK150" s="46"/>
    </row>
    <row r="151" spans="11:37" x14ac:dyDescent="0.15">
      <c r="K151" s="25">
        <v>14</v>
      </c>
      <c r="L151" s="129">
        <v>110</v>
      </c>
      <c r="M151" s="15">
        <f>IF(节奏预期!S103="","",INDEX(装备突破!D$57:D$71,MATCH(节奏预期!S103,装备突破!$C$57:$C$71,0)))</f>
        <v>1</v>
      </c>
      <c r="N151" s="126">
        <f>IF(节奏预期!T103="","",INDEX(装备突破!E$57:E$71,MATCH(节奏预期!T103,装备突破!$C$57:$C$71,0)))</f>
        <v>1</v>
      </c>
      <c r="O151" s="126">
        <f>IF(节奏预期!U103="","",INDEX(装备突破!F$57:F$71,MATCH(节奏预期!U103,装备突破!$C$57:$C$71,0)))</f>
        <v>1</v>
      </c>
      <c r="P151" s="126">
        <f>IF(节奏预期!V103="","",INDEX(装备突破!G$57:G$71,MATCH(节奏预期!V103,装备突破!$C$57:$C$71,0)))</f>
        <v>1</v>
      </c>
      <c r="Q151" s="127">
        <f>IF(节奏预期!W103="","",INDEX(装备突破!H$57:H$71,MATCH(节奏预期!W103,装备突破!$C$57:$C$71,0)))</f>
        <v>7</v>
      </c>
      <c r="R151" s="15">
        <f>IF(节奏预期!S103="","",INDEX(装备突破!D$74:D$88,MATCH(节奏预期!S103,装备突破!$C$74:$C$88,0))*节奏预期!D103)</f>
        <v>0</v>
      </c>
      <c r="S151" s="126">
        <f>IF(节奏预期!T103="","",INDEX(装备突破!E$74:E$88,MATCH(节奏预期!T103,装备突破!$C$74:$C$88,0))*节奏预期!E103)</f>
        <v>0</v>
      </c>
      <c r="T151" s="126">
        <f>IF(节奏预期!U103="","",INDEX(装备突破!F$74:F$88,MATCH(节奏预期!U103,装备突破!$C$74:$C$88,0))*节奏预期!F103)</f>
        <v>0</v>
      </c>
      <c r="U151" s="126">
        <f>IF(节奏预期!V103="","",INDEX(装备突破!G$74:G$88,MATCH(节奏预期!V103,装备突破!$C$74:$C$88,0))*节奏预期!G103)</f>
        <v>0</v>
      </c>
      <c r="V151" s="126">
        <f>IF(节奏预期!W103="","",INDEX(装备突破!H$74:H$88,MATCH(节奏预期!W103,装备突破!$C$74:$C$88,0))*节奏预期!H103)</f>
        <v>136080000</v>
      </c>
      <c r="W151" s="16">
        <f>MAX(SUM(R151:V151),$W$141:W150)</f>
        <v>136080000</v>
      </c>
      <c r="X151" s="46"/>
      <c r="AA151" s="128">
        <v>110</v>
      </c>
      <c r="AB151" s="75">
        <f>INDEX('[1]功能-行军令'!$N$4:$R$163,AA16,4)*75*'[1]功能-行军令'!$AD$15</f>
        <v>2320726.8870000001</v>
      </c>
      <c r="AC151" s="75"/>
      <c r="AD151" s="75">
        <f t="shared" si="27"/>
        <v>136080000</v>
      </c>
      <c r="AE151" s="75">
        <f>(AD151-AD150)*INDEX('[1]功能-付费相关'!$AT$6:$AT$165,$AA151,1)+AE150</f>
        <v>122032.51123876125</v>
      </c>
      <c r="AG151" s="128">
        <v>110</v>
      </c>
      <c r="AH151" s="128">
        <f t="shared" si="31"/>
        <v>2320726.8870000001</v>
      </c>
      <c r="AI151" s="128">
        <f t="shared" si="32"/>
        <v>122032.51123876125</v>
      </c>
      <c r="AJ151" s="84">
        <f t="shared" si="33"/>
        <v>2442759.3982387614</v>
      </c>
      <c r="AK151" s="46"/>
    </row>
    <row r="152" spans="11:37" x14ac:dyDescent="0.15">
      <c r="K152" s="25">
        <v>15</v>
      </c>
      <c r="L152" s="129">
        <v>120</v>
      </c>
      <c r="M152" s="15">
        <f>IF(节奏预期!S104="","",INDEX(装备突破!D$57:D$71,MATCH(节奏预期!S104,装备突破!$C$57:$C$71,0)))</f>
        <v>1</v>
      </c>
      <c r="N152" s="126">
        <f>IF(节奏预期!T104="","",INDEX(装备突破!E$57:E$71,MATCH(节奏预期!T104,装备突破!$C$57:$C$71,0)))</f>
        <v>1</v>
      </c>
      <c r="O152" s="126">
        <f>IF(节奏预期!U104="","",INDEX(装备突破!F$57:F$71,MATCH(节奏预期!U104,装备突破!$C$57:$C$71,0)))</f>
        <v>1</v>
      </c>
      <c r="P152" s="126">
        <f>IF(节奏预期!V104="","",INDEX(装备突破!G$57:G$71,MATCH(节奏预期!V104,装备突破!$C$57:$C$71,0)))</f>
        <v>1</v>
      </c>
      <c r="Q152" s="127">
        <f>IF(节奏预期!W104="","",INDEX(装备突破!H$57:H$71,MATCH(节奏预期!W104,装备突破!$C$57:$C$71,0)))</f>
        <v>8</v>
      </c>
      <c r="R152" s="15">
        <f>IF(节奏预期!S104="","",INDEX(装备突破!D$74:D$88,MATCH(节奏预期!S104,装备突破!$C$74:$C$88,0))*节奏预期!D104)</f>
        <v>0</v>
      </c>
      <c r="S152" s="126">
        <f>IF(节奏预期!T104="","",INDEX(装备突破!E$74:E$88,MATCH(节奏预期!T104,装备突破!$C$74:$C$88,0))*节奏预期!E104)</f>
        <v>0</v>
      </c>
      <c r="T152" s="126">
        <f>IF(节奏预期!U104="","",INDEX(装备突破!F$74:F$88,MATCH(节奏预期!U104,装备突破!$C$74:$C$88,0))*节奏预期!F104)</f>
        <v>0</v>
      </c>
      <c r="U152" s="126">
        <f>IF(节奏预期!V104="","",INDEX(装备突破!G$74:G$88,MATCH(节奏预期!V104,装备突破!$C$74:$C$88,0))*节奏预期!G104)</f>
        <v>0</v>
      </c>
      <c r="V152" s="126">
        <f>IF(节奏预期!W104="","",INDEX(装备突破!H$74:H$88,MATCH(节奏预期!W104,装备突破!$C$74:$C$88,0))*节奏预期!H104)</f>
        <v>274320000</v>
      </c>
      <c r="W152" s="16">
        <f>MAX(SUM(R152:V152),$W$141:W151)</f>
        <v>274320000</v>
      </c>
      <c r="X152" s="46"/>
      <c r="AA152" s="128">
        <v>120</v>
      </c>
      <c r="AB152" s="75">
        <f>INDEX('[1]功能-行军令'!$N$4:$R$163,AA17,4)*75*'[1]功能-行军令'!$AD$15</f>
        <v>4608422.9099999992</v>
      </c>
      <c r="AC152" s="75"/>
      <c r="AD152" s="75">
        <f t="shared" si="27"/>
        <v>274320000</v>
      </c>
      <c r="AE152" s="75">
        <f>(AD152-AD151)*INDEX('[1]功能-付费相关'!$AT$6:$AT$165,$AA152,1)+AE151</f>
        <v>230032.51123876125</v>
      </c>
      <c r="AG152" s="128">
        <v>120</v>
      </c>
      <c r="AH152" s="128">
        <f t="shared" si="31"/>
        <v>4608422.9099999992</v>
      </c>
      <c r="AI152" s="128">
        <f t="shared" si="32"/>
        <v>230032.51123876125</v>
      </c>
      <c r="AJ152" s="84">
        <f t="shared" si="33"/>
        <v>4838455.4212387605</v>
      </c>
      <c r="AK152" s="46"/>
    </row>
    <row r="153" spans="11:37" x14ac:dyDescent="0.15">
      <c r="K153" s="25">
        <v>16</v>
      </c>
      <c r="L153" s="129">
        <v>130</v>
      </c>
      <c r="M153" s="15">
        <f>IF(节奏预期!S105="","",INDEX(装备突破!D$57:D$71,MATCH(节奏预期!S105,装备突破!$C$57:$C$71,0)))</f>
        <v>1</v>
      </c>
      <c r="N153" s="126">
        <f>IF(节奏预期!T105="","",INDEX(装备突破!E$57:E$71,MATCH(节奏预期!T105,装备突破!$C$57:$C$71,0)))</f>
        <v>1</v>
      </c>
      <c r="O153" s="126">
        <f>IF(节奏预期!U105="","",INDEX(装备突破!F$57:F$71,MATCH(节奏预期!U105,装备突破!$C$57:$C$71,0)))</f>
        <v>1</v>
      </c>
      <c r="P153" s="126">
        <f>IF(节奏预期!V105="","",INDEX(装备突破!G$57:G$71,MATCH(节奏预期!V105,装备突破!$C$57:$C$71,0)))</f>
        <v>1</v>
      </c>
      <c r="Q153" s="127">
        <f>IF(节奏预期!W105="","",INDEX(装备突破!H$57:H$71,MATCH(节奏预期!W105,装备突破!$C$57:$C$71,0)))</f>
        <v>9</v>
      </c>
      <c r="R153" s="15">
        <f>IF(节奏预期!S105="","",INDEX(装备突破!D$74:D$88,MATCH(节奏预期!S105,装备突破!$C$74:$C$88,0))*节奏预期!D105)</f>
        <v>0</v>
      </c>
      <c r="S153" s="126">
        <f>IF(节奏预期!T105="","",INDEX(装备突破!E$74:E$88,MATCH(节奏预期!T105,装备突破!$C$74:$C$88,0))*节奏预期!E105)</f>
        <v>0</v>
      </c>
      <c r="T153" s="126">
        <f>IF(节奏预期!U105="","",INDEX(装备突破!F$74:F$88,MATCH(节奏预期!U105,装备突破!$C$74:$C$88,0))*节奏预期!F105)</f>
        <v>0</v>
      </c>
      <c r="U153" s="126">
        <f>IF(节奏预期!V105="","",INDEX(装备突破!G$74:G$88,MATCH(节奏预期!V105,装备突破!$C$74:$C$88,0))*节奏预期!G105)</f>
        <v>0</v>
      </c>
      <c r="V153" s="126">
        <f>IF(节奏预期!W105="","",INDEX(装备突破!H$74:H$88,MATCH(节奏预期!W105,装备突破!$C$74:$C$88,0))*节奏预期!H105)</f>
        <v>550800000</v>
      </c>
      <c r="W153" s="16">
        <f>MAX(SUM(R153:V153),$W$141:W152)</f>
        <v>550800000</v>
      </c>
      <c r="X153" s="46"/>
      <c r="AA153" s="128">
        <v>130</v>
      </c>
      <c r="AB153" s="75">
        <f>INDEX('[1]功能-行军令'!$N$4:$R$163,AA18,4)*75*'[1]功能-行军令'!$AD$15</f>
        <v>9157226.7420000006</v>
      </c>
      <c r="AC153" s="75"/>
      <c r="AD153" s="75">
        <f t="shared" si="27"/>
        <v>550800000</v>
      </c>
      <c r="AE153" s="75">
        <f>(AD153-AD152)*INDEX('[1]功能-付费相关'!$AT$6:$AT$165,$AA153,1)+AE152</f>
        <v>433326.62888582004</v>
      </c>
      <c r="AG153" s="128">
        <v>130</v>
      </c>
      <c r="AH153" s="128">
        <f t="shared" si="31"/>
        <v>9157226.7420000006</v>
      </c>
      <c r="AI153" s="128">
        <f t="shared" si="32"/>
        <v>433326.62888582004</v>
      </c>
      <c r="AJ153" s="84">
        <f t="shared" si="33"/>
        <v>9590553.3708858211</v>
      </c>
    </row>
    <row r="154" spans="11:37" x14ac:dyDescent="0.15">
      <c r="K154" s="25">
        <v>17</v>
      </c>
      <c r="L154" s="129">
        <v>140</v>
      </c>
      <c r="M154" s="15">
        <f>IF(节奏预期!S106="","",INDEX(装备突破!D$57:D$71,MATCH(节奏预期!S106,装备突破!$C$57:$C$71,0)))</f>
        <v>1</v>
      </c>
      <c r="N154" s="126">
        <f>IF(节奏预期!T106="","",INDEX(装备突破!E$57:E$71,MATCH(节奏预期!T106,装备突破!$C$57:$C$71,0)))</f>
        <v>1</v>
      </c>
      <c r="O154" s="126">
        <f>IF(节奏预期!U106="","",INDEX(装备突破!F$57:F$71,MATCH(节奏预期!U106,装备突破!$C$57:$C$71,0)))</f>
        <v>1</v>
      </c>
      <c r="P154" s="126">
        <f>IF(节奏预期!V106="","",INDEX(装备突破!G$57:G$71,MATCH(节奏预期!V106,装备突破!$C$57:$C$71,0)))</f>
        <v>1</v>
      </c>
      <c r="Q154" s="127">
        <f>IF(节奏预期!W106="","",INDEX(装备突破!H$57:H$71,MATCH(节奏预期!W106,装备突破!$C$57:$C$71,0)))</f>
        <v>10</v>
      </c>
      <c r="R154" s="15">
        <f>IF(节奏预期!S106="","",INDEX(装备突破!D$74:D$88,MATCH(节奏预期!S106,装备突破!$C$74:$C$88,0))*节奏预期!D106)</f>
        <v>0</v>
      </c>
      <c r="S154" s="126">
        <f>IF(节奏预期!T106="","",INDEX(装备突破!E$74:E$88,MATCH(节奏预期!T106,装备突破!$C$74:$C$88,0))*节奏预期!E106)</f>
        <v>0</v>
      </c>
      <c r="T154" s="126">
        <f>IF(节奏预期!U106="","",INDEX(装备突破!F$74:F$88,MATCH(节奏预期!U106,装备突破!$C$74:$C$88,0))*节奏预期!F106)</f>
        <v>0</v>
      </c>
      <c r="U154" s="126">
        <f>IF(节奏预期!V106="","",INDEX(装备突破!G$74:G$88,MATCH(节奏预期!V106,装备突破!$C$74:$C$88,0))*节奏预期!G106)</f>
        <v>0</v>
      </c>
      <c r="V154" s="126">
        <f>IF(节奏预期!W106="","",INDEX(装备突破!H$74:H$88,MATCH(节奏预期!W106,装备突破!$C$74:$C$88,0))*节奏预期!H106)</f>
        <v>1103760000</v>
      </c>
      <c r="W154" s="16">
        <f>MAX(SUM(R154:V154),$W$141:W153)</f>
        <v>1103760000</v>
      </c>
      <c r="X154" s="46"/>
      <c r="AA154" s="128">
        <v>140</v>
      </c>
      <c r="AB154" s="75">
        <f>INDEX('[1]功能-行军令'!$N$4:$R$163,AA19,4)*75*'[1]功能-行军令'!$AD$15</f>
        <v>18140920.4745</v>
      </c>
      <c r="AC154" s="75"/>
      <c r="AD154" s="75">
        <f t="shared" si="27"/>
        <v>1103760000</v>
      </c>
      <c r="AE154" s="75">
        <f>(AD154-AD153)*INDEX('[1]功能-付费相关'!$AT$6:$AT$165,$AA154,1)+AE153</f>
        <v>817326.62888582004</v>
      </c>
      <c r="AG154" s="128">
        <v>140</v>
      </c>
      <c r="AH154" s="128">
        <f t="shared" si="31"/>
        <v>18140920.4745</v>
      </c>
      <c r="AI154" s="128">
        <f t="shared" si="32"/>
        <v>817326.62888582004</v>
      </c>
      <c r="AJ154" s="84">
        <f t="shared" si="33"/>
        <v>18958247.103385821</v>
      </c>
    </row>
    <row r="155" spans="11:37" x14ac:dyDescent="0.15">
      <c r="K155" s="25">
        <v>18</v>
      </c>
      <c r="L155" s="129">
        <v>150</v>
      </c>
      <c r="M155" s="15">
        <f>IF(节奏预期!S107="","",INDEX(装备突破!D$57:D$71,MATCH(节奏预期!S107,装备突破!$C$57:$C$71,0)))</f>
        <v>1</v>
      </c>
      <c r="N155" s="126">
        <f>IF(节奏预期!T107="","",INDEX(装备突破!E$57:E$71,MATCH(节奏预期!T107,装备突破!$C$57:$C$71,0)))</f>
        <v>1</v>
      </c>
      <c r="O155" s="126">
        <f>IF(节奏预期!U107="","",INDEX(装备突破!F$57:F$71,MATCH(节奏预期!U107,装备突破!$C$57:$C$71,0)))</f>
        <v>1</v>
      </c>
      <c r="P155" s="126">
        <f>IF(节奏预期!V107="","",INDEX(装备突破!G$57:G$71,MATCH(节奏预期!V107,装备突破!$C$57:$C$71,0)))</f>
        <v>1</v>
      </c>
      <c r="Q155" s="127">
        <f>IF(节奏预期!W107="","",INDEX(装备突破!H$57:H$71,MATCH(节奏预期!W107,装备突破!$C$57:$C$71,0)))</f>
        <v>11</v>
      </c>
      <c r="R155" s="15">
        <f>IF(节奏预期!S107="","",INDEX(装备突破!D$74:D$88,MATCH(节奏预期!S107,装备突破!$C$74:$C$88,0))*节奏预期!D107)</f>
        <v>0</v>
      </c>
      <c r="S155" s="126">
        <f>IF(节奏预期!T107="","",INDEX(装备突破!E$74:E$88,MATCH(节奏预期!T107,装备突破!$C$74:$C$88,0))*节奏预期!E107)</f>
        <v>0</v>
      </c>
      <c r="T155" s="126">
        <f>IF(节奏预期!U107="","",INDEX(装备突破!F$74:F$88,MATCH(节奏预期!U107,装备突破!$C$74:$C$88,0))*节奏预期!F107)</f>
        <v>0</v>
      </c>
      <c r="U155" s="126">
        <f>IF(节奏预期!V107="","",INDEX(装备突破!G$74:G$88,MATCH(节奏预期!V107,装备突破!$C$74:$C$88,0))*节奏预期!G107)</f>
        <v>0</v>
      </c>
      <c r="V155" s="126">
        <f>IF(节奏预期!W107="","",INDEX(装备突破!H$74:H$88,MATCH(节奏预期!W107,装备突破!$C$74:$C$88,0))*节奏预期!H107)</f>
        <v>2209680000</v>
      </c>
      <c r="W155" s="16">
        <f>MAX(SUM(R155:V155),$W$141:W154)</f>
        <v>2209680000</v>
      </c>
      <c r="X155" s="46"/>
      <c r="AA155" s="128">
        <v>150</v>
      </c>
      <c r="AB155" s="75">
        <f>INDEX('[1]功能-行军令'!$N$4:$R$163,AA20,4)*75*'[1]功能-行军令'!$AD$15</f>
        <v>36161448.214500003</v>
      </c>
      <c r="AC155" s="75"/>
      <c r="AD155" s="75">
        <f t="shared" si="27"/>
        <v>2209680000</v>
      </c>
      <c r="AE155" s="75">
        <f>(AD155-AD154)*INDEX('[1]功能-付费相关'!$AT$6:$AT$165,$AA155,1)+AE154</f>
        <v>1544905.5762542412</v>
      </c>
      <c r="AG155" s="128">
        <v>150</v>
      </c>
      <c r="AH155" s="128">
        <f t="shared" si="31"/>
        <v>36161448.214500003</v>
      </c>
      <c r="AI155" s="128">
        <f t="shared" si="32"/>
        <v>1544905.5762542412</v>
      </c>
      <c r="AJ155" s="84">
        <f t="shared" si="33"/>
        <v>37706353.790754244</v>
      </c>
    </row>
    <row r="156" spans="11:37" x14ac:dyDescent="0.15">
      <c r="K156" s="25">
        <v>19</v>
      </c>
      <c r="L156" s="129">
        <v>160</v>
      </c>
      <c r="M156" s="15">
        <f>IF(节奏预期!S108="","",INDEX(装备突破!D$57:D$71,MATCH(节奏预期!S108,装备突破!$C$57:$C$71,0)))</f>
        <v>1</v>
      </c>
      <c r="N156" s="126">
        <f>IF(节奏预期!T108="","",INDEX(装备突破!E$57:E$71,MATCH(节奏预期!T108,装备突破!$C$57:$C$71,0)))</f>
        <v>1</v>
      </c>
      <c r="O156" s="126">
        <f>IF(节奏预期!U108="","",INDEX(装备突破!F$57:F$71,MATCH(节奏预期!U108,装备突破!$C$57:$C$71,0)))</f>
        <v>1</v>
      </c>
      <c r="P156" s="126">
        <f>IF(节奏预期!V108="","",INDEX(装备突破!G$57:G$71,MATCH(节奏预期!V108,装备突破!$C$57:$C$71,0)))</f>
        <v>1</v>
      </c>
      <c r="Q156" s="127">
        <f>IF(节奏预期!W108="","",INDEX(装备突破!H$57:H$71,MATCH(节奏预期!W108,装备突破!$C$57:$C$71,0)))</f>
        <v>12</v>
      </c>
      <c r="R156" s="15">
        <f>IF(节奏预期!S108="","",INDEX(装备突破!D$74:D$88,MATCH(节奏预期!S108,装备突破!$C$74:$C$88,0))*节奏预期!D108)</f>
        <v>0</v>
      </c>
      <c r="S156" s="126">
        <f>IF(节奏预期!T108="","",INDEX(装备突破!E$74:E$88,MATCH(节奏预期!T108,装备突破!$C$74:$C$88,0))*节奏预期!E108)</f>
        <v>0</v>
      </c>
      <c r="T156" s="126">
        <f>IF(节奏预期!U108="","",INDEX(装备突破!F$74:F$88,MATCH(节奏预期!U108,装备突破!$C$74:$C$88,0))*节奏预期!F108)</f>
        <v>0</v>
      </c>
      <c r="U156" s="126">
        <f>IF(节奏预期!V108="","",INDEX(装备突破!G$74:G$88,MATCH(节奏预期!V108,装备突破!$C$74:$C$88,0))*节奏预期!G108)</f>
        <v>0</v>
      </c>
      <c r="V156" s="126">
        <f>IF(节奏预期!W108="","",INDEX(装备突破!H$74:H$88,MATCH(节奏预期!W108,装备突破!$C$74:$C$88,0))*节奏预期!H108)</f>
        <v>4421520000</v>
      </c>
      <c r="W156" s="16">
        <f>MAX(SUM(R156:V156),$W$141:W155)</f>
        <v>4421520000</v>
      </c>
      <c r="X156" s="46"/>
      <c r="AA156" s="128">
        <v>160</v>
      </c>
      <c r="AB156" s="75">
        <f>INDEX('[1]功能-行军令'!$N$4:$R$163,AA21,4)*75*'[1]功能-行军令'!$AD$15</f>
        <v>153396136.125</v>
      </c>
      <c r="AC156" s="75"/>
      <c r="AD156" s="75">
        <f t="shared" si="27"/>
        <v>4421520000</v>
      </c>
      <c r="AE156" s="75">
        <f>(AD156-AD155)*INDEX('[1]功能-付费相关'!$AT$6:$AT$165,$AA156,1)+AE155</f>
        <v>2927305.5762542412</v>
      </c>
      <c r="AG156" s="128">
        <v>160</v>
      </c>
      <c r="AH156" s="128">
        <f t="shared" si="31"/>
        <v>153396136.125</v>
      </c>
      <c r="AI156" s="128">
        <f t="shared" si="32"/>
        <v>2927305.5762542412</v>
      </c>
      <c r="AJ156" s="84">
        <f t="shared" si="33"/>
        <v>156323441.70125425</v>
      </c>
    </row>
    <row r="157" spans="11:37" x14ac:dyDescent="0.15">
      <c r="K157" s="25">
        <v>20</v>
      </c>
    </row>
    <row r="158" spans="11:37" x14ac:dyDescent="0.15">
      <c r="K158" s="25">
        <v>21</v>
      </c>
    </row>
    <row r="159" spans="11:37" x14ac:dyDescent="0.15">
      <c r="K159" s="25">
        <v>22</v>
      </c>
      <c r="L159" s="46"/>
      <c r="M159" s="46"/>
      <c r="N159" s="46"/>
      <c r="O159" s="46"/>
      <c r="P159" s="46"/>
      <c r="Q159" s="46"/>
      <c r="R159" s="46"/>
      <c r="S159" s="46"/>
      <c r="T159" s="46"/>
      <c r="U159" s="46"/>
      <c r="V159" s="46"/>
      <c r="W159" s="46"/>
    </row>
    <row r="160" spans="11:37" x14ac:dyDescent="0.15">
      <c r="K160" s="25">
        <v>23</v>
      </c>
      <c r="L160" s="46"/>
      <c r="M160" s="46"/>
      <c r="N160" s="46"/>
      <c r="O160" s="46"/>
      <c r="P160" s="46"/>
      <c r="Q160" s="46"/>
      <c r="R160" s="46"/>
      <c r="S160" s="46"/>
      <c r="T160" s="46"/>
      <c r="U160" s="46"/>
      <c r="V160" s="46"/>
      <c r="W160" s="46"/>
    </row>
    <row r="161" spans="11:27" x14ac:dyDescent="0.15">
      <c r="K161" s="25">
        <v>24</v>
      </c>
      <c r="L161" s="46"/>
      <c r="M161" s="46"/>
      <c r="N161" s="46"/>
      <c r="O161" s="46"/>
      <c r="P161" s="46"/>
      <c r="Q161" s="46"/>
      <c r="R161" s="46"/>
      <c r="S161" s="46"/>
      <c r="T161" s="46"/>
      <c r="U161" s="46"/>
      <c r="V161" s="46"/>
      <c r="W161" s="46"/>
    </row>
    <row r="162" spans="11:27" x14ac:dyDescent="0.15">
      <c r="K162" s="25">
        <v>25</v>
      </c>
      <c r="L162" s="46"/>
      <c r="M162" s="46"/>
      <c r="N162" s="46"/>
      <c r="O162" s="46"/>
      <c r="P162" s="46"/>
      <c r="Q162" s="46"/>
      <c r="R162" s="46"/>
      <c r="S162" s="46"/>
      <c r="T162" s="46"/>
      <c r="U162" s="46"/>
      <c r="V162" s="46"/>
      <c r="W162" s="46"/>
    </row>
    <row r="163" spans="11:27" x14ac:dyDescent="0.15">
      <c r="K163" s="25">
        <v>26</v>
      </c>
      <c r="L163" s="46"/>
      <c r="M163" s="46"/>
      <c r="N163" s="46"/>
      <c r="O163" s="46"/>
      <c r="P163" s="46"/>
      <c r="Q163" s="46"/>
      <c r="R163" s="46"/>
      <c r="S163" s="46"/>
      <c r="T163" s="46"/>
      <c r="U163" s="46"/>
      <c r="V163" s="46"/>
      <c r="W163" s="46"/>
    </row>
    <row r="164" spans="11:27" x14ac:dyDescent="0.15">
      <c r="K164" s="25">
        <v>27</v>
      </c>
      <c r="L164" s="46"/>
      <c r="M164" s="46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AA164" s="36"/>
    </row>
    <row r="165" spans="11:27" x14ac:dyDescent="0.15">
      <c r="K165" s="25">
        <v>28</v>
      </c>
      <c r="L165" s="46"/>
      <c r="M165" s="46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AA165" s="36"/>
    </row>
    <row r="166" spans="11:27" x14ac:dyDescent="0.15">
      <c r="K166" s="25">
        <v>29</v>
      </c>
      <c r="L166" s="46"/>
      <c r="M166" s="46"/>
      <c r="N166" s="46"/>
      <c r="O166" s="46"/>
      <c r="P166" s="46"/>
      <c r="Q166" s="46"/>
      <c r="R166" s="46"/>
      <c r="S166" s="46"/>
      <c r="T166" s="46"/>
      <c r="U166" s="46"/>
      <c r="V166" s="46"/>
      <c r="W166" s="46"/>
    </row>
    <row r="167" spans="11:27" x14ac:dyDescent="0.15">
      <c r="K167" s="25">
        <v>30</v>
      </c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</row>
    <row r="168" spans="11:27" x14ac:dyDescent="0.15">
      <c r="K168" s="25">
        <v>31</v>
      </c>
      <c r="L168" s="46"/>
      <c r="M168" s="46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</row>
    <row r="169" spans="11:27" x14ac:dyDescent="0.15">
      <c r="K169" s="25">
        <v>32</v>
      </c>
      <c r="L169" s="46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</row>
    <row r="170" spans="11:27" x14ac:dyDescent="0.15">
      <c r="K170" s="25">
        <v>33</v>
      </c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</row>
    <row r="171" spans="11:27" x14ac:dyDescent="0.15">
      <c r="K171" s="25">
        <v>34</v>
      </c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</row>
    <row r="172" spans="11:27" x14ac:dyDescent="0.15">
      <c r="K172" s="25">
        <v>35</v>
      </c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</row>
    <row r="173" spans="11:27" x14ac:dyDescent="0.15">
      <c r="K173" s="25">
        <v>36</v>
      </c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</row>
    <row r="174" spans="11:27" x14ac:dyDescent="0.15">
      <c r="K174" s="25">
        <v>37</v>
      </c>
      <c r="L174" s="46"/>
      <c r="M174" s="46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</row>
    <row r="175" spans="11:27" x14ac:dyDescent="0.15">
      <c r="K175" s="25">
        <v>38</v>
      </c>
      <c r="L175" s="46"/>
      <c r="M175" s="46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</row>
    <row r="176" spans="11:27" x14ac:dyDescent="0.15">
      <c r="K176" s="25">
        <v>39</v>
      </c>
      <c r="L176" s="46"/>
      <c r="M176" s="46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</row>
    <row r="177" spans="11:36" x14ac:dyDescent="0.15">
      <c r="K177" s="25">
        <v>40</v>
      </c>
      <c r="L177" s="46"/>
      <c r="M177" s="46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</row>
    <row r="178" spans="11:36" x14ac:dyDescent="0.15">
      <c r="K178" s="25">
        <v>41</v>
      </c>
      <c r="L178" s="46"/>
      <c r="M178" s="46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</row>
    <row r="179" spans="11:36" x14ac:dyDescent="0.15">
      <c r="K179" s="25">
        <v>42</v>
      </c>
      <c r="L179" s="46"/>
      <c r="M179" s="46"/>
      <c r="N179" s="46"/>
      <c r="O179" s="46"/>
      <c r="P179" s="46"/>
      <c r="Q179" s="46"/>
      <c r="R179" s="46"/>
      <c r="S179" s="46"/>
      <c r="T179" s="46"/>
      <c r="U179" s="46"/>
      <c r="V179" s="46"/>
      <c r="W179" s="46"/>
      <c r="X179" s="46"/>
    </row>
    <row r="180" spans="11:36" x14ac:dyDescent="0.15">
      <c r="K180" s="25">
        <v>43</v>
      </c>
      <c r="L180" s="46"/>
      <c r="M180" s="46"/>
      <c r="N180" s="46"/>
      <c r="O180" s="46"/>
      <c r="P180" s="46"/>
      <c r="Q180" s="46"/>
      <c r="R180" s="46"/>
      <c r="S180" s="46"/>
      <c r="T180" s="46"/>
      <c r="U180" s="46"/>
      <c r="V180" s="46"/>
      <c r="W180" s="46"/>
      <c r="X180" s="46"/>
    </row>
    <row r="181" spans="11:36" x14ac:dyDescent="0.15">
      <c r="K181" s="25">
        <v>44</v>
      </c>
      <c r="L181" s="46"/>
      <c r="M181" s="46"/>
      <c r="N181" s="46"/>
      <c r="O181" s="46"/>
      <c r="P181" s="46"/>
      <c r="Q181" s="46"/>
      <c r="R181" s="46"/>
      <c r="S181" s="46"/>
      <c r="T181" s="46"/>
      <c r="U181" s="46"/>
      <c r="V181" s="46"/>
      <c r="W181" s="46"/>
      <c r="X181" s="46"/>
    </row>
    <row r="182" spans="11:36" x14ac:dyDescent="0.15">
      <c r="K182" s="25">
        <v>45</v>
      </c>
      <c r="L182" s="46"/>
      <c r="M182" s="46"/>
      <c r="N182" s="46"/>
      <c r="O182" s="46"/>
      <c r="P182" s="46"/>
      <c r="Q182" s="46"/>
      <c r="R182" s="46"/>
      <c r="S182" s="46"/>
      <c r="T182" s="46"/>
      <c r="U182" s="46"/>
      <c r="V182" s="46"/>
      <c r="W182" s="46"/>
      <c r="X182" s="46"/>
    </row>
    <row r="183" spans="11:36" x14ac:dyDescent="0.15">
      <c r="K183" s="25">
        <v>1</v>
      </c>
      <c r="L183" s="183" t="s">
        <v>135</v>
      </c>
      <c r="M183" s="183"/>
      <c r="N183" s="183"/>
      <c r="O183" s="183"/>
      <c r="P183" s="183"/>
      <c r="Q183" s="183"/>
      <c r="R183" s="183"/>
      <c r="S183" s="183"/>
      <c r="T183" s="183"/>
      <c r="U183" s="183"/>
      <c r="V183" s="183"/>
      <c r="W183" s="183"/>
    </row>
    <row r="184" spans="11:36" x14ac:dyDescent="0.15">
      <c r="K184" s="25">
        <v>2</v>
      </c>
      <c r="L184" s="17"/>
      <c r="M184" s="196" t="s">
        <v>195</v>
      </c>
      <c r="N184" s="197"/>
      <c r="O184" s="197"/>
      <c r="P184" s="197"/>
      <c r="Q184" s="197"/>
      <c r="R184" s="196" t="s">
        <v>184</v>
      </c>
      <c r="S184" s="197"/>
      <c r="T184" s="197"/>
      <c r="U184" s="197"/>
      <c r="V184" s="197"/>
      <c r="W184" s="198"/>
      <c r="AA184" s="73" t="s">
        <v>360</v>
      </c>
      <c r="AB184" s="183" t="s">
        <v>378</v>
      </c>
      <c r="AC184" s="183"/>
      <c r="AD184" s="183"/>
      <c r="AE184" s="183"/>
      <c r="AG184" s="70" t="s">
        <v>361</v>
      </c>
      <c r="AH184" s="184" t="s">
        <v>351</v>
      </c>
      <c r="AI184" s="185"/>
    </row>
    <row r="185" spans="11:36" x14ac:dyDescent="0.15">
      <c r="K185" s="25">
        <v>3</v>
      </c>
      <c r="L185" s="6" t="s">
        <v>398</v>
      </c>
      <c r="M185" s="13" t="s">
        <v>179</v>
      </c>
      <c r="N185" s="22" t="s">
        <v>180</v>
      </c>
      <c r="O185" s="22" t="s">
        <v>181</v>
      </c>
      <c r="P185" s="22" t="s">
        <v>182</v>
      </c>
      <c r="Q185" s="26" t="s">
        <v>194</v>
      </c>
      <c r="R185" s="13" t="s">
        <v>179</v>
      </c>
      <c r="S185" s="22" t="s">
        <v>180</v>
      </c>
      <c r="T185" s="22" t="s">
        <v>181</v>
      </c>
      <c r="U185" s="22" t="s">
        <v>182</v>
      </c>
      <c r="V185" s="22" t="s">
        <v>172</v>
      </c>
      <c r="W185" s="22" t="s">
        <v>183</v>
      </c>
      <c r="AA185" s="51" t="s">
        <v>398</v>
      </c>
      <c r="AB185" s="83" t="s">
        <v>372</v>
      </c>
      <c r="AC185" s="83"/>
      <c r="AD185" s="83" t="s">
        <v>353</v>
      </c>
      <c r="AE185" s="83" t="s">
        <v>352</v>
      </c>
      <c r="AG185" s="51" t="s">
        <v>398</v>
      </c>
      <c r="AH185" s="83" t="s">
        <v>372</v>
      </c>
      <c r="AI185" s="83" t="s">
        <v>353</v>
      </c>
      <c r="AJ185" s="83" t="s">
        <v>370</v>
      </c>
    </row>
    <row r="186" spans="11:36" x14ac:dyDescent="0.15">
      <c r="K186" s="25">
        <v>4</v>
      </c>
      <c r="L186" s="12">
        <v>10</v>
      </c>
      <c r="M186" s="15">
        <f>IF(节奏预期!S122="","",INDEX(装备突破!D$57:D$71,MATCH(节奏预期!S122,装备突破!$C$57:$C$71,0)))</f>
        <v>1</v>
      </c>
      <c r="N186" s="23">
        <f>IF(节奏预期!T122="","",INDEX(装备突破!E$57:E$71,MATCH(节奏预期!T122,装备突破!$C$57:$C$71,0)))</f>
        <v>1</v>
      </c>
      <c r="O186" s="23">
        <f>IF(节奏预期!U122="","",INDEX(装备突破!F$57:F$71,MATCH(节奏预期!U122,装备突破!$C$57:$C$71,0)))</f>
        <v>1</v>
      </c>
      <c r="P186" s="23">
        <f>IF(节奏预期!V122="","",INDEX(装备突破!G$57:G$71,MATCH(节奏预期!V122,装备突破!$C$57:$C$71,0)))</f>
        <v>1</v>
      </c>
      <c r="Q186" s="27">
        <f>IF(节奏预期!W122="","",INDEX(装备突破!H$57:H$71,MATCH(节奏预期!W122,装备突破!$C$57:$C$71,0)))</f>
        <v>1</v>
      </c>
      <c r="R186" s="15">
        <f>IF(节奏预期!S122="","",INDEX(装备突破!D$74:D$88,MATCH(节奏预期!S122,装备突破!$C$74:$C$88,0))*节奏预期!D122)</f>
        <v>0</v>
      </c>
      <c r="S186" s="23">
        <f>IF(节奏预期!T122="","",INDEX(装备突破!E$74:E$88,MATCH(节奏预期!T122,装备突破!$C$74:$C$88,0))*节奏预期!E122)</f>
        <v>0</v>
      </c>
      <c r="T186" s="23">
        <f>IF(节奏预期!U122="","",INDEX(装备突破!F$74:F$88,MATCH(节奏预期!U122,装备突破!$C$74:$C$88,0))*节奏预期!F122)</f>
        <v>0</v>
      </c>
      <c r="U186" s="23">
        <f>IF(节奏预期!V122="","",INDEX(装备突破!G$74:G$88,MATCH(节奏预期!V122,装备突破!$C$74:$C$88,0))*节奏预期!G122)</f>
        <v>0</v>
      </c>
      <c r="V186" s="23">
        <f>IF(节奏预期!W122="","",INDEX(装备突破!H$74:H$88,MATCH(节奏预期!W122,装备突破!$C$74:$C$88,0))*节奏预期!H122)</f>
        <v>0</v>
      </c>
      <c r="W186" s="16">
        <f>SUM(R186:V186)</f>
        <v>0</v>
      </c>
      <c r="AA186" s="71">
        <v>10</v>
      </c>
      <c r="AB186" s="75">
        <f>INDEX('[1]功能-行军令'!$N$4:$R$163,AA6,5)*75*'[1]功能-行军令'!$AD$15</f>
        <v>633.14100000000008</v>
      </c>
      <c r="AC186" s="76"/>
      <c r="AD186" s="75">
        <f t="shared" ref="AD186:AD201" si="34">$W186</f>
        <v>0</v>
      </c>
      <c r="AE186" s="76">
        <f>AD186*INDEX('[1]功能-付费相关'!$AU$6:$AU$165,$AA186,1)</f>
        <v>0</v>
      </c>
      <c r="AG186" s="71">
        <v>10</v>
      </c>
      <c r="AH186" s="71">
        <f>AB186</f>
        <v>633.14100000000008</v>
      </c>
      <c r="AI186" s="71">
        <f t="shared" ref="AI186:AI194" si="35">AE186</f>
        <v>0</v>
      </c>
      <c r="AJ186" s="84">
        <f>SUM(AH186:AI186)</f>
        <v>633.14100000000008</v>
      </c>
    </row>
    <row r="187" spans="11:36" x14ac:dyDescent="0.15">
      <c r="K187" s="25">
        <v>5</v>
      </c>
      <c r="L187" s="12">
        <v>20</v>
      </c>
      <c r="M187" s="15">
        <f>IF(节奏预期!S123="","",INDEX(装备突破!D$57:D$71,MATCH(节奏预期!S123,装备突破!$C$57:$C$71,0)))</f>
        <v>1</v>
      </c>
      <c r="N187" s="23">
        <f>IF(节奏预期!T123="","",INDEX(装备突破!E$57:E$71,MATCH(节奏预期!T123,装备突破!$C$57:$C$71,0)))</f>
        <v>2</v>
      </c>
      <c r="O187" s="23">
        <f>IF(节奏预期!U123="","",INDEX(装备突破!F$57:F$71,MATCH(节奏预期!U123,装备突破!$C$57:$C$71,0)))</f>
        <v>1</v>
      </c>
      <c r="P187" s="23">
        <f>IF(节奏预期!V123="","",INDEX(装备突破!G$57:G$71,MATCH(节奏预期!V123,装备突破!$C$57:$C$71,0)))</f>
        <v>1</v>
      </c>
      <c r="Q187" s="27">
        <f>IF(节奏预期!W123="","",INDEX(装备突破!H$57:H$71,MATCH(节奏预期!W123,装备突破!$C$57:$C$71,0)))</f>
        <v>1</v>
      </c>
      <c r="R187" s="15">
        <f>IF(节奏预期!S123="","",INDEX(装备突破!D$74:D$88,MATCH(节奏预期!S123,装备突破!$C$74:$C$88,0))*节奏预期!D123)</f>
        <v>0</v>
      </c>
      <c r="S187" s="23">
        <f>IF(节奏预期!T123="","",INDEX(装备突破!E$74:E$88,MATCH(节奏预期!T123,装备突破!$C$74:$C$88,0))*节奏预期!E123)</f>
        <v>65000</v>
      </c>
      <c r="T187" s="23">
        <f>IF(节奏预期!U123="","",INDEX(装备突破!F$74:F$88,MATCH(节奏预期!U123,装备突破!$C$74:$C$88,0))*节奏预期!F123)</f>
        <v>0</v>
      </c>
      <c r="U187" s="23">
        <f>IF(节奏预期!V123="","",INDEX(装备突破!G$74:G$88,MATCH(节奏预期!V123,装备突破!$C$74:$C$88,0))*节奏预期!G123)</f>
        <v>0</v>
      </c>
      <c r="V187" s="23">
        <f>IF(节奏预期!W123="","",INDEX(装备突破!H$74:H$88,MATCH(节奏预期!W123,装备突破!$C$74:$C$88,0))*节奏预期!H123)</f>
        <v>0</v>
      </c>
      <c r="W187" s="16">
        <f>MAX(SUM(R187:V187),$W$186:W186)</f>
        <v>65000</v>
      </c>
      <c r="AA187" s="71">
        <v>20</v>
      </c>
      <c r="AB187" s="75">
        <f>INDEX('[1]功能-行军令'!$N$4:$R$163,AA7,5)*75*'[1]功能-行军令'!$AD$15</f>
        <v>2039.1682499999999</v>
      </c>
      <c r="AC187" s="75"/>
      <c r="AD187" s="75">
        <f t="shared" si="34"/>
        <v>65000</v>
      </c>
      <c r="AE187" s="75">
        <f>(AD187-AD186)*INDEX('[1]功能-付费相关'!$AU$6:$AU$165,$AA187,1)+AE186</f>
        <v>135.41666666666666</v>
      </c>
      <c r="AG187" s="71">
        <v>20</v>
      </c>
      <c r="AH187" s="83">
        <f t="shared" ref="AH187:AH194" si="36">AB187</f>
        <v>2039.1682499999999</v>
      </c>
      <c r="AI187" s="71">
        <f t="shared" si="35"/>
        <v>135.41666666666666</v>
      </c>
      <c r="AJ187" s="84">
        <f t="shared" ref="AJ187:AJ194" si="37">SUM(AH187:AI187)</f>
        <v>2174.5849166666667</v>
      </c>
    </row>
    <row r="188" spans="11:36" x14ac:dyDescent="0.15">
      <c r="K188" s="25">
        <v>6</v>
      </c>
      <c r="L188" s="12">
        <v>30</v>
      </c>
      <c r="M188" s="15">
        <f>IF(节奏预期!S124="","",INDEX(装备突破!D$57:D$71,MATCH(节奏预期!S124,装备突破!$C$57:$C$71,0)))</f>
        <v>1</v>
      </c>
      <c r="N188" s="23">
        <f>IF(节奏预期!T124="","",INDEX(装备突破!E$57:E$71,MATCH(节奏预期!T124,装备突破!$C$57:$C$71,0)))</f>
        <v>2</v>
      </c>
      <c r="O188" s="23">
        <f>IF(节奏预期!U124="","",INDEX(装备突破!F$57:F$71,MATCH(节奏预期!U124,装备突破!$C$57:$C$71,0)))</f>
        <v>2</v>
      </c>
      <c r="P188" s="23">
        <f>IF(节奏预期!V124="","",INDEX(装备突破!G$57:G$71,MATCH(节奏预期!V124,装备突破!$C$57:$C$71,0)))</f>
        <v>1</v>
      </c>
      <c r="Q188" s="27">
        <f>IF(节奏预期!W124="","",INDEX(装备突破!H$57:H$71,MATCH(节奏预期!W124,装备突破!$C$57:$C$71,0)))</f>
        <v>1</v>
      </c>
      <c r="R188" s="15">
        <f>IF(节奏预期!S124="","",INDEX(装备突破!D$74:D$88,MATCH(节奏预期!S124,装备突破!$C$74:$C$88,0))*节奏预期!D124)</f>
        <v>0</v>
      </c>
      <c r="S188" s="23">
        <f>IF(节奏预期!T124="","",INDEX(装备突破!E$74:E$88,MATCH(节奏预期!T124,装备突破!$C$74:$C$88,0))*节奏预期!E124)</f>
        <v>0</v>
      </c>
      <c r="T188" s="23">
        <f>IF(节奏预期!U124="","",INDEX(装备突破!F$74:F$88,MATCH(节奏预期!U124,装备突破!$C$74:$C$88,0))*节奏预期!F124)</f>
        <v>160000</v>
      </c>
      <c r="U188" s="23">
        <f>IF(节奏预期!V124="","",INDEX(装备突破!G$74:G$88,MATCH(节奏预期!V124,装备突破!$C$74:$C$88,0))*节奏预期!G124)</f>
        <v>0</v>
      </c>
      <c r="V188" s="23">
        <f>IF(节奏预期!W124="","",INDEX(装备突破!H$74:H$88,MATCH(节奏预期!W124,装备突破!$C$74:$C$88,0))*节奏预期!H124)</f>
        <v>0</v>
      </c>
      <c r="W188" s="16">
        <f>MAX(SUM(R188:V188),$W$186:W187)</f>
        <v>160000</v>
      </c>
      <c r="AA188" s="71">
        <v>30</v>
      </c>
      <c r="AB188" s="75">
        <f>INDEX('[1]功能-行军令'!$N$4:$R$163,AA8,5)*75*'[1]功能-行军令'!$AD$15</f>
        <v>4868.3722499999994</v>
      </c>
      <c r="AC188" s="75"/>
      <c r="AD188" s="75">
        <f t="shared" si="34"/>
        <v>160000</v>
      </c>
      <c r="AE188" s="75">
        <f>(AD188-AD187)*INDEX('[1]功能-付费相关'!$AU$6:$AU$165,$AA188,1)+AE187</f>
        <v>305.0595238095238</v>
      </c>
      <c r="AG188" s="71">
        <v>30</v>
      </c>
      <c r="AH188" s="83">
        <f t="shared" si="36"/>
        <v>4868.3722499999994</v>
      </c>
      <c r="AI188" s="71">
        <f t="shared" si="35"/>
        <v>305.0595238095238</v>
      </c>
      <c r="AJ188" s="84">
        <f t="shared" si="37"/>
        <v>5173.4317738095233</v>
      </c>
    </row>
    <row r="189" spans="11:36" x14ac:dyDescent="0.15">
      <c r="K189" s="25">
        <v>7</v>
      </c>
      <c r="L189" s="12">
        <v>40</v>
      </c>
      <c r="M189" s="15">
        <f>IF(节奏预期!S125="","",INDEX(装备突破!D$57:D$71,MATCH(节奏预期!S125,装备突破!$C$57:$C$71,0)))</f>
        <v>1</v>
      </c>
      <c r="N189" s="23">
        <f>IF(节奏预期!T125="","",INDEX(装备突破!E$57:E$71,MATCH(节奏预期!T125,装备突破!$C$57:$C$71,0)))</f>
        <v>2</v>
      </c>
      <c r="O189" s="23">
        <f>IF(节奏预期!U125="","",INDEX(装备突破!F$57:F$71,MATCH(节奏预期!U125,装备突破!$C$57:$C$71,0)))</f>
        <v>3</v>
      </c>
      <c r="P189" s="23">
        <f>IF(节奏预期!V125="","",INDEX(装备突破!G$57:G$71,MATCH(节奏预期!V125,装备突破!$C$57:$C$71,0)))</f>
        <v>2</v>
      </c>
      <c r="Q189" s="27">
        <f>IF(节奏预期!W125="","",INDEX(装备突破!H$57:H$71,MATCH(节奏预期!W125,装备突破!$C$57:$C$71,0)))</f>
        <v>1</v>
      </c>
      <c r="R189" s="15">
        <f>IF(节奏预期!S125="","",INDEX(装备突破!D$74:D$88,MATCH(节奏预期!S125,装备突破!$C$74:$C$88,0))*节奏预期!D125)</f>
        <v>0</v>
      </c>
      <c r="S189" s="23">
        <f>IF(节奏预期!T125="","",INDEX(装备突破!E$74:E$88,MATCH(节奏预期!T125,装备突破!$C$74:$C$88,0))*节奏预期!E125)</f>
        <v>0</v>
      </c>
      <c r="T189" s="23">
        <f>IF(节奏预期!U125="","",INDEX(装备突破!F$74:F$88,MATCH(节奏预期!U125,装备突破!$C$74:$C$88,0))*节奏预期!F125)</f>
        <v>0</v>
      </c>
      <c r="U189" s="23">
        <f>IF(节奏预期!V125="","",INDEX(装备突破!G$74:G$88,MATCH(节奏预期!V125,装备突破!$C$74:$C$88,0))*节奏预期!G125)</f>
        <v>480000</v>
      </c>
      <c r="V189" s="23">
        <f>IF(节奏预期!W125="","",INDEX(装备突破!H$74:H$88,MATCH(节奏预期!W125,装备突破!$C$74:$C$88,0))*节奏预期!H125)</f>
        <v>0</v>
      </c>
      <c r="W189" s="16">
        <f>MAX(SUM(R189:V189),$W$186:W188)</f>
        <v>480000</v>
      </c>
      <c r="AA189" s="71">
        <v>40</v>
      </c>
      <c r="AB189" s="75">
        <f>INDEX('[1]功能-行军令'!$N$4:$R$163,AA9,5)*75*'[1]功能-行军令'!$AD$15</f>
        <v>10428.75</v>
      </c>
      <c r="AC189" s="75"/>
      <c r="AD189" s="75">
        <f t="shared" si="34"/>
        <v>480000</v>
      </c>
      <c r="AE189" s="75">
        <f>(AD189-AD188)*INDEX('[1]功能-付费相关'!$AU$6:$AU$165,$AA189,1)+AE188</f>
        <v>805.05952380952385</v>
      </c>
      <c r="AG189" s="71">
        <v>40</v>
      </c>
      <c r="AH189" s="83">
        <f t="shared" si="36"/>
        <v>10428.75</v>
      </c>
      <c r="AI189" s="71">
        <f t="shared" si="35"/>
        <v>805.05952380952385</v>
      </c>
      <c r="AJ189" s="84">
        <f t="shared" si="37"/>
        <v>11233.809523809523</v>
      </c>
    </row>
    <row r="190" spans="11:36" x14ac:dyDescent="0.15">
      <c r="K190" s="25">
        <v>8</v>
      </c>
      <c r="L190" s="12">
        <v>50</v>
      </c>
      <c r="M190" s="15">
        <f>IF(节奏预期!S126="","",INDEX(装备突破!D$57:D$71,MATCH(节奏预期!S126,装备突破!$C$57:$C$71,0)))</f>
        <v>1</v>
      </c>
      <c r="N190" s="23">
        <f>IF(节奏预期!T126="","",INDEX(装备突破!E$57:E$71,MATCH(节奏预期!T126,装备突破!$C$57:$C$71,0)))</f>
        <v>1</v>
      </c>
      <c r="O190" s="23">
        <f>IF(节奏预期!U126="","",INDEX(装备突破!F$57:F$71,MATCH(节奏预期!U126,装备突破!$C$57:$C$71,0)))</f>
        <v>3</v>
      </c>
      <c r="P190" s="23">
        <f>IF(节奏预期!V126="","",INDEX(装备突破!G$57:G$71,MATCH(节奏预期!V126,装备突破!$C$57:$C$71,0)))</f>
        <v>3</v>
      </c>
      <c r="Q190" s="27">
        <f>IF(节奏预期!W126="","",INDEX(装备突破!H$57:H$71,MATCH(节奏预期!W126,装备突破!$C$57:$C$71,0)))</f>
        <v>1</v>
      </c>
      <c r="R190" s="15">
        <f>IF(节奏预期!S126="","",INDEX(装备突破!D$74:D$88,MATCH(节奏预期!S126,装备突破!$C$74:$C$88,0))*节奏预期!D126)</f>
        <v>0</v>
      </c>
      <c r="S190" s="23">
        <f>IF(节奏预期!T126="","",INDEX(装备突破!E$74:E$88,MATCH(节奏预期!T126,装备突破!$C$74:$C$88,0))*节奏预期!E126)</f>
        <v>0</v>
      </c>
      <c r="T190" s="23">
        <f>IF(节奏预期!U126="","",INDEX(装备突破!F$74:F$88,MATCH(节奏预期!U126,装备突破!$C$74:$C$88,0))*节奏预期!F126)</f>
        <v>0</v>
      </c>
      <c r="U190" s="23">
        <f>IF(节奏预期!V126="","",INDEX(装备突破!G$74:G$88,MATCH(节奏预期!V126,装备突破!$C$74:$C$88,0))*节奏预期!G126)</f>
        <v>1260000</v>
      </c>
      <c r="V190" s="23">
        <f>IF(节奏预期!W126="","",INDEX(装备突破!H$74:H$88,MATCH(节奏预期!W126,装备突破!$C$74:$C$88,0))*节奏预期!H126)</f>
        <v>0</v>
      </c>
      <c r="W190" s="16">
        <f>MAX(SUM(R190:V190),$W$186:W189)</f>
        <v>1260000</v>
      </c>
      <c r="AA190" s="71">
        <v>50</v>
      </c>
      <c r="AB190" s="75">
        <f>INDEX('[1]功能-行军令'!$N$4:$R$163,AA10,5)*75*'[1]功能-行军令'!$AD$15</f>
        <v>21294.116999999998</v>
      </c>
      <c r="AC190" s="75"/>
      <c r="AD190" s="75">
        <f t="shared" si="34"/>
        <v>1260000</v>
      </c>
      <c r="AE190" s="75">
        <f>(AD190-AD189)*INDEX('[1]功能-付费相关'!$AU$6:$AU$165,$AA190,1)+AE189</f>
        <v>1888.3928571428573</v>
      </c>
      <c r="AG190" s="71">
        <v>50</v>
      </c>
      <c r="AH190" s="83">
        <f t="shared" si="36"/>
        <v>21294.116999999998</v>
      </c>
      <c r="AI190" s="71">
        <f t="shared" si="35"/>
        <v>1888.3928571428573</v>
      </c>
      <c r="AJ190" s="84">
        <f t="shared" si="37"/>
        <v>23182.509857142857</v>
      </c>
    </row>
    <row r="191" spans="11:36" x14ac:dyDescent="0.15">
      <c r="K191" s="25">
        <v>9</v>
      </c>
      <c r="L191" s="12">
        <v>60</v>
      </c>
      <c r="M191" s="15">
        <f>IF(节奏预期!S127="","",INDEX(装备突破!D$57:D$71,MATCH(节奏预期!S127,装备突破!$C$57:$C$71,0)))</f>
        <v>1</v>
      </c>
      <c r="N191" s="23">
        <f>IF(节奏预期!T127="","",INDEX(装备突破!E$57:E$71,MATCH(节奏预期!T127,装备突破!$C$57:$C$71,0)))</f>
        <v>1</v>
      </c>
      <c r="O191" s="23">
        <f>IF(节奏预期!U127="","",INDEX(装备突破!F$57:F$71,MATCH(节奏预期!U127,装备突破!$C$57:$C$71,0)))</f>
        <v>1</v>
      </c>
      <c r="P191" s="23">
        <f>IF(节奏预期!V127="","",INDEX(装备突破!G$57:G$71,MATCH(节奏预期!V127,装备突破!$C$57:$C$71,0)))</f>
        <v>4</v>
      </c>
      <c r="Q191" s="27">
        <f>IF(节奏预期!W127="","",INDEX(装备突破!H$57:H$71,MATCH(节奏预期!W127,装备突破!$C$57:$C$71,0)))</f>
        <v>2</v>
      </c>
      <c r="R191" s="15">
        <f>IF(节奏预期!S127="","",INDEX(装备突破!D$74:D$88,MATCH(节奏预期!S127,装备突破!$C$74:$C$88,0))*节奏预期!D127)</f>
        <v>0</v>
      </c>
      <c r="S191" s="23">
        <f>IF(节奏预期!T127="","",INDEX(装备突破!E$74:E$88,MATCH(节奏预期!T127,装备突破!$C$74:$C$88,0))*节奏预期!E127)</f>
        <v>0</v>
      </c>
      <c r="T191" s="23">
        <f>IF(节奏预期!U127="","",INDEX(装备突破!F$74:F$88,MATCH(节奏预期!U127,装备突破!$C$74:$C$88,0))*节奏预期!F127)</f>
        <v>0</v>
      </c>
      <c r="U191" s="23">
        <f>IF(节奏预期!V127="","",INDEX(装备突破!G$74:G$88,MATCH(节奏预期!V127,装备突破!$C$74:$C$88,0))*节奏预期!G127)</f>
        <v>2520000</v>
      </c>
      <c r="V191" s="23">
        <f>IF(节奏预期!W127="","",INDEX(装备突破!H$74:H$88,MATCH(节奏预期!W127,装备突破!$C$74:$C$88,0))*节奏预期!H127)</f>
        <v>720000</v>
      </c>
      <c r="W191" s="16">
        <f>MAX(SUM(R191:V191),$W$186:W190)</f>
        <v>3240000</v>
      </c>
      <c r="AA191" s="71">
        <v>60</v>
      </c>
      <c r="AB191" s="75">
        <f>INDEX('[1]功能-行军令'!$N$4:$R$163,AA11,5)*75*'[1]功能-行军令'!$AD$15</f>
        <v>42355.325250000002</v>
      </c>
      <c r="AC191" s="75"/>
      <c r="AD191" s="75">
        <f t="shared" si="34"/>
        <v>3240000</v>
      </c>
      <c r="AE191" s="75">
        <f>(AD191-AD190)*INDEX('[1]功能-付费相关'!$AU$6:$AU$165,$AA191,1)+AE190</f>
        <v>4363.3928571428569</v>
      </c>
      <c r="AG191" s="71">
        <v>60</v>
      </c>
      <c r="AH191" s="83">
        <f t="shared" si="36"/>
        <v>42355.325250000002</v>
      </c>
      <c r="AI191" s="71">
        <f t="shared" si="35"/>
        <v>4363.3928571428569</v>
      </c>
      <c r="AJ191" s="84">
        <f t="shared" si="37"/>
        <v>46718.718107142857</v>
      </c>
    </row>
    <row r="192" spans="11:36" x14ac:dyDescent="0.15">
      <c r="K192" s="25">
        <v>10</v>
      </c>
      <c r="L192" s="12">
        <v>70</v>
      </c>
      <c r="M192" s="15">
        <f>IF(节奏预期!S128="","",INDEX(装备突破!D$57:D$71,MATCH(节奏预期!S128,装备突破!$C$57:$C$71,0)))</f>
        <v>1</v>
      </c>
      <c r="N192" s="23">
        <f>IF(节奏预期!T128="","",INDEX(装备突破!E$57:E$71,MATCH(节奏预期!T128,装备突破!$C$57:$C$71,0)))</f>
        <v>1</v>
      </c>
      <c r="O192" s="23">
        <f>IF(节奏预期!U128="","",INDEX(装备突破!F$57:F$71,MATCH(节奏预期!U128,装备突破!$C$57:$C$71,0)))</f>
        <v>1</v>
      </c>
      <c r="P192" s="23">
        <f>IF(节奏预期!V128="","",INDEX(装备突破!G$57:G$71,MATCH(节奏预期!V128,装备突破!$C$57:$C$71,0)))</f>
        <v>4</v>
      </c>
      <c r="Q192" s="27">
        <f>IF(节奏预期!W128="","",INDEX(装备突破!H$57:H$71,MATCH(节奏预期!W128,装备突破!$C$57:$C$71,0)))</f>
        <v>3</v>
      </c>
      <c r="R192" s="15">
        <f>IF(节奏预期!S128="","",INDEX(装备突破!D$74:D$88,MATCH(节奏预期!S128,装备突破!$C$74:$C$88,0))*节奏预期!D128)</f>
        <v>0</v>
      </c>
      <c r="S192" s="23">
        <f>IF(节奏预期!T128="","",INDEX(装备突破!E$74:E$88,MATCH(节奏预期!T128,装备突破!$C$74:$C$88,0))*节奏预期!E128)</f>
        <v>0</v>
      </c>
      <c r="T192" s="23">
        <f>IF(节奏预期!U128="","",INDEX(装备突破!F$74:F$88,MATCH(节奏预期!U128,装备突破!$C$74:$C$88,0))*节奏预期!F128)</f>
        <v>0</v>
      </c>
      <c r="U192" s="23">
        <f>IF(节奏预期!V128="","",INDEX(装备突破!G$74:G$88,MATCH(节奏预期!V128,装备突破!$C$74:$C$88,0))*节奏预期!G128)</f>
        <v>1260000</v>
      </c>
      <c r="V192" s="23">
        <f>IF(节奏预期!W128="","",INDEX(装备突破!H$74:H$88,MATCH(节奏预期!W128,装备突破!$C$74:$C$88,0))*节奏预期!H128)</f>
        <v>4320000</v>
      </c>
      <c r="W192" s="16">
        <f>MAX(SUM(R192:V192),$W$186:W191)</f>
        <v>5580000</v>
      </c>
      <c r="AA192" s="71">
        <v>70</v>
      </c>
      <c r="AB192" s="75">
        <f>INDEX('[1]功能-行军令'!$N$4:$R$163,AA12,5)*75*'[1]功能-行军令'!$AD$15</f>
        <v>84588.286500000002</v>
      </c>
      <c r="AC192" s="75"/>
      <c r="AD192" s="75">
        <f t="shared" si="34"/>
        <v>5580000</v>
      </c>
      <c r="AE192" s="75">
        <f>(AD192-AD191)*INDEX('[1]功能-付费相关'!$AU$6:$AU$165,$AA192,1)+AE191</f>
        <v>7022.4837662337659</v>
      </c>
      <c r="AG192" s="71">
        <v>70</v>
      </c>
      <c r="AH192" s="83">
        <f t="shared" si="36"/>
        <v>84588.286500000002</v>
      </c>
      <c r="AI192" s="71">
        <f t="shared" si="35"/>
        <v>7022.4837662337659</v>
      </c>
      <c r="AJ192" s="84">
        <f t="shared" si="37"/>
        <v>91610.770266233769</v>
      </c>
    </row>
    <row r="193" spans="11:36" x14ac:dyDescent="0.15">
      <c r="K193" s="25">
        <v>11</v>
      </c>
      <c r="L193" s="12">
        <v>80</v>
      </c>
      <c r="M193" s="15">
        <f>IF(节奏预期!S129="","",INDEX(装备突破!D$57:D$71,MATCH(节奏预期!S129,装备突破!$C$57:$C$71,0)))</f>
        <v>1</v>
      </c>
      <c r="N193" s="23">
        <f>IF(节奏预期!T129="","",INDEX(装备突破!E$57:E$71,MATCH(节奏预期!T129,装备突破!$C$57:$C$71,0)))</f>
        <v>1</v>
      </c>
      <c r="O193" s="23">
        <f>IF(节奏预期!U129="","",INDEX(装备突破!F$57:F$71,MATCH(节奏预期!U129,装备突破!$C$57:$C$71,0)))</f>
        <v>1</v>
      </c>
      <c r="P193" s="23">
        <f>IF(节奏预期!V129="","",INDEX(装备突破!G$57:G$71,MATCH(节奏预期!V129,装备突破!$C$57:$C$71,0)))</f>
        <v>1</v>
      </c>
      <c r="Q193" s="27">
        <f>IF(节奏预期!W129="","",INDEX(装备突破!H$57:H$71,MATCH(节奏预期!W129,装备突破!$C$57:$C$71,0)))</f>
        <v>4</v>
      </c>
      <c r="R193" s="15">
        <f>IF(节奏预期!S129="","",INDEX(装备突破!D$74:D$88,MATCH(节奏预期!S129,装备突破!$C$74:$C$88,0))*节奏预期!D129)</f>
        <v>0</v>
      </c>
      <c r="S193" s="23">
        <f>IF(节奏预期!T129="","",INDEX(装备突破!E$74:E$88,MATCH(节奏预期!T129,装备突破!$C$74:$C$88,0))*节奏预期!E129)</f>
        <v>0</v>
      </c>
      <c r="T193" s="23">
        <f>IF(节奏预期!U129="","",INDEX(装备突破!F$74:F$88,MATCH(节奏预期!U129,装备突破!$C$74:$C$88,0))*节奏预期!F129)</f>
        <v>0</v>
      </c>
      <c r="U193" s="23">
        <f>IF(节奏预期!V129="","",INDEX(装备突破!G$74:G$88,MATCH(节奏预期!V129,装备突破!$C$74:$C$88,0))*节奏预期!G129)</f>
        <v>0</v>
      </c>
      <c r="V193" s="23">
        <f>IF(节奏预期!W129="","",INDEX(装备突破!H$74:H$88,MATCH(节奏预期!W129,装备突破!$C$74:$C$88,0))*节奏预期!H129)</f>
        <v>15120000</v>
      </c>
      <c r="W193" s="16">
        <f>MAX(SUM(R193:V193),$W$186:W192)</f>
        <v>15120000</v>
      </c>
      <c r="AA193" s="71">
        <v>80</v>
      </c>
      <c r="AB193" s="75">
        <f>INDEX('[1]功能-行军令'!$N$4:$R$163,AA13,5)*75*'[1]功能-行军令'!$AD$15</f>
        <v>168660.69749999998</v>
      </c>
      <c r="AC193" s="75"/>
      <c r="AD193" s="75">
        <f t="shared" si="34"/>
        <v>15120000</v>
      </c>
      <c r="AE193" s="75">
        <f>(AD193-AD192)*INDEX('[1]功能-付费相关'!$AU$6:$AU$165,$AA193,1)+AE192</f>
        <v>16959.983766233767</v>
      </c>
      <c r="AG193" s="71">
        <v>80</v>
      </c>
      <c r="AH193" s="83">
        <f t="shared" si="36"/>
        <v>168660.69749999998</v>
      </c>
      <c r="AI193" s="71">
        <f t="shared" si="35"/>
        <v>16959.983766233767</v>
      </c>
      <c r="AJ193" s="84">
        <f t="shared" si="37"/>
        <v>185620.68126623373</v>
      </c>
    </row>
    <row r="194" spans="11:36" x14ac:dyDescent="0.15">
      <c r="K194" s="25">
        <v>12</v>
      </c>
      <c r="L194" s="12">
        <v>90</v>
      </c>
      <c r="M194" s="15">
        <f>IF(节奏预期!S130="","",INDEX(装备突破!D$57:D$71,MATCH(节奏预期!S130,装备突破!$C$57:$C$71,0)))</f>
        <v>1</v>
      </c>
      <c r="N194" s="23">
        <f>IF(节奏预期!T130="","",INDEX(装备突破!E$57:E$71,MATCH(节奏预期!T130,装备突破!$C$57:$C$71,0)))</f>
        <v>1</v>
      </c>
      <c r="O194" s="23">
        <f>IF(节奏预期!U130="","",INDEX(装备突破!F$57:F$71,MATCH(节奏预期!U130,装备突破!$C$57:$C$71,0)))</f>
        <v>1</v>
      </c>
      <c r="P194" s="23">
        <f>IF(节奏预期!V130="","",INDEX(装备突破!G$57:G$71,MATCH(节奏预期!V130,装备突破!$C$57:$C$71,0)))</f>
        <v>1</v>
      </c>
      <c r="Q194" s="27">
        <f>IF(节奏预期!W130="","",INDEX(装备突破!H$57:H$71,MATCH(节奏预期!W130,装备突破!$C$57:$C$71,0)))</f>
        <v>5</v>
      </c>
      <c r="R194" s="15">
        <f>IF(节奏预期!S130="","",INDEX(装备突破!D$74:D$88,MATCH(节奏预期!S130,装备突破!$C$74:$C$88,0))*节奏预期!D130)</f>
        <v>0</v>
      </c>
      <c r="S194" s="23">
        <f>IF(节奏预期!T130="","",INDEX(装备突破!E$74:E$88,MATCH(节奏预期!T130,装备突破!$C$74:$C$88,0))*节奏预期!E130)</f>
        <v>0</v>
      </c>
      <c r="T194" s="23">
        <f>IF(节奏预期!U130="","",INDEX(装备突破!F$74:F$88,MATCH(节奏预期!U130,装备突破!$C$74:$C$88,0))*节奏预期!F130)</f>
        <v>0</v>
      </c>
      <c r="U194" s="23">
        <f>IF(节奏预期!V130="","",INDEX(装备突破!G$74:G$88,MATCH(节奏预期!V130,装备突破!$C$74:$C$88,0))*节奏预期!G130)</f>
        <v>0</v>
      </c>
      <c r="V194" s="23">
        <f>IF(节奏预期!W130="","",INDEX(装备突破!H$74:H$88,MATCH(节奏预期!W130,装备突破!$C$74:$C$88,0))*节奏预期!H130)</f>
        <v>32400000</v>
      </c>
      <c r="W194" s="16">
        <f>MAX(SUM(R194:V194),$W$186:W193)</f>
        <v>32400000</v>
      </c>
      <c r="AA194" s="71">
        <v>90</v>
      </c>
      <c r="AB194" s="75">
        <f>INDEX('[1]功能-行军令'!$N$4:$R$163,AA14,5)*75*'[1]功能-行军令'!$AD$15</f>
        <v>320929.71750000003</v>
      </c>
      <c r="AC194" s="75"/>
      <c r="AD194" s="75">
        <f t="shared" si="34"/>
        <v>32400000</v>
      </c>
      <c r="AE194" s="75">
        <f>(AD194-AD193)*INDEX('[1]功能-付费相关'!$AU$6:$AU$165,$AA194,1)+AE193</f>
        <v>33575.368381618384</v>
      </c>
      <c r="AG194" s="71">
        <v>90</v>
      </c>
      <c r="AH194" s="83">
        <f t="shared" si="36"/>
        <v>320929.71750000003</v>
      </c>
      <c r="AI194" s="71">
        <f t="shared" si="35"/>
        <v>33575.368381618384</v>
      </c>
      <c r="AJ194" s="84">
        <f t="shared" si="37"/>
        <v>354505.08588161843</v>
      </c>
    </row>
    <row r="195" spans="11:36" x14ac:dyDescent="0.15">
      <c r="K195" s="25">
        <v>13</v>
      </c>
      <c r="L195" s="129">
        <v>100</v>
      </c>
      <c r="M195" s="15">
        <f>IF(节奏预期!S131="","",INDEX(装备突破!D$57:D$71,MATCH(节奏预期!S131,装备突破!$C$57:$C$71,0)))</f>
        <v>1</v>
      </c>
      <c r="N195" s="126">
        <f>IF(节奏预期!T131="","",INDEX(装备突破!E$57:E$71,MATCH(节奏预期!T131,装备突破!$C$57:$C$71,0)))</f>
        <v>1</v>
      </c>
      <c r="O195" s="126">
        <f>IF(节奏预期!U131="","",INDEX(装备突破!F$57:F$71,MATCH(节奏预期!U131,装备突破!$C$57:$C$71,0)))</f>
        <v>1</v>
      </c>
      <c r="P195" s="126">
        <f>IF(节奏预期!V131="","",INDEX(装备突破!G$57:G$71,MATCH(节奏预期!V131,装备突破!$C$57:$C$71,0)))</f>
        <v>1</v>
      </c>
      <c r="Q195" s="127">
        <f>IF(节奏预期!W131="","",INDEX(装备突破!H$57:H$71,MATCH(节奏预期!W131,装备突破!$C$57:$C$71,0)))</f>
        <v>6</v>
      </c>
      <c r="R195" s="15">
        <f>IF(节奏预期!S131="","",INDEX(装备突破!D$74:D$88,MATCH(节奏预期!S131,装备突破!$C$74:$C$88,0))*节奏预期!D131)</f>
        <v>0</v>
      </c>
      <c r="S195" s="126">
        <f>IF(节奏预期!T131="","",INDEX(装备突破!E$74:E$88,MATCH(节奏预期!T131,装备突破!$C$74:$C$88,0))*节奏预期!E131)</f>
        <v>0</v>
      </c>
      <c r="T195" s="126">
        <f>IF(节奏预期!U131="","",INDEX(装备突破!F$74:F$88,MATCH(节奏预期!U131,装备突破!$C$74:$C$88,0))*节奏预期!F131)</f>
        <v>0</v>
      </c>
      <c r="U195" s="126">
        <f>IF(节奏预期!V131="","",INDEX(装备突破!G$74:G$88,MATCH(节奏预期!V131,装备突破!$C$74:$C$88,0))*节奏预期!G131)</f>
        <v>0</v>
      </c>
      <c r="V195" s="126">
        <f>IF(节奏预期!W131="","",INDEX(装备突破!H$74:H$88,MATCH(节奏预期!W131,装备突破!$C$74:$C$88,0))*节奏预期!H131)</f>
        <v>66960000</v>
      </c>
      <c r="W195" s="16">
        <f>MAX(SUM(R195:V195),$W$186:W194)</f>
        <v>66960000</v>
      </c>
      <c r="X195" s="46"/>
      <c r="AA195" s="128">
        <v>100</v>
      </c>
      <c r="AB195" s="75">
        <f>INDEX('[1]功能-行军令'!$N$4:$R$163,AA15,5)*75*'[1]功能-行军令'!$AD$15</f>
        <v>636797.55150000006</v>
      </c>
      <c r="AC195" s="75"/>
      <c r="AD195" s="75">
        <f t="shared" si="34"/>
        <v>66960000</v>
      </c>
      <c r="AE195" s="75">
        <f>(AD195-AD194)*INDEX('[1]功能-付费相关'!$AU$6:$AU$165,$AA195,1)+AE194</f>
        <v>64432.511238761239</v>
      </c>
      <c r="AG195" s="128">
        <v>100</v>
      </c>
      <c r="AH195" s="128">
        <f t="shared" ref="AH195:AH201" si="38">AB195</f>
        <v>636797.55150000006</v>
      </c>
      <c r="AI195" s="128">
        <f t="shared" ref="AI195:AI201" si="39">AE195</f>
        <v>64432.511238761239</v>
      </c>
      <c r="AJ195" s="84">
        <f t="shared" ref="AJ195:AJ201" si="40">SUM(AH195:AI195)</f>
        <v>701230.06273876131</v>
      </c>
    </row>
    <row r="196" spans="11:36" x14ac:dyDescent="0.15">
      <c r="K196" s="25">
        <v>14</v>
      </c>
      <c r="L196" s="129">
        <v>110</v>
      </c>
      <c r="M196" s="15">
        <f>IF(节奏预期!S132="","",INDEX(装备突破!D$57:D$71,MATCH(节奏预期!S132,装备突破!$C$57:$C$71,0)))</f>
        <v>1</v>
      </c>
      <c r="N196" s="126">
        <f>IF(节奏预期!T132="","",INDEX(装备突破!E$57:E$71,MATCH(节奏预期!T132,装备突破!$C$57:$C$71,0)))</f>
        <v>1</v>
      </c>
      <c r="O196" s="126">
        <f>IF(节奏预期!U132="","",INDEX(装备突破!F$57:F$71,MATCH(节奏预期!U132,装备突破!$C$57:$C$71,0)))</f>
        <v>1</v>
      </c>
      <c r="P196" s="126">
        <f>IF(节奏预期!V132="","",INDEX(装备突破!G$57:G$71,MATCH(节奏预期!V132,装备突破!$C$57:$C$71,0)))</f>
        <v>1</v>
      </c>
      <c r="Q196" s="127">
        <f>IF(节奏预期!W132="","",INDEX(装备突破!H$57:H$71,MATCH(节奏预期!W132,装备突破!$C$57:$C$71,0)))</f>
        <v>7</v>
      </c>
      <c r="R196" s="15">
        <f>IF(节奏预期!S132="","",INDEX(装备突破!D$74:D$88,MATCH(节奏预期!S132,装备突破!$C$74:$C$88,0))*节奏预期!D132)</f>
        <v>0</v>
      </c>
      <c r="S196" s="126">
        <f>IF(节奏预期!T132="","",INDEX(装备突破!E$74:E$88,MATCH(节奏预期!T132,装备突破!$C$74:$C$88,0))*节奏预期!E132)</f>
        <v>0</v>
      </c>
      <c r="T196" s="126">
        <f>IF(节奏预期!U132="","",INDEX(装备突破!F$74:F$88,MATCH(节奏预期!U132,装备突破!$C$74:$C$88,0))*节奏预期!F132)</f>
        <v>0</v>
      </c>
      <c r="U196" s="126">
        <f>IF(节奏预期!V132="","",INDEX(装备突破!G$74:G$88,MATCH(节奏预期!V132,装备突破!$C$74:$C$88,0))*节奏预期!G132)</f>
        <v>0</v>
      </c>
      <c r="V196" s="126">
        <f>IF(节奏预期!W132="","",INDEX(装备突破!H$74:H$88,MATCH(节奏预期!W132,装备突破!$C$74:$C$88,0))*节奏预期!H132)</f>
        <v>136080000</v>
      </c>
      <c r="W196" s="16">
        <f>MAX(SUM(R196:V196),$W$186:W195)</f>
        <v>136080000</v>
      </c>
      <c r="X196" s="46"/>
      <c r="AA196" s="128">
        <v>110</v>
      </c>
      <c r="AB196" s="75">
        <f>INDEX('[1]功能-行军令'!$N$4:$R$163,AA16,5)*75*'[1]功能-行军令'!$AD$15</f>
        <v>1256190.6779999998</v>
      </c>
      <c r="AC196" s="75"/>
      <c r="AD196" s="75">
        <f t="shared" si="34"/>
        <v>136080000</v>
      </c>
      <c r="AE196" s="75">
        <f>(AD196-AD195)*INDEX('[1]功能-付费相关'!$AU$6:$AU$165,$AA196,1)+AE195</f>
        <v>122032.51123876125</v>
      </c>
      <c r="AG196" s="128">
        <v>110</v>
      </c>
      <c r="AH196" s="128">
        <f t="shared" si="38"/>
        <v>1256190.6779999998</v>
      </c>
      <c r="AI196" s="128">
        <f t="shared" si="39"/>
        <v>122032.51123876125</v>
      </c>
      <c r="AJ196" s="84">
        <f t="shared" si="40"/>
        <v>1378223.1892387611</v>
      </c>
    </row>
    <row r="197" spans="11:36" x14ac:dyDescent="0.15">
      <c r="K197" s="25">
        <v>15</v>
      </c>
      <c r="L197" s="129">
        <v>120</v>
      </c>
      <c r="M197" s="15">
        <f>IF(节奏预期!S133="","",INDEX(装备突破!D$57:D$71,MATCH(节奏预期!S133,装备突破!$C$57:$C$71,0)))</f>
        <v>1</v>
      </c>
      <c r="N197" s="126">
        <f>IF(节奏预期!T133="","",INDEX(装备突破!E$57:E$71,MATCH(节奏预期!T133,装备突破!$C$57:$C$71,0)))</f>
        <v>1</v>
      </c>
      <c r="O197" s="126">
        <f>IF(节奏预期!U133="","",INDEX(装备突破!F$57:F$71,MATCH(节奏预期!U133,装备突破!$C$57:$C$71,0)))</f>
        <v>1</v>
      </c>
      <c r="P197" s="126">
        <f>IF(节奏预期!V133="","",INDEX(装备突破!G$57:G$71,MATCH(节奏预期!V133,装备突破!$C$57:$C$71,0)))</f>
        <v>1</v>
      </c>
      <c r="Q197" s="127">
        <f>IF(节奏预期!W133="","",INDEX(装备突破!H$57:H$71,MATCH(节奏预期!W133,装备突破!$C$57:$C$71,0)))</f>
        <v>8</v>
      </c>
      <c r="R197" s="15">
        <f>IF(节奏预期!S133="","",INDEX(装备突破!D$74:D$88,MATCH(节奏预期!S133,装备突破!$C$74:$C$88,0))*节奏预期!D133)</f>
        <v>0</v>
      </c>
      <c r="S197" s="126">
        <f>IF(节奏预期!T133="","",INDEX(装备突破!E$74:E$88,MATCH(节奏预期!T133,装备突破!$C$74:$C$88,0))*节奏预期!E133)</f>
        <v>0</v>
      </c>
      <c r="T197" s="126">
        <f>IF(节奏预期!U133="","",INDEX(装备突破!F$74:F$88,MATCH(节奏预期!U133,装备突破!$C$74:$C$88,0))*节奏预期!F133)</f>
        <v>0</v>
      </c>
      <c r="U197" s="126">
        <f>IF(节奏预期!V133="","",INDEX(装备突破!G$74:G$88,MATCH(节奏预期!V133,装备突破!$C$74:$C$88,0))*节奏预期!G133)</f>
        <v>0</v>
      </c>
      <c r="V197" s="126">
        <f>IF(节奏预期!W133="","",INDEX(装备突破!H$74:H$88,MATCH(节奏预期!W133,装备突破!$C$74:$C$88,0))*节奏预期!H133)</f>
        <v>274320000</v>
      </c>
      <c r="W197" s="16">
        <f>MAX(SUM(R197:V197),$W$186:W196)</f>
        <v>274320000</v>
      </c>
      <c r="X197" s="46"/>
      <c r="AA197" s="128">
        <v>120</v>
      </c>
      <c r="AB197" s="75">
        <f>INDEX('[1]功能-行军令'!$N$4:$R$163,AA17,5)*75*'[1]功能-行军令'!$AD$15</f>
        <v>2475034.38</v>
      </c>
      <c r="AC197" s="75"/>
      <c r="AD197" s="75">
        <f t="shared" si="34"/>
        <v>274320000</v>
      </c>
      <c r="AE197" s="75">
        <f>(AD197-AD196)*INDEX('[1]功能-付费相关'!$AU$6:$AU$165,$AA197,1)+AE196</f>
        <v>230032.51123876125</v>
      </c>
      <c r="AG197" s="128">
        <v>120</v>
      </c>
      <c r="AH197" s="128">
        <f t="shared" si="38"/>
        <v>2475034.38</v>
      </c>
      <c r="AI197" s="128">
        <f t="shared" si="39"/>
        <v>230032.51123876125</v>
      </c>
      <c r="AJ197" s="84">
        <f t="shared" si="40"/>
        <v>2705066.8912387611</v>
      </c>
    </row>
    <row r="198" spans="11:36" x14ac:dyDescent="0.15">
      <c r="K198" s="25">
        <v>16</v>
      </c>
      <c r="L198" s="129">
        <v>130</v>
      </c>
      <c r="M198" s="15">
        <f>IF(节奏预期!S134="","",INDEX(装备突破!D$57:D$71,MATCH(节奏预期!S134,装备突破!$C$57:$C$71,0)))</f>
        <v>1</v>
      </c>
      <c r="N198" s="126">
        <f>IF(节奏预期!T134="","",INDEX(装备突破!E$57:E$71,MATCH(节奏预期!T134,装备突破!$C$57:$C$71,0)))</f>
        <v>1</v>
      </c>
      <c r="O198" s="126">
        <f>IF(节奏预期!U134="","",INDEX(装备突破!F$57:F$71,MATCH(节奏预期!U134,装备突破!$C$57:$C$71,0)))</f>
        <v>1</v>
      </c>
      <c r="P198" s="126">
        <f>IF(节奏预期!V134="","",INDEX(装备突破!G$57:G$71,MATCH(节奏预期!V134,装备突破!$C$57:$C$71,0)))</f>
        <v>1</v>
      </c>
      <c r="Q198" s="127">
        <f>IF(节奏预期!W134="","",INDEX(装备突破!H$57:H$71,MATCH(节奏预期!W134,装备突破!$C$57:$C$71,0)))</f>
        <v>9</v>
      </c>
      <c r="R198" s="15">
        <f>IF(节奏预期!S134="","",INDEX(装备突破!D$74:D$88,MATCH(节奏预期!S134,装备突破!$C$74:$C$88,0))*节奏预期!D134)</f>
        <v>0</v>
      </c>
      <c r="S198" s="126">
        <f>IF(节奏预期!T134="","",INDEX(装备突破!E$74:E$88,MATCH(节奏预期!T134,装备突破!$C$74:$C$88,0))*节奏预期!E134)</f>
        <v>0</v>
      </c>
      <c r="T198" s="126">
        <f>IF(节奏预期!U134="","",INDEX(装备突破!F$74:F$88,MATCH(节奏预期!U134,装备突破!$C$74:$C$88,0))*节奏预期!F134)</f>
        <v>0</v>
      </c>
      <c r="U198" s="126">
        <f>IF(节奏预期!V134="","",INDEX(装备突破!G$74:G$88,MATCH(节奏预期!V134,装备突破!$C$74:$C$88,0))*节奏预期!G134)</f>
        <v>0</v>
      </c>
      <c r="V198" s="126">
        <f>IF(节奏预期!W134="","",INDEX(装备突破!H$74:H$88,MATCH(节奏预期!W134,装备突破!$C$74:$C$88,0))*节奏预期!H134)</f>
        <v>550800000</v>
      </c>
      <c r="W198" s="16">
        <f>MAX(SUM(R198:V198),$W$186:W197)</f>
        <v>550800000</v>
      </c>
      <c r="X198" s="46"/>
      <c r="AA198" s="128">
        <v>130</v>
      </c>
      <c r="AB198" s="75">
        <f>INDEX('[1]功能-行军令'!$N$4:$R$163,AA18,5)*75*'[1]功能-行军令'!$AD$15</f>
        <v>4924097.4645000007</v>
      </c>
      <c r="AC198" s="75"/>
      <c r="AD198" s="75">
        <f t="shared" si="34"/>
        <v>550800000</v>
      </c>
      <c r="AE198" s="75">
        <f>(AD198-AD197)*INDEX('[1]功能-付费相关'!$AU$6:$AU$165,$AA198,1)+AE197</f>
        <v>433326.62888582004</v>
      </c>
      <c r="AG198" s="128">
        <v>130</v>
      </c>
      <c r="AH198" s="128">
        <f t="shared" si="38"/>
        <v>4924097.4645000007</v>
      </c>
      <c r="AI198" s="128">
        <f t="shared" si="39"/>
        <v>433326.62888582004</v>
      </c>
      <c r="AJ198" s="84">
        <f t="shared" si="40"/>
        <v>5357424.0933858212</v>
      </c>
    </row>
    <row r="199" spans="11:36" x14ac:dyDescent="0.15">
      <c r="K199" s="25">
        <v>17</v>
      </c>
      <c r="L199" s="129">
        <v>140</v>
      </c>
      <c r="M199" s="15">
        <f>IF(节奏预期!S135="","",INDEX(装备突破!D$57:D$71,MATCH(节奏预期!S135,装备突破!$C$57:$C$71,0)))</f>
        <v>1</v>
      </c>
      <c r="N199" s="126">
        <f>IF(节奏预期!T135="","",INDEX(装备突破!E$57:E$71,MATCH(节奏预期!T135,装备突破!$C$57:$C$71,0)))</f>
        <v>1</v>
      </c>
      <c r="O199" s="126">
        <f>IF(节奏预期!U135="","",INDEX(装备突破!F$57:F$71,MATCH(节奏预期!U135,装备突破!$C$57:$C$71,0)))</f>
        <v>1</v>
      </c>
      <c r="P199" s="126">
        <f>IF(节奏预期!V135="","",INDEX(装备突破!G$57:G$71,MATCH(节奏预期!V135,装备突破!$C$57:$C$71,0)))</f>
        <v>1</v>
      </c>
      <c r="Q199" s="127">
        <f>IF(节奏预期!W135="","",INDEX(装备突破!H$57:H$71,MATCH(节奏预期!W135,装备突破!$C$57:$C$71,0)))</f>
        <v>10</v>
      </c>
      <c r="R199" s="15">
        <f>IF(节奏预期!S135="","",INDEX(装备突破!D$74:D$88,MATCH(节奏预期!S135,装备突破!$C$74:$C$88,0))*节奏预期!D135)</f>
        <v>0</v>
      </c>
      <c r="S199" s="126">
        <f>IF(节奏预期!T135="","",INDEX(装备突破!E$74:E$88,MATCH(节奏预期!T135,装备突破!$C$74:$C$88,0))*节奏预期!E135)</f>
        <v>0</v>
      </c>
      <c r="T199" s="126">
        <f>IF(节奏预期!U135="","",INDEX(装备突破!F$74:F$88,MATCH(节奏预期!U135,装备突破!$C$74:$C$88,0))*节奏预期!F135)</f>
        <v>0</v>
      </c>
      <c r="U199" s="126">
        <f>IF(节奏预期!V135="","",INDEX(装备突破!G$74:G$88,MATCH(节奏预期!V135,装备突破!$C$74:$C$88,0))*节奏预期!G135)</f>
        <v>0</v>
      </c>
      <c r="V199" s="126">
        <f>IF(节奏预期!W135="","",INDEX(装备突破!H$74:H$88,MATCH(节奏预期!W135,装备突破!$C$74:$C$88,0))*节奏预期!H135)</f>
        <v>1103760000</v>
      </c>
      <c r="W199" s="16">
        <f>MAX(SUM(R199:V199),$W$186:W198)</f>
        <v>1103760000</v>
      </c>
      <c r="X199" s="46"/>
      <c r="AA199" s="128">
        <v>140</v>
      </c>
      <c r="AB199" s="75">
        <f>INDEX('[1]功能-行军令'!$N$4:$R$163,AA19,5)*75*'[1]功能-行军令'!$AD$15</f>
        <v>9715909.4797499999</v>
      </c>
      <c r="AC199" s="75"/>
      <c r="AD199" s="75">
        <f t="shared" si="34"/>
        <v>1103760000</v>
      </c>
      <c r="AE199" s="75">
        <f>(AD199-AD198)*INDEX('[1]功能-付费相关'!$AU$6:$AU$165,$AA199,1)+AE198</f>
        <v>817326.62888582004</v>
      </c>
      <c r="AG199" s="128">
        <v>140</v>
      </c>
      <c r="AH199" s="128">
        <f t="shared" si="38"/>
        <v>9715909.4797499999</v>
      </c>
      <c r="AI199" s="128">
        <f t="shared" si="39"/>
        <v>817326.62888582004</v>
      </c>
      <c r="AJ199" s="84">
        <f t="shared" si="40"/>
        <v>10533236.10863582</v>
      </c>
    </row>
    <row r="200" spans="11:36" x14ac:dyDescent="0.15">
      <c r="K200" s="25">
        <v>18</v>
      </c>
      <c r="L200" s="129">
        <v>150</v>
      </c>
      <c r="M200" s="15">
        <f>IF(节奏预期!S136="","",INDEX(装备突破!D$57:D$71,MATCH(节奏预期!S136,装备突破!$C$57:$C$71,0)))</f>
        <v>1</v>
      </c>
      <c r="N200" s="126">
        <f>IF(节奏预期!T136="","",INDEX(装备突破!E$57:E$71,MATCH(节奏预期!T136,装备突破!$C$57:$C$71,0)))</f>
        <v>1</v>
      </c>
      <c r="O200" s="126">
        <f>IF(节奏预期!U136="","",INDEX(装备突破!F$57:F$71,MATCH(节奏预期!U136,装备突破!$C$57:$C$71,0)))</f>
        <v>1</v>
      </c>
      <c r="P200" s="126">
        <f>IF(节奏预期!V136="","",INDEX(装备突破!G$57:G$71,MATCH(节奏预期!V136,装备突破!$C$57:$C$71,0)))</f>
        <v>1</v>
      </c>
      <c r="Q200" s="127">
        <f>IF(节奏预期!W136="","",INDEX(装备突破!H$57:H$71,MATCH(节奏预期!W136,装备突破!$C$57:$C$71,0)))</f>
        <v>11</v>
      </c>
      <c r="R200" s="15">
        <f>IF(节奏预期!S136="","",INDEX(装备突破!D$74:D$88,MATCH(节奏预期!S136,装备突破!$C$74:$C$88,0))*节奏预期!D136)</f>
        <v>0</v>
      </c>
      <c r="S200" s="126">
        <f>IF(节奏预期!T136="","",INDEX(装备突破!E$74:E$88,MATCH(节奏预期!T136,装备突破!$C$74:$C$88,0))*节奏预期!E136)</f>
        <v>0</v>
      </c>
      <c r="T200" s="126">
        <f>IF(节奏预期!U136="","",INDEX(装备突破!F$74:F$88,MATCH(节奏预期!U136,装备突破!$C$74:$C$88,0))*节奏预期!F136)</f>
        <v>0</v>
      </c>
      <c r="U200" s="126">
        <f>IF(节奏预期!V136="","",INDEX(装备突破!G$74:G$88,MATCH(节奏预期!V136,装备突破!$C$74:$C$88,0))*节奏预期!G136)</f>
        <v>0</v>
      </c>
      <c r="V200" s="126">
        <f>IF(节奏预期!W136="","",INDEX(装备突破!H$74:H$88,MATCH(节奏预期!W136,装备突破!$C$74:$C$88,0))*节奏预期!H136)</f>
        <v>2209680000</v>
      </c>
      <c r="W200" s="16">
        <f>MAX(SUM(R200:V200),$W$186:W199)</f>
        <v>2209680000</v>
      </c>
      <c r="X200" s="46"/>
      <c r="AA200" s="128">
        <v>150</v>
      </c>
      <c r="AB200" s="75">
        <f>INDEX('[1]功能-行军令'!$N$4:$R$163,AA20,5)*75*'[1]功能-行军令'!$AD$15</f>
        <v>19364068.237500001</v>
      </c>
      <c r="AC200" s="75"/>
      <c r="AD200" s="75">
        <f t="shared" si="34"/>
        <v>2209680000</v>
      </c>
      <c r="AE200" s="75">
        <f>(AD200-AD199)*INDEX('[1]功能-付费相关'!$AU$6:$AU$165,$AA200,1)+AE199</f>
        <v>1544905.5762542412</v>
      </c>
      <c r="AG200" s="128">
        <v>150</v>
      </c>
      <c r="AH200" s="128">
        <f t="shared" si="38"/>
        <v>19364068.237500001</v>
      </c>
      <c r="AI200" s="128">
        <f t="shared" si="39"/>
        <v>1544905.5762542412</v>
      </c>
      <c r="AJ200" s="84">
        <f t="shared" si="40"/>
        <v>20908973.813754242</v>
      </c>
    </row>
    <row r="201" spans="11:36" x14ac:dyDescent="0.15">
      <c r="K201" s="25">
        <v>19</v>
      </c>
      <c r="L201" s="129">
        <v>160</v>
      </c>
      <c r="M201" s="15">
        <f>IF(节奏预期!S137="","",INDEX(装备突破!D$57:D$71,MATCH(节奏预期!S137,装备突破!$C$57:$C$71,0)))</f>
        <v>1</v>
      </c>
      <c r="N201" s="126">
        <f>IF(节奏预期!T137="","",INDEX(装备突破!E$57:E$71,MATCH(节奏预期!T137,装备突破!$C$57:$C$71,0)))</f>
        <v>1</v>
      </c>
      <c r="O201" s="126">
        <f>IF(节奏预期!U137="","",INDEX(装备突破!F$57:F$71,MATCH(节奏预期!U137,装备突破!$C$57:$C$71,0)))</f>
        <v>1</v>
      </c>
      <c r="P201" s="126">
        <f>IF(节奏预期!V137="","",INDEX(装备突破!G$57:G$71,MATCH(节奏预期!V137,装备突破!$C$57:$C$71,0)))</f>
        <v>1</v>
      </c>
      <c r="Q201" s="127">
        <f>IF(节奏预期!W137="","",INDEX(装备突破!H$57:H$71,MATCH(节奏预期!W137,装备突破!$C$57:$C$71,0)))</f>
        <v>12</v>
      </c>
      <c r="R201" s="15">
        <f>IF(节奏预期!S137="","",INDEX(装备突破!D$74:D$88,MATCH(节奏预期!S137,装备突破!$C$74:$C$88,0))*节奏预期!D137)</f>
        <v>0</v>
      </c>
      <c r="S201" s="126">
        <f>IF(节奏预期!T137="","",INDEX(装备突破!E$74:E$88,MATCH(节奏预期!T137,装备突破!$C$74:$C$88,0))*节奏预期!E137)</f>
        <v>0</v>
      </c>
      <c r="T201" s="126">
        <f>IF(节奏预期!U137="","",INDEX(装备突破!F$74:F$88,MATCH(节奏预期!U137,装备突破!$C$74:$C$88,0))*节奏预期!F137)</f>
        <v>0</v>
      </c>
      <c r="U201" s="126">
        <f>IF(节奏预期!V137="","",INDEX(装备突破!G$74:G$88,MATCH(节奏预期!V137,装备突破!$C$74:$C$88,0))*节奏预期!G137)</f>
        <v>0</v>
      </c>
      <c r="V201" s="126">
        <f>IF(节奏预期!W137="","",INDEX(装备突破!H$74:H$88,MATCH(节奏预期!W137,装备突破!$C$74:$C$88,0))*节奏预期!H137)</f>
        <v>4421520000</v>
      </c>
      <c r="W201" s="16">
        <f>MAX(SUM(R201:V201),$W$186:W200)</f>
        <v>4421520000</v>
      </c>
      <c r="X201" s="46"/>
      <c r="AA201" s="128">
        <v>160</v>
      </c>
      <c r="AB201" s="75">
        <f>INDEX('[1]功能-行军令'!$N$4:$R$163,AA21,5)*75*'[1]功能-行军令'!$AD$15</f>
        <v>153396136.125</v>
      </c>
      <c r="AC201" s="75"/>
      <c r="AD201" s="75">
        <f t="shared" si="34"/>
        <v>4421520000</v>
      </c>
      <c r="AE201" s="75">
        <f>(AD201-AD200)*INDEX('[1]功能-付费相关'!$AU$6:$AU$165,$AA201,1)+AE200</f>
        <v>2927305.5762542412</v>
      </c>
      <c r="AG201" s="128">
        <v>160</v>
      </c>
      <c r="AH201" s="128">
        <f t="shared" si="38"/>
        <v>153396136.125</v>
      </c>
      <c r="AI201" s="128">
        <f t="shared" si="39"/>
        <v>2927305.5762542412</v>
      </c>
      <c r="AJ201" s="84">
        <f t="shared" si="40"/>
        <v>156323441.70125425</v>
      </c>
    </row>
    <row r="202" spans="11:36" x14ac:dyDescent="0.15">
      <c r="K202" s="25">
        <v>20</v>
      </c>
    </row>
    <row r="203" spans="11:36" x14ac:dyDescent="0.15">
      <c r="K203" s="25">
        <v>21</v>
      </c>
    </row>
    <row r="204" spans="11:36" x14ac:dyDescent="0.15">
      <c r="K204" s="25">
        <v>22</v>
      </c>
    </row>
    <row r="205" spans="11:36" x14ac:dyDescent="0.15">
      <c r="K205" s="25">
        <v>23</v>
      </c>
    </row>
    <row r="206" spans="11:36" x14ac:dyDescent="0.15">
      <c r="K206" s="25">
        <v>24</v>
      </c>
    </row>
    <row r="207" spans="11:36" x14ac:dyDescent="0.15">
      <c r="K207" s="25">
        <v>25</v>
      </c>
    </row>
    <row r="208" spans="11:36" x14ac:dyDescent="0.15">
      <c r="K208" s="25">
        <v>26</v>
      </c>
    </row>
    <row r="209" spans="11:27" x14ac:dyDescent="0.15">
      <c r="K209" s="25">
        <v>27</v>
      </c>
      <c r="AA209" s="36"/>
    </row>
    <row r="210" spans="11:27" x14ac:dyDescent="0.15">
      <c r="K210" s="25">
        <v>28</v>
      </c>
      <c r="AA210" s="36"/>
    </row>
    <row r="211" spans="11:27" x14ac:dyDescent="0.15">
      <c r="K211" s="25">
        <v>29</v>
      </c>
    </row>
    <row r="212" spans="11:27" x14ac:dyDescent="0.15">
      <c r="K212" s="25">
        <v>30</v>
      </c>
    </row>
    <row r="213" spans="11:27" x14ac:dyDescent="0.15">
      <c r="K213" s="25">
        <v>31</v>
      </c>
    </row>
    <row r="214" spans="11:27" x14ac:dyDescent="0.15">
      <c r="K214" s="25">
        <v>32</v>
      </c>
    </row>
    <row r="215" spans="11:27" x14ac:dyDescent="0.15">
      <c r="K215" s="25">
        <v>33</v>
      </c>
    </row>
    <row r="216" spans="11:27" x14ac:dyDescent="0.15">
      <c r="K216" s="25">
        <v>34</v>
      </c>
    </row>
    <row r="217" spans="11:27" x14ac:dyDescent="0.15">
      <c r="K217" s="25">
        <v>35</v>
      </c>
    </row>
    <row r="218" spans="11:27" x14ac:dyDescent="0.15">
      <c r="K218" s="25">
        <v>36</v>
      </c>
    </row>
    <row r="219" spans="11:27" x14ac:dyDescent="0.15">
      <c r="K219" s="25">
        <v>37</v>
      </c>
    </row>
    <row r="220" spans="11:27" x14ac:dyDescent="0.15">
      <c r="K220" s="25">
        <v>38</v>
      </c>
    </row>
    <row r="221" spans="11:27" x14ac:dyDescent="0.15">
      <c r="K221" s="25">
        <v>39</v>
      </c>
    </row>
    <row r="222" spans="11:27" x14ac:dyDescent="0.15">
      <c r="K222" s="25">
        <v>40</v>
      </c>
    </row>
    <row r="223" spans="11:27" x14ac:dyDescent="0.15">
      <c r="K223" s="25">
        <v>41</v>
      </c>
    </row>
    <row r="224" spans="11:27" x14ac:dyDescent="0.15">
      <c r="K224" s="25">
        <v>42</v>
      </c>
    </row>
    <row r="225" spans="11:11" x14ac:dyDescent="0.15">
      <c r="K225" s="25">
        <v>43</v>
      </c>
    </row>
    <row r="226" spans="11:11" x14ac:dyDescent="0.15">
      <c r="K226" s="25">
        <v>44</v>
      </c>
    </row>
    <row r="227" spans="11:11" x14ac:dyDescent="0.15">
      <c r="K227" s="25">
        <v>45</v>
      </c>
    </row>
  </sheetData>
  <mergeCells count="36">
    <mergeCell ref="B92:C92"/>
    <mergeCell ref="B91:C91"/>
    <mergeCell ref="B5:B20"/>
    <mergeCell ref="B22:B37"/>
    <mergeCell ref="B39:B54"/>
    <mergeCell ref="B38:C38"/>
    <mergeCell ref="B72:C72"/>
    <mergeCell ref="B73:B88"/>
    <mergeCell ref="B56:B71"/>
    <mergeCell ref="AB184:AE184"/>
    <mergeCell ref="AH184:AI184"/>
    <mergeCell ref="B116:B131"/>
    <mergeCell ref="B93:B113"/>
    <mergeCell ref="M139:Q139"/>
    <mergeCell ref="R139:W139"/>
    <mergeCell ref="M184:Q184"/>
    <mergeCell ref="R184:W184"/>
    <mergeCell ref="L183:W183"/>
    <mergeCell ref="AB139:AE139"/>
    <mergeCell ref="AH139:AI139"/>
    <mergeCell ref="L138:W138"/>
    <mergeCell ref="M94:Q94"/>
    <mergeCell ref="R94:W94"/>
    <mergeCell ref="L93:W93"/>
    <mergeCell ref="AB4:AE4"/>
    <mergeCell ref="AH4:AI4"/>
    <mergeCell ref="AB49:AE49"/>
    <mergeCell ref="AH49:AI49"/>
    <mergeCell ref="AB94:AE94"/>
    <mergeCell ref="AH94:AI94"/>
    <mergeCell ref="L3:W3"/>
    <mergeCell ref="M4:Q4"/>
    <mergeCell ref="R4:W4"/>
    <mergeCell ref="M49:Q49"/>
    <mergeCell ref="R49:W49"/>
    <mergeCell ref="L48:W48"/>
  </mergeCells>
  <phoneticPr fontId="1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53397-EC21-4E9C-992F-64326D41F8F3}">
  <sheetPr codeName="Sheet4"/>
  <dimension ref="A1:CI228"/>
  <sheetViews>
    <sheetView tabSelected="1" workbookViewId="0">
      <selection activeCell="V33" sqref="V33"/>
    </sheetView>
  </sheetViews>
  <sheetFormatPr defaultColWidth="6.625" defaultRowHeight="11.25" x14ac:dyDescent="0.15"/>
  <cols>
    <col min="1" max="7" width="6.625" style="46"/>
    <col min="8" max="8" width="7.5" style="46" bestFit="1" customWidth="1"/>
    <col min="9" max="10" width="6.625" style="46" customWidth="1"/>
    <col min="11" max="12" width="6.625" style="151" customWidth="1"/>
    <col min="13" max="13" width="6.625" style="151"/>
    <col min="14" max="14" width="7.5" style="151" bestFit="1" customWidth="1"/>
    <col min="15" max="16" width="11.375" style="46" bestFit="1" customWidth="1"/>
    <col min="17" max="17" width="6.625" style="32"/>
    <col min="18" max="20" width="6.625" style="46"/>
    <col min="21" max="35" width="6.625" style="151"/>
    <col min="36" max="40" width="6.625" style="46"/>
    <col min="41" max="50" width="6.625" style="161"/>
    <col min="51" max="52" width="6.625" style="46"/>
    <col min="53" max="53" width="6.625" style="32"/>
    <col min="54" max="54" width="6.625" style="151"/>
    <col min="55" max="55" width="6.625" style="41"/>
    <col min="56" max="62" width="6.625" style="67"/>
    <col min="63" max="63" width="6.625" style="151"/>
    <col min="64" max="64" width="6.625" style="72"/>
    <col min="65" max="67" width="6.625" style="41"/>
    <col min="68" max="68" width="9" style="41" bestFit="1" customWidth="1"/>
    <col min="69" max="70" width="9" style="41" customWidth="1"/>
    <col min="71" max="77" width="6.625" style="41"/>
    <col min="78" max="79" width="6.625" style="46"/>
    <col min="80" max="80" width="6.625" style="72"/>
    <col min="81" max="16384" width="6.625" style="46"/>
  </cols>
  <sheetData>
    <row r="1" spans="1:87" x14ac:dyDescent="0.15">
      <c r="A1" s="145" t="s">
        <v>407</v>
      </c>
      <c r="CC1" s="145" t="s">
        <v>452</v>
      </c>
    </row>
    <row r="2" spans="1:87" x14ac:dyDescent="0.15">
      <c r="A2" s="145" t="s">
        <v>409</v>
      </c>
      <c r="D2" s="46">
        <v>120</v>
      </c>
      <c r="E2" s="46" t="s">
        <v>408</v>
      </c>
    </row>
    <row r="3" spans="1:87" x14ac:dyDescent="0.15">
      <c r="A3" s="145" t="s">
        <v>411</v>
      </c>
      <c r="S3" s="46">
        <v>1</v>
      </c>
      <c r="Z3" s="163" t="s">
        <v>459</v>
      </c>
    </row>
    <row r="4" spans="1:87" x14ac:dyDescent="0.15">
      <c r="S4" s="46">
        <v>2</v>
      </c>
      <c r="T4" s="144" t="s">
        <v>431</v>
      </c>
      <c r="U4" s="187" t="s">
        <v>441</v>
      </c>
      <c r="V4" s="188"/>
      <c r="W4" s="188"/>
      <c r="X4" s="188"/>
      <c r="Y4" s="189"/>
      <c r="Z4" s="187" t="s">
        <v>440</v>
      </c>
      <c r="AA4" s="188"/>
      <c r="AB4" s="188"/>
      <c r="AC4" s="188"/>
      <c r="AD4" s="189"/>
      <c r="AE4" s="187" t="s">
        <v>444</v>
      </c>
      <c r="AF4" s="188"/>
      <c r="AG4" s="188"/>
      <c r="AH4" s="188"/>
      <c r="AI4" s="189"/>
      <c r="AJ4" s="186" t="s">
        <v>221</v>
      </c>
      <c r="AK4" s="186"/>
      <c r="AL4" s="186"/>
      <c r="AM4" s="186"/>
      <c r="AN4" s="186"/>
      <c r="AO4" s="187" t="s">
        <v>222</v>
      </c>
      <c r="AP4" s="188"/>
      <c r="AQ4" s="188"/>
      <c r="AR4" s="188"/>
      <c r="AS4" s="189"/>
      <c r="AT4" s="187" t="s">
        <v>451</v>
      </c>
      <c r="AU4" s="188"/>
      <c r="AV4" s="188"/>
      <c r="AW4" s="188"/>
      <c r="AX4" s="189"/>
      <c r="BB4" s="25">
        <v>1</v>
      </c>
      <c r="BC4" s="148" t="s">
        <v>204</v>
      </c>
      <c r="BD4" s="195" t="s">
        <v>231</v>
      </c>
      <c r="BE4" s="195"/>
      <c r="BF4" s="195"/>
      <c r="BG4" s="195" t="s">
        <v>232</v>
      </c>
      <c r="BH4" s="195"/>
      <c r="BI4" s="195"/>
      <c r="BJ4" s="195"/>
      <c r="BN4" s="150" t="s">
        <v>204</v>
      </c>
      <c r="BO4" s="183" t="s">
        <v>375</v>
      </c>
      <c r="BP4" s="183"/>
      <c r="BQ4" s="183"/>
      <c r="BR4" s="183"/>
      <c r="BS4" s="183"/>
      <c r="BT4" s="183"/>
      <c r="BV4" s="148" t="s">
        <v>204</v>
      </c>
      <c r="BW4" s="184" t="s">
        <v>351</v>
      </c>
      <c r="BX4" s="185"/>
      <c r="BY4" s="74"/>
    </row>
    <row r="5" spans="1:87" x14ac:dyDescent="0.15">
      <c r="I5" s="183" t="s">
        <v>435</v>
      </c>
      <c r="J5" s="183"/>
      <c r="K5" s="183"/>
      <c r="O5" s="163" t="s">
        <v>458</v>
      </c>
      <c r="S5" s="46">
        <v>3</v>
      </c>
      <c r="T5" s="144" t="s">
        <v>398</v>
      </c>
      <c r="U5" s="147" t="s">
        <v>0</v>
      </c>
      <c r="V5" s="146" t="s">
        <v>1</v>
      </c>
      <c r="W5" s="146" t="s">
        <v>2</v>
      </c>
      <c r="X5" s="146" t="s">
        <v>3</v>
      </c>
      <c r="Y5" s="146" t="s">
        <v>4</v>
      </c>
      <c r="Z5" s="147" t="s">
        <v>0</v>
      </c>
      <c r="AA5" s="146" t="s">
        <v>1</v>
      </c>
      <c r="AB5" s="146" t="s">
        <v>2</v>
      </c>
      <c r="AC5" s="146" t="s">
        <v>3</v>
      </c>
      <c r="AD5" s="146" t="s">
        <v>4</v>
      </c>
      <c r="AE5" s="147" t="s">
        <v>0</v>
      </c>
      <c r="AF5" s="146" t="s">
        <v>1</v>
      </c>
      <c r="AG5" s="146" t="s">
        <v>2</v>
      </c>
      <c r="AH5" s="146" t="s">
        <v>3</v>
      </c>
      <c r="AI5" s="146" t="s">
        <v>4</v>
      </c>
      <c r="AJ5" s="144" t="s">
        <v>0</v>
      </c>
      <c r="AK5" s="143" t="s">
        <v>1</v>
      </c>
      <c r="AL5" s="143" t="s">
        <v>2</v>
      </c>
      <c r="AM5" s="143" t="s">
        <v>3</v>
      </c>
      <c r="AN5" s="143" t="s">
        <v>4</v>
      </c>
      <c r="AO5" s="160" t="s">
        <v>0</v>
      </c>
      <c r="AP5" s="159" t="s">
        <v>1</v>
      </c>
      <c r="AQ5" s="159" t="s">
        <v>2</v>
      </c>
      <c r="AR5" s="159" t="s">
        <v>3</v>
      </c>
      <c r="AS5" s="159" t="s">
        <v>4</v>
      </c>
      <c r="AT5" s="160" t="s">
        <v>0</v>
      </c>
      <c r="AU5" s="159" t="s">
        <v>1</v>
      </c>
      <c r="AV5" s="159" t="s">
        <v>2</v>
      </c>
      <c r="AW5" s="159" t="s">
        <v>3</v>
      </c>
      <c r="AX5" s="159" t="s">
        <v>4</v>
      </c>
      <c r="BB5" s="25">
        <v>2</v>
      </c>
      <c r="BC5" s="51" t="s">
        <v>398</v>
      </c>
      <c r="BD5" s="147" t="s">
        <v>233</v>
      </c>
      <c r="BE5" s="147" t="s">
        <v>223</v>
      </c>
      <c r="BF5" s="147" t="s">
        <v>224</v>
      </c>
      <c r="BG5" s="147" t="s">
        <v>233</v>
      </c>
      <c r="BH5" s="147" t="s">
        <v>223</v>
      </c>
      <c r="BI5" s="147" t="s">
        <v>224</v>
      </c>
      <c r="BJ5" s="51" t="s">
        <v>236</v>
      </c>
      <c r="BN5" s="51" t="s">
        <v>398</v>
      </c>
      <c r="BO5" s="147" t="s">
        <v>442</v>
      </c>
      <c r="BP5" s="147" t="s">
        <v>443</v>
      </c>
      <c r="BQ5" s="147" t="s">
        <v>445</v>
      </c>
      <c r="BR5" s="147" t="s">
        <v>371</v>
      </c>
      <c r="BS5" s="147" t="s">
        <v>353</v>
      </c>
      <c r="BT5" s="147" t="s">
        <v>352</v>
      </c>
      <c r="BU5" s="41" t="s">
        <v>371</v>
      </c>
      <c r="BV5" s="51" t="s">
        <v>398</v>
      </c>
      <c r="BW5" s="51" t="s">
        <v>215</v>
      </c>
      <c r="BX5" s="147" t="s">
        <v>353</v>
      </c>
      <c r="BY5" s="147" t="s">
        <v>370</v>
      </c>
      <c r="CD5" s="161" t="s">
        <v>398</v>
      </c>
      <c r="CE5" s="46" t="s">
        <v>453</v>
      </c>
      <c r="CF5" s="46" t="s">
        <v>454</v>
      </c>
      <c r="CG5" s="46" t="s">
        <v>455</v>
      </c>
      <c r="CH5" s="46" t="s">
        <v>456</v>
      </c>
      <c r="CI5" s="46" t="s">
        <v>457</v>
      </c>
    </row>
    <row r="6" spans="1:87" x14ac:dyDescent="0.15">
      <c r="G6" s="143" t="s">
        <v>419</v>
      </c>
      <c r="H6" s="143" t="s">
        <v>410</v>
      </c>
      <c r="I6" s="146" t="s">
        <v>429</v>
      </c>
      <c r="J6" s="146" t="s">
        <v>428</v>
      </c>
      <c r="K6" s="146" t="s">
        <v>353</v>
      </c>
      <c r="M6" s="146" t="s">
        <v>419</v>
      </c>
      <c r="N6" s="146" t="s">
        <v>410</v>
      </c>
      <c r="O6" s="146" t="s">
        <v>437</v>
      </c>
      <c r="P6" s="159" t="s">
        <v>449</v>
      </c>
      <c r="S6" s="46">
        <v>4</v>
      </c>
      <c r="T6" s="144">
        <v>10</v>
      </c>
      <c r="U6" s="147"/>
      <c r="V6" s="147"/>
      <c r="W6" s="147"/>
      <c r="X6" s="147"/>
      <c r="Y6" s="43">
        <f>求节点($G$37:$G$62,$I$37:$I$62,节奏预期!$AB6)</f>
        <v>0</v>
      </c>
      <c r="Z6" s="147"/>
      <c r="AA6" s="147"/>
      <c r="AB6" s="147"/>
      <c r="AC6" s="147"/>
      <c r="AD6" s="43">
        <f>求节点($G$37:$G$62,$J$37:$J$62,节奏预期!$AB6)*3</f>
        <v>0</v>
      </c>
      <c r="AE6" s="146"/>
      <c r="AF6" s="146"/>
      <c r="AG6" s="146"/>
      <c r="AH6" s="146"/>
      <c r="AI6" s="43">
        <f>求节点($G$37:$G$62,$K$37:$K$62,节奏预期!$AB6)*3</f>
        <v>0</v>
      </c>
      <c r="AJ6" s="146"/>
      <c r="AK6" s="143"/>
      <c r="AL6" s="143"/>
      <c r="AM6" s="143"/>
      <c r="AN6" s="43">
        <f>求节点($G$37:$G$62,$O$37:$O$62,节奏预期!$AB6)</f>
        <v>0</v>
      </c>
      <c r="AO6" s="160"/>
      <c r="AP6" s="159"/>
      <c r="AQ6" s="159"/>
      <c r="AR6" s="159"/>
      <c r="AS6" s="43">
        <f>AN6</f>
        <v>0</v>
      </c>
      <c r="AT6" s="160"/>
      <c r="AU6" s="159"/>
      <c r="AV6" s="159"/>
      <c r="AW6" s="159"/>
      <c r="AX6" s="43">
        <f>求节点($G$37:$G$62,$P$37:$P$62,节奏预期!$AB6)*3</f>
        <v>0</v>
      </c>
      <c r="BB6" s="25">
        <v>3</v>
      </c>
      <c r="BC6" s="147">
        <v>10</v>
      </c>
      <c r="BD6" s="52">
        <f>AX6</f>
        <v>0</v>
      </c>
      <c r="BE6" s="52">
        <f>AN6</f>
        <v>0</v>
      </c>
      <c r="BF6" s="52">
        <f>AS6</f>
        <v>0</v>
      </c>
      <c r="BG6" s="77">
        <f>BD6*(INDEX([2]非r将兵属性验证!V$7:V$166,$BC6,1)+INDEX([2]非r将兵属性验证!$AP$7:$AP$166,$BC6,1))</f>
        <v>0</v>
      </c>
      <c r="BH6" s="77">
        <f>$BE6*INDEX([2]非r将兵属性验证!W$7:W$166,$BC6,1)</f>
        <v>0</v>
      </c>
      <c r="BI6" s="77">
        <f>$BF6*INDEX([2]非r将兵属性验证!X$7:X$166,$BC6,1)</f>
        <v>0</v>
      </c>
      <c r="BJ6" s="52">
        <f>SUM(BG6:BI6)</f>
        <v>0</v>
      </c>
      <c r="BN6" s="147">
        <v>10</v>
      </c>
      <c r="BO6" s="75">
        <f>AD6*6</f>
        <v>0</v>
      </c>
      <c r="BP6" s="76">
        <f>BO6*INDEX('[1]功能-付费相关'!$DG$6:$DG$165,$BN6,1)</f>
        <v>0</v>
      </c>
      <c r="BQ6" s="75">
        <f>Y6*3*6</f>
        <v>0</v>
      </c>
      <c r="BR6" s="75">
        <v>0</v>
      </c>
      <c r="BS6" s="75">
        <f>AI6*6</f>
        <v>0</v>
      </c>
      <c r="BT6" s="76">
        <f>CQ6*INDEX('[1]功能-付费相关'!$AQ$6:$AQ$165,$CN6,1)</f>
        <v>0</v>
      </c>
      <c r="BV6" s="147">
        <v>10</v>
      </c>
      <c r="BW6" s="147">
        <f>BP6</f>
        <v>0</v>
      </c>
      <c r="BX6" s="147">
        <f t="shared" ref="BX6:BX21" si="0">BT6</f>
        <v>0</v>
      </c>
      <c r="BY6" s="84">
        <f>SUM(BW6:BX6)</f>
        <v>0</v>
      </c>
      <c r="CD6" s="46">
        <v>1</v>
      </c>
      <c r="CE6" s="46">
        <f>求节点($BN$6:$BN$21,$BO$6:$BO$21,$CD6)</f>
        <v>0</v>
      </c>
      <c r="CF6" s="161">
        <f>求节点($BN$51:$BN$66,$BO$51:$BO$66,$CD6)</f>
        <v>0</v>
      </c>
      <c r="CG6" s="161">
        <f>求节点($BN$96:$BN$111,$BO$96:$BO$111,$CD6)</f>
        <v>0</v>
      </c>
      <c r="CH6" s="161">
        <f>求节点($BN$141:$BN$156,$BO$141:$BO$156,$CD6)</f>
        <v>0</v>
      </c>
      <c r="CI6" s="161">
        <f>求节点($BN$186:$BN$201,$BO$186:$BO$201,$CD6)</f>
        <v>0</v>
      </c>
    </row>
    <row r="7" spans="1:87" x14ac:dyDescent="0.15">
      <c r="B7" s="203" t="s">
        <v>418</v>
      </c>
      <c r="C7" s="203"/>
      <c r="D7" s="203"/>
      <c r="G7" s="143">
        <v>0</v>
      </c>
      <c r="H7" s="143">
        <v>0</v>
      </c>
      <c r="I7" s="146">
        <v>0</v>
      </c>
      <c r="J7" s="146">
        <v>0</v>
      </c>
      <c r="K7" s="146">
        <v>0</v>
      </c>
      <c r="M7" s="156">
        <f>G7</f>
        <v>0</v>
      </c>
      <c r="N7" s="156">
        <f>H7</f>
        <v>0</v>
      </c>
      <c r="O7" s="146">
        <v>0</v>
      </c>
      <c r="P7" s="159">
        <v>0</v>
      </c>
      <c r="S7" s="46">
        <v>5</v>
      </c>
      <c r="T7" s="144">
        <v>20</v>
      </c>
      <c r="U7" s="147"/>
      <c r="V7" s="147"/>
      <c r="W7" s="147"/>
      <c r="X7" s="147"/>
      <c r="Y7" s="43">
        <f>求节点($G$37:$G$62,$I$37:$I$62,节奏预期!$AB7)</f>
        <v>0</v>
      </c>
      <c r="Z7" s="147"/>
      <c r="AA7" s="147"/>
      <c r="AB7" s="147"/>
      <c r="AC7" s="147"/>
      <c r="AD7" s="43">
        <f>求节点($G$37:$G$62,$J$37:$J$62,节奏预期!$AB7)*3</f>
        <v>0</v>
      </c>
      <c r="AE7" s="146"/>
      <c r="AF7" s="146"/>
      <c r="AG7" s="146"/>
      <c r="AH7" s="146"/>
      <c r="AI7" s="43">
        <f>求节点($G$37:$G$62,$K$37:$K$62,节奏预期!$AB7)*3</f>
        <v>0</v>
      </c>
      <c r="AJ7" s="146"/>
      <c r="AK7" s="143"/>
      <c r="AL7" s="143"/>
      <c r="AM7" s="143"/>
      <c r="AN7" s="43">
        <f>求节点($G$37:$G$62,$O$37:$O$62,节奏预期!$AB7)</f>
        <v>0</v>
      </c>
      <c r="AO7" s="160"/>
      <c r="AP7" s="159"/>
      <c r="AQ7" s="159"/>
      <c r="AR7" s="159"/>
      <c r="AS7" s="43">
        <f t="shared" ref="AS7:AS21" si="1">AN7</f>
        <v>0</v>
      </c>
      <c r="AT7" s="160"/>
      <c r="AU7" s="159"/>
      <c r="AV7" s="159"/>
      <c r="AW7" s="159"/>
      <c r="AX7" s="43">
        <f>求节点($G$37:$G$62,$P$37:$P$62,节奏预期!$AB7)*3</f>
        <v>0</v>
      </c>
      <c r="BB7" s="25">
        <v>4</v>
      </c>
      <c r="BC7" s="147">
        <v>20</v>
      </c>
      <c r="BD7" s="52">
        <f t="shared" ref="BD7:BD21" si="2">AX7</f>
        <v>0</v>
      </c>
      <c r="BE7" s="52">
        <f t="shared" ref="BE7:BE21" si="3">AN7</f>
        <v>0</v>
      </c>
      <c r="BF7" s="52">
        <f t="shared" ref="BF7:BF21" si="4">AS7</f>
        <v>0</v>
      </c>
      <c r="BG7" s="109">
        <f>(BD7-BD6)*(INDEX([2]非r将兵属性验证!V$7:V$166,$BC7,1)+INDEX([2]非r将兵属性验证!$AP$7:$AP$166,$BC7,1))+BG6</f>
        <v>0</v>
      </c>
      <c r="BH7" s="109">
        <f>($BE7-$BE6)*INDEX([2]非r将兵属性验证!W$7:W$166,$BC7,1)+BH6</f>
        <v>0</v>
      </c>
      <c r="BI7" s="109">
        <f>($BF7-$BF6)*INDEX([2]非r将兵属性验证!X$7:X$166,$BC7,1)+BI6</f>
        <v>0</v>
      </c>
      <c r="BJ7" s="52">
        <f t="shared" ref="BJ7:BJ21" si="5">SUM(BG7:BI7)</f>
        <v>0</v>
      </c>
      <c r="BN7" s="147">
        <v>20</v>
      </c>
      <c r="BO7" s="75">
        <f t="shared" ref="BO7:BO21" si="6">AD7*6</f>
        <v>0</v>
      </c>
      <c r="BP7" s="164">
        <f>(BO7-BO6)*INDEX('[1]功能-付费相关'!$DG$6:$DG$165,$BN7,1)+BP6</f>
        <v>0</v>
      </c>
      <c r="BQ7" s="75">
        <f t="shared" ref="BQ7:BQ21" si="7">Y7*3*6</f>
        <v>0</v>
      </c>
      <c r="BR7" s="75">
        <v>0</v>
      </c>
      <c r="BS7" s="75">
        <f t="shared" ref="BS7:BS21" si="8">AI7*6</f>
        <v>0</v>
      </c>
      <c r="BT7" s="75">
        <f>(BS7-BS6)*INDEX('[1]功能-付费相关'!$AQ$6:$AQ$165,$CY7,1)+BT6</f>
        <v>0</v>
      </c>
      <c r="BV7" s="147">
        <v>20</v>
      </c>
      <c r="BW7" s="147">
        <f t="shared" ref="BW7:BW21" si="9">BP7</f>
        <v>0</v>
      </c>
      <c r="BX7" s="147">
        <f t="shared" si="0"/>
        <v>0</v>
      </c>
      <c r="BY7" s="84">
        <f t="shared" ref="BY7:BY21" si="10">SUM(BW7:BX7)</f>
        <v>0</v>
      </c>
      <c r="CD7" s="46">
        <v>2</v>
      </c>
      <c r="CE7" s="161">
        <f t="shared" ref="CE7:CE70" si="11">求节点($BN$6:$BN$21,$BO$6:$BO$21,$CD7)</f>
        <v>0</v>
      </c>
      <c r="CF7" s="161">
        <f t="shared" ref="CF7:CF70" si="12">求节点($BN$51:$BN$66,$BO$51:$BO$66,$CD7)</f>
        <v>0</v>
      </c>
      <c r="CG7" s="161">
        <f t="shared" ref="CG7:CG70" si="13">求节点($BN$96:$BN$111,$BO$96:$BO$111,$CD7)</f>
        <v>0</v>
      </c>
      <c r="CH7" s="161">
        <f t="shared" ref="CH7:CH70" si="14">求节点($BN$141:$BN$156,$BO$141:$BO$156,$CD7)</f>
        <v>0</v>
      </c>
      <c r="CI7" s="161">
        <f t="shared" ref="CI7:CI70" si="15">求节点($BN$186:$BN$201,$BO$186:$BO$201,$CD7)</f>
        <v>0</v>
      </c>
    </row>
    <row r="8" spans="1:87" x14ac:dyDescent="0.15">
      <c r="B8" s="46" t="s">
        <v>415</v>
      </c>
      <c r="C8" s="46" t="s">
        <v>416</v>
      </c>
      <c r="D8" s="46" t="s">
        <v>417</v>
      </c>
      <c r="F8" s="46">
        <f>J8/10</f>
        <v>20</v>
      </c>
      <c r="G8" s="143">
        <v>1</v>
      </c>
      <c r="H8" s="156">
        <f>G8*10</f>
        <v>10</v>
      </c>
      <c r="I8" s="146">
        <v>1</v>
      </c>
      <c r="J8" s="146">
        <v>200</v>
      </c>
      <c r="K8" s="146">
        <f>L8*10</f>
        <v>250000</v>
      </c>
      <c r="L8" s="151">
        <v>25000</v>
      </c>
      <c r="M8" s="156">
        <f t="shared" ref="M8:M32" si="16">G8</f>
        <v>1</v>
      </c>
      <c r="N8" s="156">
        <f t="shared" ref="N8:N32" si="17">H8</f>
        <v>10</v>
      </c>
      <c r="O8" s="167">
        <v>120</v>
      </c>
      <c r="P8" s="159">
        <f>2/3</f>
        <v>0.66666666666666663</v>
      </c>
      <c r="S8" s="46">
        <v>6</v>
      </c>
      <c r="T8" s="144">
        <v>30</v>
      </c>
      <c r="U8" s="147"/>
      <c r="V8" s="147"/>
      <c r="W8" s="147"/>
      <c r="X8" s="147"/>
      <c r="Y8" s="43">
        <f>求节点($G$37:$G$62,$I$37:$I$62,节奏预期!$AB8)</f>
        <v>0</v>
      </c>
      <c r="Z8" s="147"/>
      <c r="AA8" s="147"/>
      <c r="AB8" s="147"/>
      <c r="AC8" s="147"/>
      <c r="AD8" s="43">
        <f>求节点($G$37:$G$62,$J$37:$J$62,节奏预期!$AB8)*3</f>
        <v>0</v>
      </c>
      <c r="AE8" s="146"/>
      <c r="AF8" s="146"/>
      <c r="AG8" s="146"/>
      <c r="AH8" s="146"/>
      <c r="AI8" s="43">
        <f>求节点($G$37:$G$62,$K$37:$K$62,节奏预期!$AB8)*3</f>
        <v>0</v>
      </c>
      <c r="AJ8" s="146"/>
      <c r="AK8" s="143"/>
      <c r="AL8" s="143"/>
      <c r="AM8" s="143"/>
      <c r="AN8" s="43">
        <f>求节点($G$37:$G$62,$O$37:$O$62,节奏预期!$AB8)</f>
        <v>0</v>
      </c>
      <c r="AO8" s="160"/>
      <c r="AP8" s="159"/>
      <c r="AQ8" s="159"/>
      <c r="AR8" s="159"/>
      <c r="AS8" s="43">
        <f t="shared" si="1"/>
        <v>0</v>
      </c>
      <c r="AT8" s="160"/>
      <c r="AU8" s="159"/>
      <c r="AV8" s="159"/>
      <c r="AW8" s="159"/>
      <c r="AX8" s="43">
        <f>求节点($G$37:$G$62,$P$37:$P$62,节奏预期!$AB8)*3</f>
        <v>0</v>
      </c>
      <c r="BB8" s="25">
        <v>5</v>
      </c>
      <c r="BC8" s="147">
        <v>30</v>
      </c>
      <c r="BD8" s="52">
        <f t="shared" si="2"/>
        <v>0</v>
      </c>
      <c r="BE8" s="52">
        <f t="shared" si="3"/>
        <v>0</v>
      </c>
      <c r="BF8" s="52">
        <f t="shared" si="4"/>
        <v>0</v>
      </c>
      <c r="BG8" s="109">
        <f>(BD8-BD7)*(INDEX([2]非r将兵属性验证!V$7:V$166,$BC8,1)+INDEX([2]非r将兵属性验证!$AP$7:$AP$166,$BC8,1))+BG7</f>
        <v>0</v>
      </c>
      <c r="BH8" s="109">
        <f>($BE8-$BE7)*INDEX([2]非r将兵属性验证!W$7:W$166,$BC8,1)+BH7</f>
        <v>0</v>
      </c>
      <c r="BI8" s="109">
        <f>($BF8-$BF7)*INDEX([2]非r将兵属性验证!X$7:X$166,$BC8,1)+BI7</f>
        <v>0</v>
      </c>
      <c r="BJ8" s="52">
        <f t="shared" si="5"/>
        <v>0</v>
      </c>
      <c r="BN8" s="147">
        <v>30</v>
      </c>
      <c r="BO8" s="75">
        <f t="shared" si="6"/>
        <v>0</v>
      </c>
      <c r="BP8" s="164">
        <f>(BO8-BO7)*INDEX('[1]功能-付费相关'!$DG$6:$DG$165,$BN8,1)+BP7</f>
        <v>0</v>
      </c>
      <c r="BQ8" s="75">
        <f t="shared" si="7"/>
        <v>0</v>
      </c>
      <c r="BR8" s="75">
        <v>0</v>
      </c>
      <c r="BS8" s="75">
        <f t="shared" si="8"/>
        <v>0</v>
      </c>
      <c r="BT8" s="75">
        <f>(BS8-BS7)*INDEX('[1]功能-付费相关'!$AQ$6:$AQ$165,$CY8,1)+BT7</f>
        <v>0</v>
      </c>
      <c r="BV8" s="147">
        <v>30</v>
      </c>
      <c r="BW8" s="147">
        <f t="shared" si="9"/>
        <v>0</v>
      </c>
      <c r="BX8" s="147">
        <f t="shared" si="0"/>
        <v>0</v>
      </c>
      <c r="BY8" s="84">
        <f t="shared" si="10"/>
        <v>0</v>
      </c>
      <c r="CD8" s="161">
        <v>3</v>
      </c>
      <c r="CE8" s="161">
        <f t="shared" si="11"/>
        <v>0</v>
      </c>
      <c r="CF8" s="161">
        <f t="shared" si="12"/>
        <v>0</v>
      </c>
      <c r="CG8" s="161">
        <f t="shared" si="13"/>
        <v>0</v>
      </c>
      <c r="CH8" s="161">
        <f t="shared" si="14"/>
        <v>0</v>
      </c>
      <c r="CI8" s="161">
        <f t="shared" si="15"/>
        <v>0</v>
      </c>
    </row>
    <row r="9" spans="1:87" x14ac:dyDescent="0.15">
      <c r="B9" s="46">
        <v>10</v>
      </c>
      <c r="C9" s="46">
        <f>B9*2</f>
        <v>20</v>
      </c>
      <c r="F9" s="169">
        <f t="shared" ref="F9:F32" si="18">J9/10</f>
        <v>40</v>
      </c>
      <c r="G9" s="143">
        <v>2</v>
      </c>
      <c r="H9" s="156">
        <f t="shared" ref="H9:H32" si="19">G9*10</f>
        <v>20</v>
      </c>
      <c r="I9" s="146">
        <v>1</v>
      </c>
      <c r="J9" s="159">
        <v>400</v>
      </c>
      <c r="K9" s="146">
        <f t="shared" ref="K9:K32" si="20">L9*10</f>
        <v>250000</v>
      </c>
      <c r="L9" s="161">
        <f>L8</f>
        <v>25000</v>
      </c>
      <c r="M9" s="156">
        <f t="shared" si="16"/>
        <v>2</v>
      </c>
      <c r="N9" s="156">
        <f t="shared" si="17"/>
        <v>20</v>
      </c>
      <c r="O9" s="43">
        <f>O8</f>
        <v>120</v>
      </c>
      <c r="P9" s="159">
        <f t="shared" ref="P9:P32" si="21">2/3</f>
        <v>0.66666666666666663</v>
      </c>
      <c r="S9" s="46">
        <v>7</v>
      </c>
      <c r="T9" s="144">
        <v>40</v>
      </c>
      <c r="U9" s="147"/>
      <c r="V9" s="147"/>
      <c r="W9" s="147"/>
      <c r="X9" s="147"/>
      <c r="Y9" s="43">
        <f>求节点($G$37:$G$62,$I$37:$I$62,节奏预期!$AB9)</f>
        <v>0</v>
      </c>
      <c r="Z9" s="147"/>
      <c r="AA9" s="147"/>
      <c r="AB9" s="147"/>
      <c r="AC9" s="147"/>
      <c r="AD9" s="43">
        <f>求节点($G$37:$G$62,$J$37:$J$62,节奏预期!$AB9)*3</f>
        <v>0</v>
      </c>
      <c r="AE9" s="146"/>
      <c r="AF9" s="146"/>
      <c r="AG9" s="146"/>
      <c r="AH9" s="146"/>
      <c r="AI9" s="43">
        <f>求节点($G$37:$G$62,$K$37:$K$62,节奏预期!$AB9)*3</f>
        <v>0</v>
      </c>
      <c r="AJ9" s="146"/>
      <c r="AK9" s="143"/>
      <c r="AL9" s="143"/>
      <c r="AM9" s="143"/>
      <c r="AN9" s="43">
        <f>求节点($G$37:$G$62,$O$37:$O$62,节奏预期!$AB9)</f>
        <v>0</v>
      </c>
      <c r="AO9" s="160"/>
      <c r="AP9" s="159"/>
      <c r="AQ9" s="159"/>
      <c r="AR9" s="159"/>
      <c r="AS9" s="43">
        <f t="shared" si="1"/>
        <v>0</v>
      </c>
      <c r="AT9" s="160"/>
      <c r="AU9" s="159"/>
      <c r="AV9" s="159"/>
      <c r="AW9" s="159"/>
      <c r="AX9" s="43">
        <f>求节点($G$37:$G$62,$P$37:$P$62,节奏预期!$AB9)*3</f>
        <v>0</v>
      </c>
      <c r="BB9" s="25">
        <v>6</v>
      </c>
      <c r="BC9" s="147">
        <v>40</v>
      </c>
      <c r="BD9" s="52">
        <f t="shared" si="2"/>
        <v>0</v>
      </c>
      <c r="BE9" s="52">
        <f t="shared" si="3"/>
        <v>0</v>
      </c>
      <c r="BF9" s="52">
        <f t="shared" si="4"/>
        <v>0</v>
      </c>
      <c r="BG9" s="109">
        <f>(BD9-BD8)*(INDEX([2]非r将兵属性验证!V$7:V$166,$BC9,1)+INDEX([2]非r将兵属性验证!$AP$7:$AP$166,$BC9,1))+BG8</f>
        <v>0</v>
      </c>
      <c r="BH9" s="109">
        <f>($BE9-$BE8)*INDEX([2]非r将兵属性验证!W$7:W$166,$BC9,1)+BH8</f>
        <v>0</v>
      </c>
      <c r="BI9" s="109">
        <f>($BF9-$BF8)*INDEX([2]非r将兵属性验证!X$7:X$166,$BC9,1)+BI8</f>
        <v>0</v>
      </c>
      <c r="BJ9" s="52">
        <f t="shared" si="5"/>
        <v>0</v>
      </c>
      <c r="BN9" s="147">
        <v>40</v>
      </c>
      <c r="BO9" s="75">
        <f t="shared" si="6"/>
        <v>0</v>
      </c>
      <c r="BP9" s="164">
        <f>(BO9-BO8)*INDEX('[1]功能-付费相关'!$DG$6:$DG$165,$BN9,1)+BP8</f>
        <v>0</v>
      </c>
      <c r="BQ9" s="75">
        <f t="shared" si="7"/>
        <v>0</v>
      </c>
      <c r="BR9" s="75">
        <v>0</v>
      </c>
      <c r="BS9" s="75">
        <f t="shared" si="8"/>
        <v>0</v>
      </c>
      <c r="BT9" s="75">
        <f>(BS9-BS8)*INDEX('[1]功能-付费相关'!$AQ$6:$AQ$165,$CY9,1)+BT8</f>
        <v>0</v>
      </c>
      <c r="BV9" s="147">
        <v>40</v>
      </c>
      <c r="BW9" s="147">
        <f t="shared" si="9"/>
        <v>0</v>
      </c>
      <c r="BX9" s="147">
        <f t="shared" si="0"/>
        <v>0</v>
      </c>
      <c r="BY9" s="84">
        <f t="shared" si="10"/>
        <v>0</v>
      </c>
      <c r="CD9" s="161">
        <v>4</v>
      </c>
      <c r="CE9" s="161">
        <f t="shared" si="11"/>
        <v>0</v>
      </c>
      <c r="CF9" s="161">
        <f t="shared" si="12"/>
        <v>0</v>
      </c>
      <c r="CG9" s="161">
        <f t="shared" si="13"/>
        <v>0</v>
      </c>
      <c r="CH9" s="161">
        <f t="shared" si="14"/>
        <v>0</v>
      </c>
      <c r="CI9" s="161">
        <f t="shared" si="15"/>
        <v>0</v>
      </c>
    </row>
    <row r="10" spans="1:87" x14ac:dyDescent="0.15">
      <c r="B10" s="46">
        <v>20</v>
      </c>
      <c r="C10" s="46">
        <f t="shared" ref="C10:C24" si="22">B10*2</f>
        <v>40</v>
      </c>
      <c r="F10" s="169">
        <f t="shared" si="18"/>
        <v>60</v>
      </c>
      <c r="G10" s="143">
        <v>3</v>
      </c>
      <c r="H10" s="156">
        <f t="shared" si="19"/>
        <v>30</v>
      </c>
      <c r="I10" s="146">
        <v>1</v>
      </c>
      <c r="J10" s="168">
        <v>600</v>
      </c>
      <c r="K10" s="146">
        <f t="shared" si="20"/>
        <v>250000</v>
      </c>
      <c r="L10" s="161">
        <f t="shared" ref="L10:L12" si="23">L9</f>
        <v>25000</v>
      </c>
      <c r="M10" s="156">
        <f t="shared" si="16"/>
        <v>3</v>
      </c>
      <c r="N10" s="156">
        <f t="shared" si="17"/>
        <v>30</v>
      </c>
      <c r="O10" s="43">
        <f t="shared" ref="O10:O32" si="24">O9</f>
        <v>120</v>
      </c>
      <c r="P10" s="159">
        <f t="shared" si="21"/>
        <v>0.66666666666666663</v>
      </c>
      <c r="S10" s="46">
        <v>8</v>
      </c>
      <c r="T10" s="144">
        <v>50</v>
      </c>
      <c r="U10" s="147"/>
      <c r="V10" s="147"/>
      <c r="W10" s="147"/>
      <c r="X10" s="147"/>
      <c r="Y10" s="43">
        <f>求节点($G$37:$G$62,$I$37:$I$62,节奏预期!$AB10)</f>
        <v>0</v>
      </c>
      <c r="Z10" s="147"/>
      <c r="AA10" s="147"/>
      <c r="AB10" s="147"/>
      <c r="AC10" s="147"/>
      <c r="AD10" s="43">
        <f>求节点($G$37:$G$62,$J$37:$J$62,节奏预期!$AB10)*3</f>
        <v>0</v>
      </c>
      <c r="AE10" s="146"/>
      <c r="AF10" s="146"/>
      <c r="AG10" s="146"/>
      <c r="AH10" s="146"/>
      <c r="AI10" s="43">
        <f>求节点($G$37:$G$62,$K$37:$K$62,节奏预期!$AB10)*3</f>
        <v>0</v>
      </c>
      <c r="AJ10" s="146"/>
      <c r="AK10" s="143"/>
      <c r="AL10" s="143"/>
      <c r="AM10" s="143"/>
      <c r="AN10" s="43">
        <f>求节点($G$37:$G$62,$O$37:$O$62,节奏预期!$AB10)</f>
        <v>0</v>
      </c>
      <c r="AO10" s="160"/>
      <c r="AP10" s="159"/>
      <c r="AQ10" s="159"/>
      <c r="AR10" s="159"/>
      <c r="AS10" s="43">
        <f t="shared" si="1"/>
        <v>0</v>
      </c>
      <c r="AT10" s="160"/>
      <c r="AU10" s="159"/>
      <c r="AV10" s="159"/>
      <c r="AW10" s="159"/>
      <c r="AX10" s="43">
        <f>求节点($G$37:$G$62,$P$37:$P$62,节奏预期!$AB10)*3</f>
        <v>0</v>
      </c>
      <c r="BB10" s="25">
        <v>7</v>
      </c>
      <c r="BC10" s="147">
        <v>50</v>
      </c>
      <c r="BD10" s="52">
        <f t="shared" si="2"/>
        <v>0</v>
      </c>
      <c r="BE10" s="52">
        <f t="shared" si="3"/>
        <v>0</v>
      </c>
      <c r="BF10" s="52">
        <f t="shared" si="4"/>
        <v>0</v>
      </c>
      <c r="BG10" s="109">
        <f>(BD10-BD9)*(INDEX([2]非r将兵属性验证!V$7:V$166,$BC10,1)+INDEX([2]非r将兵属性验证!$AP$7:$AP$166,$BC10,1))+BG9</f>
        <v>0</v>
      </c>
      <c r="BH10" s="109">
        <f>($BE10-$BE9)*INDEX([2]非r将兵属性验证!W$7:W$166,$BC10,1)+BH9</f>
        <v>0</v>
      </c>
      <c r="BI10" s="109">
        <f>($BF10-$BF9)*INDEX([2]非r将兵属性验证!X$7:X$166,$BC10,1)+BI9</f>
        <v>0</v>
      </c>
      <c r="BJ10" s="52">
        <f t="shared" si="5"/>
        <v>0</v>
      </c>
      <c r="BN10" s="147">
        <v>50</v>
      </c>
      <c r="BO10" s="75">
        <f t="shared" si="6"/>
        <v>0</v>
      </c>
      <c r="BP10" s="164">
        <f>(BO10-BO9)*INDEX('[1]功能-付费相关'!$DG$6:$DG$165,$BN10,1)+BP9</f>
        <v>0</v>
      </c>
      <c r="BQ10" s="75">
        <f t="shared" si="7"/>
        <v>0</v>
      </c>
      <c r="BR10" s="75">
        <v>0</v>
      </c>
      <c r="BS10" s="75">
        <f t="shared" si="8"/>
        <v>0</v>
      </c>
      <c r="BT10" s="75">
        <f>(BS10-BS9)*INDEX('[1]功能-付费相关'!$AQ$6:$AQ$165,$CY10,1)+BT9</f>
        <v>0</v>
      </c>
      <c r="BV10" s="147">
        <v>50</v>
      </c>
      <c r="BW10" s="147">
        <f t="shared" si="9"/>
        <v>0</v>
      </c>
      <c r="BX10" s="147">
        <f t="shared" si="0"/>
        <v>0</v>
      </c>
      <c r="BY10" s="84">
        <f t="shared" si="10"/>
        <v>0</v>
      </c>
      <c r="CD10" s="161">
        <v>5</v>
      </c>
      <c r="CE10" s="161">
        <f t="shared" si="11"/>
        <v>0</v>
      </c>
      <c r="CF10" s="161">
        <f t="shared" si="12"/>
        <v>0</v>
      </c>
      <c r="CG10" s="161">
        <f t="shared" si="13"/>
        <v>0</v>
      </c>
      <c r="CH10" s="161">
        <f t="shared" si="14"/>
        <v>0</v>
      </c>
      <c r="CI10" s="161">
        <f t="shared" si="15"/>
        <v>0</v>
      </c>
    </row>
    <row r="11" spans="1:87" x14ac:dyDescent="0.15">
      <c r="B11" s="46">
        <v>30</v>
      </c>
      <c r="C11" s="46">
        <f t="shared" si="22"/>
        <v>60</v>
      </c>
      <c r="F11" s="169">
        <f t="shared" si="18"/>
        <v>80</v>
      </c>
      <c r="G11" s="143">
        <v>4</v>
      </c>
      <c r="H11" s="156">
        <f t="shared" si="19"/>
        <v>40</v>
      </c>
      <c r="I11" s="146">
        <v>1</v>
      </c>
      <c r="J11" s="168">
        <v>800</v>
      </c>
      <c r="K11" s="146">
        <f t="shared" si="20"/>
        <v>250000</v>
      </c>
      <c r="L11" s="161">
        <f t="shared" si="23"/>
        <v>25000</v>
      </c>
      <c r="M11" s="156">
        <f t="shared" si="16"/>
        <v>4</v>
      </c>
      <c r="N11" s="156">
        <f t="shared" si="17"/>
        <v>40</v>
      </c>
      <c r="O11" s="43">
        <f t="shared" si="24"/>
        <v>120</v>
      </c>
      <c r="P11" s="159">
        <f t="shared" si="21"/>
        <v>0.66666666666666663</v>
      </c>
      <c r="S11" s="46">
        <v>9</v>
      </c>
      <c r="T11" s="144">
        <v>60</v>
      </c>
      <c r="U11" s="147"/>
      <c r="V11" s="147"/>
      <c r="W11" s="147"/>
      <c r="X11" s="147"/>
      <c r="Y11" s="43">
        <f>求节点($G$37:$G$62,$I$37:$I$62,节奏预期!$AB11)</f>
        <v>0</v>
      </c>
      <c r="Z11" s="147"/>
      <c r="AA11" s="147"/>
      <c r="AB11" s="147"/>
      <c r="AC11" s="147"/>
      <c r="AD11" s="43">
        <f>求节点($G$37:$G$62,$J$37:$J$62,节奏预期!$AB11)*3</f>
        <v>0</v>
      </c>
      <c r="AE11" s="146"/>
      <c r="AF11" s="146"/>
      <c r="AG11" s="146"/>
      <c r="AH11" s="146"/>
      <c r="AI11" s="43">
        <f>求节点($G$37:$G$62,$K$37:$K$62,节奏预期!$AB11)*3</f>
        <v>0</v>
      </c>
      <c r="AJ11" s="146"/>
      <c r="AK11" s="143"/>
      <c r="AL11" s="143"/>
      <c r="AM11" s="143"/>
      <c r="AN11" s="43">
        <f>求节点($G$37:$G$62,$O$37:$O$62,节奏预期!$AB11)</f>
        <v>0</v>
      </c>
      <c r="AO11" s="160"/>
      <c r="AP11" s="159"/>
      <c r="AQ11" s="159"/>
      <c r="AR11" s="159"/>
      <c r="AS11" s="43">
        <f t="shared" si="1"/>
        <v>0</v>
      </c>
      <c r="AT11" s="160"/>
      <c r="AU11" s="159"/>
      <c r="AV11" s="159"/>
      <c r="AW11" s="159"/>
      <c r="AX11" s="43">
        <f>求节点($G$37:$G$62,$P$37:$P$62,节奏预期!$AB11)*3</f>
        <v>0</v>
      </c>
      <c r="BB11" s="25">
        <v>8</v>
      </c>
      <c r="BC11" s="147">
        <v>60</v>
      </c>
      <c r="BD11" s="52">
        <f t="shared" si="2"/>
        <v>0</v>
      </c>
      <c r="BE11" s="52">
        <f t="shared" si="3"/>
        <v>0</v>
      </c>
      <c r="BF11" s="52">
        <f t="shared" si="4"/>
        <v>0</v>
      </c>
      <c r="BG11" s="109">
        <f>(BD11-BD10)*(INDEX([2]非r将兵属性验证!V$7:V$166,$BC11,1)+INDEX([2]非r将兵属性验证!$AP$7:$AP$166,$BC11,1))+BG10</f>
        <v>0</v>
      </c>
      <c r="BH11" s="109">
        <f>($BE11-$BE10)*INDEX([2]非r将兵属性验证!W$7:W$166,$BC11,1)+BH10</f>
        <v>0</v>
      </c>
      <c r="BI11" s="109">
        <f>($BF11-$BF10)*INDEX([2]非r将兵属性验证!X$7:X$166,$BC11,1)+BI10</f>
        <v>0</v>
      </c>
      <c r="BJ11" s="52">
        <f t="shared" si="5"/>
        <v>0</v>
      </c>
      <c r="BN11" s="147">
        <v>60</v>
      </c>
      <c r="BO11" s="75">
        <f t="shared" si="6"/>
        <v>0</v>
      </c>
      <c r="BP11" s="164">
        <f>(BO11-BO10)*INDEX('[1]功能-付费相关'!$DG$6:$DG$165,$BN11,1)+BP10</f>
        <v>0</v>
      </c>
      <c r="BQ11" s="75">
        <f t="shared" si="7"/>
        <v>0</v>
      </c>
      <c r="BR11" s="75">
        <v>0</v>
      </c>
      <c r="BS11" s="75">
        <f t="shared" si="8"/>
        <v>0</v>
      </c>
      <c r="BT11" s="75">
        <f>(BS11-BS10)*INDEX('[1]功能-付费相关'!$AQ$6:$AQ$165,$CY11,1)+BT10</f>
        <v>0</v>
      </c>
      <c r="BV11" s="147">
        <v>60</v>
      </c>
      <c r="BW11" s="147">
        <f t="shared" si="9"/>
        <v>0</v>
      </c>
      <c r="BX11" s="147">
        <f t="shared" si="0"/>
        <v>0</v>
      </c>
      <c r="BY11" s="84">
        <f t="shared" si="10"/>
        <v>0</v>
      </c>
      <c r="CD11" s="161">
        <v>6</v>
      </c>
      <c r="CE11" s="161">
        <f t="shared" si="11"/>
        <v>0</v>
      </c>
      <c r="CF11" s="161">
        <f t="shared" si="12"/>
        <v>0</v>
      </c>
      <c r="CG11" s="161">
        <f t="shared" si="13"/>
        <v>0</v>
      </c>
      <c r="CH11" s="161">
        <f t="shared" si="14"/>
        <v>0</v>
      </c>
      <c r="CI11" s="161">
        <f t="shared" si="15"/>
        <v>0</v>
      </c>
    </row>
    <row r="12" spans="1:87" x14ac:dyDescent="0.15">
      <c r="B12" s="46">
        <v>40</v>
      </c>
      <c r="C12" s="46">
        <f t="shared" si="22"/>
        <v>80</v>
      </c>
      <c r="F12" s="169">
        <f t="shared" si="18"/>
        <v>100</v>
      </c>
      <c r="G12" s="143">
        <v>5</v>
      </c>
      <c r="H12" s="156">
        <f t="shared" si="19"/>
        <v>50</v>
      </c>
      <c r="I12" s="146">
        <v>1</v>
      </c>
      <c r="J12" s="168">
        <v>1000</v>
      </c>
      <c r="K12" s="146">
        <f t="shared" si="20"/>
        <v>250000</v>
      </c>
      <c r="L12" s="161">
        <f t="shared" si="23"/>
        <v>25000</v>
      </c>
      <c r="M12" s="156">
        <f t="shared" si="16"/>
        <v>5</v>
      </c>
      <c r="N12" s="156">
        <f t="shared" si="17"/>
        <v>50</v>
      </c>
      <c r="O12" s="43">
        <f t="shared" si="24"/>
        <v>120</v>
      </c>
      <c r="P12" s="159">
        <f t="shared" si="21"/>
        <v>0.66666666666666663</v>
      </c>
      <c r="S12" s="46">
        <v>10</v>
      </c>
      <c r="T12" s="144">
        <v>70</v>
      </c>
      <c r="U12" s="147"/>
      <c r="V12" s="147"/>
      <c r="W12" s="147"/>
      <c r="X12" s="147"/>
      <c r="Y12" s="43">
        <f>求节点($G$37:$G$62,$I$37:$I$62,节奏预期!$AB12)</f>
        <v>2</v>
      </c>
      <c r="Z12" s="147"/>
      <c r="AA12" s="147"/>
      <c r="AB12" s="147"/>
      <c r="AC12" s="147"/>
      <c r="AD12" s="43">
        <f>求节点($G$37:$G$62,$J$37:$J$62,节奏预期!$AB12)*3</f>
        <v>1800</v>
      </c>
      <c r="AE12" s="146"/>
      <c r="AF12" s="146"/>
      <c r="AG12" s="146"/>
      <c r="AH12" s="146"/>
      <c r="AI12" s="43">
        <f>求节点($G$37:$G$62,$K$37:$K$62,节奏预期!$AB12)*3</f>
        <v>1500000</v>
      </c>
      <c r="AJ12" s="146"/>
      <c r="AK12" s="143"/>
      <c r="AL12" s="143"/>
      <c r="AM12" s="143"/>
      <c r="AN12" s="43">
        <f>求节点($G$37:$G$62,$O$37:$O$62,节奏预期!$AB12)</f>
        <v>240</v>
      </c>
      <c r="AO12" s="160"/>
      <c r="AP12" s="159"/>
      <c r="AQ12" s="159"/>
      <c r="AR12" s="159"/>
      <c r="AS12" s="43">
        <f t="shared" si="1"/>
        <v>240</v>
      </c>
      <c r="AT12" s="160"/>
      <c r="AU12" s="159"/>
      <c r="AV12" s="159"/>
      <c r="AW12" s="159"/>
      <c r="AX12" s="43">
        <f>求节点($G$37:$G$62,$P$37:$P$62,节奏预期!$AB12)*3</f>
        <v>4</v>
      </c>
      <c r="BB12" s="25">
        <v>9</v>
      </c>
      <c r="BC12" s="147">
        <v>70</v>
      </c>
      <c r="BD12" s="52">
        <f t="shared" si="2"/>
        <v>4</v>
      </c>
      <c r="BE12" s="52">
        <f t="shared" si="3"/>
        <v>240</v>
      </c>
      <c r="BF12" s="52">
        <f t="shared" si="4"/>
        <v>240</v>
      </c>
      <c r="BG12" s="109">
        <f>(BD12-BD11)*(INDEX([2]非r将兵属性验证!V$7:V$166,$BC12,1)+INDEX([2]非r将兵属性验证!$AP$7:$AP$166,$BC12,1))+BG11</f>
        <v>381066669.05074906</v>
      </c>
      <c r="BH12" s="109">
        <f>($BE12-$BE11)*INDEX([2]非r将兵属性验证!W$7:W$166,$BC12,1)+BH11</f>
        <v>210219714.94719768</v>
      </c>
      <c r="BI12" s="109">
        <f>($BF12-$BF11)*INDEX([2]非r将兵属性验证!X$7:X$166,$BC12,1)+BI11</f>
        <v>210219714.94719768</v>
      </c>
      <c r="BJ12" s="52">
        <f t="shared" si="5"/>
        <v>801506098.94514441</v>
      </c>
      <c r="BN12" s="147">
        <v>70</v>
      </c>
      <c r="BO12" s="75">
        <f t="shared" si="6"/>
        <v>10800</v>
      </c>
      <c r="BP12" s="164">
        <f>(BO12-BO11)*INDEX('[1]功能-付费相关'!$DG$6:$DG$165,$BN12,1)+BP11</f>
        <v>35123.295659661686</v>
      </c>
      <c r="BQ12" s="75">
        <f t="shared" si="7"/>
        <v>36</v>
      </c>
      <c r="BR12" s="75">
        <v>0</v>
      </c>
      <c r="BS12" s="75">
        <f t="shared" si="8"/>
        <v>9000000</v>
      </c>
      <c r="BT12" s="75">
        <f>(BS12-BS11)*INDEX('[1]功能-付费相关'!$AQ$6:$AQ$165,$CY12,1)+BT11</f>
        <v>23936.170212765956</v>
      </c>
      <c r="BV12" s="147">
        <v>70</v>
      </c>
      <c r="BW12" s="147">
        <f t="shared" si="9"/>
        <v>35123.295659661686</v>
      </c>
      <c r="BX12" s="147">
        <f t="shared" si="0"/>
        <v>23936.170212765956</v>
      </c>
      <c r="BY12" s="84">
        <f t="shared" si="10"/>
        <v>59059.465872427638</v>
      </c>
      <c r="CD12" s="161">
        <v>7</v>
      </c>
      <c r="CE12" s="161">
        <f t="shared" si="11"/>
        <v>0</v>
      </c>
      <c r="CF12" s="161">
        <f t="shared" si="12"/>
        <v>0</v>
      </c>
      <c r="CG12" s="161">
        <f t="shared" si="13"/>
        <v>0</v>
      </c>
      <c r="CH12" s="161">
        <f t="shared" si="14"/>
        <v>0</v>
      </c>
      <c r="CI12" s="161">
        <f t="shared" si="15"/>
        <v>0</v>
      </c>
    </row>
    <row r="13" spans="1:87" x14ac:dyDescent="0.15">
      <c r="B13" s="46">
        <v>50</v>
      </c>
      <c r="C13" s="46">
        <f t="shared" si="22"/>
        <v>100</v>
      </c>
      <c r="F13" s="169">
        <f t="shared" si="18"/>
        <v>120</v>
      </c>
      <c r="G13" s="143">
        <v>6</v>
      </c>
      <c r="H13" s="156">
        <f t="shared" si="19"/>
        <v>60</v>
      </c>
      <c r="I13" s="146">
        <v>1</v>
      </c>
      <c r="J13" s="168">
        <f>J12+200</f>
        <v>1200</v>
      </c>
      <c r="K13" s="146">
        <f t="shared" si="20"/>
        <v>500000</v>
      </c>
      <c r="L13" s="161">
        <f>L8*2</f>
        <v>50000</v>
      </c>
      <c r="M13" s="156">
        <f t="shared" si="16"/>
        <v>6</v>
      </c>
      <c r="N13" s="156">
        <f t="shared" si="17"/>
        <v>60</v>
      </c>
      <c r="O13" s="43">
        <f t="shared" si="24"/>
        <v>120</v>
      </c>
      <c r="P13" s="159">
        <f t="shared" si="21"/>
        <v>0.66666666666666663</v>
      </c>
      <c r="S13" s="46">
        <v>11</v>
      </c>
      <c r="T13" s="144">
        <v>80</v>
      </c>
      <c r="U13" s="147"/>
      <c r="V13" s="147"/>
      <c r="W13" s="147"/>
      <c r="X13" s="147"/>
      <c r="Y13" s="43">
        <f>求节点($G$37:$G$62,$I$37:$I$62,节奏预期!$AB13)</f>
        <v>4</v>
      </c>
      <c r="Z13" s="147"/>
      <c r="AA13" s="147"/>
      <c r="AB13" s="147"/>
      <c r="AC13" s="147"/>
      <c r="AD13" s="43">
        <f>求节点($G$37:$G$62,$J$37:$J$62,节奏预期!$AB13)*3</f>
        <v>6000</v>
      </c>
      <c r="AE13" s="146"/>
      <c r="AF13" s="146"/>
      <c r="AG13" s="146"/>
      <c r="AH13" s="146"/>
      <c r="AI13" s="43">
        <f>求节点($G$37:$G$62,$K$37:$K$62,节奏预期!$AB13)*3</f>
        <v>3000000</v>
      </c>
      <c r="AJ13" s="146"/>
      <c r="AK13" s="143"/>
      <c r="AL13" s="143"/>
      <c r="AM13" s="143"/>
      <c r="AN13" s="43">
        <f>求节点($G$37:$G$62,$O$37:$O$62,节奏预期!$AB13)</f>
        <v>480</v>
      </c>
      <c r="AO13" s="160"/>
      <c r="AP13" s="159"/>
      <c r="AQ13" s="159"/>
      <c r="AR13" s="159"/>
      <c r="AS13" s="43">
        <f t="shared" si="1"/>
        <v>480</v>
      </c>
      <c r="AT13" s="160"/>
      <c r="AU13" s="159"/>
      <c r="AV13" s="159"/>
      <c r="AW13" s="159"/>
      <c r="AX13" s="43">
        <f>求节点($G$37:$G$62,$P$37:$P$62,节奏预期!$AB13)*3</f>
        <v>8</v>
      </c>
      <c r="BB13" s="25">
        <v>10</v>
      </c>
      <c r="BC13" s="147">
        <v>80</v>
      </c>
      <c r="BD13" s="52">
        <f t="shared" si="2"/>
        <v>8</v>
      </c>
      <c r="BE13" s="52">
        <f t="shared" si="3"/>
        <v>480</v>
      </c>
      <c r="BF13" s="52">
        <f t="shared" si="4"/>
        <v>480</v>
      </c>
      <c r="BG13" s="109">
        <f>(BD13-BD12)*(INDEX([2]非r将兵属性验证!V$7:V$166,$BC13,1)+INDEX([2]非r将兵属性验证!$AP$7:$AP$166,$BC13,1))+BG12</f>
        <v>1358465888.8880079</v>
      </c>
      <c r="BH13" s="109">
        <f>($BE13-$BE12)*INDEX([2]非r将兵属性验证!W$7:W$166,$BC13,1)+BH12</f>
        <v>637871838.63175607</v>
      </c>
      <c r="BI13" s="109">
        <f>($BF13-$BF12)*INDEX([2]非r将兵属性验证!X$7:X$166,$BC13,1)+BI12</f>
        <v>637871838.63175607</v>
      </c>
      <c r="BJ13" s="52">
        <f t="shared" si="5"/>
        <v>2634209566.1515198</v>
      </c>
      <c r="BN13" s="147">
        <v>80</v>
      </c>
      <c r="BO13" s="75">
        <f t="shared" si="6"/>
        <v>36000</v>
      </c>
      <c r="BP13" s="164">
        <f>(BO13-BO12)*INDEX('[1]功能-付费相关'!$DG$6:$DG$165,$BN13,1)+BP12</f>
        <v>96105.033659764915</v>
      </c>
      <c r="BQ13" s="75">
        <f t="shared" si="7"/>
        <v>72</v>
      </c>
      <c r="BR13" s="75">
        <v>0</v>
      </c>
      <c r="BS13" s="75">
        <f t="shared" si="8"/>
        <v>18000000</v>
      </c>
      <c r="BT13" s="75">
        <f>(BS13-BS12)*INDEX('[1]功能-付费相关'!$AQ$6:$AQ$165,$CY13,1)+BT12</f>
        <v>47373.670212765952</v>
      </c>
      <c r="BV13" s="147">
        <v>80</v>
      </c>
      <c r="BW13" s="147">
        <f t="shared" si="9"/>
        <v>96105.033659764915</v>
      </c>
      <c r="BX13" s="147">
        <f t="shared" si="0"/>
        <v>47373.670212765952</v>
      </c>
      <c r="BY13" s="84">
        <f t="shared" si="10"/>
        <v>143478.70387253087</v>
      </c>
      <c r="CD13" s="161">
        <v>8</v>
      </c>
      <c r="CE13" s="161">
        <f t="shared" si="11"/>
        <v>0</v>
      </c>
      <c r="CF13" s="161">
        <f t="shared" si="12"/>
        <v>0</v>
      </c>
      <c r="CG13" s="161">
        <f t="shared" si="13"/>
        <v>0</v>
      </c>
      <c r="CH13" s="161">
        <f t="shared" si="14"/>
        <v>0</v>
      </c>
      <c r="CI13" s="161">
        <f t="shared" si="15"/>
        <v>0</v>
      </c>
    </row>
    <row r="14" spans="1:87" x14ac:dyDescent="0.15">
      <c r="B14" s="46">
        <v>60</v>
      </c>
      <c r="C14" s="46">
        <f t="shared" si="22"/>
        <v>120</v>
      </c>
      <c r="D14" s="46">
        <v>20</v>
      </c>
      <c r="F14" s="169">
        <f t="shared" si="18"/>
        <v>140</v>
      </c>
      <c r="G14" s="143">
        <v>7</v>
      </c>
      <c r="H14" s="156">
        <f t="shared" si="19"/>
        <v>70</v>
      </c>
      <c r="I14" s="146">
        <v>1</v>
      </c>
      <c r="J14" s="168">
        <f t="shared" ref="J14:J32" si="25">J13+200</f>
        <v>1400</v>
      </c>
      <c r="K14" s="146">
        <f t="shared" si="20"/>
        <v>500000</v>
      </c>
      <c r="L14" s="161">
        <f t="shared" ref="L14:L32" si="26">L9*2</f>
        <v>50000</v>
      </c>
      <c r="M14" s="156">
        <f t="shared" si="16"/>
        <v>7</v>
      </c>
      <c r="N14" s="156">
        <f t="shared" si="17"/>
        <v>70</v>
      </c>
      <c r="O14" s="43">
        <f t="shared" si="24"/>
        <v>120</v>
      </c>
      <c r="P14" s="159">
        <f t="shared" si="21"/>
        <v>0.66666666666666663</v>
      </c>
      <c r="S14" s="46">
        <v>12</v>
      </c>
      <c r="T14" s="144">
        <v>90</v>
      </c>
      <c r="U14" s="147"/>
      <c r="V14" s="147"/>
      <c r="W14" s="147"/>
      <c r="X14" s="147"/>
      <c r="Y14" s="43">
        <f>求节点($G$37:$G$62,$I$37:$I$62,节奏预期!$AB14)</f>
        <v>8</v>
      </c>
      <c r="Z14" s="147"/>
      <c r="AA14" s="147"/>
      <c r="AB14" s="147"/>
      <c r="AC14" s="147"/>
      <c r="AD14" s="43">
        <f>求节点($G$37:$G$62,$J$37:$J$62,节奏预期!$AB14)*3</f>
        <v>21600</v>
      </c>
      <c r="AE14" s="146"/>
      <c r="AF14" s="146"/>
      <c r="AG14" s="146"/>
      <c r="AH14" s="146"/>
      <c r="AI14" s="43">
        <f>求节点($G$37:$G$62,$K$37:$K$62,节奏预期!$AB14)*3</f>
        <v>8250000</v>
      </c>
      <c r="AJ14" s="146"/>
      <c r="AK14" s="143"/>
      <c r="AL14" s="143"/>
      <c r="AM14" s="143"/>
      <c r="AN14" s="43">
        <f>求节点($G$37:$G$62,$O$37:$O$62,节奏预期!$AB14)</f>
        <v>960</v>
      </c>
      <c r="AO14" s="160"/>
      <c r="AP14" s="159"/>
      <c r="AQ14" s="159"/>
      <c r="AR14" s="159"/>
      <c r="AS14" s="43">
        <f t="shared" si="1"/>
        <v>960</v>
      </c>
      <c r="AT14" s="160"/>
      <c r="AU14" s="159"/>
      <c r="AV14" s="159"/>
      <c r="AW14" s="159"/>
      <c r="AX14" s="43">
        <f>求节点($G$37:$G$62,$P$37:$P$62,节奏预期!$AB14)*3</f>
        <v>16</v>
      </c>
      <c r="BB14" s="25">
        <v>11</v>
      </c>
      <c r="BC14" s="147">
        <v>90</v>
      </c>
      <c r="BD14" s="52">
        <f t="shared" si="2"/>
        <v>16</v>
      </c>
      <c r="BE14" s="52">
        <f t="shared" si="3"/>
        <v>960</v>
      </c>
      <c r="BF14" s="52">
        <f t="shared" si="4"/>
        <v>960</v>
      </c>
      <c r="BG14" s="109">
        <f>(BD14-BD13)*(INDEX([2]非r将兵属性验证!V$7:V$166,$BC14,1)+INDEX([2]非r将兵属性验证!$AP$7:$AP$166,$BC14,1))+BG13</f>
        <v>5562223907.2977495</v>
      </c>
      <c r="BH14" s="109">
        <f>($BE14-$BE13)*INDEX([2]非r将兵属性验证!W$7:W$166,$BC14,1)+BH13</f>
        <v>2273536838.8906026</v>
      </c>
      <c r="BI14" s="109">
        <f>($BF14-$BF13)*INDEX([2]非r将兵属性验证!X$7:X$166,$BC14,1)+BI13</f>
        <v>2273536838.8906026</v>
      </c>
      <c r="BJ14" s="52">
        <f t="shared" si="5"/>
        <v>10109297585.078955</v>
      </c>
      <c r="BN14" s="147">
        <v>90</v>
      </c>
      <c r="BO14" s="75">
        <f t="shared" si="6"/>
        <v>129600</v>
      </c>
      <c r="BP14" s="164">
        <f>(BO14-BO13)*INDEX('[1]功能-付费相关'!$DG$6:$DG$165,$BN14,1)+BP13</f>
        <v>264644.98284666246</v>
      </c>
      <c r="BQ14" s="75">
        <f t="shared" si="7"/>
        <v>144</v>
      </c>
      <c r="BR14" s="75">
        <v>0</v>
      </c>
      <c r="BS14" s="75">
        <f t="shared" si="8"/>
        <v>49500000</v>
      </c>
      <c r="BT14" s="75">
        <f>(BS14-BS13)*INDEX('[1]功能-付费相关'!$AQ$6:$AQ$165,$CY14,1)+BT13</f>
        <v>127730.81306990881</v>
      </c>
      <c r="BV14" s="147">
        <v>90</v>
      </c>
      <c r="BW14" s="147">
        <f t="shared" si="9"/>
        <v>264644.98284666246</v>
      </c>
      <c r="BX14" s="147">
        <f t="shared" si="0"/>
        <v>127730.81306990881</v>
      </c>
      <c r="BY14" s="84">
        <f t="shared" si="10"/>
        <v>392375.79591657128</v>
      </c>
      <c r="CD14" s="161">
        <v>9</v>
      </c>
      <c r="CE14" s="161">
        <f t="shared" si="11"/>
        <v>0</v>
      </c>
      <c r="CF14" s="161">
        <f t="shared" si="12"/>
        <v>0</v>
      </c>
      <c r="CG14" s="161">
        <f t="shared" si="13"/>
        <v>0</v>
      </c>
      <c r="CH14" s="161">
        <f t="shared" si="14"/>
        <v>0</v>
      </c>
      <c r="CI14" s="161">
        <f t="shared" si="15"/>
        <v>0</v>
      </c>
    </row>
    <row r="15" spans="1:87" x14ac:dyDescent="0.15">
      <c r="B15" s="46">
        <v>70</v>
      </c>
      <c r="C15" s="46">
        <f t="shared" si="22"/>
        <v>140</v>
      </c>
      <c r="D15" s="46">
        <v>50</v>
      </c>
      <c r="F15" s="169">
        <f t="shared" si="18"/>
        <v>160</v>
      </c>
      <c r="G15" s="143">
        <v>8</v>
      </c>
      <c r="H15" s="156">
        <f t="shared" si="19"/>
        <v>80</v>
      </c>
      <c r="I15" s="146">
        <v>1</v>
      </c>
      <c r="J15" s="168">
        <f t="shared" si="25"/>
        <v>1600</v>
      </c>
      <c r="K15" s="146">
        <f t="shared" si="20"/>
        <v>500000</v>
      </c>
      <c r="L15" s="161">
        <f t="shared" si="26"/>
        <v>50000</v>
      </c>
      <c r="M15" s="156">
        <f t="shared" si="16"/>
        <v>8</v>
      </c>
      <c r="N15" s="156">
        <f t="shared" si="17"/>
        <v>80</v>
      </c>
      <c r="O15" s="43">
        <f t="shared" si="24"/>
        <v>120</v>
      </c>
      <c r="P15" s="159">
        <f t="shared" si="21"/>
        <v>0.66666666666666663</v>
      </c>
      <c r="S15" s="46">
        <v>13</v>
      </c>
      <c r="T15" s="144">
        <v>100</v>
      </c>
      <c r="U15" s="147"/>
      <c r="V15" s="147"/>
      <c r="W15" s="147"/>
      <c r="X15" s="147"/>
      <c r="Y15" s="43">
        <f>求节点($G$37:$G$62,$I$37:$I$62,节奏预期!$AB15)</f>
        <v>18</v>
      </c>
      <c r="Z15" s="147"/>
      <c r="AA15" s="147"/>
      <c r="AB15" s="147"/>
      <c r="AC15" s="147"/>
      <c r="AD15" s="43">
        <f>求节点($G$37:$G$62,$J$37:$J$62,节奏预期!$AB15)*3</f>
        <v>63000</v>
      </c>
      <c r="AE15" s="146"/>
      <c r="AF15" s="146"/>
      <c r="AG15" s="146"/>
      <c r="AH15" s="146"/>
      <c r="AI15" s="43">
        <f>求节点($G$37:$G$62,$K$37:$K$62,节奏预期!$AB15)*3</f>
        <v>23250000</v>
      </c>
      <c r="AJ15" s="146"/>
      <c r="AK15" s="143"/>
      <c r="AL15" s="143"/>
      <c r="AM15" s="143"/>
      <c r="AN15" s="43">
        <f>求节点($G$37:$G$62,$O$37:$O$62,节奏预期!$AB15)</f>
        <v>1680</v>
      </c>
      <c r="AO15" s="160"/>
      <c r="AP15" s="159"/>
      <c r="AQ15" s="159"/>
      <c r="AR15" s="159"/>
      <c r="AS15" s="43">
        <f t="shared" si="1"/>
        <v>1680</v>
      </c>
      <c r="AT15" s="160"/>
      <c r="AU15" s="159"/>
      <c r="AV15" s="159"/>
      <c r="AW15" s="159"/>
      <c r="AX15" s="43">
        <f>求节点($G$37:$G$62,$P$37:$P$62,节奏预期!$AB15)*3</f>
        <v>27.999999999999996</v>
      </c>
      <c r="BB15" s="25">
        <v>12</v>
      </c>
      <c r="BC15" s="147">
        <v>100</v>
      </c>
      <c r="BD15" s="52">
        <f t="shared" si="2"/>
        <v>27.999999999999996</v>
      </c>
      <c r="BE15" s="52">
        <f t="shared" si="3"/>
        <v>1680</v>
      </c>
      <c r="BF15" s="52">
        <f t="shared" si="4"/>
        <v>1680</v>
      </c>
      <c r="BG15" s="109">
        <f>(BD15-BD14)*(INDEX([2]非r将兵属性验证!V$7:V$166,$BC15,1)+INDEX([2]非r将兵属性验证!$AP$7:$AP$166,$BC15,1))+BG14</f>
        <v>18103446529.415829</v>
      </c>
      <c r="BH15" s="109">
        <f>($BE15-$BE14)*INDEX([2]非r将兵属性验证!W$7:W$166,$BC15,1)+BH14</f>
        <v>6264291327.6331997</v>
      </c>
      <c r="BI15" s="109">
        <f>($BF15-$BF14)*INDEX([2]非r将兵属性验证!X$7:X$166,$BC15,1)+BI14</f>
        <v>6264291327.6331997</v>
      </c>
      <c r="BJ15" s="52">
        <f t="shared" si="5"/>
        <v>30632029184.682228</v>
      </c>
      <c r="BN15" s="147">
        <v>100</v>
      </c>
      <c r="BO15" s="75">
        <f t="shared" si="6"/>
        <v>378000</v>
      </c>
      <c r="BP15" s="164">
        <f>(BO15-BO14)*INDEX('[1]功能-付费相关'!$DG$6:$DG$165,$BN15,1)+BP14</f>
        <v>597462.63638055418</v>
      </c>
      <c r="BQ15" s="75">
        <f t="shared" si="7"/>
        <v>324</v>
      </c>
      <c r="BR15" s="75">
        <v>0</v>
      </c>
      <c r="BS15" s="75">
        <f t="shared" si="8"/>
        <v>139500000</v>
      </c>
      <c r="BT15" s="75">
        <f>(BS15-BS14)*INDEX('[1]功能-付费相关'!$AQ$6:$AQ$165,$CY15,1)+BT14</f>
        <v>352730.81306990882</v>
      </c>
      <c r="BV15" s="147">
        <v>100</v>
      </c>
      <c r="BW15" s="147">
        <f t="shared" si="9"/>
        <v>597462.63638055418</v>
      </c>
      <c r="BX15" s="147">
        <f t="shared" si="0"/>
        <v>352730.81306990882</v>
      </c>
      <c r="BY15" s="84">
        <f t="shared" si="10"/>
        <v>950193.44945046306</v>
      </c>
      <c r="CD15" s="161">
        <v>10</v>
      </c>
      <c r="CE15" s="161">
        <f t="shared" si="11"/>
        <v>0</v>
      </c>
      <c r="CF15" s="161">
        <f t="shared" si="12"/>
        <v>0</v>
      </c>
      <c r="CG15" s="161">
        <f t="shared" si="13"/>
        <v>0</v>
      </c>
      <c r="CH15" s="161">
        <f t="shared" si="14"/>
        <v>0</v>
      </c>
      <c r="CI15" s="161">
        <f t="shared" si="15"/>
        <v>0</v>
      </c>
    </row>
    <row r="16" spans="1:87" x14ac:dyDescent="0.15">
      <c r="B16" s="46">
        <v>80</v>
      </c>
      <c r="C16" s="46">
        <f t="shared" si="22"/>
        <v>160</v>
      </c>
      <c r="D16" s="46">
        <v>100</v>
      </c>
      <c r="F16" s="169">
        <f t="shared" si="18"/>
        <v>180</v>
      </c>
      <c r="G16" s="143">
        <v>9</v>
      </c>
      <c r="H16" s="156">
        <f t="shared" si="19"/>
        <v>90</v>
      </c>
      <c r="I16" s="146">
        <v>1</v>
      </c>
      <c r="J16" s="168">
        <f t="shared" si="25"/>
        <v>1800</v>
      </c>
      <c r="K16" s="146">
        <f t="shared" si="20"/>
        <v>500000</v>
      </c>
      <c r="L16" s="161">
        <f t="shared" si="26"/>
        <v>50000</v>
      </c>
      <c r="M16" s="156">
        <f t="shared" si="16"/>
        <v>9</v>
      </c>
      <c r="N16" s="156">
        <f t="shared" si="17"/>
        <v>90</v>
      </c>
      <c r="O16" s="43">
        <f t="shared" si="24"/>
        <v>120</v>
      </c>
      <c r="P16" s="159">
        <f t="shared" si="21"/>
        <v>0.66666666666666663</v>
      </c>
      <c r="S16" s="46">
        <v>14</v>
      </c>
      <c r="T16" s="144">
        <v>110</v>
      </c>
      <c r="U16" s="147"/>
      <c r="V16" s="147"/>
      <c r="W16" s="147"/>
      <c r="X16" s="147"/>
      <c r="Y16" s="43">
        <f>求节点($G$37:$G$62,$I$37:$I$62,节奏预期!$AB16)</f>
        <v>30</v>
      </c>
      <c r="Z16" s="147"/>
      <c r="AA16" s="147"/>
      <c r="AB16" s="147"/>
      <c r="AC16" s="147"/>
      <c r="AD16" s="43">
        <f>求节点($G$37:$G$62,$J$37:$J$62,节奏预期!$AB16)*3</f>
        <v>162000</v>
      </c>
      <c r="AE16" s="146"/>
      <c r="AF16" s="146"/>
      <c r="AG16" s="146"/>
      <c r="AH16" s="146"/>
      <c r="AI16" s="43">
        <f>求节点($G$37:$G$62,$K$37:$K$62,节奏预期!$AB16)*3</f>
        <v>56250000</v>
      </c>
      <c r="AJ16" s="146"/>
      <c r="AK16" s="143"/>
      <c r="AL16" s="143"/>
      <c r="AM16" s="143"/>
      <c r="AN16" s="43">
        <f>求节点($G$37:$G$62,$O$37:$O$62,节奏预期!$AB16)</f>
        <v>2400</v>
      </c>
      <c r="AO16" s="160"/>
      <c r="AP16" s="159"/>
      <c r="AQ16" s="159"/>
      <c r="AR16" s="159"/>
      <c r="AS16" s="43">
        <f t="shared" si="1"/>
        <v>2400</v>
      </c>
      <c r="AT16" s="160"/>
      <c r="AU16" s="159"/>
      <c r="AV16" s="159"/>
      <c r="AW16" s="159"/>
      <c r="AX16" s="43">
        <f>求节点($G$37:$G$62,$P$37:$P$62,节奏预期!$AB16)*3</f>
        <v>39.999999999999986</v>
      </c>
      <c r="BB16" s="25">
        <v>13</v>
      </c>
      <c r="BC16" s="147">
        <v>110</v>
      </c>
      <c r="BD16" s="52">
        <f t="shared" si="2"/>
        <v>39.999999999999986</v>
      </c>
      <c r="BE16" s="52">
        <f t="shared" si="3"/>
        <v>2400</v>
      </c>
      <c r="BF16" s="52">
        <f t="shared" si="4"/>
        <v>2400</v>
      </c>
      <c r="BG16" s="109">
        <f>(BD16-BD15)*(INDEX([2]非r将兵属性验证!V$7:V$166,$BC16,1)+INDEX([2]非r将兵属性验证!$AP$7:$AP$166,$BC16,1))+BG15</f>
        <v>40311397430.7957</v>
      </c>
      <c r="BH16" s="109">
        <f>($BE16-$BE15)*INDEX([2]非r将兵属性验证!W$7:W$166,$BC16,1)+BH15</f>
        <v>12131309746.527634</v>
      </c>
      <c r="BI16" s="109">
        <f>($BF16-$BF15)*INDEX([2]非r将兵属性验证!X$7:X$166,$BC16,1)+BI15</f>
        <v>12131309746.527634</v>
      </c>
      <c r="BJ16" s="52">
        <f t="shared" si="5"/>
        <v>64574016923.850967</v>
      </c>
      <c r="BN16" s="147">
        <v>110</v>
      </c>
      <c r="BO16" s="75">
        <f t="shared" si="6"/>
        <v>972000</v>
      </c>
      <c r="BP16" s="164">
        <f>(BO16-BO15)*INDEX('[1]功能-付费相关'!$DG$6:$DG$165,$BN16,1)+BP15</f>
        <v>1189663.3969050171</v>
      </c>
      <c r="BQ16" s="75">
        <f t="shared" si="7"/>
        <v>540</v>
      </c>
      <c r="BR16" s="75">
        <v>0</v>
      </c>
      <c r="BS16" s="75">
        <f t="shared" si="8"/>
        <v>337500000</v>
      </c>
      <c r="BT16" s="75">
        <f>(BS16-BS15)*INDEX('[1]功能-付费相关'!$AQ$6:$AQ$165,$CY16,1)+BT15</f>
        <v>838024.93071696768</v>
      </c>
      <c r="BV16" s="147">
        <v>110</v>
      </c>
      <c r="BW16" s="147">
        <f t="shared" si="9"/>
        <v>1189663.3969050171</v>
      </c>
      <c r="BX16" s="147">
        <f t="shared" si="0"/>
        <v>838024.93071696768</v>
      </c>
      <c r="BY16" s="84">
        <f t="shared" si="10"/>
        <v>2027688.3276219848</v>
      </c>
      <c r="CD16" s="161">
        <v>11</v>
      </c>
      <c r="CE16" s="161">
        <f t="shared" si="11"/>
        <v>0</v>
      </c>
      <c r="CF16" s="161">
        <f t="shared" si="12"/>
        <v>0</v>
      </c>
      <c r="CG16" s="161">
        <f t="shared" si="13"/>
        <v>0</v>
      </c>
      <c r="CH16" s="161">
        <f t="shared" si="14"/>
        <v>0</v>
      </c>
      <c r="CI16" s="161">
        <f t="shared" si="15"/>
        <v>0</v>
      </c>
    </row>
    <row r="17" spans="2:87" x14ac:dyDescent="0.15">
      <c r="B17" s="46">
        <v>90</v>
      </c>
      <c r="C17" s="46">
        <f t="shared" si="22"/>
        <v>180</v>
      </c>
      <c r="D17" s="46">
        <v>150</v>
      </c>
      <c r="F17" s="169">
        <f t="shared" si="18"/>
        <v>200</v>
      </c>
      <c r="G17" s="143">
        <v>10</v>
      </c>
      <c r="H17" s="156">
        <f t="shared" si="19"/>
        <v>100</v>
      </c>
      <c r="I17" s="146">
        <v>1</v>
      </c>
      <c r="J17" s="168">
        <f t="shared" si="25"/>
        <v>2000</v>
      </c>
      <c r="K17" s="146">
        <f t="shared" si="20"/>
        <v>500000</v>
      </c>
      <c r="L17" s="161">
        <f t="shared" si="26"/>
        <v>50000</v>
      </c>
      <c r="M17" s="156">
        <f t="shared" si="16"/>
        <v>10</v>
      </c>
      <c r="N17" s="156">
        <f t="shared" si="17"/>
        <v>100</v>
      </c>
      <c r="O17" s="43">
        <f t="shared" si="24"/>
        <v>120</v>
      </c>
      <c r="P17" s="159">
        <f t="shared" si="21"/>
        <v>0.66666666666666663</v>
      </c>
      <c r="S17" s="46">
        <v>15</v>
      </c>
      <c r="T17" s="144">
        <v>120</v>
      </c>
      <c r="U17" s="147"/>
      <c r="V17" s="147"/>
      <c r="W17" s="147"/>
      <c r="X17" s="147"/>
      <c r="Y17" s="43">
        <f>求节点($G$37:$G$62,$I$37:$I$62,节奏预期!$AB17)</f>
        <v>45</v>
      </c>
      <c r="Z17" s="147"/>
      <c r="AA17" s="147"/>
      <c r="AB17" s="147"/>
      <c r="AC17" s="147"/>
      <c r="AD17" s="43">
        <f>求节点($G$37:$G$62,$J$37:$J$62,节奏预期!$AB17)*3</f>
        <v>372000</v>
      </c>
      <c r="AE17" s="146"/>
      <c r="AF17" s="146"/>
      <c r="AG17" s="146"/>
      <c r="AH17" s="146"/>
      <c r="AI17" s="43">
        <f>求节点($G$37:$G$62,$K$37:$K$62,节奏预期!$AB17)*3</f>
        <v>116250000</v>
      </c>
      <c r="AJ17" s="146"/>
      <c r="AK17" s="143"/>
      <c r="AL17" s="143"/>
      <c r="AM17" s="143"/>
      <c r="AN17" s="43">
        <f>求节点($G$37:$G$62,$O$37:$O$62,节奏预期!$AB17)</f>
        <v>3000</v>
      </c>
      <c r="AO17" s="160"/>
      <c r="AP17" s="159"/>
      <c r="AQ17" s="159"/>
      <c r="AR17" s="159"/>
      <c r="AS17" s="43">
        <f t="shared" si="1"/>
        <v>3000</v>
      </c>
      <c r="AT17" s="160"/>
      <c r="AU17" s="159"/>
      <c r="AV17" s="159"/>
      <c r="AW17" s="159"/>
      <c r="AX17" s="43">
        <f>求节点($G$37:$G$62,$P$37:$P$62,节奏预期!$AB17)*3</f>
        <v>49.999999999999986</v>
      </c>
      <c r="BB17" s="25">
        <v>14</v>
      </c>
      <c r="BC17" s="147">
        <v>120</v>
      </c>
      <c r="BD17" s="52">
        <f t="shared" si="2"/>
        <v>49.999999999999986</v>
      </c>
      <c r="BE17" s="52">
        <f t="shared" si="3"/>
        <v>3000</v>
      </c>
      <c r="BF17" s="52">
        <f t="shared" si="4"/>
        <v>3000</v>
      </c>
      <c r="BG17" s="109">
        <f>(BD17-BD16)*(INDEX([2]非r将兵属性验证!V$7:V$166,$BC17,1)+INDEX([2]非r将兵属性验证!$AP$7:$AP$166,$BC17,1))+BG16</f>
        <v>72354815126.381714</v>
      </c>
      <c r="BH17" s="109">
        <f>($BE17-$BE16)*INDEX([2]非r将兵属性验证!W$7:W$166,$BC17,1)+BH16</f>
        <v>19054197748.178028</v>
      </c>
      <c r="BI17" s="109">
        <f>($BF17-$BF16)*INDEX([2]非r将兵属性验证!X$7:X$166,$BC17,1)+BI16</f>
        <v>19054197748.178028</v>
      </c>
      <c r="BJ17" s="52">
        <f t="shared" si="5"/>
        <v>110463210622.73776</v>
      </c>
      <c r="BN17" s="147">
        <v>120</v>
      </c>
      <c r="BO17" s="75">
        <f t="shared" si="6"/>
        <v>2232000</v>
      </c>
      <c r="BP17" s="164">
        <f>(BO17-BO16)*INDEX('[1]功能-付费相关'!$DG$6:$DG$165,$BN17,1)+BP16</f>
        <v>2124381.8442153987</v>
      </c>
      <c r="BQ17" s="75">
        <f t="shared" si="7"/>
        <v>810</v>
      </c>
      <c r="BR17" s="75">
        <v>0</v>
      </c>
      <c r="BS17" s="75">
        <f t="shared" si="8"/>
        <v>697500000</v>
      </c>
      <c r="BT17" s="75">
        <f>(BS17-BS16)*INDEX('[1]功能-付费相关'!$AQ$6:$AQ$165,$CY17,1)+BT16</f>
        <v>1703409.5461015832</v>
      </c>
      <c r="BV17" s="147">
        <v>120</v>
      </c>
      <c r="BW17" s="147">
        <f t="shared" si="9"/>
        <v>2124381.8442153987</v>
      </c>
      <c r="BX17" s="147">
        <f t="shared" si="0"/>
        <v>1703409.5461015832</v>
      </c>
      <c r="BY17" s="84">
        <f t="shared" si="10"/>
        <v>3827791.3903169818</v>
      </c>
      <c r="CD17" s="161">
        <v>12</v>
      </c>
      <c r="CE17" s="161">
        <f t="shared" si="11"/>
        <v>0</v>
      </c>
      <c r="CF17" s="161">
        <f t="shared" si="12"/>
        <v>0</v>
      </c>
      <c r="CG17" s="161">
        <f t="shared" si="13"/>
        <v>0</v>
      </c>
      <c r="CH17" s="161">
        <f t="shared" si="14"/>
        <v>0</v>
      </c>
      <c r="CI17" s="161">
        <f t="shared" si="15"/>
        <v>0</v>
      </c>
    </row>
    <row r="18" spans="2:87" x14ac:dyDescent="0.15">
      <c r="B18" s="46">
        <v>100</v>
      </c>
      <c r="C18" s="46">
        <f t="shared" si="22"/>
        <v>200</v>
      </c>
      <c r="D18" s="46">
        <v>200</v>
      </c>
      <c r="F18" s="169">
        <f t="shared" si="18"/>
        <v>220</v>
      </c>
      <c r="G18" s="143">
        <v>11</v>
      </c>
      <c r="H18" s="156">
        <f t="shared" si="19"/>
        <v>110</v>
      </c>
      <c r="I18" s="146">
        <v>2</v>
      </c>
      <c r="J18" s="168">
        <f t="shared" si="25"/>
        <v>2200</v>
      </c>
      <c r="K18" s="146">
        <f t="shared" si="20"/>
        <v>1000000</v>
      </c>
      <c r="L18" s="161">
        <f t="shared" si="26"/>
        <v>100000</v>
      </c>
      <c r="M18" s="156">
        <f t="shared" si="16"/>
        <v>11</v>
      </c>
      <c r="N18" s="156">
        <f t="shared" si="17"/>
        <v>110</v>
      </c>
      <c r="O18" s="43">
        <f t="shared" si="24"/>
        <v>120</v>
      </c>
      <c r="P18" s="159">
        <f t="shared" si="21"/>
        <v>0.66666666666666663</v>
      </c>
      <c r="S18" s="46">
        <v>16</v>
      </c>
      <c r="T18" s="144">
        <v>130</v>
      </c>
      <c r="U18" s="147"/>
      <c r="V18" s="147"/>
      <c r="W18" s="147"/>
      <c r="X18" s="147"/>
      <c r="Y18" s="43">
        <f>求节点($G$37:$G$62,$I$37:$I$62,节奏预期!$AB18)</f>
        <v>45</v>
      </c>
      <c r="Z18" s="147"/>
      <c r="AA18" s="147"/>
      <c r="AB18" s="147"/>
      <c r="AC18" s="147"/>
      <c r="AD18" s="43">
        <f>求节点($G$37:$G$62,$J$37:$J$62,节奏预期!$AB18)*3</f>
        <v>372000</v>
      </c>
      <c r="AE18" s="146"/>
      <c r="AF18" s="146"/>
      <c r="AG18" s="146"/>
      <c r="AH18" s="146"/>
      <c r="AI18" s="43">
        <f>求节点($G$37:$G$62,$K$37:$K$62,节奏预期!$AB18)*3</f>
        <v>116250000</v>
      </c>
      <c r="AJ18" s="146"/>
      <c r="AK18" s="143"/>
      <c r="AL18" s="143"/>
      <c r="AM18" s="143"/>
      <c r="AN18" s="43">
        <f>求节点($G$37:$G$62,$O$37:$O$62,节奏预期!$AB18)</f>
        <v>3000</v>
      </c>
      <c r="AO18" s="160"/>
      <c r="AP18" s="159"/>
      <c r="AQ18" s="159"/>
      <c r="AR18" s="159"/>
      <c r="AS18" s="43">
        <f t="shared" si="1"/>
        <v>3000</v>
      </c>
      <c r="AT18" s="160"/>
      <c r="AU18" s="159"/>
      <c r="AV18" s="159"/>
      <c r="AW18" s="159"/>
      <c r="AX18" s="43">
        <f>求节点($G$37:$G$62,$P$37:$P$62,节奏预期!$AB18)*3</f>
        <v>49.999999999999986</v>
      </c>
      <c r="BB18" s="25">
        <v>15</v>
      </c>
      <c r="BC18" s="147">
        <v>130</v>
      </c>
      <c r="BD18" s="52">
        <f t="shared" si="2"/>
        <v>49.999999999999986</v>
      </c>
      <c r="BE18" s="52">
        <f t="shared" si="3"/>
        <v>3000</v>
      </c>
      <c r="BF18" s="52">
        <f t="shared" si="4"/>
        <v>3000</v>
      </c>
      <c r="BG18" s="109">
        <f>(BD18-BD17)*(INDEX([2]非r将兵属性验证!V$7:V$166,$BC18,1)+INDEX([2]非r将兵属性验证!$AP$7:$AP$166,$BC18,1))+BG17</f>
        <v>72354815126.381714</v>
      </c>
      <c r="BH18" s="109">
        <f>($BE18-$BE17)*INDEX([2]非r将兵属性验证!W$7:W$166,$BC18,1)+BH17</f>
        <v>19054197748.178028</v>
      </c>
      <c r="BI18" s="109">
        <f>($BF18-$BF17)*INDEX([2]非r将兵属性验证!X$7:X$166,$BC18,1)+BI17</f>
        <v>19054197748.178028</v>
      </c>
      <c r="BJ18" s="52">
        <f t="shared" si="5"/>
        <v>110463210622.73776</v>
      </c>
      <c r="BN18" s="147">
        <v>130</v>
      </c>
      <c r="BO18" s="75">
        <f t="shared" si="6"/>
        <v>2232000</v>
      </c>
      <c r="BP18" s="164">
        <f>(BO18-BO17)*INDEX('[1]功能-付费相关'!$DG$6:$DG$165,$BN18,1)+BP17</f>
        <v>2124381.8442153987</v>
      </c>
      <c r="BQ18" s="75">
        <f t="shared" si="7"/>
        <v>810</v>
      </c>
      <c r="BR18" s="75">
        <v>0</v>
      </c>
      <c r="BS18" s="75">
        <f t="shared" si="8"/>
        <v>697500000</v>
      </c>
      <c r="BT18" s="75">
        <f>(BS18-BS17)*INDEX('[1]功能-付费相关'!$AQ$6:$AQ$165,$CY18,1)+BT17</f>
        <v>1703409.5461015832</v>
      </c>
      <c r="BV18" s="147">
        <v>130</v>
      </c>
      <c r="BW18" s="147">
        <f t="shared" si="9"/>
        <v>2124381.8442153987</v>
      </c>
      <c r="BX18" s="147">
        <f t="shared" si="0"/>
        <v>1703409.5461015832</v>
      </c>
      <c r="BY18" s="84">
        <f t="shared" si="10"/>
        <v>3827791.3903169818</v>
      </c>
      <c r="CD18" s="161">
        <v>13</v>
      </c>
      <c r="CE18" s="161">
        <f t="shared" si="11"/>
        <v>0</v>
      </c>
      <c r="CF18" s="161">
        <f t="shared" si="12"/>
        <v>0</v>
      </c>
      <c r="CG18" s="161">
        <f t="shared" si="13"/>
        <v>0</v>
      </c>
      <c r="CH18" s="161">
        <f t="shared" si="14"/>
        <v>0</v>
      </c>
      <c r="CI18" s="161">
        <f t="shared" si="15"/>
        <v>0</v>
      </c>
    </row>
    <row r="19" spans="2:87" x14ac:dyDescent="0.15">
      <c r="B19" s="46">
        <v>110</v>
      </c>
      <c r="C19" s="46">
        <f t="shared" si="22"/>
        <v>220</v>
      </c>
      <c r="D19" s="46">
        <v>250</v>
      </c>
      <c r="F19" s="169">
        <f t="shared" si="18"/>
        <v>240</v>
      </c>
      <c r="G19" s="143">
        <v>12</v>
      </c>
      <c r="H19" s="156">
        <f t="shared" si="19"/>
        <v>120</v>
      </c>
      <c r="I19" s="146">
        <v>2</v>
      </c>
      <c r="J19" s="168">
        <f t="shared" si="25"/>
        <v>2400</v>
      </c>
      <c r="K19" s="146">
        <f t="shared" si="20"/>
        <v>1000000</v>
      </c>
      <c r="L19" s="161">
        <f t="shared" si="26"/>
        <v>100000</v>
      </c>
      <c r="M19" s="156">
        <f t="shared" si="16"/>
        <v>12</v>
      </c>
      <c r="N19" s="156">
        <f t="shared" si="17"/>
        <v>120</v>
      </c>
      <c r="O19" s="43">
        <f t="shared" si="24"/>
        <v>120</v>
      </c>
      <c r="P19" s="159">
        <f t="shared" si="21"/>
        <v>0.66666666666666663</v>
      </c>
      <c r="S19" s="46">
        <v>17</v>
      </c>
      <c r="T19" s="144">
        <v>140</v>
      </c>
      <c r="U19" s="147"/>
      <c r="V19" s="147"/>
      <c r="W19" s="147"/>
      <c r="X19" s="147"/>
      <c r="Y19" s="43">
        <f>求节点($G$37:$G$62,$I$37:$I$62,节奏预期!$AB19)</f>
        <v>45</v>
      </c>
      <c r="Z19" s="147"/>
      <c r="AA19" s="147"/>
      <c r="AB19" s="147"/>
      <c r="AC19" s="147"/>
      <c r="AD19" s="43">
        <f>求节点($G$37:$G$62,$J$37:$J$62,节奏预期!$AB19)*3</f>
        <v>372000</v>
      </c>
      <c r="AE19" s="146"/>
      <c r="AF19" s="146"/>
      <c r="AG19" s="146"/>
      <c r="AH19" s="146"/>
      <c r="AI19" s="43">
        <f>求节点($G$37:$G$62,$K$37:$K$62,节奏预期!$AB19)*3</f>
        <v>116250000</v>
      </c>
      <c r="AJ19" s="146"/>
      <c r="AK19" s="143"/>
      <c r="AL19" s="143"/>
      <c r="AM19" s="143"/>
      <c r="AN19" s="43">
        <f>求节点($G$37:$G$62,$O$37:$O$62,节奏预期!$AB19)</f>
        <v>3000</v>
      </c>
      <c r="AO19" s="160"/>
      <c r="AP19" s="159"/>
      <c r="AQ19" s="159"/>
      <c r="AR19" s="159"/>
      <c r="AS19" s="43">
        <f t="shared" si="1"/>
        <v>3000</v>
      </c>
      <c r="AT19" s="160"/>
      <c r="AU19" s="159"/>
      <c r="AV19" s="159"/>
      <c r="AW19" s="159"/>
      <c r="AX19" s="43">
        <f>求节点($G$37:$G$62,$P$37:$P$62,节奏预期!$AB19)*3</f>
        <v>49.999999999999986</v>
      </c>
      <c r="BB19" s="25">
        <v>16</v>
      </c>
      <c r="BC19" s="147">
        <v>140</v>
      </c>
      <c r="BD19" s="52">
        <f t="shared" si="2"/>
        <v>49.999999999999986</v>
      </c>
      <c r="BE19" s="52">
        <f t="shared" si="3"/>
        <v>3000</v>
      </c>
      <c r="BF19" s="52">
        <f t="shared" si="4"/>
        <v>3000</v>
      </c>
      <c r="BG19" s="109">
        <f>(BD19-BD18)*(INDEX([2]非r将兵属性验证!V$7:V$166,$BC19,1)+INDEX([2]非r将兵属性验证!$AP$7:$AP$166,$BC19,1))+BG18</f>
        <v>72354815126.381714</v>
      </c>
      <c r="BH19" s="109">
        <f>($BE19-$BE18)*INDEX([2]非r将兵属性验证!W$7:W$166,$BC19,1)+BH18</f>
        <v>19054197748.178028</v>
      </c>
      <c r="BI19" s="109">
        <f>($BF19-$BF18)*INDEX([2]非r将兵属性验证!X$7:X$166,$BC19,1)+BI18</f>
        <v>19054197748.178028</v>
      </c>
      <c r="BJ19" s="52">
        <f t="shared" si="5"/>
        <v>110463210622.73776</v>
      </c>
      <c r="BN19" s="147">
        <v>140</v>
      </c>
      <c r="BO19" s="75">
        <f t="shared" si="6"/>
        <v>2232000</v>
      </c>
      <c r="BP19" s="164">
        <f>(BO19-BO18)*INDEX('[1]功能-付费相关'!$DG$6:$DG$165,$BN19,1)+BP18</f>
        <v>2124381.8442153987</v>
      </c>
      <c r="BQ19" s="75">
        <f t="shared" si="7"/>
        <v>810</v>
      </c>
      <c r="BR19" s="75">
        <v>0</v>
      </c>
      <c r="BS19" s="75">
        <f t="shared" si="8"/>
        <v>697500000</v>
      </c>
      <c r="BT19" s="75">
        <f>(BS19-BS18)*INDEX('[1]功能-付费相关'!$AQ$6:$AQ$165,$CY19,1)+BT18</f>
        <v>1703409.5461015832</v>
      </c>
      <c r="BV19" s="147">
        <v>140</v>
      </c>
      <c r="BW19" s="147">
        <f t="shared" si="9"/>
        <v>2124381.8442153987</v>
      </c>
      <c r="BX19" s="147">
        <f t="shared" si="0"/>
        <v>1703409.5461015832</v>
      </c>
      <c r="BY19" s="84">
        <f t="shared" si="10"/>
        <v>3827791.3903169818</v>
      </c>
      <c r="CD19" s="161">
        <v>14</v>
      </c>
      <c r="CE19" s="161">
        <f t="shared" si="11"/>
        <v>0</v>
      </c>
      <c r="CF19" s="161">
        <f t="shared" si="12"/>
        <v>0</v>
      </c>
      <c r="CG19" s="161">
        <f t="shared" si="13"/>
        <v>0</v>
      </c>
      <c r="CH19" s="161">
        <f t="shared" si="14"/>
        <v>0</v>
      </c>
      <c r="CI19" s="161">
        <f t="shared" si="15"/>
        <v>0</v>
      </c>
    </row>
    <row r="20" spans="2:87" x14ac:dyDescent="0.15">
      <c r="B20" s="46">
        <v>120</v>
      </c>
      <c r="C20" s="46">
        <f t="shared" si="22"/>
        <v>240</v>
      </c>
      <c r="D20" s="46">
        <v>300</v>
      </c>
      <c r="F20" s="169">
        <f t="shared" si="18"/>
        <v>260</v>
      </c>
      <c r="G20" s="143">
        <v>13</v>
      </c>
      <c r="H20" s="156">
        <f t="shared" si="19"/>
        <v>130</v>
      </c>
      <c r="I20" s="146">
        <v>2</v>
      </c>
      <c r="J20" s="168">
        <f t="shared" si="25"/>
        <v>2600</v>
      </c>
      <c r="K20" s="146">
        <f t="shared" si="20"/>
        <v>1000000</v>
      </c>
      <c r="L20" s="161">
        <f t="shared" si="26"/>
        <v>100000</v>
      </c>
      <c r="M20" s="156">
        <f t="shared" si="16"/>
        <v>13</v>
      </c>
      <c r="N20" s="156">
        <f t="shared" si="17"/>
        <v>130</v>
      </c>
      <c r="O20" s="43">
        <f t="shared" si="24"/>
        <v>120</v>
      </c>
      <c r="P20" s="159">
        <f t="shared" si="21"/>
        <v>0.66666666666666663</v>
      </c>
      <c r="S20" s="46">
        <v>18</v>
      </c>
      <c r="T20" s="144">
        <v>150</v>
      </c>
      <c r="U20" s="147"/>
      <c r="V20" s="147"/>
      <c r="W20" s="147"/>
      <c r="X20" s="147"/>
      <c r="Y20" s="43">
        <f>求节点($G$37:$G$62,$I$37:$I$62,节奏预期!$AB20)</f>
        <v>45</v>
      </c>
      <c r="Z20" s="147"/>
      <c r="AA20" s="147"/>
      <c r="AB20" s="147"/>
      <c r="AC20" s="147"/>
      <c r="AD20" s="43">
        <f>求节点($G$37:$G$62,$J$37:$J$62,节奏预期!$AB20)*3</f>
        <v>372000</v>
      </c>
      <c r="AE20" s="146"/>
      <c r="AF20" s="146"/>
      <c r="AG20" s="146"/>
      <c r="AH20" s="146"/>
      <c r="AI20" s="43">
        <f>求节点($G$37:$G$62,$K$37:$K$62,节奏预期!$AB20)*3</f>
        <v>116250000</v>
      </c>
      <c r="AJ20" s="146"/>
      <c r="AK20" s="143"/>
      <c r="AL20" s="143"/>
      <c r="AM20" s="143"/>
      <c r="AN20" s="43">
        <f>求节点($G$37:$G$62,$O$37:$O$62,节奏预期!$AB20)</f>
        <v>3000</v>
      </c>
      <c r="AO20" s="160"/>
      <c r="AP20" s="159"/>
      <c r="AQ20" s="159"/>
      <c r="AR20" s="159"/>
      <c r="AS20" s="43">
        <f t="shared" si="1"/>
        <v>3000</v>
      </c>
      <c r="AT20" s="160"/>
      <c r="AU20" s="159"/>
      <c r="AV20" s="159"/>
      <c r="AW20" s="159"/>
      <c r="AX20" s="43">
        <f>求节点($G$37:$G$62,$P$37:$P$62,节奏预期!$AB20)*3</f>
        <v>49.999999999999986</v>
      </c>
      <c r="BB20" s="25">
        <v>17</v>
      </c>
      <c r="BC20" s="147">
        <v>150</v>
      </c>
      <c r="BD20" s="52">
        <f t="shared" si="2"/>
        <v>49.999999999999986</v>
      </c>
      <c r="BE20" s="52">
        <f t="shared" si="3"/>
        <v>3000</v>
      </c>
      <c r="BF20" s="52">
        <f t="shared" si="4"/>
        <v>3000</v>
      </c>
      <c r="BG20" s="109">
        <f>(BD20-BD19)*(INDEX([2]非r将兵属性验证!V$7:V$166,$BC20,1)+INDEX([2]非r将兵属性验证!$AP$7:$AP$166,$BC20,1))+BG19</f>
        <v>72354815126.381714</v>
      </c>
      <c r="BH20" s="109">
        <f>($BE20-$BE19)*INDEX([2]非r将兵属性验证!W$7:W$166,$BC20,1)+BH19</f>
        <v>19054197748.178028</v>
      </c>
      <c r="BI20" s="109">
        <f>($BF20-$BF19)*INDEX([2]非r将兵属性验证!X$7:X$166,$BC20,1)+BI19</f>
        <v>19054197748.178028</v>
      </c>
      <c r="BJ20" s="52">
        <f t="shared" si="5"/>
        <v>110463210622.73776</v>
      </c>
      <c r="BN20" s="147">
        <v>150</v>
      </c>
      <c r="BO20" s="75">
        <f t="shared" si="6"/>
        <v>2232000</v>
      </c>
      <c r="BP20" s="164">
        <f>(BO20-BO19)*INDEX('[1]功能-付费相关'!$DG$6:$DG$165,$BN20,1)+BP19</f>
        <v>2124381.8442153987</v>
      </c>
      <c r="BQ20" s="75">
        <f t="shared" si="7"/>
        <v>810</v>
      </c>
      <c r="BR20" s="75">
        <v>0</v>
      </c>
      <c r="BS20" s="75">
        <f t="shared" si="8"/>
        <v>697500000</v>
      </c>
      <c r="BT20" s="75">
        <f>(BS20-BS19)*INDEX('[1]功能-付费相关'!$AQ$6:$AQ$165,$CY20,1)+BT19</f>
        <v>1703409.5461015832</v>
      </c>
      <c r="BV20" s="147">
        <v>150</v>
      </c>
      <c r="BW20" s="147">
        <f t="shared" si="9"/>
        <v>2124381.8442153987</v>
      </c>
      <c r="BX20" s="147">
        <f t="shared" si="0"/>
        <v>1703409.5461015832</v>
      </c>
      <c r="BY20" s="84">
        <f t="shared" si="10"/>
        <v>3827791.3903169818</v>
      </c>
      <c r="CD20" s="161">
        <v>15</v>
      </c>
      <c r="CE20" s="161">
        <f t="shared" si="11"/>
        <v>0</v>
      </c>
      <c r="CF20" s="161">
        <f t="shared" si="12"/>
        <v>0</v>
      </c>
      <c r="CG20" s="161">
        <f t="shared" si="13"/>
        <v>0</v>
      </c>
      <c r="CH20" s="161">
        <f t="shared" si="14"/>
        <v>0</v>
      </c>
      <c r="CI20" s="161">
        <f t="shared" si="15"/>
        <v>0</v>
      </c>
    </row>
    <row r="21" spans="2:87" x14ac:dyDescent="0.15">
      <c r="B21" s="46">
        <v>130</v>
      </c>
      <c r="C21" s="46">
        <f t="shared" si="22"/>
        <v>260</v>
      </c>
      <c r="D21" s="46">
        <v>350</v>
      </c>
      <c r="F21" s="169">
        <f t="shared" si="18"/>
        <v>280</v>
      </c>
      <c r="G21" s="143">
        <v>14</v>
      </c>
      <c r="H21" s="156">
        <f t="shared" si="19"/>
        <v>140</v>
      </c>
      <c r="I21" s="146">
        <v>2</v>
      </c>
      <c r="J21" s="168">
        <f t="shared" si="25"/>
        <v>2800</v>
      </c>
      <c r="K21" s="146">
        <f t="shared" si="20"/>
        <v>1000000</v>
      </c>
      <c r="L21" s="161">
        <f t="shared" si="26"/>
        <v>100000</v>
      </c>
      <c r="M21" s="156">
        <f t="shared" si="16"/>
        <v>14</v>
      </c>
      <c r="N21" s="156">
        <f t="shared" si="17"/>
        <v>140</v>
      </c>
      <c r="O21" s="43">
        <f t="shared" si="24"/>
        <v>120</v>
      </c>
      <c r="P21" s="159">
        <f t="shared" si="21"/>
        <v>0.66666666666666663</v>
      </c>
      <c r="S21" s="46">
        <v>19</v>
      </c>
      <c r="T21" s="144">
        <v>160</v>
      </c>
      <c r="U21" s="147"/>
      <c r="V21" s="147"/>
      <c r="W21" s="147"/>
      <c r="X21" s="147"/>
      <c r="Y21" s="43">
        <f>求节点($G$37:$G$62,$I$37:$I$62,节奏预期!$AB21)</f>
        <v>45</v>
      </c>
      <c r="Z21" s="147"/>
      <c r="AA21" s="147"/>
      <c r="AB21" s="147"/>
      <c r="AC21" s="147"/>
      <c r="AD21" s="43">
        <f>求节点($G$37:$G$62,$J$37:$J$62,节奏预期!$AB21)*3</f>
        <v>372000</v>
      </c>
      <c r="AE21" s="146"/>
      <c r="AF21" s="146"/>
      <c r="AG21" s="146"/>
      <c r="AH21" s="146"/>
      <c r="AI21" s="43">
        <f>求节点($G$37:$G$62,$K$37:$K$62,节奏预期!$AB21)*3</f>
        <v>116250000</v>
      </c>
      <c r="AJ21" s="146"/>
      <c r="AK21" s="143"/>
      <c r="AL21" s="143"/>
      <c r="AM21" s="143"/>
      <c r="AN21" s="43">
        <f>求节点($G$37:$G$62,$O$37:$O$62,节奏预期!$AB21)</f>
        <v>3000</v>
      </c>
      <c r="AO21" s="160"/>
      <c r="AP21" s="159"/>
      <c r="AQ21" s="159"/>
      <c r="AR21" s="159"/>
      <c r="AS21" s="43">
        <f t="shared" si="1"/>
        <v>3000</v>
      </c>
      <c r="AT21" s="160"/>
      <c r="AU21" s="159"/>
      <c r="AV21" s="159"/>
      <c r="AW21" s="159"/>
      <c r="AX21" s="43">
        <f>求节点($G$37:$G$62,$P$37:$P$62,节奏预期!$AB21)*3</f>
        <v>49.999999999999986</v>
      </c>
      <c r="BB21" s="25">
        <v>18</v>
      </c>
      <c r="BC21" s="147">
        <v>160</v>
      </c>
      <c r="BD21" s="52">
        <f t="shared" si="2"/>
        <v>49.999999999999986</v>
      </c>
      <c r="BE21" s="52">
        <f t="shared" si="3"/>
        <v>3000</v>
      </c>
      <c r="BF21" s="52">
        <f t="shared" si="4"/>
        <v>3000</v>
      </c>
      <c r="BG21" s="109">
        <f>(BD21-BD20)*(INDEX([2]非r将兵属性验证!V$7:V$166,$BC21,1)+INDEX([2]非r将兵属性验证!$AP$7:$AP$166,$BC21,1))+BG20</f>
        <v>72354815126.381714</v>
      </c>
      <c r="BH21" s="109">
        <f>($BE21-$BE20)*INDEX([2]非r将兵属性验证!W$7:W$166,$BC21,1)+BH20</f>
        <v>19054197748.178028</v>
      </c>
      <c r="BI21" s="109">
        <f>($BF21-$BF20)*INDEX([2]非r将兵属性验证!X$7:X$166,$BC21,1)+BI20</f>
        <v>19054197748.178028</v>
      </c>
      <c r="BJ21" s="52">
        <f t="shared" si="5"/>
        <v>110463210622.73776</v>
      </c>
      <c r="BN21" s="147">
        <v>160</v>
      </c>
      <c r="BO21" s="75">
        <f t="shared" si="6"/>
        <v>2232000</v>
      </c>
      <c r="BP21" s="164">
        <f>(BO21-BO20)*INDEX('[1]功能-付费相关'!$DG$6:$DG$165,$BN21,1)+BP20</f>
        <v>2124381.8442153987</v>
      </c>
      <c r="BQ21" s="75">
        <f t="shared" si="7"/>
        <v>810</v>
      </c>
      <c r="BR21" s="75">
        <v>0</v>
      </c>
      <c r="BS21" s="75">
        <f t="shared" si="8"/>
        <v>697500000</v>
      </c>
      <c r="BT21" s="75">
        <f>(BS21-BS20)*INDEX('[1]功能-付费相关'!$AQ$6:$AQ$165,$CY21,1)+BT20</f>
        <v>1703409.5461015832</v>
      </c>
      <c r="BV21" s="147">
        <v>160</v>
      </c>
      <c r="BW21" s="147">
        <f t="shared" si="9"/>
        <v>2124381.8442153987</v>
      </c>
      <c r="BX21" s="147">
        <f t="shared" si="0"/>
        <v>1703409.5461015832</v>
      </c>
      <c r="BY21" s="84">
        <f t="shared" si="10"/>
        <v>3827791.3903169818</v>
      </c>
      <c r="CD21" s="161">
        <v>16</v>
      </c>
      <c r="CE21" s="161">
        <f t="shared" si="11"/>
        <v>0</v>
      </c>
      <c r="CF21" s="161">
        <f t="shared" si="12"/>
        <v>0</v>
      </c>
      <c r="CG21" s="161">
        <f t="shared" si="13"/>
        <v>0</v>
      </c>
      <c r="CH21" s="161">
        <f t="shared" si="14"/>
        <v>0</v>
      </c>
      <c r="CI21" s="161">
        <f t="shared" si="15"/>
        <v>0</v>
      </c>
    </row>
    <row r="22" spans="2:87" x14ac:dyDescent="0.15">
      <c r="B22" s="46">
        <v>140</v>
      </c>
      <c r="C22" s="46">
        <f t="shared" si="22"/>
        <v>280</v>
      </c>
      <c r="D22" s="46">
        <v>400</v>
      </c>
      <c r="F22" s="169">
        <f t="shared" si="18"/>
        <v>300</v>
      </c>
      <c r="G22" s="143">
        <v>15</v>
      </c>
      <c r="H22" s="156">
        <f t="shared" si="19"/>
        <v>150</v>
      </c>
      <c r="I22" s="146">
        <v>2</v>
      </c>
      <c r="J22" s="168">
        <f t="shared" si="25"/>
        <v>3000</v>
      </c>
      <c r="K22" s="146">
        <f t="shared" si="20"/>
        <v>1000000</v>
      </c>
      <c r="L22" s="161">
        <f t="shared" si="26"/>
        <v>100000</v>
      </c>
      <c r="M22" s="156">
        <f t="shared" si="16"/>
        <v>15</v>
      </c>
      <c r="N22" s="156">
        <f t="shared" si="17"/>
        <v>150</v>
      </c>
      <c r="O22" s="43">
        <f t="shared" si="24"/>
        <v>120</v>
      </c>
      <c r="P22" s="159">
        <f t="shared" si="21"/>
        <v>0.66666666666666663</v>
      </c>
      <c r="S22" s="46">
        <v>20</v>
      </c>
      <c r="T22" s="69"/>
      <c r="U22" s="36"/>
      <c r="V22" s="36"/>
      <c r="W22" s="36"/>
      <c r="X22" s="36"/>
      <c r="Y22" s="36"/>
      <c r="Z22" s="36"/>
      <c r="AA22" s="36"/>
      <c r="AB22" s="36"/>
      <c r="AC22" s="36"/>
      <c r="AD22" s="36"/>
      <c r="AE22" s="36"/>
      <c r="AF22" s="36"/>
      <c r="AG22" s="36"/>
      <c r="AH22" s="36"/>
      <c r="AI22" s="36"/>
      <c r="BB22" s="25">
        <v>19</v>
      </c>
      <c r="BY22" s="74"/>
      <c r="CD22" s="161">
        <v>17</v>
      </c>
      <c r="CE22" s="161">
        <f t="shared" si="11"/>
        <v>0</v>
      </c>
      <c r="CF22" s="161">
        <f t="shared" si="12"/>
        <v>0</v>
      </c>
      <c r="CG22" s="161">
        <f t="shared" si="13"/>
        <v>0</v>
      </c>
      <c r="CH22" s="161">
        <f t="shared" si="14"/>
        <v>0</v>
      </c>
      <c r="CI22" s="161">
        <f t="shared" si="15"/>
        <v>0</v>
      </c>
    </row>
    <row r="23" spans="2:87" x14ac:dyDescent="0.15">
      <c r="B23" s="46">
        <v>150</v>
      </c>
      <c r="C23" s="46">
        <f t="shared" si="22"/>
        <v>300</v>
      </c>
      <c r="D23" s="46">
        <v>450</v>
      </c>
      <c r="F23" s="169">
        <f t="shared" si="18"/>
        <v>400</v>
      </c>
      <c r="G23" s="143">
        <v>16</v>
      </c>
      <c r="H23" s="156">
        <f t="shared" si="19"/>
        <v>160</v>
      </c>
      <c r="I23" s="146">
        <v>2</v>
      </c>
      <c r="J23" s="168">
        <f>J22+1000</f>
        <v>4000</v>
      </c>
      <c r="K23" s="146">
        <f t="shared" si="20"/>
        <v>2000000</v>
      </c>
      <c r="L23" s="161">
        <f t="shared" si="26"/>
        <v>200000</v>
      </c>
      <c r="M23" s="156">
        <f t="shared" si="16"/>
        <v>16</v>
      </c>
      <c r="N23" s="156">
        <f t="shared" si="17"/>
        <v>160</v>
      </c>
      <c r="O23" s="43">
        <f t="shared" si="24"/>
        <v>120</v>
      </c>
      <c r="P23" s="159">
        <f t="shared" si="21"/>
        <v>0.66666666666666663</v>
      </c>
      <c r="S23" s="46">
        <v>21</v>
      </c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  <c r="AF23" s="36"/>
      <c r="AG23" s="36"/>
      <c r="AH23" s="36"/>
      <c r="AI23" s="36"/>
      <c r="BB23" s="25">
        <v>20</v>
      </c>
      <c r="BY23" s="74"/>
      <c r="CD23" s="161">
        <v>18</v>
      </c>
      <c r="CE23" s="161">
        <f t="shared" si="11"/>
        <v>0</v>
      </c>
      <c r="CF23" s="161">
        <f t="shared" si="12"/>
        <v>0</v>
      </c>
      <c r="CG23" s="161">
        <f t="shared" si="13"/>
        <v>0</v>
      </c>
      <c r="CH23" s="161">
        <f t="shared" si="14"/>
        <v>0</v>
      </c>
      <c r="CI23" s="161">
        <f t="shared" si="15"/>
        <v>0</v>
      </c>
    </row>
    <row r="24" spans="2:87" x14ac:dyDescent="0.15">
      <c r="B24" s="46">
        <v>160</v>
      </c>
      <c r="C24" s="46">
        <f t="shared" si="22"/>
        <v>320</v>
      </c>
      <c r="D24" s="46">
        <v>500</v>
      </c>
      <c r="F24" s="169">
        <f t="shared" si="18"/>
        <v>500</v>
      </c>
      <c r="G24" s="143">
        <v>17</v>
      </c>
      <c r="H24" s="156">
        <f t="shared" si="19"/>
        <v>170</v>
      </c>
      <c r="I24" s="146">
        <v>2</v>
      </c>
      <c r="J24" s="168">
        <f t="shared" ref="J24:J32" si="27">J23+1000</f>
        <v>5000</v>
      </c>
      <c r="K24" s="146">
        <f t="shared" si="20"/>
        <v>2000000</v>
      </c>
      <c r="L24" s="161">
        <f t="shared" si="26"/>
        <v>200000</v>
      </c>
      <c r="M24" s="156">
        <f t="shared" si="16"/>
        <v>17</v>
      </c>
      <c r="N24" s="156">
        <f t="shared" si="17"/>
        <v>170</v>
      </c>
      <c r="O24" s="43">
        <f t="shared" si="24"/>
        <v>120</v>
      </c>
      <c r="P24" s="159">
        <f t="shared" si="21"/>
        <v>0.66666666666666663</v>
      </c>
      <c r="S24" s="46">
        <v>22</v>
      </c>
      <c r="T24" s="36"/>
      <c r="U24" s="36"/>
      <c r="V24" s="36"/>
      <c r="W24" s="36"/>
      <c r="X24" s="36"/>
      <c r="Y24" s="36"/>
      <c r="Z24" s="36"/>
      <c r="AA24" s="36"/>
      <c r="AB24" s="36"/>
      <c r="AC24" s="36"/>
      <c r="AD24" s="36"/>
      <c r="AE24" s="36"/>
      <c r="AF24" s="36"/>
      <c r="AG24" s="36"/>
      <c r="AH24" s="36"/>
      <c r="AI24" s="36"/>
      <c r="BB24" s="25">
        <v>21</v>
      </c>
      <c r="BY24" s="74"/>
      <c r="CD24" s="161">
        <v>19</v>
      </c>
      <c r="CE24" s="161">
        <f t="shared" si="11"/>
        <v>0</v>
      </c>
      <c r="CF24" s="161">
        <f t="shared" si="12"/>
        <v>0</v>
      </c>
      <c r="CG24" s="161">
        <f t="shared" si="13"/>
        <v>0</v>
      </c>
      <c r="CH24" s="161">
        <f t="shared" si="14"/>
        <v>0</v>
      </c>
      <c r="CI24" s="161">
        <f t="shared" si="15"/>
        <v>0</v>
      </c>
    </row>
    <row r="25" spans="2:87" x14ac:dyDescent="0.15">
      <c r="F25" s="169">
        <f t="shared" si="18"/>
        <v>600</v>
      </c>
      <c r="G25" s="143">
        <v>18</v>
      </c>
      <c r="H25" s="156">
        <f t="shared" si="19"/>
        <v>180</v>
      </c>
      <c r="I25" s="146">
        <v>2</v>
      </c>
      <c r="J25" s="168">
        <f t="shared" si="27"/>
        <v>6000</v>
      </c>
      <c r="K25" s="146">
        <f t="shared" si="20"/>
        <v>2000000</v>
      </c>
      <c r="L25" s="161">
        <f t="shared" si="26"/>
        <v>200000</v>
      </c>
      <c r="M25" s="156">
        <f t="shared" si="16"/>
        <v>18</v>
      </c>
      <c r="N25" s="156">
        <f t="shared" si="17"/>
        <v>180</v>
      </c>
      <c r="O25" s="43">
        <f t="shared" si="24"/>
        <v>120</v>
      </c>
      <c r="P25" s="159">
        <f t="shared" si="21"/>
        <v>0.66666666666666663</v>
      </c>
      <c r="S25" s="46">
        <v>23</v>
      </c>
      <c r="T25" s="36"/>
      <c r="U25" s="36"/>
      <c r="V25" s="36"/>
      <c r="W25" s="36"/>
      <c r="X25" s="36"/>
      <c r="Y25" s="36"/>
      <c r="Z25" s="36"/>
      <c r="AA25" s="36"/>
      <c r="AB25" s="36"/>
      <c r="AC25" s="36"/>
      <c r="AD25" s="36"/>
      <c r="AE25" s="36"/>
      <c r="AF25" s="36"/>
      <c r="AG25" s="36"/>
      <c r="AH25" s="36"/>
      <c r="AI25" s="36"/>
      <c r="BB25" s="25">
        <v>22</v>
      </c>
      <c r="CD25" s="161">
        <v>20</v>
      </c>
      <c r="CE25" s="161">
        <f t="shared" si="11"/>
        <v>0</v>
      </c>
      <c r="CF25" s="161">
        <f t="shared" si="12"/>
        <v>0</v>
      </c>
      <c r="CG25" s="161">
        <f t="shared" si="13"/>
        <v>0</v>
      </c>
      <c r="CH25" s="161">
        <f t="shared" si="14"/>
        <v>0</v>
      </c>
      <c r="CI25" s="161">
        <f t="shared" si="15"/>
        <v>0</v>
      </c>
    </row>
    <row r="26" spans="2:87" x14ac:dyDescent="0.15">
      <c r="F26" s="169">
        <f t="shared" si="18"/>
        <v>700</v>
      </c>
      <c r="G26" s="143">
        <v>19</v>
      </c>
      <c r="H26" s="156">
        <f t="shared" si="19"/>
        <v>190</v>
      </c>
      <c r="I26" s="146">
        <v>2</v>
      </c>
      <c r="J26" s="168">
        <f t="shared" si="27"/>
        <v>7000</v>
      </c>
      <c r="K26" s="146">
        <f t="shared" si="20"/>
        <v>2000000</v>
      </c>
      <c r="L26" s="161">
        <f t="shared" si="26"/>
        <v>200000</v>
      </c>
      <c r="M26" s="156">
        <f t="shared" si="16"/>
        <v>19</v>
      </c>
      <c r="N26" s="156">
        <f t="shared" si="17"/>
        <v>190</v>
      </c>
      <c r="O26" s="43">
        <f t="shared" si="24"/>
        <v>120</v>
      </c>
      <c r="P26" s="159">
        <f t="shared" si="21"/>
        <v>0.66666666666666663</v>
      </c>
      <c r="S26" s="46">
        <v>24</v>
      </c>
      <c r="T26" s="36"/>
      <c r="U26" s="36"/>
      <c r="V26" s="36"/>
      <c r="W26" s="36"/>
      <c r="X26" s="36"/>
      <c r="Y26" s="36"/>
      <c r="Z26" s="36"/>
      <c r="AA26" s="36"/>
      <c r="AB26" s="36"/>
      <c r="AC26" s="36"/>
      <c r="AD26" s="36"/>
      <c r="AE26" s="36"/>
      <c r="AF26" s="36"/>
      <c r="AG26" s="36"/>
      <c r="AH26" s="36"/>
      <c r="AI26" s="36"/>
      <c r="BB26" s="25">
        <v>23</v>
      </c>
      <c r="CD26" s="161">
        <v>21</v>
      </c>
      <c r="CE26" s="161">
        <f t="shared" si="11"/>
        <v>0</v>
      </c>
      <c r="CF26" s="161">
        <f t="shared" si="12"/>
        <v>0</v>
      </c>
      <c r="CG26" s="161">
        <f t="shared" si="13"/>
        <v>0</v>
      </c>
      <c r="CH26" s="161">
        <f t="shared" si="14"/>
        <v>0</v>
      </c>
      <c r="CI26" s="161">
        <f t="shared" si="15"/>
        <v>0</v>
      </c>
    </row>
    <row r="27" spans="2:87" x14ac:dyDescent="0.15">
      <c r="F27" s="169">
        <f t="shared" si="18"/>
        <v>800</v>
      </c>
      <c r="G27" s="143">
        <v>20</v>
      </c>
      <c r="H27" s="156">
        <f t="shared" si="19"/>
        <v>200</v>
      </c>
      <c r="I27" s="146">
        <v>2</v>
      </c>
      <c r="J27" s="168">
        <f t="shared" si="27"/>
        <v>8000</v>
      </c>
      <c r="K27" s="146">
        <f t="shared" si="20"/>
        <v>2000000</v>
      </c>
      <c r="L27" s="161">
        <f t="shared" si="26"/>
        <v>200000</v>
      </c>
      <c r="M27" s="156">
        <f t="shared" si="16"/>
        <v>20</v>
      </c>
      <c r="N27" s="156">
        <f t="shared" si="17"/>
        <v>200</v>
      </c>
      <c r="O27" s="43">
        <f t="shared" si="24"/>
        <v>120</v>
      </c>
      <c r="P27" s="159">
        <f t="shared" si="21"/>
        <v>0.66666666666666663</v>
      </c>
      <c r="S27" s="46">
        <v>25</v>
      </c>
      <c r="T27" s="36"/>
      <c r="U27" s="36"/>
      <c r="V27" s="36"/>
      <c r="W27" s="36"/>
      <c r="X27" s="36"/>
      <c r="Y27" s="36"/>
      <c r="Z27" s="36"/>
      <c r="AA27" s="36"/>
      <c r="AB27" s="36"/>
      <c r="AC27" s="36"/>
      <c r="AD27" s="36"/>
      <c r="AE27" s="36"/>
      <c r="AF27" s="36"/>
      <c r="AG27" s="36"/>
      <c r="AH27" s="36"/>
      <c r="AI27" s="36"/>
      <c r="BB27" s="25">
        <v>24</v>
      </c>
      <c r="CD27" s="161">
        <v>22</v>
      </c>
      <c r="CE27" s="161">
        <f t="shared" si="11"/>
        <v>0</v>
      </c>
      <c r="CF27" s="161">
        <f t="shared" si="12"/>
        <v>0</v>
      </c>
      <c r="CG27" s="161">
        <f t="shared" si="13"/>
        <v>0</v>
      </c>
      <c r="CH27" s="161">
        <f t="shared" si="14"/>
        <v>0</v>
      </c>
      <c r="CI27" s="161">
        <f t="shared" si="15"/>
        <v>0</v>
      </c>
    </row>
    <row r="28" spans="2:87" x14ac:dyDescent="0.15">
      <c r="F28" s="169">
        <f t="shared" si="18"/>
        <v>1000</v>
      </c>
      <c r="G28" s="143">
        <v>21</v>
      </c>
      <c r="H28" s="156">
        <f t="shared" si="19"/>
        <v>210</v>
      </c>
      <c r="I28" s="146">
        <v>3</v>
      </c>
      <c r="J28" s="168">
        <f>J27+2000</f>
        <v>10000</v>
      </c>
      <c r="K28" s="146">
        <f t="shared" si="20"/>
        <v>4000000</v>
      </c>
      <c r="L28" s="161">
        <f t="shared" si="26"/>
        <v>400000</v>
      </c>
      <c r="M28" s="156">
        <f t="shared" si="16"/>
        <v>21</v>
      </c>
      <c r="N28" s="156">
        <f t="shared" si="17"/>
        <v>210</v>
      </c>
      <c r="O28" s="43">
        <f t="shared" si="24"/>
        <v>120</v>
      </c>
      <c r="P28" s="159">
        <f t="shared" si="21"/>
        <v>0.66666666666666663</v>
      </c>
      <c r="S28" s="46">
        <v>26</v>
      </c>
      <c r="T28" s="36"/>
      <c r="U28" s="36"/>
      <c r="V28" s="36"/>
      <c r="W28" s="36"/>
      <c r="X28" s="36"/>
      <c r="Y28" s="36"/>
      <c r="Z28" s="36"/>
      <c r="AA28" s="36"/>
      <c r="AB28" s="36"/>
      <c r="AC28" s="36"/>
      <c r="AD28" s="36"/>
      <c r="AE28" s="36"/>
      <c r="AF28" s="36"/>
      <c r="AG28" s="36"/>
      <c r="AH28" s="36"/>
      <c r="AI28" s="36"/>
      <c r="BB28" s="25">
        <v>25</v>
      </c>
      <c r="CD28" s="161">
        <v>23</v>
      </c>
      <c r="CE28" s="161">
        <f t="shared" si="11"/>
        <v>0</v>
      </c>
      <c r="CF28" s="161">
        <f t="shared" si="12"/>
        <v>0</v>
      </c>
      <c r="CG28" s="161">
        <f t="shared" si="13"/>
        <v>0</v>
      </c>
      <c r="CH28" s="161">
        <f t="shared" si="14"/>
        <v>0</v>
      </c>
      <c r="CI28" s="161">
        <f t="shared" si="15"/>
        <v>0</v>
      </c>
    </row>
    <row r="29" spans="2:87" x14ac:dyDescent="0.15">
      <c r="F29" s="169">
        <f t="shared" si="18"/>
        <v>1200</v>
      </c>
      <c r="G29" s="143">
        <v>22</v>
      </c>
      <c r="H29" s="156">
        <f t="shared" si="19"/>
        <v>220</v>
      </c>
      <c r="I29" s="146">
        <v>3</v>
      </c>
      <c r="J29" s="168">
        <f t="shared" ref="J29:J32" si="28">J28+2000</f>
        <v>12000</v>
      </c>
      <c r="K29" s="146">
        <f t="shared" si="20"/>
        <v>4000000</v>
      </c>
      <c r="L29" s="161">
        <f t="shared" si="26"/>
        <v>400000</v>
      </c>
      <c r="M29" s="156">
        <f t="shared" si="16"/>
        <v>22</v>
      </c>
      <c r="N29" s="156">
        <f t="shared" si="17"/>
        <v>220</v>
      </c>
      <c r="O29" s="43">
        <f t="shared" si="24"/>
        <v>120</v>
      </c>
      <c r="P29" s="159">
        <f t="shared" si="21"/>
        <v>0.66666666666666663</v>
      </c>
      <c r="S29" s="46">
        <v>27</v>
      </c>
      <c r="T29" s="36"/>
      <c r="U29" s="36"/>
      <c r="V29" s="36"/>
      <c r="W29" s="36"/>
      <c r="X29" s="36"/>
      <c r="Y29" s="36"/>
      <c r="Z29" s="36"/>
      <c r="AA29" s="36"/>
      <c r="AB29" s="36"/>
      <c r="AC29" s="36"/>
      <c r="AD29" s="36"/>
      <c r="AE29" s="36"/>
      <c r="AF29" s="36"/>
      <c r="AG29" s="36"/>
      <c r="AH29" s="36"/>
      <c r="AI29" s="36"/>
      <c r="BB29" s="25">
        <v>26</v>
      </c>
      <c r="BN29" s="36"/>
      <c r="BV29" s="36"/>
      <c r="BW29" s="36"/>
      <c r="BX29" s="36"/>
      <c r="CD29" s="161">
        <v>24</v>
      </c>
      <c r="CE29" s="161">
        <f t="shared" si="11"/>
        <v>0</v>
      </c>
      <c r="CF29" s="161">
        <f t="shared" si="12"/>
        <v>0</v>
      </c>
      <c r="CG29" s="161">
        <f t="shared" si="13"/>
        <v>0</v>
      </c>
      <c r="CH29" s="161">
        <f t="shared" si="14"/>
        <v>0</v>
      </c>
      <c r="CI29" s="161">
        <f t="shared" si="15"/>
        <v>0</v>
      </c>
    </row>
    <row r="30" spans="2:87" x14ac:dyDescent="0.15">
      <c r="F30" s="169">
        <f t="shared" si="18"/>
        <v>1400</v>
      </c>
      <c r="G30" s="143">
        <v>23</v>
      </c>
      <c r="H30" s="156">
        <f t="shared" si="19"/>
        <v>230</v>
      </c>
      <c r="I30" s="146">
        <v>3</v>
      </c>
      <c r="J30" s="168">
        <f t="shared" si="28"/>
        <v>14000</v>
      </c>
      <c r="K30" s="146">
        <f t="shared" si="20"/>
        <v>4000000</v>
      </c>
      <c r="L30" s="161">
        <f t="shared" si="26"/>
        <v>400000</v>
      </c>
      <c r="M30" s="156">
        <f t="shared" si="16"/>
        <v>23</v>
      </c>
      <c r="N30" s="156">
        <f t="shared" si="17"/>
        <v>230</v>
      </c>
      <c r="O30" s="43">
        <f t="shared" si="24"/>
        <v>120</v>
      </c>
      <c r="P30" s="159">
        <f t="shared" si="21"/>
        <v>0.66666666666666663</v>
      </c>
      <c r="S30" s="46">
        <v>28</v>
      </c>
      <c r="T30" s="36"/>
      <c r="U30" s="36"/>
      <c r="V30" s="36"/>
      <c r="W30" s="36"/>
      <c r="X30" s="36"/>
      <c r="Y30" s="36"/>
      <c r="Z30" s="36"/>
      <c r="AA30" s="36"/>
      <c r="AB30" s="36"/>
      <c r="AC30" s="36"/>
      <c r="AD30" s="36"/>
      <c r="AE30" s="36"/>
      <c r="AF30" s="36"/>
      <c r="AG30" s="36"/>
      <c r="AH30" s="36"/>
      <c r="AI30" s="36"/>
      <c r="BB30" s="25">
        <v>27</v>
      </c>
      <c r="BN30" s="36"/>
      <c r="BV30" s="36"/>
      <c r="BW30" s="36"/>
      <c r="BX30" s="36"/>
      <c r="CD30" s="161">
        <v>25</v>
      </c>
      <c r="CE30" s="161">
        <f t="shared" si="11"/>
        <v>0</v>
      </c>
      <c r="CF30" s="161">
        <f t="shared" si="12"/>
        <v>0</v>
      </c>
      <c r="CG30" s="161">
        <f t="shared" si="13"/>
        <v>0</v>
      </c>
      <c r="CH30" s="161">
        <f t="shared" si="14"/>
        <v>0</v>
      </c>
      <c r="CI30" s="161">
        <f t="shared" si="15"/>
        <v>0</v>
      </c>
    </row>
    <row r="31" spans="2:87" x14ac:dyDescent="0.15">
      <c r="F31" s="169">
        <f t="shared" si="18"/>
        <v>1600</v>
      </c>
      <c r="G31" s="143">
        <v>24</v>
      </c>
      <c r="H31" s="156">
        <f t="shared" si="19"/>
        <v>240</v>
      </c>
      <c r="I31" s="146">
        <v>3</v>
      </c>
      <c r="J31" s="168">
        <f t="shared" si="28"/>
        <v>16000</v>
      </c>
      <c r="K31" s="146">
        <f t="shared" si="20"/>
        <v>4000000</v>
      </c>
      <c r="L31" s="161">
        <f t="shared" si="26"/>
        <v>400000</v>
      </c>
      <c r="M31" s="156">
        <f t="shared" si="16"/>
        <v>24</v>
      </c>
      <c r="N31" s="156">
        <f t="shared" si="17"/>
        <v>240</v>
      </c>
      <c r="O31" s="43">
        <f t="shared" si="24"/>
        <v>120</v>
      </c>
      <c r="P31" s="159">
        <f t="shared" si="21"/>
        <v>0.66666666666666663</v>
      </c>
      <c r="S31" s="46">
        <v>29</v>
      </c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36"/>
      <c r="AG31" s="36"/>
      <c r="AH31" s="36"/>
      <c r="AI31" s="36"/>
      <c r="BB31" s="25">
        <v>28</v>
      </c>
      <c r="BN31" s="36"/>
      <c r="BV31" s="36"/>
      <c r="BW31" s="36"/>
      <c r="BX31" s="36"/>
      <c r="CD31" s="161">
        <v>26</v>
      </c>
      <c r="CE31" s="161">
        <f t="shared" si="11"/>
        <v>0</v>
      </c>
      <c r="CF31" s="161">
        <f t="shared" si="12"/>
        <v>0</v>
      </c>
      <c r="CG31" s="161">
        <f t="shared" si="13"/>
        <v>0</v>
      </c>
      <c r="CH31" s="161">
        <f t="shared" si="14"/>
        <v>0</v>
      </c>
      <c r="CI31" s="161">
        <f t="shared" si="15"/>
        <v>0</v>
      </c>
    </row>
    <row r="32" spans="2:87" x14ac:dyDescent="0.15">
      <c r="F32" s="169">
        <f t="shared" si="18"/>
        <v>1800</v>
      </c>
      <c r="G32" s="143">
        <v>25</v>
      </c>
      <c r="H32" s="156">
        <f t="shared" si="19"/>
        <v>250</v>
      </c>
      <c r="I32" s="146">
        <v>3</v>
      </c>
      <c r="J32" s="168">
        <f t="shared" si="28"/>
        <v>18000</v>
      </c>
      <c r="K32" s="146">
        <f t="shared" si="20"/>
        <v>4000000</v>
      </c>
      <c r="L32" s="161">
        <f t="shared" si="26"/>
        <v>400000</v>
      </c>
      <c r="M32" s="156">
        <f t="shared" si="16"/>
        <v>25</v>
      </c>
      <c r="N32" s="156">
        <f t="shared" si="17"/>
        <v>250</v>
      </c>
      <c r="O32" s="43">
        <f t="shared" si="24"/>
        <v>120</v>
      </c>
      <c r="P32" s="159">
        <f t="shared" si="21"/>
        <v>0.66666666666666663</v>
      </c>
      <c r="S32" s="46">
        <v>30</v>
      </c>
      <c r="BB32" s="25">
        <v>29</v>
      </c>
      <c r="CD32" s="161">
        <v>27</v>
      </c>
      <c r="CE32" s="161">
        <f t="shared" si="11"/>
        <v>0</v>
      </c>
      <c r="CF32" s="161">
        <f t="shared" si="12"/>
        <v>0</v>
      </c>
      <c r="CG32" s="161">
        <f t="shared" si="13"/>
        <v>0</v>
      </c>
      <c r="CH32" s="161">
        <f t="shared" si="14"/>
        <v>0</v>
      </c>
      <c r="CI32" s="161">
        <f t="shared" si="15"/>
        <v>0</v>
      </c>
    </row>
    <row r="33" spans="2:87" x14ac:dyDescent="0.15">
      <c r="S33" s="46">
        <v>31</v>
      </c>
      <c r="BB33" s="25">
        <v>30</v>
      </c>
      <c r="CD33" s="161">
        <v>28</v>
      </c>
      <c r="CE33" s="161">
        <f t="shared" si="11"/>
        <v>0</v>
      </c>
      <c r="CF33" s="161">
        <f t="shared" si="12"/>
        <v>0</v>
      </c>
      <c r="CG33" s="161">
        <f t="shared" si="13"/>
        <v>0</v>
      </c>
      <c r="CH33" s="161">
        <f t="shared" si="14"/>
        <v>0</v>
      </c>
      <c r="CI33" s="161">
        <f t="shared" si="15"/>
        <v>0</v>
      </c>
    </row>
    <row r="34" spans="2:87" x14ac:dyDescent="0.15">
      <c r="B34" s="152"/>
      <c r="C34" s="152"/>
      <c r="S34" s="46">
        <v>32</v>
      </c>
      <c r="BB34" s="25">
        <v>31</v>
      </c>
      <c r="CD34" s="161">
        <v>29</v>
      </c>
      <c r="CE34" s="161">
        <f t="shared" si="11"/>
        <v>0</v>
      </c>
      <c r="CF34" s="161">
        <f t="shared" si="12"/>
        <v>0</v>
      </c>
      <c r="CG34" s="161">
        <f t="shared" si="13"/>
        <v>0</v>
      </c>
      <c r="CH34" s="161">
        <f t="shared" si="14"/>
        <v>0</v>
      </c>
      <c r="CI34" s="161">
        <f t="shared" si="15"/>
        <v>0</v>
      </c>
    </row>
    <row r="35" spans="2:87" x14ac:dyDescent="0.15">
      <c r="I35" s="183" t="s">
        <v>436</v>
      </c>
      <c r="J35" s="183"/>
      <c r="K35" s="183"/>
      <c r="S35" s="46">
        <v>33</v>
      </c>
      <c r="BB35" s="25">
        <v>32</v>
      </c>
      <c r="CD35" s="161">
        <v>30</v>
      </c>
      <c r="CE35" s="161">
        <f t="shared" si="11"/>
        <v>0</v>
      </c>
      <c r="CF35" s="161">
        <f t="shared" si="12"/>
        <v>0</v>
      </c>
      <c r="CG35" s="161">
        <f t="shared" si="13"/>
        <v>0</v>
      </c>
      <c r="CH35" s="161">
        <f t="shared" si="14"/>
        <v>0</v>
      </c>
      <c r="CI35" s="161">
        <f t="shared" si="15"/>
        <v>0</v>
      </c>
    </row>
    <row r="36" spans="2:87" x14ac:dyDescent="0.15">
      <c r="G36" s="143" t="s">
        <v>419</v>
      </c>
      <c r="H36" s="143" t="s">
        <v>410</v>
      </c>
      <c r="I36" s="143" t="s">
        <v>429</v>
      </c>
      <c r="J36" s="143" t="s">
        <v>428</v>
      </c>
      <c r="K36" s="146" t="s">
        <v>353</v>
      </c>
      <c r="M36" s="146" t="s">
        <v>419</v>
      </c>
      <c r="N36" s="146" t="s">
        <v>410</v>
      </c>
      <c r="O36" s="146" t="s">
        <v>438</v>
      </c>
      <c r="P36" s="159" t="s">
        <v>450</v>
      </c>
      <c r="S36" s="46">
        <v>34</v>
      </c>
      <c r="BB36" s="25">
        <v>33</v>
      </c>
      <c r="CD36" s="161">
        <v>31</v>
      </c>
      <c r="CE36" s="161">
        <f t="shared" si="11"/>
        <v>0</v>
      </c>
      <c r="CF36" s="161">
        <f t="shared" si="12"/>
        <v>0</v>
      </c>
      <c r="CG36" s="161">
        <f t="shared" si="13"/>
        <v>0</v>
      </c>
      <c r="CH36" s="161">
        <f t="shared" si="14"/>
        <v>0</v>
      </c>
      <c r="CI36" s="161">
        <f t="shared" si="15"/>
        <v>0</v>
      </c>
    </row>
    <row r="37" spans="2:87" x14ac:dyDescent="0.15">
      <c r="G37" s="143">
        <v>0</v>
      </c>
      <c r="H37" s="143">
        <v>0</v>
      </c>
      <c r="I37" s="43">
        <f>SUM(I$7:I7)</f>
        <v>0</v>
      </c>
      <c r="J37" s="43">
        <f>SUM(J$7:J7)</f>
        <v>0</v>
      </c>
      <c r="K37" s="43">
        <f>SUM(K$7:K7)</f>
        <v>0</v>
      </c>
      <c r="M37" s="156">
        <f>G37</f>
        <v>0</v>
      </c>
      <c r="N37" s="156">
        <f>H37</f>
        <v>0</v>
      </c>
      <c r="O37" s="43">
        <f>SUM(O$7:O7)</f>
        <v>0</v>
      </c>
      <c r="P37" s="43">
        <f>SUM(P$7:P7)</f>
        <v>0</v>
      </c>
      <c r="S37" s="46">
        <v>35</v>
      </c>
      <c r="BB37" s="25">
        <v>34</v>
      </c>
      <c r="CD37" s="161">
        <v>32</v>
      </c>
      <c r="CE37" s="161">
        <f t="shared" si="11"/>
        <v>0</v>
      </c>
      <c r="CF37" s="161">
        <f t="shared" si="12"/>
        <v>0</v>
      </c>
      <c r="CG37" s="161">
        <f t="shared" si="13"/>
        <v>0</v>
      </c>
      <c r="CH37" s="161">
        <f t="shared" si="14"/>
        <v>0</v>
      </c>
      <c r="CI37" s="161">
        <f t="shared" si="15"/>
        <v>0</v>
      </c>
    </row>
    <row r="38" spans="2:87" x14ac:dyDescent="0.15">
      <c r="G38" s="143">
        <v>1</v>
      </c>
      <c r="H38" s="156">
        <f>G38*10</f>
        <v>10</v>
      </c>
      <c r="I38" s="43">
        <f>SUM(I$7:I8)</f>
        <v>1</v>
      </c>
      <c r="J38" s="43">
        <f>SUM(J$7:J8)</f>
        <v>200</v>
      </c>
      <c r="K38" s="43">
        <f>SUM(K$7:K8)</f>
        <v>250000</v>
      </c>
      <c r="M38" s="156">
        <f t="shared" ref="M38:M62" si="29">G38</f>
        <v>1</v>
      </c>
      <c r="N38" s="156">
        <f t="shared" ref="N38:N62" si="30">H38</f>
        <v>10</v>
      </c>
      <c r="O38" s="43">
        <f>SUM(O$7:O8)</f>
        <v>120</v>
      </c>
      <c r="P38" s="43">
        <f>SUM(P$7:P8)</f>
        <v>0.66666666666666663</v>
      </c>
      <c r="S38" s="46">
        <v>36</v>
      </c>
      <c r="BB38" s="25">
        <v>35</v>
      </c>
      <c r="CD38" s="161">
        <v>33</v>
      </c>
      <c r="CE38" s="161">
        <f t="shared" si="11"/>
        <v>0</v>
      </c>
      <c r="CF38" s="161">
        <f t="shared" si="12"/>
        <v>0</v>
      </c>
      <c r="CG38" s="161">
        <f t="shared" si="13"/>
        <v>0</v>
      </c>
      <c r="CH38" s="161">
        <f t="shared" si="14"/>
        <v>0</v>
      </c>
      <c r="CI38" s="161">
        <f t="shared" si="15"/>
        <v>0</v>
      </c>
    </row>
    <row r="39" spans="2:87" x14ac:dyDescent="0.15">
      <c r="G39" s="143">
        <v>2</v>
      </c>
      <c r="H39" s="156">
        <f t="shared" ref="H39:H62" si="31">G39*10</f>
        <v>20</v>
      </c>
      <c r="I39" s="43">
        <f>SUM(I$7:I9)</f>
        <v>2</v>
      </c>
      <c r="J39" s="43">
        <f>SUM(J$7:J9)</f>
        <v>600</v>
      </c>
      <c r="K39" s="43">
        <f>SUM(K$7:K9)</f>
        <v>500000</v>
      </c>
      <c r="M39" s="156">
        <f t="shared" si="29"/>
        <v>2</v>
      </c>
      <c r="N39" s="156">
        <f t="shared" si="30"/>
        <v>20</v>
      </c>
      <c r="O39" s="43">
        <f>SUM(O$7:O9)</f>
        <v>240</v>
      </c>
      <c r="P39" s="43">
        <f>SUM(P$7:P9)</f>
        <v>1.3333333333333333</v>
      </c>
      <c r="S39" s="46">
        <v>37</v>
      </c>
      <c r="BB39" s="25">
        <v>36</v>
      </c>
      <c r="CD39" s="161">
        <v>34</v>
      </c>
      <c r="CE39" s="161">
        <f t="shared" si="11"/>
        <v>0</v>
      </c>
      <c r="CF39" s="161">
        <f t="shared" si="12"/>
        <v>0</v>
      </c>
      <c r="CG39" s="161">
        <f t="shared" si="13"/>
        <v>0</v>
      </c>
      <c r="CH39" s="161">
        <f t="shared" si="14"/>
        <v>0</v>
      </c>
      <c r="CI39" s="161">
        <f t="shared" si="15"/>
        <v>0</v>
      </c>
    </row>
    <row r="40" spans="2:87" x14ac:dyDescent="0.15">
      <c r="G40" s="143">
        <v>3</v>
      </c>
      <c r="H40" s="156">
        <f t="shared" si="31"/>
        <v>30</v>
      </c>
      <c r="I40" s="43">
        <f>SUM(I$7:I10)</f>
        <v>3</v>
      </c>
      <c r="J40" s="43">
        <f>SUM(J$7:J10)</f>
        <v>1200</v>
      </c>
      <c r="K40" s="43">
        <f>SUM(K$7:K10)</f>
        <v>750000</v>
      </c>
      <c r="M40" s="156">
        <f t="shared" si="29"/>
        <v>3</v>
      </c>
      <c r="N40" s="156">
        <f t="shared" si="30"/>
        <v>30</v>
      </c>
      <c r="O40" s="43">
        <f>SUM(O$7:O10)</f>
        <v>360</v>
      </c>
      <c r="P40" s="43">
        <f>SUM(P$7:P10)</f>
        <v>2</v>
      </c>
      <c r="S40" s="46">
        <v>38</v>
      </c>
      <c r="BB40" s="25">
        <v>37</v>
      </c>
      <c r="CD40" s="161">
        <v>35</v>
      </c>
      <c r="CE40" s="161">
        <f t="shared" si="11"/>
        <v>0</v>
      </c>
      <c r="CF40" s="161">
        <f t="shared" si="12"/>
        <v>0</v>
      </c>
      <c r="CG40" s="161">
        <f t="shared" si="13"/>
        <v>0</v>
      </c>
      <c r="CH40" s="161">
        <f t="shared" si="14"/>
        <v>0</v>
      </c>
      <c r="CI40" s="161">
        <f t="shared" si="15"/>
        <v>0</v>
      </c>
    </row>
    <row r="41" spans="2:87" x14ac:dyDescent="0.15">
      <c r="G41" s="143">
        <v>4</v>
      </c>
      <c r="H41" s="156">
        <f t="shared" si="31"/>
        <v>40</v>
      </c>
      <c r="I41" s="43">
        <f>SUM(I$7:I11)</f>
        <v>4</v>
      </c>
      <c r="J41" s="43">
        <f>SUM(J$7:J11)</f>
        <v>2000</v>
      </c>
      <c r="K41" s="43">
        <f>SUM(K$7:K11)</f>
        <v>1000000</v>
      </c>
      <c r="M41" s="156">
        <f t="shared" si="29"/>
        <v>4</v>
      </c>
      <c r="N41" s="156">
        <f t="shared" si="30"/>
        <v>40</v>
      </c>
      <c r="O41" s="43">
        <f>SUM(O$7:O11)</f>
        <v>480</v>
      </c>
      <c r="P41" s="43">
        <f>SUM(P$7:P11)</f>
        <v>2.6666666666666665</v>
      </c>
      <c r="S41" s="46">
        <v>39</v>
      </c>
      <c r="BB41" s="25">
        <v>38</v>
      </c>
      <c r="CD41" s="161">
        <v>36</v>
      </c>
      <c r="CE41" s="161">
        <f t="shared" si="11"/>
        <v>0</v>
      </c>
      <c r="CF41" s="161">
        <f t="shared" si="12"/>
        <v>0</v>
      </c>
      <c r="CG41" s="161">
        <f t="shared" si="13"/>
        <v>0</v>
      </c>
      <c r="CH41" s="161">
        <f t="shared" si="14"/>
        <v>0</v>
      </c>
      <c r="CI41" s="161">
        <f t="shared" si="15"/>
        <v>0</v>
      </c>
    </row>
    <row r="42" spans="2:87" x14ac:dyDescent="0.15">
      <c r="G42" s="143">
        <v>5</v>
      </c>
      <c r="H42" s="156">
        <f t="shared" si="31"/>
        <v>50</v>
      </c>
      <c r="I42" s="43">
        <f>SUM(I$7:I12)</f>
        <v>5</v>
      </c>
      <c r="J42" s="43">
        <f>SUM(J$7:J12)</f>
        <v>3000</v>
      </c>
      <c r="K42" s="43">
        <f>SUM(K$7:K12)</f>
        <v>1250000</v>
      </c>
      <c r="M42" s="156">
        <f t="shared" si="29"/>
        <v>5</v>
      </c>
      <c r="N42" s="156">
        <f t="shared" si="30"/>
        <v>50</v>
      </c>
      <c r="O42" s="43">
        <f>SUM(O$7:O12)</f>
        <v>600</v>
      </c>
      <c r="P42" s="43">
        <f>SUM(P$7:P12)</f>
        <v>3.333333333333333</v>
      </c>
      <c r="S42" s="46">
        <v>40</v>
      </c>
      <c r="BB42" s="25">
        <v>39</v>
      </c>
      <c r="CD42" s="161">
        <v>37</v>
      </c>
      <c r="CE42" s="161">
        <f t="shared" si="11"/>
        <v>0</v>
      </c>
      <c r="CF42" s="161">
        <f t="shared" si="12"/>
        <v>0</v>
      </c>
      <c r="CG42" s="161">
        <f t="shared" si="13"/>
        <v>0</v>
      </c>
      <c r="CH42" s="161">
        <f t="shared" si="14"/>
        <v>0</v>
      </c>
      <c r="CI42" s="161">
        <f t="shared" si="15"/>
        <v>0</v>
      </c>
    </row>
    <row r="43" spans="2:87" x14ac:dyDescent="0.15">
      <c r="G43" s="143">
        <v>6</v>
      </c>
      <c r="H43" s="156">
        <f t="shared" si="31"/>
        <v>60</v>
      </c>
      <c r="I43" s="43">
        <f>SUM(I$7:I13)</f>
        <v>6</v>
      </c>
      <c r="J43" s="43">
        <f>SUM(J$7:J13)</f>
        <v>4200</v>
      </c>
      <c r="K43" s="43">
        <f>SUM(K$7:K13)</f>
        <v>1750000</v>
      </c>
      <c r="M43" s="156">
        <f t="shared" si="29"/>
        <v>6</v>
      </c>
      <c r="N43" s="156">
        <f t="shared" si="30"/>
        <v>60</v>
      </c>
      <c r="O43" s="43">
        <f>SUM(O$7:O13)</f>
        <v>720</v>
      </c>
      <c r="P43" s="43">
        <f>SUM(P$7:P13)</f>
        <v>3.9999999999999996</v>
      </c>
      <c r="S43" s="46">
        <v>41</v>
      </c>
      <c r="BB43" s="25">
        <v>40</v>
      </c>
      <c r="CD43" s="161">
        <v>38</v>
      </c>
      <c r="CE43" s="161">
        <f t="shared" si="11"/>
        <v>0</v>
      </c>
      <c r="CF43" s="161">
        <f t="shared" si="12"/>
        <v>0</v>
      </c>
      <c r="CG43" s="161">
        <f t="shared" si="13"/>
        <v>0</v>
      </c>
      <c r="CH43" s="161">
        <f t="shared" si="14"/>
        <v>0</v>
      </c>
      <c r="CI43" s="161">
        <f t="shared" si="15"/>
        <v>0</v>
      </c>
    </row>
    <row r="44" spans="2:87" x14ac:dyDescent="0.15">
      <c r="G44" s="143">
        <v>7</v>
      </c>
      <c r="H44" s="156">
        <f t="shared" si="31"/>
        <v>70</v>
      </c>
      <c r="I44" s="43">
        <f>SUM(I$7:I14)</f>
        <v>7</v>
      </c>
      <c r="J44" s="43">
        <f>SUM(J$7:J14)</f>
        <v>5600</v>
      </c>
      <c r="K44" s="43">
        <f>SUM(K$7:K14)</f>
        <v>2250000</v>
      </c>
      <c r="M44" s="156">
        <f t="shared" si="29"/>
        <v>7</v>
      </c>
      <c r="N44" s="156">
        <f t="shared" si="30"/>
        <v>70</v>
      </c>
      <c r="O44" s="43">
        <f>SUM(O$7:O14)</f>
        <v>840</v>
      </c>
      <c r="P44" s="43">
        <f>SUM(P$7:P14)</f>
        <v>4.6666666666666661</v>
      </c>
      <c r="S44" s="46">
        <v>42</v>
      </c>
      <c r="BB44" s="25">
        <v>41</v>
      </c>
      <c r="CD44" s="161">
        <v>39</v>
      </c>
      <c r="CE44" s="161">
        <f t="shared" si="11"/>
        <v>0</v>
      </c>
      <c r="CF44" s="161">
        <f t="shared" si="12"/>
        <v>0</v>
      </c>
      <c r="CG44" s="161">
        <f t="shared" si="13"/>
        <v>0</v>
      </c>
      <c r="CH44" s="161">
        <f t="shared" si="14"/>
        <v>0</v>
      </c>
      <c r="CI44" s="161">
        <f t="shared" si="15"/>
        <v>0</v>
      </c>
    </row>
    <row r="45" spans="2:87" x14ac:dyDescent="0.15">
      <c r="G45" s="143">
        <v>8</v>
      </c>
      <c r="H45" s="156">
        <f t="shared" si="31"/>
        <v>80</v>
      </c>
      <c r="I45" s="43">
        <f>SUM(I$7:I15)</f>
        <v>8</v>
      </c>
      <c r="J45" s="43">
        <f>SUM(J$7:J15)</f>
        <v>7200</v>
      </c>
      <c r="K45" s="43">
        <f>SUM(K$7:K15)</f>
        <v>2750000</v>
      </c>
      <c r="M45" s="156">
        <f t="shared" si="29"/>
        <v>8</v>
      </c>
      <c r="N45" s="156">
        <f t="shared" si="30"/>
        <v>80</v>
      </c>
      <c r="O45" s="43">
        <f>SUM(O$7:O15)</f>
        <v>960</v>
      </c>
      <c r="P45" s="43">
        <f>SUM(P$7:P15)</f>
        <v>5.333333333333333</v>
      </c>
      <c r="S45" s="46">
        <v>43</v>
      </c>
      <c r="BB45" s="25">
        <v>42</v>
      </c>
      <c r="CD45" s="161">
        <v>40</v>
      </c>
      <c r="CE45" s="161">
        <f t="shared" si="11"/>
        <v>0</v>
      </c>
      <c r="CF45" s="161">
        <f t="shared" si="12"/>
        <v>0</v>
      </c>
      <c r="CG45" s="161">
        <f t="shared" si="13"/>
        <v>0</v>
      </c>
      <c r="CH45" s="161">
        <f t="shared" si="14"/>
        <v>0</v>
      </c>
      <c r="CI45" s="161">
        <f t="shared" si="15"/>
        <v>0</v>
      </c>
    </row>
    <row r="46" spans="2:87" x14ac:dyDescent="0.15">
      <c r="G46" s="143">
        <v>9</v>
      </c>
      <c r="H46" s="156">
        <f t="shared" si="31"/>
        <v>90</v>
      </c>
      <c r="I46" s="43">
        <f>SUM(I$7:I16)</f>
        <v>9</v>
      </c>
      <c r="J46" s="43">
        <f>SUM(J$7:J16)</f>
        <v>9000</v>
      </c>
      <c r="K46" s="43">
        <f>SUM(K$7:K16)</f>
        <v>3250000</v>
      </c>
      <c r="M46" s="156">
        <f t="shared" si="29"/>
        <v>9</v>
      </c>
      <c r="N46" s="156">
        <f t="shared" si="30"/>
        <v>90</v>
      </c>
      <c r="O46" s="43">
        <f>SUM(O$7:O16)</f>
        <v>1080</v>
      </c>
      <c r="P46" s="43">
        <f>SUM(P$7:P16)</f>
        <v>6</v>
      </c>
      <c r="S46" s="46">
        <v>44</v>
      </c>
      <c r="BB46" s="25">
        <v>43</v>
      </c>
      <c r="CD46" s="161">
        <v>41</v>
      </c>
      <c r="CE46" s="161">
        <f t="shared" si="11"/>
        <v>0</v>
      </c>
      <c r="CF46" s="161">
        <f t="shared" si="12"/>
        <v>0</v>
      </c>
      <c r="CG46" s="161">
        <f t="shared" si="13"/>
        <v>0</v>
      </c>
      <c r="CH46" s="161">
        <f t="shared" si="14"/>
        <v>0</v>
      </c>
      <c r="CI46" s="161">
        <f t="shared" si="15"/>
        <v>0</v>
      </c>
    </row>
    <row r="47" spans="2:87" x14ac:dyDescent="0.15">
      <c r="G47" s="143">
        <v>10</v>
      </c>
      <c r="H47" s="156">
        <f t="shared" si="31"/>
        <v>100</v>
      </c>
      <c r="I47" s="43">
        <f>SUM(I$7:I17)</f>
        <v>10</v>
      </c>
      <c r="J47" s="43">
        <f>SUM(J$7:J17)</f>
        <v>11000</v>
      </c>
      <c r="K47" s="43">
        <f>SUM(K$7:K17)</f>
        <v>3750000</v>
      </c>
      <c r="M47" s="156">
        <f t="shared" si="29"/>
        <v>10</v>
      </c>
      <c r="N47" s="156">
        <f t="shared" si="30"/>
        <v>100</v>
      </c>
      <c r="O47" s="43">
        <f>SUM(O$7:O17)</f>
        <v>1200</v>
      </c>
      <c r="P47" s="43">
        <f>SUM(P$7:P17)</f>
        <v>6.666666666666667</v>
      </c>
      <c r="S47" s="46">
        <v>45</v>
      </c>
      <c r="BB47" s="25">
        <v>44</v>
      </c>
      <c r="CD47" s="161">
        <v>42</v>
      </c>
      <c r="CE47" s="161">
        <f t="shared" si="11"/>
        <v>0</v>
      </c>
      <c r="CF47" s="161">
        <f t="shared" si="12"/>
        <v>0</v>
      </c>
      <c r="CG47" s="161">
        <f t="shared" si="13"/>
        <v>0</v>
      </c>
      <c r="CH47" s="161">
        <f t="shared" si="14"/>
        <v>0</v>
      </c>
      <c r="CI47" s="161">
        <f t="shared" si="15"/>
        <v>0</v>
      </c>
    </row>
    <row r="48" spans="2:87" x14ac:dyDescent="0.15">
      <c r="G48" s="143">
        <v>11</v>
      </c>
      <c r="H48" s="156">
        <f t="shared" si="31"/>
        <v>110</v>
      </c>
      <c r="I48" s="43">
        <f>SUM(I$7:I18)</f>
        <v>12</v>
      </c>
      <c r="J48" s="43">
        <f>SUM(J$7:J18)</f>
        <v>13200</v>
      </c>
      <c r="K48" s="43">
        <f>SUM(K$7:K18)</f>
        <v>4750000</v>
      </c>
      <c r="M48" s="156">
        <f t="shared" si="29"/>
        <v>11</v>
      </c>
      <c r="N48" s="156">
        <f t="shared" si="30"/>
        <v>110</v>
      </c>
      <c r="O48" s="43">
        <f>SUM(O$7:O18)</f>
        <v>1320</v>
      </c>
      <c r="P48" s="43">
        <f>SUM(P$7:P18)</f>
        <v>7.3333333333333339</v>
      </c>
      <c r="S48" s="46">
        <v>1</v>
      </c>
      <c r="BB48" s="25">
        <v>45</v>
      </c>
      <c r="CD48" s="161">
        <v>43</v>
      </c>
      <c r="CE48" s="161">
        <f t="shared" si="11"/>
        <v>0</v>
      </c>
      <c r="CF48" s="161">
        <f t="shared" si="12"/>
        <v>0</v>
      </c>
      <c r="CG48" s="161">
        <f t="shared" si="13"/>
        <v>0</v>
      </c>
      <c r="CH48" s="161">
        <f t="shared" si="14"/>
        <v>0</v>
      </c>
      <c r="CI48" s="161">
        <f t="shared" si="15"/>
        <v>0</v>
      </c>
    </row>
    <row r="49" spans="7:87" x14ac:dyDescent="0.15">
      <c r="G49" s="143">
        <v>12</v>
      </c>
      <c r="H49" s="156">
        <f t="shared" si="31"/>
        <v>120</v>
      </c>
      <c r="I49" s="43">
        <f>SUM(I$7:I19)</f>
        <v>14</v>
      </c>
      <c r="J49" s="43">
        <f>SUM(J$7:J19)</f>
        <v>15600</v>
      </c>
      <c r="K49" s="43">
        <f>SUM(K$7:K19)</f>
        <v>5750000</v>
      </c>
      <c r="M49" s="156">
        <f t="shared" si="29"/>
        <v>12</v>
      </c>
      <c r="N49" s="156">
        <f t="shared" si="30"/>
        <v>120</v>
      </c>
      <c r="O49" s="43">
        <f>SUM(O$7:O19)</f>
        <v>1440</v>
      </c>
      <c r="P49" s="43">
        <f>SUM(P$7:P19)</f>
        <v>8</v>
      </c>
      <c r="S49" s="46">
        <v>2</v>
      </c>
      <c r="T49" s="144" t="s">
        <v>434</v>
      </c>
      <c r="U49" s="187" t="s">
        <v>439</v>
      </c>
      <c r="V49" s="188"/>
      <c r="W49" s="188"/>
      <c r="X49" s="188"/>
      <c r="Y49" s="189"/>
      <c r="Z49" s="187" t="s">
        <v>440</v>
      </c>
      <c r="AA49" s="188"/>
      <c r="AB49" s="188"/>
      <c r="AC49" s="188"/>
      <c r="AD49" s="189"/>
      <c r="AE49" s="187" t="s">
        <v>440</v>
      </c>
      <c r="AF49" s="188"/>
      <c r="AG49" s="188"/>
      <c r="AH49" s="188"/>
      <c r="AI49" s="189"/>
      <c r="AJ49" s="186" t="s">
        <v>221</v>
      </c>
      <c r="AK49" s="186"/>
      <c r="AL49" s="186"/>
      <c r="AM49" s="186"/>
      <c r="AN49" s="186"/>
      <c r="AO49" s="187" t="s">
        <v>222</v>
      </c>
      <c r="AP49" s="188"/>
      <c r="AQ49" s="188"/>
      <c r="AR49" s="188"/>
      <c r="AS49" s="189"/>
      <c r="AT49" s="187" t="s">
        <v>451</v>
      </c>
      <c r="AU49" s="188"/>
      <c r="AV49" s="188"/>
      <c r="AW49" s="188"/>
      <c r="AX49" s="189"/>
      <c r="BB49" s="25">
        <v>1</v>
      </c>
      <c r="BC49" s="148" t="s">
        <v>205</v>
      </c>
      <c r="BD49" s="195" t="s">
        <v>231</v>
      </c>
      <c r="BE49" s="195"/>
      <c r="BF49" s="195"/>
      <c r="BG49" s="195" t="s">
        <v>232</v>
      </c>
      <c r="BH49" s="195"/>
      <c r="BI49" s="195"/>
      <c r="BJ49" s="195"/>
      <c r="BN49" s="150" t="s">
        <v>205</v>
      </c>
      <c r="BO49" s="183" t="s">
        <v>375</v>
      </c>
      <c r="BP49" s="183"/>
      <c r="BQ49" s="183"/>
      <c r="BR49" s="183"/>
      <c r="BS49" s="183"/>
      <c r="BT49" s="183"/>
      <c r="BV49" s="148" t="s">
        <v>205</v>
      </c>
      <c r="BW49" s="184" t="s">
        <v>351</v>
      </c>
      <c r="BX49" s="185"/>
      <c r="CD49" s="161">
        <v>44</v>
      </c>
      <c r="CE49" s="161">
        <f t="shared" si="11"/>
        <v>0</v>
      </c>
      <c r="CF49" s="161">
        <f t="shared" si="12"/>
        <v>0</v>
      </c>
      <c r="CG49" s="161">
        <f t="shared" si="13"/>
        <v>0</v>
      </c>
      <c r="CH49" s="161">
        <f t="shared" si="14"/>
        <v>0</v>
      </c>
      <c r="CI49" s="161">
        <f t="shared" si="15"/>
        <v>0</v>
      </c>
    </row>
    <row r="50" spans="7:87" x14ac:dyDescent="0.15">
      <c r="G50" s="143">
        <v>13</v>
      </c>
      <c r="H50" s="156">
        <f t="shared" si="31"/>
        <v>130</v>
      </c>
      <c r="I50" s="43">
        <f>SUM(I$7:I20)</f>
        <v>16</v>
      </c>
      <c r="J50" s="43">
        <f>SUM(J$7:J20)</f>
        <v>18200</v>
      </c>
      <c r="K50" s="43">
        <f>SUM(K$7:K20)</f>
        <v>6750000</v>
      </c>
      <c r="M50" s="156">
        <f t="shared" si="29"/>
        <v>13</v>
      </c>
      <c r="N50" s="156">
        <f t="shared" si="30"/>
        <v>130</v>
      </c>
      <c r="O50" s="43">
        <f>SUM(O$7:O20)</f>
        <v>1560</v>
      </c>
      <c r="P50" s="43">
        <f>SUM(P$7:P20)</f>
        <v>8.6666666666666661</v>
      </c>
      <c r="S50" s="46">
        <v>3</v>
      </c>
      <c r="T50" s="144" t="s">
        <v>398</v>
      </c>
      <c r="U50" s="147" t="s">
        <v>0</v>
      </c>
      <c r="V50" s="146" t="s">
        <v>1</v>
      </c>
      <c r="W50" s="146" t="s">
        <v>2</v>
      </c>
      <c r="X50" s="146" t="s">
        <v>3</v>
      </c>
      <c r="Y50" s="146" t="s">
        <v>4</v>
      </c>
      <c r="Z50" s="147" t="s">
        <v>0</v>
      </c>
      <c r="AA50" s="146" t="s">
        <v>1</v>
      </c>
      <c r="AB50" s="146" t="s">
        <v>2</v>
      </c>
      <c r="AC50" s="146" t="s">
        <v>3</v>
      </c>
      <c r="AD50" s="146" t="s">
        <v>4</v>
      </c>
      <c r="AE50" s="147" t="s">
        <v>0</v>
      </c>
      <c r="AF50" s="146" t="s">
        <v>1</v>
      </c>
      <c r="AG50" s="146" t="s">
        <v>2</v>
      </c>
      <c r="AH50" s="146" t="s">
        <v>3</v>
      </c>
      <c r="AI50" s="146" t="s">
        <v>4</v>
      </c>
      <c r="AJ50" s="144" t="s">
        <v>0</v>
      </c>
      <c r="AK50" s="143" t="s">
        <v>1</v>
      </c>
      <c r="AL50" s="143" t="s">
        <v>2</v>
      </c>
      <c r="AM50" s="143" t="s">
        <v>3</v>
      </c>
      <c r="AN50" s="143" t="s">
        <v>4</v>
      </c>
      <c r="AO50" s="160" t="s">
        <v>0</v>
      </c>
      <c r="AP50" s="159" t="s">
        <v>1</v>
      </c>
      <c r="AQ50" s="159" t="s">
        <v>2</v>
      </c>
      <c r="AR50" s="159" t="s">
        <v>3</v>
      </c>
      <c r="AS50" s="159" t="s">
        <v>4</v>
      </c>
      <c r="AT50" s="160" t="s">
        <v>0</v>
      </c>
      <c r="AU50" s="159" t="s">
        <v>1</v>
      </c>
      <c r="AV50" s="159" t="s">
        <v>2</v>
      </c>
      <c r="AW50" s="159" t="s">
        <v>3</v>
      </c>
      <c r="AX50" s="159" t="s">
        <v>4</v>
      </c>
      <c r="BB50" s="25">
        <v>2</v>
      </c>
      <c r="BC50" s="51" t="s">
        <v>398</v>
      </c>
      <c r="BD50" s="147" t="s">
        <v>233</v>
      </c>
      <c r="BE50" s="147" t="s">
        <v>223</v>
      </c>
      <c r="BF50" s="147" t="s">
        <v>224</v>
      </c>
      <c r="BG50" s="147" t="s">
        <v>233</v>
      </c>
      <c r="BH50" s="147" t="s">
        <v>223</v>
      </c>
      <c r="BI50" s="147" t="s">
        <v>224</v>
      </c>
      <c r="BJ50" s="51" t="s">
        <v>236</v>
      </c>
      <c r="BN50" s="51" t="s">
        <v>398</v>
      </c>
      <c r="BO50" s="147" t="s">
        <v>442</v>
      </c>
      <c r="BP50" s="147" t="s">
        <v>443</v>
      </c>
      <c r="BQ50" s="147" t="s">
        <v>445</v>
      </c>
      <c r="BR50" s="147" t="s">
        <v>371</v>
      </c>
      <c r="BS50" s="147" t="s">
        <v>353</v>
      </c>
      <c r="BT50" s="147" t="s">
        <v>352</v>
      </c>
      <c r="BV50" s="51" t="s">
        <v>398</v>
      </c>
      <c r="BW50" s="51" t="s">
        <v>215</v>
      </c>
      <c r="BX50" s="147" t="s">
        <v>353</v>
      </c>
      <c r="BY50" s="147" t="s">
        <v>370</v>
      </c>
      <c r="CD50" s="161">
        <v>45</v>
      </c>
      <c r="CE50" s="161">
        <f t="shared" si="11"/>
        <v>0</v>
      </c>
      <c r="CF50" s="161">
        <f t="shared" si="12"/>
        <v>0</v>
      </c>
      <c r="CG50" s="161">
        <f t="shared" si="13"/>
        <v>0</v>
      </c>
      <c r="CH50" s="161">
        <f t="shared" si="14"/>
        <v>0</v>
      </c>
      <c r="CI50" s="161">
        <f t="shared" si="15"/>
        <v>0</v>
      </c>
    </row>
    <row r="51" spans="7:87" x14ac:dyDescent="0.15">
      <c r="G51" s="143">
        <v>14</v>
      </c>
      <c r="H51" s="156">
        <f t="shared" si="31"/>
        <v>140</v>
      </c>
      <c r="I51" s="43">
        <f>SUM(I$7:I21)</f>
        <v>18</v>
      </c>
      <c r="J51" s="43">
        <f>SUM(J$7:J21)</f>
        <v>21000</v>
      </c>
      <c r="K51" s="43">
        <f>SUM(K$7:K21)</f>
        <v>7750000</v>
      </c>
      <c r="M51" s="156">
        <f t="shared" si="29"/>
        <v>14</v>
      </c>
      <c r="N51" s="156">
        <f t="shared" si="30"/>
        <v>140</v>
      </c>
      <c r="O51" s="43">
        <f>SUM(O$7:O21)</f>
        <v>1680</v>
      </c>
      <c r="P51" s="43">
        <f>SUM(P$7:P21)</f>
        <v>9.3333333333333321</v>
      </c>
      <c r="S51" s="46">
        <v>4</v>
      </c>
      <c r="T51" s="144">
        <v>10</v>
      </c>
      <c r="U51" s="147"/>
      <c r="V51" s="147"/>
      <c r="W51" s="147"/>
      <c r="X51" s="147"/>
      <c r="Y51" s="43">
        <f>求节点($G$37:$G$62,$I$37:$I$62,节奏预期!$AB35)</f>
        <v>0</v>
      </c>
      <c r="Z51" s="147"/>
      <c r="AA51" s="147"/>
      <c r="AB51" s="147"/>
      <c r="AC51" s="147"/>
      <c r="AD51" s="43">
        <f>求节点($G$37:$G$62,$J$37:$J$62,节奏预期!$AB35)*3</f>
        <v>0</v>
      </c>
      <c r="AE51" s="146"/>
      <c r="AF51" s="146"/>
      <c r="AG51" s="146"/>
      <c r="AH51" s="146"/>
      <c r="AI51" s="43">
        <f>求节点($G$37:$G$62,$K$37:$K$62,节奏预期!$AB35)*3</f>
        <v>0</v>
      </c>
      <c r="AJ51" s="143"/>
      <c r="AK51" s="143"/>
      <c r="AL51" s="143"/>
      <c r="AM51" s="143"/>
      <c r="AN51" s="43">
        <f>求节点($G$37:$G$62,$O$37:$O$62,节奏预期!AB35)</f>
        <v>0</v>
      </c>
      <c r="AO51" s="160"/>
      <c r="AP51" s="159"/>
      <c r="AQ51" s="159"/>
      <c r="AR51" s="159"/>
      <c r="AS51" s="43">
        <f>AN51</f>
        <v>0</v>
      </c>
      <c r="AT51" s="160"/>
      <c r="AU51" s="159"/>
      <c r="AV51" s="159"/>
      <c r="AW51" s="159"/>
      <c r="AX51" s="43">
        <f>求节点($G$37:$G$62,$P$37:$P$62,节奏预期!$AB35)*3</f>
        <v>0</v>
      </c>
      <c r="BB51" s="25">
        <v>3</v>
      </c>
      <c r="BC51" s="147">
        <v>10</v>
      </c>
      <c r="BD51" s="52">
        <f>AX51</f>
        <v>0</v>
      </c>
      <c r="BE51" s="52">
        <f>AN51</f>
        <v>0</v>
      </c>
      <c r="BF51" s="52">
        <f>AS51</f>
        <v>0</v>
      </c>
      <c r="BG51" s="77">
        <f>BD51*(INDEX([2]小r将兵属性验证!V$7:V$166,$BC51,1)+INDEX([2]小r将兵属性验证!$AP$7:$AP$166,$BC51,1))</f>
        <v>0</v>
      </c>
      <c r="BH51" s="77">
        <f>$BE51*INDEX([2]小r将兵属性验证!W$7:W$166,$BC51,1)</f>
        <v>0</v>
      </c>
      <c r="BI51" s="77">
        <f>$BF51*INDEX([2]小r将兵属性验证!X$7:X$166,$BC51,1)</f>
        <v>0</v>
      </c>
      <c r="BJ51" s="52">
        <f>SUM(BG51:BI51)</f>
        <v>0</v>
      </c>
      <c r="BN51" s="147">
        <v>10</v>
      </c>
      <c r="BO51" s="75">
        <f>AD51*6</f>
        <v>0</v>
      </c>
      <c r="BP51" s="76">
        <f>BO51*INDEX('[1]功能-付费相关'!$DG$6:$DG$165,$BN51,1)</f>
        <v>0</v>
      </c>
      <c r="BQ51" s="75">
        <f>Y51*3*6</f>
        <v>0</v>
      </c>
      <c r="BR51" s="75">
        <v>0</v>
      </c>
      <c r="BS51" s="75">
        <f>AI51*6</f>
        <v>0</v>
      </c>
      <c r="BT51" s="76">
        <f>BS51*INDEX('[1]功能-付费相关'!$AR$6:$AR$165,$CY51,1)</f>
        <v>0</v>
      </c>
      <c r="BV51" s="147">
        <v>10</v>
      </c>
      <c r="BW51" s="147">
        <f>BP51</f>
        <v>0</v>
      </c>
      <c r="BX51" s="147">
        <f t="shared" ref="BX51:BX66" si="32">BT51</f>
        <v>0</v>
      </c>
      <c r="BY51" s="84">
        <f>SUM(BW51:BX51)</f>
        <v>0</v>
      </c>
      <c r="CD51" s="161">
        <v>46</v>
      </c>
      <c r="CE51" s="161">
        <f t="shared" si="11"/>
        <v>0</v>
      </c>
      <c r="CF51" s="161">
        <f t="shared" si="12"/>
        <v>0</v>
      </c>
      <c r="CG51" s="161">
        <f t="shared" si="13"/>
        <v>0</v>
      </c>
      <c r="CH51" s="161">
        <f t="shared" si="14"/>
        <v>0</v>
      </c>
      <c r="CI51" s="161">
        <f t="shared" si="15"/>
        <v>0</v>
      </c>
    </row>
    <row r="52" spans="7:87" x14ac:dyDescent="0.15">
      <c r="G52" s="143">
        <v>15</v>
      </c>
      <c r="H52" s="156">
        <f t="shared" si="31"/>
        <v>150</v>
      </c>
      <c r="I52" s="43">
        <f>SUM(I$7:I22)</f>
        <v>20</v>
      </c>
      <c r="J52" s="43">
        <f>SUM(J$7:J22)</f>
        <v>24000</v>
      </c>
      <c r="K52" s="43">
        <f>SUM(K$7:K22)</f>
        <v>8750000</v>
      </c>
      <c r="M52" s="156">
        <f t="shared" si="29"/>
        <v>15</v>
      </c>
      <c r="N52" s="156">
        <f t="shared" si="30"/>
        <v>150</v>
      </c>
      <c r="O52" s="43">
        <f>SUM(O$7:O22)</f>
        <v>1800</v>
      </c>
      <c r="P52" s="43">
        <f>SUM(P$7:P22)</f>
        <v>9.9999999999999982</v>
      </c>
      <c r="S52" s="46">
        <v>5</v>
      </c>
      <c r="T52" s="144">
        <v>20</v>
      </c>
      <c r="U52" s="147"/>
      <c r="V52" s="147"/>
      <c r="W52" s="147"/>
      <c r="X52" s="147"/>
      <c r="Y52" s="43">
        <f>求节点($G$37:$G$62,$I$37:$I$62,节奏预期!$AB36)</f>
        <v>0</v>
      </c>
      <c r="Z52" s="147"/>
      <c r="AA52" s="147"/>
      <c r="AB52" s="147"/>
      <c r="AC52" s="147"/>
      <c r="AD52" s="43">
        <f>求节点($G$37:$G$62,$J$37:$J$62,节奏预期!$AB36)*3</f>
        <v>0</v>
      </c>
      <c r="AE52" s="146"/>
      <c r="AF52" s="146"/>
      <c r="AG52" s="146"/>
      <c r="AH52" s="146"/>
      <c r="AI52" s="43">
        <f>求节点($G$37:$G$62,$K$37:$K$62,节奏预期!$AB36)*3</f>
        <v>0</v>
      </c>
      <c r="AJ52" s="143"/>
      <c r="AK52" s="143"/>
      <c r="AL52" s="143"/>
      <c r="AM52" s="143"/>
      <c r="AN52" s="43">
        <f>求节点($G$37:$G$62,$O$37:$O$62,节奏预期!AB36)</f>
        <v>0</v>
      </c>
      <c r="AO52" s="160"/>
      <c r="AP52" s="159"/>
      <c r="AQ52" s="159"/>
      <c r="AR52" s="159"/>
      <c r="AS52" s="43">
        <f t="shared" ref="AS52:AS66" si="33">AN52</f>
        <v>0</v>
      </c>
      <c r="AT52" s="160"/>
      <c r="AU52" s="159"/>
      <c r="AV52" s="159"/>
      <c r="AW52" s="159"/>
      <c r="AX52" s="43">
        <f>求节点($G$37:$G$62,$P$37:$P$62,节奏预期!$AB36)*3</f>
        <v>0</v>
      </c>
      <c r="BB52" s="25">
        <v>4</v>
      </c>
      <c r="BC52" s="147">
        <v>20</v>
      </c>
      <c r="BD52" s="52">
        <f t="shared" ref="BD52:BD66" si="34">AX52</f>
        <v>0</v>
      </c>
      <c r="BE52" s="52">
        <f t="shared" ref="BE52:BE66" si="35">AN52</f>
        <v>0</v>
      </c>
      <c r="BF52" s="52">
        <f t="shared" ref="BF52:BF66" si="36">AS52</f>
        <v>0</v>
      </c>
      <c r="BG52" s="109">
        <f>(BD52-BD51)*(INDEX([2]小r将兵属性验证!V$7:V$166,$BC52,1)+INDEX([2]小r将兵属性验证!$AP$7:$AP$166,$BC52,1))+BG51</f>
        <v>0</v>
      </c>
      <c r="BH52" s="109">
        <f>($BE52-$BE51)*INDEX([2]小r将兵属性验证!W$7:W$166,$BC52,1)+BH51</f>
        <v>0</v>
      </c>
      <c r="BI52" s="109">
        <f>($BF52-$BF51)*INDEX([2]小r将兵属性验证!X$7:X$166,$BC52,1)+BI51</f>
        <v>0</v>
      </c>
      <c r="BJ52" s="52">
        <f t="shared" ref="BJ52:BJ66" si="37">SUM(BG52:BI52)</f>
        <v>0</v>
      </c>
      <c r="BN52" s="147">
        <v>20</v>
      </c>
      <c r="BO52" s="75">
        <f t="shared" ref="BO52:BO66" si="38">AD52*6</f>
        <v>0</v>
      </c>
      <c r="BP52" s="164">
        <f>(BO52-BO51)*INDEX('[1]功能-付费相关'!$DG$6:$DG$165,$BN52,1)+BP51</f>
        <v>0</v>
      </c>
      <c r="BQ52" s="75">
        <f t="shared" ref="BQ52:BQ66" si="39">Y52*3*6</f>
        <v>0</v>
      </c>
      <c r="BR52" s="75">
        <v>0</v>
      </c>
      <c r="BS52" s="75">
        <f t="shared" ref="BS52:BS66" si="40">AI52*6</f>
        <v>0</v>
      </c>
      <c r="BT52" s="75">
        <f>(BS52-BS51)*INDEX('[1]功能-付费相关'!$AR$6:$AR$165,$CY52,1)+BT51</f>
        <v>0</v>
      </c>
      <c r="BV52" s="147">
        <v>20</v>
      </c>
      <c r="BW52" s="147">
        <f t="shared" ref="BW52:BW66" si="41">BP52</f>
        <v>0</v>
      </c>
      <c r="BX52" s="147">
        <f t="shared" si="32"/>
        <v>0</v>
      </c>
      <c r="BY52" s="84">
        <f t="shared" ref="BY52:BY66" si="42">SUM(BW52:BX52)</f>
        <v>0</v>
      </c>
      <c r="CD52" s="161">
        <v>47</v>
      </c>
      <c r="CE52" s="161">
        <f t="shared" si="11"/>
        <v>0</v>
      </c>
      <c r="CF52" s="161">
        <f t="shared" si="12"/>
        <v>0</v>
      </c>
      <c r="CG52" s="161">
        <f t="shared" si="13"/>
        <v>0</v>
      </c>
      <c r="CH52" s="161">
        <f t="shared" si="14"/>
        <v>0</v>
      </c>
      <c r="CI52" s="161">
        <f t="shared" si="15"/>
        <v>0</v>
      </c>
    </row>
    <row r="53" spans="7:87" x14ac:dyDescent="0.15">
      <c r="G53" s="143">
        <v>16</v>
      </c>
      <c r="H53" s="156">
        <f t="shared" si="31"/>
        <v>160</v>
      </c>
      <c r="I53" s="43">
        <f>SUM(I$7:I23)</f>
        <v>22</v>
      </c>
      <c r="J53" s="43">
        <f>SUM(J$7:J23)</f>
        <v>28000</v>
      </c>
      <c r="K53" s="43">
        <f>SUM(K$7:K23)</f>
        <v>10750000</v>
      </c>
      <c r="M53" s="156">
        <f t="shared" si="29"/>
        <v>16</v>
      </c>
      <c r="N53" s="156">
        <f t="shared" si="30"/>
        <v>160</v>
      </c>
      <c r="O53" s="43">
        <f>SUM(O$7:O23)</f>
        <v>1920</v>
      </c>
      <c r="P53" s="43">
        <f>SUM(P$7:P23)</f>
        <v>10.666666666666664</v>
      </c>
      <c r="S53" s="46">
        <v>6</v>
      </c>
      <c r="T53" s="144">
        <v>30</v>
      </c>
      <c r="U53" s="147"/>
      <c r="V53" s="147"/>
      <c r="W53" s="147"/>
      <c r="X53" s="147"/>
      <c r="Y53" s="43">
        <f>求节点($G$37:$G$62,$I$37:$I$62,节奏预期!$AB37)</f>
        <v>0</v>
      </c>
      <c r="Z53" s="147"/>
      <c r="AA53" s="147"/>
      <c r="AB53" s="147"/>
      <c r="AC53" s="147"/>
      <c r="AD53" s="43">
        <f>求节点($G$37:$G$62,$J$37:$J$62,节奏预期!$AB37)*3</f>
        <v>0</v>
      </c>
      <c r="AE53" s="146"/>
      <c r="AF53" s="146"/>
      <c r="AG53" s="146"/>
      <c r="AH53" s="146"/>
      <c r="AI53" s="43">
        <f>求节点($G$37:$G$62,$K$37:$K$62,节奏预期!$AB37)*3</f>
        <v>0</v>
      </c>
      <c r="AJ53" s="143"/>
      <c r="AK53" s="143"/>
      <c r="AL53" s="143"/>
      <c r="AM53" s="143"/>
      <c r="AN53" s="43">
        <f>求节点($G$37:$G$62,$O$37:$O$62,节奏预期!AB37)</f>
        <v>0</v>
      </c>
      <c r="AO53" s="160"/>
      <c r="AP53" s="159"/>
      <c r="AQ53" s="159"/>
      <c r="AR53" s="159"/>
      <c r="AS53" s="43">
        <f t="shared" si="33"/>
        <v>0</v>
      </c>
      <c r="AT53" s="160"/>
      <c r="AU53" s="159"/>
      <c r="AV53" s="159"/>
      <c r="AW53" s="159"/>
      <c r="AX53" s="43">
        <f>求节点($G$37:$G$62,$P$37:$P$62,节奏预期!$AB37)*3</f>
        <v>0</v>
      </c>
      <c r="BB53" s="25">
        <v>5</v>
      </c>
      <c r="BC53" s="147">
        <v>30</v>
      </c>
      <c r="BD53" s="52">
        <f t="shared" si="34"/>
        <v>0</v>
      </c>
      <c r="BE53" s="52">
        <f t="shared" si="35"/>
        <v>0</v>
      </c>
      <c r="BF53" s="52">
        <f t="shared" si="36"/>
        <v>0</v>
      </c>
      <c r="BG53" s="109">
        <f>(BD53-BD52)*(INDEX([2]小r将兵属性验证!V$7:V$166,$BC53,1)+INDEX([2]小r将兵属性验证!$AP$7:$AP$166,$BC53,1))+BG52</f>
        <v>0</v>
      </c>
      <c r="BH53" s="109">
        <f>($BE53-$BE52)*INDEX([2]小r将兵属性验证!W$7:W$166,$BC53,1)+BH52</f>
        <v>0</v>
      </c>
      <c r="BI53" s="109">
        <f>($BF53-$BF52)*INDEX([2]小r将兵属性验证!X$7:X$166,$BC53,1)+BI52</f>
        <v>0</v>
      </c>
      <c r="BJ53" s="52">
        <f t="shared" si="37"/>
        <v>0</v>
      </c>
      <c r="BN53" s="147">
        <v>30</v>
      </c>
      <c r="BO53" s="75">
        <f t="shared" si="38"/>
        <v>0</v>
      </c>
      <c r="BP53" s="164">
        <f>(BO53-BO52)*INDEX('[1]功能-付费相关'!$DG$6:$DG$165,$BN53,1)+BP52</f>
        <v>0</v>
      </c>
      <c r="BQ53" s="75">
        <f t="shared" si="39"/>
        <v>0</v>
      </c>
      <c r="BR53" s="75">
        <v>0</v>
      </c>
      <c r="BS53" s="75">
        <f t="shared" si="40"/>
        <v>0</v>
      </c>
      <c r="BT53" s="75">
        <f>(BS53-BS52)*INDEX('[1]功能-付费相关'!$AR$6:$AR$165,$CY53,1)+BT52</f>
        <v>0</v>
      </c>
      <c r="BV53" s="147">
        <v>30</v>
      </c>
      <c r="BW53" s="147">
        <f t="shared" si="41"/>
        <v>0</v>
      </c>
      <c r="BX53" s="147">
        <f t="shared" si="32"/>
        <v>0</v>
      </c>
      <c r="BY53" s="84">
        <f t="shared" si="42"/>
        <v>0</v>
      </c>
      <c r="CD53" s="161">
        <v>48</v>
      </c>
      <c r="CE53" s="161">
        <f t="shared" si="11"/>
        <v>0</v>
      </c>
      <c r="CF53" s="161">
        <f t="shared" si="12"/>
        <v>0</v>
      </c>
      <c r="CG53" s="161">
        <f t="shared" si="13"/>
        <v>0</v>
      </c>
      <c r="CH53" s="161">
        <f t="shared" si="14"/>
        <v>0</v>
      </c>
      <c r="CI53" s="161">
        <f t="shared" si="15"/>
        <v>0</v>
      </c>
    </row>
    <row r="54" spans="7:87" x14ac:dyDescent="0.15">
      <c r="G54" s="143">
        <v>17</v>
      </c>
      <c r="H54" s="156">
        <f t="shared" si="31"/>
        <v>170</v>
      </c>
      <c r="I54" s="43">
        <f>SUM(I$7:I24)</f>
        <v>24</v>
      </c>
      <c r="J54" s="43">
        <f>SUM(J$7:J24)</f>
        <v>33000</v>
      </c>
      <c r="K54" s="43">
        <f>SUM(K$7:K24)</f>
        <v>12750000</v>
      </c>
      <c r="M54" s="156">
        <f t="shared" si="29"/>
        <v>17</v>
      </c>
      <c r="N54" s="156">
        <f t="shared" si="30"/>
        <v>170</v>
      </c>
      <c r="O54" s="43">
        <f>SUM(O$7:O24)</f>
        <v>2040</v>
      </c>
      <c r="P54" s="43">
        <f>SUM(P$7:P24)</f>
        <v>11.33333333333333</v>
      </c>
      <c r="S54" s="46">
        <v>7</v>
      </c>
      <c r="T54" s="144">
        <v>40</v>
      </c>
      <c r="U54" s="147"/>
      <c r="V54" s="147"/>
      <c r="W54" s="147"/>
      <c r="X54" s="147"/>
      <c r="Y54" s="43">
        <f>求节点($G$37:$G$62,$I$37:$I$62,节奏预期!$AB38)</f>
        <v>0</v>
      </c>
      <c r="Z54" s="147"/>
      <c r="AA54" s="147"/>
      <c r="AB54" s="147"/>
      <c r="AC54" s="147"/>
      <c r="AD54" s="43">
        <f>求节点($G$37:$G$62,$J$37:$J$62,节奏预期!$AB38)*3</f>
        <v>0</v>
      </c>
      <c r="AE54" s="146"/>
      <c r="AF54" s="146"/>
      <c r="AG54" s="146"/>
      <c r="AH54" s="146"/>
      <c r="AI54" s="43">
        <f>求节点($G$37:$G$62,$K$37:$K$62,节奏预期!$AB38)*3</f>
        <v>0</v>
      </c>
      <c r="AJ54" s="143"/>
      <c r="AK54" s="143"/>
      <c r="AL54" s="143"/>
      <c r="AM54" s="143"/>
      <c r="AN54" s="43">
        <f>求节点($G$37:$G$62,$O$37:$O$62,节奏预期!AB38)</f>
        <v>0</v>
      </c>
      <c r="AO54" s="160"/>
      <c r="AP54" s="159"/>
      <c r="AQ54" s="159"/>
      <c r="AR54" s="159"/>
      <c r="AS54" s="43">
        <f t="shared" si="33"/>
        <v>0</v>
      </c>
      <c r="AT54" s="160"/>
      <c r="AU54" s="159"/>
      <c r="AV54" s="159"/>
      <c r="AW54" s="159"/>
      <c r="AX54" s="43">
        <f>求节点($G$37:$G$62,$P$37:$P$62,节奏预期!$AB38)*3</f>
        <v>0</v>
      </c>
      <c r="BB54" s="25">
        <v>6</v>
      </c>
      <c r="BC54" s="147">
        <v>40</v>
      </c>
      <c r="BD54" s="52">
        <f t="shared" si="34"/>
        <v>0</v>
      </c>
      <c r="BE54" s="52">
        <f t="shared" si="35"/>
        <v>0</v>
      </c>
      <c r="BF54" s="52">
        <f t="shared" si="36"/>
        <v>0</v>
      </c>
      <c r="BG54" s="109">
        <f>(BD54-BD53)*(INDEX([2]小r将兵属性验证!V$7:V$166,$BC54,1)+INDEX([2]小r将兵属性验证!$AP$7:$AP$166,$BC54,1))+BG53</f>
        <v>0</v>
      </c>
      <c r="BH54" s="109">
        <f>($BE54-$BE53)*INDEX([2]小r将兵属性验证!W$7:W$166,$BC54,1)+BH53</f>
        <v>0</v>
      </c>
      <c r="BI54" s="109">
        <f>($BF54-$BF53)*INDEX([2]小r将兵属性验证!X$7:X$166,$BC54,1)+BI53</f>
        <v>0</v>
      </c>
      <c r="BJ54" s="52">
        <f t="shared" si="37"/>
        <v>0</v>
      </c>
      <c r="BN54" s="147">
        <v>40</v>
      </c>
      <c r="BO54" s="75">
        <f t="shared" si="38"/>
        <v>0</v>
      </c>
      <c r="BP54" s="164">
        <f>(BO54-BO53)*INDEX('[1]功能-付费相关'!$DG$6:$DG$165,$BN54,1)+BP53</f>
        <v>0</v>
      </c>
      <c r="BQ54" s="75">
        <f t="shared" si="39"/>
        <v>0</v>
      </c>
      <c r="BR54" s="75">
        <v>0</v>
      </c>
      <c r="BS54" s="75">
        <f t="shared" si="40"/>
        <v>0</v>
      </c>
      <c r="BT54" s="75">
        <f>(BS54-BS53)*INDEX('[1]功能-付费相关'!$AR$6:$AR$165,$CY54,1)+BT53</f>
        <v>0</v>
      </c>
      <c r="BV54" s="147">
        <v>40</v>
      </c>
      <c r="BW54" s="147">
        <f t="shared" si="41"/>
        <v>0</v>
      </c>
      <c r="BX54" s="147">
        <f t="shared" si="32"/>
        <v>0</v>
      </c>
      <c r="BY54" s="84">
        <f t="shared" si="42"/>
        <v>0</v>
      </c>
      <c r="CD54" s="161">
        <v>49</v>
      </c>
      <c r="CE54" s="161">
        <f t="shared" si="11"/>
        <v>0</v>
      </c>
      <c r="CF54" s="161">
        <f t="shared" si="12"/>
        <v>0</v>
      </c>
      <c r="CG54" s="161">
        <f t="shared" si="13"/>
        <v>0</v>
      </c>
      <c r="CH54" s="161">
        <f t="shared" si="14"/>
        <v>0</v>
      </c>
      <c r="CI54" s="161">
        <f t="shared" si="15"/>
        <v>0</v>
      </c>
    </row>
    <row r="55" spans="7:87" x14ac:dyDescent="0.15">
      <c r="G55" s="143">
        <v>18</v>
      </c>
      <c r="H55" s="156">
        <f t="shared" si="31"/>
        <v>180</v>
      </c>
      <c r="I55" s="43">
        <f>SUM(I$7:I25)</f>
        <v>26</v>
      </c>
      <c r="J55" s="43">
        <f>SUM(J$7:J25)</f>
        <v>39000</v>
      </c>
      <c r="K55" s="43">
        <f>SUM(K$7:K25)</f>
        <v>14750000</v>
      </c>
      <c r="M55" s="156">
        <f t="shared" si="29"/>
        <v>18</v>
      </c>
      <c r="N55" s="156">
        <f t="shared" si="30"/>
        <v>180</v>
      </c>
      <c r="O55" s="43">
        <f>SUM(O$7:O25)</f>
        <v>2160</v>
      </c>
      <c r="P55" s="43">
        <f>SUM(P$7:P25)</f>
        <v>11.999999999999996</v>
      </c>
      <c r="S55" s="46">
        <v>8</v>
      </c>
      <c r="T55" s="144">
        <v>50</v>
      </c>
      <c r="U55" s="147"/>
      <c r="V55" s="147"/>
      <c r="W55" s="147"/>
      <c r="X55" s="147"/>
      <c r="Y55" s="43">
        <f>求节点($G$37:$G$62,$I$37:$I$62,节奏预期!$AB39)</f>
        <v>0</v>
      </c>
      <c r="Z55" s="147"/>
      <c r="AA55" s="147"/>
      <c r="AB55" s="147"/>
      <c r="AC55" s="147"/>
      <c r="AD55" s="43">
        <f>求节点($G$37:$G$62,$J$37:$J$62,节奏预期!$AB39)*3</f>
        <v>0</v>
      </c>
      <c r="AE55" s="146"/>
      <c r="AF55" s="146"/>
      <c r="AG55" s="146"/>
      <c r="AH55" s="146"/>
      <c r="AI55" s="43">
        <f>求节点($G$37:$G$62,$K$37:$K$62,节奏预期!$AB39)*3</f>
        <v>0</v>
      </c>
      <c r="AJ55" s="143"/>
      <c r="AK55" s="143"/>
      <c r="AL55" s="143"/>
      <c r="AM55" s="143"/>
      <c r="AN55" s="43">
        <f>求节点($G$37:$G$62,$O$37:$O$62,节奏预期!AB39)</f>
        <v>0</v>
      </c>
      <c r="AO55" s="160"/>
      <c r="AP55" s="159"/>
      <c r="AQ55" s="159"/>
      <c r="AR55" s="159"/>
      <c r="AS55" s="43">
        <f t="shared" si="33"/>
        <v>0</v>
      </c>
      <c r="AT55" s="160"/>
      <c r="AU55" s="159"/>
      <c r="AV55" s="159"/>
      <c r="AW55" s="159"/>
      <c r="AX55" s="43">
        <f>求节点($G$37:$G$62,$P$37:$P$62,节奏预期!$AB39)*3</f>
        <v>0</v>
      </c>
      <c r="BB55" s="25">
        <v>7</v>
      </c>
      <c r="BC55" s="147">
        <v>50</v>
      </c>
      <c r="BD55" s="52">
        <f t="shared" si="34"/>
        <v>0</v>
      </c>
      <c r="BE55" s="52">
        <f t="shared" si="35"/>
        <v>0</v>
      </c>
      <c r="BF55" s="52">
        <f t="shared" si="36"/>
        <v>0</v>
      </c>
      <c r="BG55" s="109">
        <f>(BD55-BD54)*(INDEX([2]小r将兵属性验证!V$7:V$166,$BC55,1)+INDEX([2]小r将兵属性验证!$AP$7:$AP$166,$BC55,1))+BG54</f>
        <v>0</v>
      </c>
      <c r="BH55" s="109">
        <f>($BE55-$BE54)*INDEX([2]小r将兵属性验证!W$7:W$166,$BC55,1)+BH54</f>
        <v>0</v>
      </c>
      <c r="BI55" s="109">
        <f>($BF55-$BF54)*INDEX([2]小r将兵属性验证!X$7:X$166,$BC55,1)+BI54</f>
        <v>0</v>
      </c>
      <c r="BJ55" s="52">
        <f t="shared" si="37"/>
        <v>0</v>
      </c>
      <c r="BN55" s="147">
        <v>50</v>
      </c>
      <c r="BO55" s="75">
        <f t="shared" si="38"/>
        <v>0</v>
      </c>
      <c r="BP55" s="164">
        <f>(BO55-BO54)*INDEX('[1]功能-付费相关'!$DG$6:$DG$165,$BN55,1)+BP54</f>
        <v>0</v>
      </c>
      <c r="BQ55" s="75">
        <f t="shared" si="39"/>
        <v>0</v>
      </c>
      <c r="BR55" s="75">
        <v>0</v>
      </c>
      <c r="BS55" s="75">
        <f t="shared" si="40"/>
        <v>0</v>
      </c>
      <c r="BT55" s="75">
        <f>(BS55-BS54)*INDEX('[1]功能-付费相关'!$AR$6:$AR$165,$CY55,1)+BT54</f>
        <v>0</v>
      </c>
      <c r="BV55" s="147">
        <v>50</v>
      </c>
      <c r="BW55" s="147">
        <f t="shared" si="41"/>
        <v>0</v>
      </c>
      <c r="BX55" s="147">
        <f t="shared" si="32"/>
        <v>0</v>
      </c>
      <c r="BY55" s="84">
        <f t="shared" si="42"/>
        <v>0</v>
      </c>
      <c r="CD55" s="161">
        <v>50</v>
      </c>
      <c r="CE55" s="161">
        <f t="shared" si="11"/>
        <v>0</v>
      </c>
      <c r="CF55" s="161">
        <f t="shared" si="12"/>
        <v>0</v>
      </c>
      <c r="CG55" s="161">
        <f t="shared" si="13"/>
        <v>0</v>
      </c>
      <c r="CH55" s="161">
        <f t="shared" si="14"/>
        <v>0</v>
      </c>
      <c r="CI55" s="161">
        <f t="shared" si="15"/>
        <v>0</v>
      </c>
    </row>
    <row r="56" spans="7:87" x14ac:dyDescent="0.15">
      <c r="G56" s="143">
        <v>19</v>
      </c>
      <c r="H56" s="156">
        <f t="shared" si="31"/>
        <v>190</v>
      </c>
      <c r="I56" s="43">
        <f>SUM(I$7:I26)</f>
        <v>28</v>
      </c>
      <c r="J56" s="43">
        <f>SUM(J$7:J26)</f>
        <v>46000</v>
      </c>
      <c r="K56" s="43">
        <f>SUM(K$7:K26)</f>
        <v>16750000</v>
      </c>
      <c r="M56" s="156">
        <f t="shared" si="29"/>
        <v>19</v>
      </c>
      <c r="N56" s="156">
        <f t="shared" si="30"/>
        <v>190</v>
      </c>
      <c r="O56" s="43">
        <f>SUM(O$7:O26)</f>
        <v>2280</v>
      </c>
      <c r="P56" s="43">
        <f>SUM(P$7:P26)</f>
        <v>12.666666666666663</v>
      </c>
      <c r="S56" s="46">
        <v>9</v>
      </c>
      <c r="T56" s="144">
        <v>60</v>
      </c>
      <c r="U56" s="147"/>
      <c r="V56" s="147"/>
      <c r="W56" s="147"/>
      <c r="X56" s="147"/>
      <c r="Y56" s="43">
        <f>求节点($G$37:$G$62,$I$37:$I$62,节奏预期!$AB40)</f>
        <v>0</v>
      </c>
      <c r="Z56" s="147"/>
      <c r="AA56" s="147"/>
      <c r="AB56" s="147"/>
      <c r="AC56" s="147"/>
      <c r="AD56" s="43">
        <f>求节点($G$37:$G$62,$J$37:$J$62,节奏预期!$AB40)*3</f>
        <v>0</v>
      </c>
      <c r="AE56" s="146"/>
      <c r="AF56" s="146"/>
      <c r="AG56" s="146"/>
      <c r="AH56" s="146"/>
      <c r="AI56" s="43">
        <f>求节点($G$37:$G$62,$K$37:$K$62,节奏预期!$AB40)*3</f>
        <v>0</v>
      </c>
      <c r="AJ56" s="143"/>
      <c r="AK56" s="143"/>
      <c r="AL56" s="143"/>
      <c r="AM56" s="143"/>
      <c r="AN56" s="43">
        <f>求节点($G$37:$G$62,$O$37:$O$62,节奏预期!AB40)</f>
        <v>0</v>
      </c>
      <c r="AO56" s="160"/>
      <c r="AP56" s="159"/>
      <c r="AQ56" s="159"/>
      <c r="AR56" s="159"/>
      <c r="AS56" s="43">
        <f t="shared" si="33"/>
        <v>0</v>
      </c>
      <c r="AT56" s="160"/>
      <c r="AU56" s="159"/>
      <c r="AV56" s="159"/>
      <c r="AW56" s="159"/>
      <c r="AX56" s="43">
        <f>求节点($G$37:$G$62,$P$37:$P$62,节奏预期!$AB40)*3</f>
        <v>0</v>
      </c>
      <c r="BB56" s="25">
        <v>8</v>
      </c>
      <c r="BC56" s="147">
        <v>60</v>
      </c>
      <c r="BD56" s="52">
        <f t="shared" si="34"/>
        <v>0</v>
      </c>
      <c r="BE56" s="52">
        <f t="shared" si="35"/>
        <v>0</v>
      </c>
      <c r="BF56" s="52">
        <f t="shared" si="36"/>
        <v>0</v>
      </c>
      <c r="BG56" s="109">
        <f>(BD56-BD55)*(INDEX([2]小r将兵属性验证!V$7:V$166,$BC56,1)+INDEX([2]小r将兵属性验证!$AP$7:$AP$166,$BC56,1))+BG55</f>
        <v>0</v>
      </c>
      <c r="BH56" s="109">
        <f>($BE56-$BE55)*INDEX([2]小r将兵属性验证!W$7:W$166,$BC56,1)+BH55</f>
        <v>0</v>
      </c>
      <c r="BI56" s="109">
        <f>($BF56-$BF55)*INDEX([2]小r将兵属性验证!X$7:X$166,$BC56,1)+BI55</f>
        <v>0</v>
      </c>
      <c r="BJ56" s="52">
        <f t="shared" si="37"/>
        <v>0</v>
      </c>
      <c r="BN56" s="147">
        <v>60</v>
      </c>
      <c r="BO56" s="75">
        <f t="shared" si="38"/>
        <v>0</v>
      </c>
      <c r="BP56" s="164">
        <f>(BO56-BO55)*INDEX('[1]功能-付费相关'!$DG$6:$DG$165,$BN56,1)+BP55</f>
        <v>0</v>
      </c>
      <c r="BQ56" s="75">
        <f t="shared" si="39"/>
        <v>0</v>
      </c>
      <c r="BR56" s="75">
        <v>0</v>
      </c>
      <c r="BS56" s="75">
        <f t="shared" si="40"/>
        <v>0</v>
      </c>
      <c r="BT56" s="75">
        <f>(BS56-BS55)*INDEX('[1]功能-付费相关'!$AR$6:$AR$165,$CY56,1)+BT55</f>
        <v>0</v>
      </c>
      <c r="BV56" s="147">
        <v>60</v>
      </c>
      <c r="BW56" s="147">
        <f t="shared" si="41"/>
        <v>0</v>
      </c>
      <c r="BX56" s="147">
        <f t="shared" si="32"/>
        <v>0</v>
      </c>
      <c r="BY56" s="84">
        <f t="shared" si="42"/>
        <v>0</v>
      </c>
      <c r="CD56" s="161">
        <v>51</v>
      </c>
      <c r="CE56" s="161">
        <f t="shared" si="11"/>
        <v>0</v>
      </c>
      <c r="CF56" s="161">
        <f t="shared" si="12"/>
        <v>0</v>
      </c>
      <c r="CG56" s="161">
        <f t="shared" si="13"/>
        <v>0</v>
      </c>
      <c r="CH56" s="161">
        <f t="shared" si="14"/>
        <v>0</v>
      </c>
      <c r="CI56" s="161">
        <f t="shared" si="15"/>
        <v>0</v>
      </c>
    </row>
    <row r="57" spans="7:87" x14ac:dyDescent="0.15">
      <c r="G57" s="143">
        <v>20</v>
      </c>
      <c r="H57" s="156">
        <f t="shared" si="31"/>
        <v>200</v>
      </c>
      <c r="I57" s="43">
        <f>SUM(I$7:I27)</f>
        <v>30</v>
      </c>
      <c r="J57" s="43">
        <f>SUM(J$7:J27)</f>
        <v>54000</v>
      </c>
      <c r="K57" s="43">
        <f>SUM(K$7:K27)</f>
        <v>18750000</v>
      </c>
      <c r="M57" s="156">
        <f t="shared" si="29"/>
        <v>20</v>
      </c>
      <c r="N57" s="156">
        <f t="shared" si="30"/>
        <v>200</v>
      </c>
      <c r="O57" s="43">
        <f>SUM(O$7:O27)</f>
        <v>2400</v>
      </c>
      <c r="P57" s="43">
        <f>SUM(P$7:P27)</f>
        <v>13.333333333333329</v>
      </c>
      <c r="S57" s="46">
        <v>10</v>
      </c>
      <c r="T57" s="144">
        <v>70</v>
      </c>
      <c r="U57" s="147"/>
      <c r="V57" s="147"/>
      <c r="W57" s="147"/>
      <c r="X57" s="147"/>
      <c r="Y57" s="43">
        <f>求节点($G$37:$G$62,$I$37:$I$62,节奏预期!$AB41)</f>
        <v>2.5</v>
      </c>
      <c r="Z57" s="147"/>
      <c r="AA57" s="147"/>
      <c r="AB57" s="147"/>
      <c r="AC57" s="147"/>
      <c r="AD57" s="43">
        <f>求节点($G$37:$G$62,$J$37:$J$62,节奏预期!$AB41)*3</f>
        <v>2700</v>
      </c>
      <c r="AE57" s="146"/>
      <c r="AF57" s="146"/>
      <c r="AG57" s="146"/>
      <c r="AH57" s="146"/>
      <c r="AI57" s="43">
        <f>求节点($G$37:$G$62,$K$37:$K$62,节奏预期!$AB41)*3</f>
        <v>1875000</v>
      </c>
      <c r="AJ57" s="143"/>
      <c r="AK57" s="143"/>
      <c r="AL57" s="143"/>
      <c r="AM57" s="143"/>
      <c r="AN57" s="43">
        <f>求节点($G$37:$G$62,$O$37:$O$62,节奏预期!AB41)</f>
        <v>300</v>
      </c>
      <c r="AO57" s="160"/>
      <c r="AP57" s="159"/>
      <c r="AQ57" s="159"/>
      <c r="AR57" s="159"/>
      <c r="AS57" s="43">
        <f t="shared" si="33"/>
        <v>300</v>
      </c>
      <c r="AT57" s="160"/>
      <c r="AU57" s="159"/>
      <c r="AV57" s="159"/>
      <c r="AW57" s="159"/>
      <c r="AX57" s="43">
        <f>求节点($G$37:$G$62,$P$37:$P$62,节奏预期!$AB41)*3</f>
        <v>5</v>
      </c>
      <c r="BB57" s="25">
        <v>9</v>
      </c>
      <c r="BC57" s="147">
        <v>70</v>
      </c>
      <c r="BD57" s="52">
        <f t="shared" si="34"/>
        <v>5</v>
      </c>
      <c r="BE57" s="52">
        <f t="shared" si="35"/>
        <v>300</v>
      </c>
      <c r="BF57" s="52">
        <f t="shared" si="36"/>
        <v>300</v>
      </c>
      <c r="BG57" s="109">
        <f>(BD57-BD56)*(INDEX([2]小r将兵属性验证!V$7:V$166,$BC57,1)+INDEX([2]小r将兵属性验证!$AP$7:$AP$166,$BC57,1))+BG56</f>
        <v>629256910.9391892</v>
      </c>
      <c r="BH57" s="109">
        <f>($BE57-$BE56)*INDEX([2]小r将兵属性验证!W$7:W$166,$BC57,1)+BH56</f>
        <v>313525089.65854341</v>
      </c>
      <c r="BI57" s="109">
        <f>($BF57-$BF56)*INDEX([2]小r将兵属性验证!X$7:X$166,$BC57,1)+BI56</f>
        <v>313525089.65854341</v>
      </c>
      <c r="BJ57" s="52">
        <f t="shared" si="37"/>
        <v>1256307090.2562759</v>
      </c>
      <c r="BN57" s="147">
        <v>70</v>
      </c>
      <c r="BO57" s="75">
        <f t="shared" si="38"/>
        <v>16200</v>
      </c>
      <c r="BP57" s="164">
        <f>(BO57-BO56)*INDEX('[1]功能-付费相关'!$DG$6:$DG$165,$BN57,1)+BP56</f>
        <v>52684.943489492529</v>
      </c>
      <c r="BQ57" s="75">
        <f t="shared" si="39"/>
        <v>45</v>
      </c>
      <c r="BR57" s="75">
        <v>0</v>
      </c>
      <c r="BS57" s="75">
        <f t="shared" si="40"/>
        <v>11250000</v>
      </c>
      <c r="BT57" s="75">
        <f>(BS57-BS56)*INDEX('[1]功能-付费相关'!$AR$6:$AR$165,$CY57,1)+BT56</f>
        <v>15285.326086956522</v>
      </c>
      <c r="BV57" s="147">
        <v>70</v>
      </c>
      <c r="BW57" s="147">
        <f t="shared" si="41"/>
        <v>52684.943489492529</v>
      </c>
      <c r="BX57" s="147">
        <f t="shared" si="32"/>
        <v>15285.326086956522</v>
      </c>
      <c r="BY57" s="84">
        <f t="shared" si="42"/>
        <v>67970.269576449049</v>
      </c>
      <c r="CD57" s="161">
        <v>52</v>
      </c>
      <c r="CE57" s="161">
        <f t="shared" si="11"/>
        <v>0</v>
      </c>
      <c r="CF57" s="161">
        <f t="shared" si="12"/>
        <v>0</v>
      </c>
      <c r="CG57" s="161">
        <f t="shared" si="13"/>
        <v>0</v>
      </c>
      <c r="CH57" s="161">
        <f t="shared" si="14"/>
        <v>0</v>
      </c>
      <c r="CI57" s="161">
        <f t="shared" si="15"/>
        <v>0</v>
      </c>
    </row>
    <row r="58" spans="7:87" x14ac:dyDescent="0.15">
      <c r="G58" s="143">
        <v>21</v>
      </c>
      <c r="H58" s="156">
        <f t="shared" si="31"/>
        <v>210</v>
      </c>
      <c r="I58" s="43">
        <f>SUM(I$7:I28)</f>
        <v>33</v>
      </c>
      <c r="J58" s="43">
        <f>SUM(J$7:J28)</f>
        <v>64000</v>
      </c>
      <c r="K58" s="43">
        <f>SUM(K$7:K28)</f>
        <v>22750000</v>
      </c>
      <c r="M58" s="156">
        <f t="shared" si="29"/>
        <v>21</v>
      </c>
      <c r="N58" s="156">
        <f t="shared" si="30"/>
        <v>210</v>
      </c>
      <c r="O58" s="43">
        <f>SUM(O$7:O28)</f>
        <v>2520</v>
      </c>
      <c r="P58" s="43">
        <f>SUM(P$7:P28)</f>
        <v>13.999999999999995</v>
      </c>
      <c r="S58" s="46">
        <v>11</v>
      </c>
      <c r="T58" s="144">
        <v>80</v>
      </c>
      <c r="U58" s="147"/>
      <c r="V58" s="147"/>
      <c r="W58" s="147"/>
      <c r="X58" s="147"/>
      <c r="Y58" s="43">
        <f>求节点($G$37:$G$62,$I$37:$I$62,节奏预期!$AB42)</f>
        <v>5</v>
      </c>
      <c r="Z58" s="147"/>
      <c r="AA58" s="147"/>
      <c r="AB58" s="147"/>
      <c r="AC58" s="147"/>
      <c r="AD58" s="43">
        <f>求节点($G$37:$G$62,$J$37:$J$62,节奏预期!$AB42)*3</f>
        <v>9000</v>
      </c>
      <c r="AE58" s="146"/>
      <c r="AF58" s="146"/>
      <c r="AG58" s="146"/>
      <c r="AH58" s="146"/>
      <c r="AI58" s="43">
        <f>求节点($G$37:$G$62,$K$37:$K$62,节奏预期!$AB42)*3</f>
        <v>3750000</v>
      </c>
      <c r="AJ58" s="143"/>
      <c r="AK58" s="143"/>
      <c r="AL58" s="143"/>
      <c r="AM58" s="143"/>
      <c r="AN58" s="43">
        <f>求节点($G$37:$G$62,$O$37:$O$62,节奏预期!AB42)</f>
        <v>600</v>
      </c>
      <c r="AO58" s="160"/>
      <c r="AP58" s="159"/>
      <c r="AQ58" s="159"/>
      <c r="AR58" s="159"/>
      <c r="AS58" s="43">
        <f t="shared" si="33"/>
        <v>600</v>
      </c>
      <c r="AT58" s="160"/>
      <c r="AU58" s="159"/>
      <c r="AV58" s="159"/>
      <c r="AW58" s="159"/>
      <c r="AX58" s="43">
        <f>求节点($G$37:$G$62,$P$37:$P$62,节奏预期!$AB42)*3</f>
        <v>10</v>
      </c>
      <c r="BB58" s="25">
        <v>10</v>
      </c>
      <c r="BC58" s="147">
        <v>80</v>
      </c>
      <c r="BD58" s="52">
        <f t="shared" si="34"/>
        <v>10</v>
      </c>
      <c r="BE58" s="52">
        <f t="shared" si="35"/>
        <v>600</v>
      </c>
      <c r="BF58" s="52">
        <f t="shared" si="36"/>
        <v>600</v>
      </c>
      <c r="BG58" s="109">
        <f>(BD58-BD57)*(INDEX([2]小r将兵属性验证!V$7:V$166,$BC58,1)+INDEX([2]小r将兵属性验证!$AP$7:$AP$166,$BC58,1))+BG57</f>
        <v>2225085547.812582</v>
      </c>
      <c r="BH58" s="109">
        <f>($BE58-$BE57)*INDEX([2]小r将兵属性验证!W$7:W$166,$BC58,1)+BH57</f>
        <v>945436617.9307723</v>
      </c>
      <c r="BI58" s="109">
        <f>($BF58-$BF57)*INDEX([2]小r将兵属性验证!X$7:X$166,$BC58,1)+BI57</f>
        <v>945436617.9307723</v>
      </c>
      <c r="BJ58" s="52">
        <f t="shared" si="37"/>
        <v>4115958783.6741266</v>
      </c>
      <c r="BN58" s="147">
        <v>80</v>
      </c>
      <c r="BO58" s="75">
        <f t="shared" si="38"/>
        <v>54000</v>
      </c>
      <c r="BP58" s="164">
        <f>(BO58-BO57)*INDEX('[1]功能-付费相关'!$DG$6:$DG$165,$BN58,1)+BP57</f>
        <v>144157.55048964737</v>
      </c>
      <c r="BQ58" s="75">
        <f t="shared" si="39"/>
        <v>90</v>
      </c>
      <c r="BR58" s="75">
        <v>0</v>
      </c>
      <c r="BS58" s="75">
        <f t="shared" si="40"/>
        <v>22500000</v>
      </c>
      <c r="BT58" s="75">
        <f>(BS58-BS57)*INDEX('[1]功能-付费相关'!$AR$6:$AR$165,$CY58,1)+BT57</f>
        <v>30406.293828892005</v>
      </c>
      <c r="BV58" s="147">
        <v>80</v>
      </c>
      <c r="BW58" s="147">
        <f t="shared" si="41"/>
        <v>144157.55048964737</v>
      </c>
      <c r="BX58" s="147">
        <f t="shared" si="32"/>
        <v>30406.293828892005</v>
      </c>
      <c r="BY58" s="84">
        <f t="shared" si="42"/>
        <v>174563.84431853937</v>
      </c>
      <c r="CD58" s="161">
        <v>53</v>
      </c>
      <c r="CE58" s="161">
        <f t="shared" si="11"/>
        <v>0</v>
      </c>
      <c r="CF58" s="161">
        <f t="shared" si="12"/>
        <v>0</v>
      </c>
      <c r="CG58" s="161">
        <f t="shared" si="13"/>
        <v>0</v>
      </c>
      <c r="CH58" s="161">
        <f t="shared" si="14"/>
        <v>0</v>
      </c>
      <c r="CI58" s="161">
        <f t="shared" si="15"/>
        <v>0</v>
      </c>
    </row>
    <row r="59" spans="7:87" x14ac:dyDescent="0.15">
      <c r="G59" s="143">
        <v>22</v>
      </c>
      <c r="H59" s="156">
        <f t="shared" si="31"/>
        <v>220</v>
      </c>
      <c r="I59" s="43">
        <f>SUM(I$7:I29)</f>
        <v>36</v>
      </c>
      <c r="J59" s="43">
        <f>SUM(J$7:J29)</f>
        <v>76000</v>
      </c>
      <c r="K59" s="43">
        <f>SUM(K$7:K29)</f>
        <v>26750000</v>
      </c>
      <c r="M59" s="156">
        <f t="shared" si="29"/>
        <v>22</v>
      </c>
      <c r="N59" s="156">
        <f t="shared" si="30"/>
        <v>220</v>
      </c>
      <c r="O59" s="43">
        <f>SUM(O$7:O29)</f>
        <v>2640</v>
      </c>
      <c r="P59" s="43">
        <f>SUM(P$7:P29)</f>
        <v>14.666666666666661</v>
      </c>
      <c r="S59" s="46">
        <v>12</v>
      </c>
      <c r="T59" s="144">
        <v>90</v>
      </c>
      <c r="U59" s="147"/>
      <c r="V59" s="147"/>
      <c r="W59" s="147"/>
      <c r="X59" s="147"/>
      <c r="Y59" s="43">
        <f>求节点($G$37:$G$62,$I$37:$I$62,节奏预期!$AB43)</f>
        <v>10</v>
      </c>
      <c r="Z59" s="147"/>
      <c r="AA59" s="147"/>
      <c r="AB59" s="147"/>
      <c r="AC59" s="147"/>
      <c r="AD59" s="43">
        <f>求节点($G$37:$G$62,$J$37:$J$62,节奏预期!$AB43)*3</f>
        <v>33000</v>
      </c>
      <c r="AE59" s="146"/>
      <c r="AF59" s="146"/>
      <c r="AG59" s="146"/>
      <c r="AH59" s="146"/>
      <c r="AI59" s="43">
        <f>求节点($G$37:$G$62,$K$37:$K$62,节奏预期!$AB43)*3</f>
        <v>11250000</v>
      </c>
      <c r="AJ59" s="143"/>
      <c r="AK59" s="143"/>
      <c r="AL59" s="143"/>
      <c r="AM59" s="143"/>
      <c r="AN59" s="43">
        <f>求节点($G$37:$G$62,$O$37:$O$62,节奏预期!AB43)</f>
        <v>1200</v>
      </c>
      <c r="AO59" s="160"/>
      <c r="AP59" s="159"/>
      <c r="AQ59" s="159"/>
      <c r="AR59" s="159"/>
      <c r="AS59" s="43">
        <f t="shared" si="33"/>
        <v>1200</v>
      </c>
      <c r="AT59" s="160"/>
      <c r="AU59" s="159"/>
      <c r="AV59" s="159"/>
      <c r="AW59" s="159"/>
      <c r="AX59" s="43">
        <f>求节点($G$37:$G$62,$P$37:$P$62,节奏预期!$AB43)*3</f>
        <v>20</v>
      </c>
      <c r="BB59" s="25">
        <v>11</v>
      </c>
      <c r="BC59" s="147">
        <v>90</v>
      </c>
      <c r="BD59" s="52">
        <f t="shared" si="34"/>
        <v>20</v>
      </c>
      <c r="BE59" s="52">
        <f t="shared" si="35"/>
        <v>1200</v>
      </c>
      <c r="BF59" s="52">
        <f t="shared" si="36"/>
        <v>1200</v>
      </c>
      <c r="BG59" s="109">
        <f>(BD59-BD58)*(INDEX([2]小r将兵属性验证!V$7:V$166,$BC59,1)+INDEX([2]小r将兵属性验证!$AP$7:$AP$166,$BC59,1))+BG58</f>
        <v>9666650745.3208714</v>
      </c>
      <c r="BH59" s="109">
        <f>($BE59-$BE58)*INDEX([2]小r将兵属性验证!W$7:W$166,$BC59,1)+BH58</f>
        <v>3570366330.222579</v>
      </c>
      <c r="BI59" s="109">
        <f>($BF59-$BF58)*INDEX([2]小r将兵属性验证!X$7:X$166,$BC59,1)+BI58</f>
        <v>3570366330.222579</v>
      </c>
      <c r="BJ59" s="52">
        <f t="shared" si="37"/>
        <v>16807383405.766029</v>
      </c>
      <c r="BN59" s="147">
        <v>90</v>
      </c>
      <c r="BO59" s="75">
        <f t="shared" si="38"/>
        <v>198000</v>
      </c>
      <c r="BP59" s="164">
        <f>(BO59-BO58)*INDEX('[1]功能-付费相关'!$DG$6:$DG$165,$BN59,1)+BP58</f>
        <v>403449.78000795131</v>
      </c>
      <c r="BQ59" s="75">
        <f t="shared" si="39"/>
        <v>180</v>
      </c>
      <c r="BR59" s="75">
        <v>0</v>
      </c>
      <c r="BS59" s="75">
        <f t="shared" si="40"/>
        <v>67500000</v>
      </c>
      <c r="BT59" s="75">
        <f>(BS59-BS58)*INDEX('[1]功能-付费相关'!$AR$6:$AR$165,$CY59,1)+BT58</f>
        <v>90246.719360806892</v>
      </c>
      <c r="BV59" s="147">
        <v>90</v>
      </c>
      <c r="BW59" s="147">
        <f t="shared" si="41"/>
        <v>403449.78000795131</v>
      </c>
      <c r="BX59" s="147">
        <f t="shared" si="32"/>
        <v>90246.719360806892</v>
      </c>
      <c r="BY59" s="84">
        <f t="shared" si="42"/>
        <v>493696.49936875817</v>
      </c>
      <c r="CD59" s="161">
        <v>54</v>
      </c>
      <c r="CE59" s="161">
        <f t="shared" si="11"/>
        <v>0</v>
      </c>
      <c r="CF59" s="161">
        <f t="shared" si="12"/>
        <v>0</v>
      </c>
      <c r="CG59" s="161">
        <f t="shared" si="13"/>
        <v>0</v>
      </c>
      <c r="CH59" s="161">
        <f t="shared" si="14"/>
        <v>0</v>
      </c>
      <c r="CI59" s="161">
        <f t="shared" si="15"/>
        <v>0</v>
      </c>
    </row>
    <row r="60" spans="7:87" x14ac:dyDescent="0.15">
      <c r="G60" s="143">
        <v>23</v>
      </c>
      <c r="H60" s="156">
        <f t="shared" si="31"/>
        <v>230</v>
      </c>
      <c r="I60" s="43">
        <f>SUM(I$7:I30)</f>
        <v>39</v>
      </c>
      <c r="J60" s="43">
        <f>SUM(J$7:J30)</f>
        <v>90000</v>
      </c>
      <c r="K60" s="43">
        <f>SUM(K$7:K30)</f>
        <v>30750000</v>
      </c>
      <c r="M60" s="156">
        <f t="shared" si="29"/>
        <v>23</v>
      </c>
      <c r="N60" s="156">
        <f t="shared" si="30"/>
        <v>230</v>
      </c>
      <c r="O60" s="43">
        <f>SUM(O$7:O30)</f>
        <v>2760</v>
      </c>
      <c r="P60" s="43">
        <f>SUM(P$7:P30)</f>
        <v>15.333333333333327</v>
      </c>
      <c r="S60" s="46">
        <v>13</v>
      </c>
      <c r="T60" s="144">
        <v>100</v>
      </c>
      <c r="U60" s="147"/>
      <c r="V60" s="147"/>
      <c r="W60" s="147"/>
      <c r="X60" s="147"/>
      <c r="Y60" s="43">
        <f>求节点($G$37:$G$62,$I$37:$I$62,节奏预期!$AB44)</f>
        <v>25</v>
      </c>
      <c r="Z60" s="147"/>
      <c r="AA60" s="147"/>
      <c r="AB60" s="147"/>
      <c r="AC60" s="147"/>
      <c r="AD60" s="43">
        <f>求节点($G$37:$G$62,$J$37:$J$62,节奏预期!$AB44)*3</f>
        <v>108000</v>
      </c>
      <c r="AE60" s="146"/>
      <c r="AF60" s="146"/>
      <c r="AG60" s="146"/>
      <c r="AH60" s="146"/>
      <c r="AI60" s="43">
        <f>求节点($G$37:$G$62,$K$37:$K$62,节奏预期!$AB44)*3</f>
        <v>41250000</v>
      </c>
      <c r="AJ60" s="143"/>
      <c r="AK60" s="143"/>
      <c r="AL60" s="143"/>
      <c r="AM60" s="143"/>
      <c r="AN60" s="43">
        <f>求节点($G$37:$G$62,$O$37:$O$62,节奏预期!AB44)</f>
        <v>2100</v>
      </c>
      <c r="AO60" s="160"/>
      <c r="AP60" s="159"/>
      <c r="AQ60" s="159"/>
      <c r="AR60" s="159"/>
      <c r="AS60" s="43">
        <f t="shared" si="33"/>
        <v>2100</v>
      </c>
      <c r="AT60" s="160"/>
      <c r="AU60" s="159"/>
      <c r="AV60" s="159"/>
      <c r="AW60" s="159"/>
      <c r="AX60" s="43">
        <f>求节点($G$37:$G$62,$P$37:$P$62,节奏预期!$AB44)*3</f>
        <v>34.999999999999993</v>
      </c>
      <c r="BB60" s="25">
        <v>12</v>
      </c>
      <c r="BC60" s="147">
        <v>100</v>
      </c>
      <c r="BD60" s="52">
        <f t="shared" si="34"/>
        <v>34.999999999999993</v>
      </c>
      <c r="BE60" s="52">
        <f t="shared" si="35"/>
        <v>2100</v>
      </c>
      <c r="BF60" s="52">
        <f t="shared" si="36"/>
        <v>2100</v>
      </c>
      <c r="BG60" s="109">
        <f>(BD60-BD59)*(INDEX([2]小r将兵属性验证!V$7:V$166,$BC60,1)+INDEX([2]小r将兵属性验证!$AP$7:$AP$166,$BC60,1))+BG59</f>
        <v>33285570262.970161</v>
      </c>
      <c r="BH60" s="109">
        <f>($BE60-$BE59)*INDEX([2]小r将兵属性验证!W$7:W$166,$BC60,1)+BH59</f>
        <v>10168690766.662395</v>
      </c>
      <c r="BI60" s="109">
        <f>($BF60-$BF59)*INDEX([2]小r将兵属性验证!X$7:X$166,$BC60,1)+BI59</f>
        <v>10168690766.662395</v>
      </c>
      <c r="BJ60" s="52">
        <f t="shared" si="37"/>
        <v>53622951796.294952</v>
      </c>
      <c r="BN60" s="147">
        <v>100</v>
      </c>
      <c r="BO60" s="75">
        <f t="shared" si="38"/>
        <v>648000</v>
      </c>
      <c r="BP60" s="164">
        <f>(BO60-BO59)*INDEX('[1]功能-付费相关'!$DG$6:$DG$165,$BN60,1)+BP59</f>
        <v>1006380.3117722479</v>
      </c>
      <c r="BQ60" s="75">
        <f t="shared" si="39"/>
        <v>450</v>
      </c>
      <c r="BR60" s="75">
        <v>0</v>
      </c>
      <c r="BS60" s="75">
        <f t="shared" si="40"/>
        <v>247500000</v>
      </c>
      <c r="BT60" s="75">
        <f>(BS60-BS59)*INDEX('[1]功能-付费相关'!$AR$6:$AR$165,$CY60,1)+BT59</f>
        <v>327088.82462396479</v>
      </c>
      <c r="BV60" s="147">
        <v>100</v>
      </c>
      <c r="BW60" s="147">
        <f t="shared" si="41"/>
        <v>1006380.3117722479</v>
      </c>
      <c r="BX60" s="147">
        <f t="shared" si="32"/>
        <v>327088.82462396479</v>
      </c>
      <c r="BY60" s="84">
        <f t="shared" si="42"/>
        <v>1333469.1363962127</v>
      </c>
      <c r="CD60" s="161">
        <v>55</v>
      </c>
      <c r="CE60" s="161">
        <f t="shared" si="11"/>
        <v>0</v>
      </c>
      <c r="CF60" s="161">
        <f t="shared" si="12"/>
        <v>0</v>
      </c>
      <c r="CG60" s="161">
        <f t="shared" si="13"/>
        <v>0</v>
      </c>
      <c r="CH60" s="161">
        <f t="shared" si="14"/>
        <v>0</v>
      </c>
      <c r="CI60" s="161">
        <f t="shared" si="15"/>
        <v>0</v>
      </c>
    </row>
    <row r="61" spans="7:87" x14ac:dyDescent="0.15">
      <c r="G61" s="143">
        <v>24</v>
      </c>
      <c r="H61" s="156">
        <f t="shared" si="31"/>
        <v>240</v>
      </c>
      <c r="I61" s="43">
        <f>SUM(I$7:I31)</f>
        <v>42</v>
      </c>
      <c r="J61" s="43">
        <f>SUM(J$7:J31)</f>
        <v>106000</v>
      </c>
      <c r="K61" s="43">
        <f>SUM(K$7:K31)</f>
        <v>34750000</v>
      </c>
      <c r="M61" s="156">
        <f t="shared" si="29"/>
        <v>24</v>
      </c>
      <c r="N61" s="156">
        <f t="shared" si="30"/>
        <v>240</v>
      </c>
      <c r="O61" s="43">
        <f>SUM(O$7:O31)</f>
        <v>2880</v>
      </c>
      <c r="P61" s="43">
        <f>SUM(P$7:P31)</f>
        <v>15.999999999999993</v>
      </c>
      <c r="S61" s="46">
        <v>14</v>
      </c>
      <c r="T61" s="144">
        <v>110</v>
      </c>
      <c r="U61" s="147"/>
      <c r="V61" s="147"/>
      <c r="W61" s="147"/>
      <c r="X61" s="147"/>
      <c r="Y61" s="43">
        <f>求节点($G$37:$G$62,$I$37:$I$62,节奏预期!$AB45)</f>
        <v>45</v>
      </c>
      <c r="Z61" s="147"/>
      <c r="AA61" s="147"/>
      <c r="AB61" s="147"/>
      <c r="AC61" s="147"/>
      <c r="AD61" s="43">
        <f>求节点($G$37:$G$62,$J$37:$J$62,节奏预期!$AB45)*3</f>
        <v>372000</v>
      </c>
      <c r="AE61" s="146"/>
      <c r="AF61" s="146"/>
      <c r="AG61" s="146"/>
      <c r="AH61" s="146"/>
      <c r="AI61" s="43">
        <f>求节点($G$37:$G$62,$K$37:$K$62,节奏预期!$AB45)*3</f>
        <v>116250000</v>
      </c>
      <c r="AJ61" s="143"/>
      <c r="AK61" s="143"/>
      <c r="AL61" s="143"/>
      <c r="AM61" s="143"/>
      <c r="AN61" s="43">
        <f>求节点($G$37:$G$62,$O$37:$O$62,节奏预期!AB45)</f>
        <v>3000</v>
      </c>
      <c r="AO61" s="160"/>
      <c r="AP61" s="159"/>
      <c r="AQ61" s="159"/>
      <c r="AR61" s="159"/>
      <c r="AS61" s="43">
        <f t="shared" si="33"/>
        <v>3000</v>
      </c>
      <c r="AT61" s="160"/>
      <c r="AU61" s="159"/>
      <c r="AV61" s="159"/>
      <c r="AW61" s="159"/>
      <c r="AX61" s="43">
        <f>求节点($G$37:$G$62,$P$37:$P$62,节奏预期!$AB45)*3</f>
        <v>49.999999999999986</v>
      </c>
      <c r="BB61" s="25">
        <v>13</v>
      </c>
      <c r="BC61" s="147">
        <v>110</v>
      </c>
      <c r="BD61" s="52">
        <f t="shared" si="34"/>
        <v>49.999999999999986</v>
      </c>
      <c r="BE61" s="52">
        <f t="shared" si="35"/>
        <v>3000</v>
      </c>
      <c r="BF61" s="52">
        <f t="shared" si="36"/>
        <v>3000</v>
      </c>
      <c r="BG61" s="109">
        <f>(BD61-BD60)*(INDEX([2]小r将兵属性验证!V$7:V$166,$BC61,1)+INDEX([2]小r将兵属性验证!$AP$7:$AP$166,$BC61,1))+BG60</f>
        <v>73524474182.059387</v>
      </c>
      <c r="BH61" s="109">
        <f>($BE61-$BE60)*INDEX([2]小r将兵属性验证!W$7:W$166,$BC61,1)+BH60</f>
        <v>19727219815.607819</v>
      </c>
      <c r="BI61" s="109">
        <f>($BF61-$BF60)*INDEX([2]小r将兵属性验证!X$7:X$166,$BC61,1)+BI60</f>
        <v>19727219815.607819</v>
      </c>
      <c r="BJ61" s="52">
        <f t="shared" si="37"/>
        <v>112978913813.27502</v>
      </c>
      <c r="BN61" s="147">
        <v>110</v>
      </c>
      <c r="BO61" s="75">
        <f t="shared" si="38"/>
        <v>2232000</v>
      </c>
      <c r="BP61" s="164">
        <f>(BO61-BO60)*INDEX('[1]功能-付费相关'!$DG$6:$DG$165,$BN61,1)+BP60</f>
        <v>2585582.3398374817</v>
      </c>
      <c r="BQ61" s="75">
        <f t="shared" si="39"/>
        <v>810</v>
      </c>
      <c r="BR61" s="75">
        <v>0</v>
      </c>
      <c r="BS61" s="75">
        <f t="shared" si="40"/>
        <v>697500000</v>
      </c>
      <c r="BT61" s="75">
        <f>(BS61-BS60)*INDEX('[1]功能-付费相关'!$AR$6:$AR$165,$CY61,1)+BT60</f>
        <v>913026.32462396473</v>
      </c>
      <c r="BV61" s="147">
        <v>110</v>
      </c>
      <c r="BW61" s="147">
        <f t="shared" si="41"/>
        <v>2585582.3398374817</v>
      </c>
      <c r="BX61" s="147">
        <f t="shared" si="32"/>
        <v>913026.32462396473</v>
      </c>
      <c r="BY61" s="84">
        <f t="shared" si="42"/>
        <v>3498608.6644614465</v>
      </c>
      <c r="CD61" s="161">
        <v>56</v>
      </c>
      <c r="CE61" s="161">
        <f t="shared" si="11"/>
        <v>0</v>
      </c>
      <c r="CF61" s="161">
        <f t="shared" si="12"/>
        <v>0</v>
      </c>
      <c r="CG61" s="161">
        <f t="shared" si="13"/>
        <v>0</v>
      </c>
      <c r="CH61" s="161">
        <f t="shared" si="14"/>
        <v>0</v>
      </c>
      <c r="CI61" s="161">
        <f t="shared" si="15"/>
        <v>0</v>
      </c>
    </row>
    <row r="62" spans="7:87" x14ac:dyDescent="0.15">
      <c r="G62" s="143">
        <v>25</v>
      </c>
      <c r="H62" s="156">
        <f t="shared" si="31"/>
        <v>250</v>
      </c>
      <c r="I62" s="43">
        <f>SUM(I$7:I32)</f>
        <v>45</v>
      </c>
      <c r="J62" s="43">
        <f>SUM(J$7:J32)</f>
        <v>124000</v>
      </c>
      <c r="K62" s="43">
        <f>SUM(K$7:K32)</f>
        <v>38750000</v>
      </c>
      <c r="M62" s="156">
        <f t="shared" si="29"/>
        <v>25</v>
      </c>
      <c r="N62" s="156">
        <f t="shared" si="30"/>
        <v>250</v>
      </c>
      <c r="O62" s="43">
        <f>SUM(O$7:O32)</f>
        <v>3000</v>
      </c>
      <c r="P62" s="43">
        <f>SUM(P$7:P32)</f>
        <v>16.666666666666661</v>
      </c>
      <c r="S62" s="46">
        <v>15</v>
      </c>
      <c r="T62" s="144">
        <v>120</v>
      </c>
      <c r="U62" s="147"/>
      <c r="V62" s="147"/>
      <c r="W62" s="147"/>
      <c r="X62" s="147"/>
      <c r="Y62" s="43">
        <f>求节点($G$37:$G$62,$I$37:$I$62,节奏预期!$AB46)</f>
        <v>45</v>
      </c>
      <c r="Z62" s="147"/>
      <c r="AA62" s="147"/>
      <c r="AB62" s="147"/>
      <c r="AC62" s="147"/>
      <c r="AD62" s="43">
        <f>求节点($G$37:$G$62,$J$37:$J$62,节奏预期!$AB46)*3</f>
        <v>372000</v>
      </c>
      <c r="AE62" s="146"/>
      <c r="AF62" s="146"/>
      <c r="AG62" s="146"/>
      <c r="AH62" s="146"/>
      <c r="AI62" s="43">
        <f>求节点($G$37:$G$62,$K$37:$K$62,节奏预期!$AB46)*3</f>
        <v>116250000</v>
      </c>
      <c r="AJ62" s="143"/>
      <c r="AK62" s="143"/>
      <c r="AL62" s="143"/>
      <c r="AM62" s="143"/>
      <c r="AN62" s="43">
        <f>求节点($G$37:$G$62,$O$37:$O$62,节奏预期!AB46)</f>
        <v>3000</v>
      </c>
      <c r="AO62" s="160"/>
      <c r="AP62" s="159"/>
      <c r="AQ62" s="159"/>
      <c r="AR62" s="159"/>
      <c r="AS62" s="43">
        <f t="shared" si="33"/>
        <v>3000</v>
      </c>
      <c r="AT62" s="160"/>
      <c r="AU62" s="159"/>
      <c r="AV62" s="159"/>
      <c r="AW62" s="159"/>
      <c r="AX62" s="43">
        <f>求节点($G$37:$G$62,$P$37:$P$62,节奏预期!$AB46)*3</f>
        <v>49.999999999999986</v>
      </c>
      <c r="BB62" s="25">
        <v>14</v>
      </c>
      <c r="BC62" s="147">
        <v>120</v>
      </c>
      <c r="BD62" s="52">
        <f t="shared" si="34"/>
        <v>49.999999999999986</v>
      </c>
      <c r="BE62" s="52">
        <f t="shared" si="35"/>
        <v>3000</v>
      </c>
      <c r="BF62" s="52">
        <f t="shared" si="36"/>
        <v>3000</v>
      </c>
      <c r="BG62" s="109">
        <f>(BD62-BD61)*(INDEX([2]小r将兵属性验证!V$7:V$166,$BC62,1)+INDEX([2]小r将兵属性验证!$AP$7:$AP$166,$BC62,1))+BG61</f>
        <v>73524474182.059387</v>
      </c>
      <c r="BH62" s="109">
        <f>($BE62-$BE61)*INDEX([2]小r将兵属性验证!W$7:W$166,$BC62,1)+BH61</f>
        <v>19727219815.607819</v>
      </c>
      <c r="BI62" s="109">
        <f>($BF62-$BF61)*INDEX([2]小r将兵属性验证!X$7:X$166,$BC62,1)+BI61</f>
        <v>19727219815.607819</v>
      </c>
      <c r="BJ62" s="52">
        <f t="shared" si="37"/>
        <v>112978913813.27502</v>
      </c>
      <c r="BN62" s="147">
        <v>120</v>
      </c>
      <c r="BO62" s="75">
        <f t="shared" si="38"/>
        <v>2232000</v>
      </c>
      <c r="BP62" s="164">
        <f>(BO62-BO61)*INDEX('[1]功能-付费相关'!$DG$6:$DG$165,$BN62,1)+BP61</f>
        <v>2585582.3398374817</v>
      </c>
      <c r="BQ62" s="75">
        <f t="shared" si="39"/>
        <v>810</v>
      </c>
      <c r="BR62" s="75">
        <v>0</v>
      </c>
      <c r="BS62" s="75">
        <f t="shared" si="40"/>
        <v>697500000</v>
      </c>
      <c r="BT62" s="75">
        <f>(BS62-BS61)*INDEX('[1]功能-付费相关'!$AR$6:$AR$165,$CY62,1)+BT61</f>
        <v>913026.32462396473</v>
      </c>
      <c r="BV62" s="147">
        <v>120</v>
      </c>
      <c r="BW62" s="147">
        <f t="shared" si="41"/>
        <v>2585582.3398374817</v>
      </c>
      <c r="BX62" s="147">
        <f t="shared" si="32"/>
        <v>913026.32462396473</v>
      </c>
      <c r="BY62" s="84">
        <f t="shared" si="42"/>
        <v>3498608.6644614465</v>
      </c>
      <c r="CD62" s="161">
        <v>57</v>
      </c>
      <c r="CE62" s="161">
        <f t="shared" si="11"/>
        <v>0</v>
      </c>
      <c r="CF62" s="161">
        <f t="shared" si="12"/>
        <v>0</v>
      </c>
      <c r="CG62" s="161">
        <f t="shared" si="13"/>
        <v>0</v>
      </c>
      <c r="CH62" s="161">
        <f t="shared" si="14"/>
        <v>0</v>
      </c>
      <c r="CI62" s="161">
        <f t="shared" si="15"/>
        <v>0</v>
      </c>
    </row>
    <row r="63" spans="7:87" x14ac:dyDescent="0.15">
      <c r="S63" s="46">
        <v>16</v>
      </c>
      <c r="T63" s="144">
        <v>130</v>
      </c>
      <c r="U63" s="147"/>
      <c r="V63" s="147"/>
      <c r="W63" s="147"/>
      <c r="X63" s="147"/>
      <c r="Y63" s="43">
        <f>求节点($G$37:$G$62,$I$37:$I$62,节奏预期!$AB47)</f>
        <v>45</v>
      </c>
      <c r="Z63" s="147"/>
      <c r="AA63" s="147"/>
      <c r="AB63" s="147"/>
      <c r="AC63" s="147"/>
      <c r="AD63" s="43">
        <f>求节点($G$37:$G$62,$J$37:$J$62,节奏预期!$AB47)*3</f>
        <v>372000</v>
      </c>
      <c r="AE63" s="146"/>
      <c r="AF63" s="146"/>
      <c r="AG63" s="146"/>
      <c r="AH63" s="146"/>
      <c r="AI63" s="43">
        <f>求节点($G$37:$G$62,$K$37:$K$62,节奏预期!$AB47)*3</f>
        <v>116250000</v>
      </c>
      <c r="AJ63" s="143"/>
      <c r="AK63" s="143"/>
      <c r="AL63" s="143"/>
      <c r="AM63" s="143"/>
      <c r="AN63" s="43">
        <f>求节点($G$37:$G$62,$O$37:$O$62,节奏预期!AB47)</f>
        <v>3000</v>
      </c>
      <c r="AO63" s="160"/>
      <c r="AP63" s="159"/>
      <c r="AQ63" s="159"/>
      <c r="AR63" s="159"/>
      <c r="AS63" s="43">
        <f t="shared" si="33"/>
        <v>3000</v>
      </c>
      <c r="AT63" s="160"/>
      <c r="AU63" s="159"/>
      <c r="AV63" s="159"/>
      <c r="AW63" s="159"/>
      <c r="AX63" s="43">
        <f>求节点($G$37:$G$62,$P$37:$P$62,节奏预期!$AB47)*3</f>
        <v>49.999999999999986</v>
      </c>
      <c r="BB63" s="25">
        <v>15</v>
      </c>
      <c r="BC63" s="147">
        <v>130</v>
      </c>
      <c r="BD63" s="52">
        <f t="shared" si="34"/>
        <v>49.999999999999986</v>
      </c>
      <c r="BE63" s="52">
        <f t="shared" si="35"/>
        <v>3000</v>
      </c>
      <c r="BF63" s="52">
        <f t="shared" si="36"/>
        <v>3000</v>
      </c>
      <c r="BG63" s="109">
        <f>(BD63-BD62)*(INDEX([2]小r将兵属性验证!V$7:V$166,$BC63,1)+INDEX([2]小r将兵属性验证!$AP$7:$AP$166,$BC63,1))+BG62</f>
        <v>73524474182.059387</v>
      </c>
      <c r="BH63" s="109">
        <f>($BE63-$BE62)*INDEX([2]小r将兵属性验证!W$7:W$166,$BC63,1)+BH62</f>
        <v>19727219815.607819</v>
      </c>
      <c r="BI63" s="109">
        <f>($BF63-$BF62)*INDEX([2]小r将兵属性验证!X$7:X$166,$BC63,1)+BI62</f>
        <v>19727219815.607819</v>
      </c>
      <c r="BJ63" s="52">
        <f t="shared" si="37"/>
        <v>112978913813.27502</v>
      </c>
      <c r="BN63" s="147">
        <v>130</v>
      </c>
      <c r="BO63" s="75">
        <f t="shared" si="38"/>
        <v>2232000</v>
      </c>
      <c r="BP63" s="164">
        <f>(BO63-BO62)*INDEX('[1]功能-付费相关'!$DG$6:$DG$165,$BN63,1)+BP62</f>
        <v>2585582.3398374817</v>
      </c>
      <c r="BQ63" s="75">
        <f t="shared" si="39"/>
        <v>810</v>
      </c>
      <c r="BR63" s="75">
        <v>0</v>
      </c>
      <c r="BS63" s="75">
        <f t="shared" si="40"/>
        <v>697500000</v>
      </c>
      <c r="BT63" s="75">
        <f>(BS63-BS62)*INDEX('[1]功能-付费相关'!$AR$6:$AR$165,$CY63,1)+BT62</f>
        <v>913026.32462396473</v>
      </c>
      <c r="BV63" s="147">
        <v>130</v>
      </c>
      <c r="BW63" s="147">
        <f t="shared" si="41"/>
        <v>2585582.3398374817</v>
      </c>
      <c r="BX63" s="147">
        <f t="shared" si="32"/>
        <v>913026.32462396473</v>
      </c>
      <c r="BY63" s="84">
        <f t="shared" si="42"/>
        <v>3498608.6644614465</v>
      </c>
      <c r="CD63" s="161">
        <v>58</v>
      </c>
      <c r="CE63" s="161">
        <f t="shared" si="11"/>
        <v>0</v>
      </c>
      <c r="CF63" s="161">
        <f t="shared" si="12"/>
        <v>0</v>
      </c>
      <c r="CG63" s="161">
        <f t="shared" si="13"/>
        <v>0</v>
      </c>
      <c r="CH63" s="161">
        <f t="shared" si="14"/>
        <v>0</v>
      </c>
      <c r="CI63" s="161">
        <f t="shared" si="15"/>
        <v>0</v>
      </c>
    </row>
    <row r="64" spans="7:87" x14ac:dyDescent="0.15">
      <c r="S64" s="46">
        <v>17</v>
      </c>
      <c r="T64" s="144">
        <v>140</v>
      </c>
      <c r="U64" s="147"/>
      <c r="V64" s="147"/>
      <c r="W64" s="147"/>
      <c r="X64" s="147"/>
      <c r="Y64" s="43">
        <f>求节点($G$37:$G$62,$I$37:$I$62,节奏预期!$AB48)</f>
        <v>45</v>
      </c>
      <c r="Z64" s="147"/>
      <c r="AA64" s="147"/>
      <c r="AB64" s="147"/>
      <c r="AC64" s="147"/>
      <c r="AD64" s="43">
        <f>求节点($G$37:$G$62,$J$37:$J$62,节奏预期!$AB48)*3</f>
        <v>372000</v>
      </c>
      <c r="AE64" s="146"/>
      <c r="AF64" s="146"/>
      <c r="AG64" s="146"/>
      <c r="AH64" s="146"/>
      <c r="AI64" s="43">
        <f>求节点($G$37:$G$62,$K$37:$K$62,节奏预期!$AB48)*3</f>
        <v>116250000</v>
      </c>
      <c r="AJ64" s="143"/>
      <c r="AK64" s="143"/>
      <c r="AL64" s="143"/>
      <c r="AM64" s="143"/>
      <c r="AN64" s="43">
        <f>求节点($G$37:$G$62,$O$37:$O$62,节奏预期!AB48)</f>
        <v>3000</v>
      </c>
      <c r="AO64" s="160"/>
      <c r="AP64" s="159"/>
      <c r="AQ64" s="159"/>
      <c r="AR64" s="159"/>
      <c r="AS64" s="43">
        <f t="shared" si="33"/>
        <v>3000</v>
      </c>
      <c r="AT64" s="160"/>
      <c r="AU64" s="159"/>
      <c r="AV64" s="159"/>
      <c r="AW64" s="159"/>
      <c r="AX64" s="43">
        <f>求节点($G$37:$G$62,$P$37:$P$62,节奏预期!$AB48)*3</f>
        <v>49.999999999999986</v>
      </c>
      <c r="BB64" s="25">
        <v>16</v>
      </c>
      <c r="BC64" s="147">
        <v>140</v>
      </c>
      <c r="BD64" s="52">
        <f t="shared" si="34"/>
        <v>49.999999999999986</v>
      </c>
      <c r="BE64" s="52">
        <f t="shared" si="35"/>
        <v>3000</v>
      </c>
      <c r="BF64" s="52">
        <f t="shared" si="36"/>
        <v>3000</v>
      </c>
      <c r="BG64" s="109">
        <f>(BD64-BD63)*(INDEX([2]小r将兵属性验证!V$7:V$166,$BC64,1)+INDEX([2]小r将兵属性验证!$AP$7:$AP$166,$BC64,1))+BG63</f>
        <v>73524474182.059387</v>
      </c>
      <c r="BH64" s="109">
        <f>($BE64-$BE63)*INDEX([2]小r将兵属性验证!W$7:W$166,$BC64,1)+BH63</f>
        <v>19727219815.607819</v>
      </c>
      <c r="BI64" s="109">
        <f>($BF64-$BF63)*INDEX([2]小r将兵属性验证!X$7:X$166,$BC64,1)+BI63</f>
        <v>19727219815.607819</v>
      </c>
      <c r="BJ64" s="52">
        <f t="shared" si="37"/>
        <v>112978913813.27502</v>
      </c>
      <c r="BN64" s="147">
        <v>140</v>
      </c>
      <c r="BO64" s="75">
        <f t="shared" si="38"/>
        <v>2232000</v>
      </c>
      <c r="BP64" s="164">
        <f>(BO64-BO63)*INDEX('[1]功能-付费相关'!$DG$6:$DG$165,$BN64,1)+BP63</f>
        <v>2585582.3398374817</v>
      </c>
      <c r="BQ64" s="75">
        <f t="shared" si="39"/>
        <v>810</v>
      </c>
      <c r="BR64" s="75">
        <v>0</v>
      </c>
      <c r="BS64" s="75">
        <f t="shared" si="40"/>
        <v>697500000</v>
      </c>
      <c r="BT64" s="75">
        <f>(BS64-BS63)*INDEX('[1]功能-付费相关'!$AR$6:$AR$165,$CY64,1)+BT63</f>
        <v>913026.32462396473</v>
      </c>
      <c r="BV64" s="147">
        <v>140</v>
      </c>
      <c r="BW64" s="147">
        <f t="shared" si="41"/>
        <v>2585582.3398374817</v>
      </c>
      <c r="BX64" s="147">
        <f t="shared" si="32"/>
        <v>913026.32462396473</v>
      </c>
      <c r="BY64" s="84">
        <f t="shared" si="42"/>
        <v>3498608.6644614465</v>
      </c>
      <c r="CD64" s="161">
        <v>59</v>
      </c>
      <c r="CE64" s="161">
        <f t="shared" si="11"/>
        <v>0</v>
      </c>
      <c r="CF64" s="161">
        <f t="shared" si="12"/>
        <v>0</v>
      </c>
      <c r="CG64" s="161">
        <f t="shared" si="13"/>
        <v>0</v>
      </c>
      <c r="CH64" s="161">
        <f t="shared" si="14"/>
        <v>0</v>
      </c>
      <c r="CI64" s="161">
        <f t="shared" si="15"/>
        <v>0</v>
      </c>
    </row>
    <row r="65" spans="19:87" x14ac:dyDescent="0.15">
      <c r="S65" s="46">
        <v>18</v>
      </c>
      <c r="T65" s="144">
        <v>150</v>
      </c>
      <c r="U65" s="147"/>
      <c r="V65" s="147"/>
      <c r="W65" s="147"/>
      <c r="X65" s="147"/>
      <c r="Y65" s="43">
        <f>求节点($G$37:$G$62,$I$37:$I$62,节奏预期!$AB49)</f>
        <v>45</v>
      </c>
      <c r="Z65" s="147"/>
      <c r="AA65" s="147"/>
      <c r="AB65" s="147"/>
      <c r="AC65" s="147"/>
      <c r="AD65" s="43">
        <f>求节点($G$37:$G$62,$J$37:$J$62,节奏预期!$AB49)*3</f>
        <v>372000</v>
      </c>
      <c r="AE65" s="146"/>
      <c r="AF65" s="146"/>
      <c r="AG65" s="146"/>
      <c r="AH65" s="146"/>
      <c r="AI65" s="43">
        <f>求节点($G$37:$G$62,$K$37:$K$62,节奏预期!$AB49)*3</f>
        <v>116250000</v>
      </c>
      <c r="AJ65" s="143"/>
      <c r="AK65" s="143"/>
      <c r="AL65" s="143"/>
      <c r="AM65" s="143"/>
      <c r="AN65" s="43">
        <f>求节点($G$37:$G$62,$O$37:$O$62,节奏预期!AB49)</f>
        <v>3000</v>
      </c>
      <c r="AO65" s="160"/>
      <c r="AP65" s="159"/>
      <c r="AQ65" s="159"/>
      <c r="AR65" s="159"/>
      <c r="AS65" s="43">
        <f t="shared" si="33"/>
        <v>3000</v>
      </c>
      <c r="AT65" s="160"/>
      <c r="AU65" s="159"/>
      <c r="AV65" s="159"/>
      <c r="AW65" s="159"/>
      <c r="AX65" s="43">
        <f>求节点($G$37:$G$62,$P$37:$P$62,节奏预期!$AB49)*3</f>
        <v>49.999999999999986</v>
      </c>
      <c r="BB65" s="25">
        <v>17</v>
      </c>
      <c r="BC65" s="147">
        <v>150</v>
      </c>
      <c r="BD65" s="52">
        <f t="shared" si="34"/>
        <v>49.999999999999986</v>
      </c>
      <c r="BE65" s="52">
        <f t="shared" si="35"/>
        <v>3000</v>
      </c>
      <c r="BF65" s="52">
        <f t="shared" si="36"/>
        <v>3000</v>
      </c>
      <c r="BG65" s="109">
        <f>(BD65-BD64)*(INDEX([2]小r将兵属性验证!V$7:V$166,$BC65,1)+INDEX([2]小r将兵属性验证!$AP$7:$AP$166,$BC65,1))+BG64</f>
        <v>73524474182.059387</v>
      </c>
      <c r="BH65" s="109">
        <f>($BE65-$BE64)*INDEX([2]小r将兵属性验证!W$7:W$166,$BC65,1)+BH64</f>
        <v>19727219815.607819</v>
      </c>
      <c r="BI65" s="109">
        <f>($BF65-$BF64)*INDEX([2]小r将兵属性验证!X$7:X$166,$BC65,1)+BI64</f>
        <v>19727219815.607819</v>
      </c>
      <c r="BJ65" s="52">
        <f t="shared" si="37"/>
        <v>112978913813.27502</v>
      </c>
      <c r="BN65" s="147">
        <v>150</v>
      </c>
      <c r="BO65" s="75">
        <f t="shared" si="38"/>
        <v>2232000</v>
      </c>
      <c r="BP65" s="164">
        <f>(BO65-BO64)*INDEX('[1]功能-付费相关'!$DG$6:$DG$165,$BN65,1)+BP64</f>
        <v>2585582.3398374817</v>
      </c>
      <c r="BQ65" s="75">
        <f t="shared" si="39"/>
        <v>810</v>
      </c>
      <c r="BR65" s="75">
        <v>0</v>
      </c>
      <c r="BS65" s="75">
        <f t="shared" si="40"/>
        <v>697500000</v>
      </c>
      <c r="BT65" s="75">
        <f>(BS65-BS64)*INDEX('[1]功能-付费相关'!$AR$6:$AR$165,$CY65,1)+BT64</f>
        <v>913026.32462396473</v>
      </c>
      <c r="BV65" s="147">
        <v>150</v>
      </c>
      <c r="BW65" s="147">
        <f t="shared" si="41"/>
        <v>2585582.3398374817</v>
      </c>
      <c r="BX65" s="147">
        <f t="shared" si="32"/>
        <v>913026.32462396473</v>
      </c>
      <c r="BY65" s="84">
        <f t="shared" si="42"/>
        <v>3498608.6644614465</v>
      </c>
      <c r="CD65" s="161">
        <v>60</v>
      </c>
      <c r="CE65" s="161">
        <f t="shared" si="11"/>
        <v>0</v>
      </c>
      <c r="CF65" s="161">
        <f t="shared" si="12"/>
        <v>0</v>
      </c>
      <c r="CG65" s="161">
        <f t="shared" si="13"/>
        <v>0</v>
      </c>
      <c r="CH65" s="161">
        <f t="shared" si="14"/>
        <v>0</v>
      </c>
      <c r="CI65" s="161">
        <f t="shared" si="15"/>
        <v>0</v>
      </c>
    </row>
    <row r="66" spans="19:87" x14ac:dyDescent="0.15">
      <c r="S66" s="46">
        <v>19</v>
      </c>
      <c r="T66" s="144">
        <v>160</v>
      </c>
      <c r="U66" s="147"/>
      <c r="V66" s="147"/>
      <c r="W66" s="147"/>
      <c r="X66" s="147"/>
      <c r="Y66" s="43">
        <f>求节点($G$37:$G$62,$I$37:$I$62,节奏预期!$AB50)</f>
        <v>45</v>
      </c>
      <c r="Z66" s="147"/>
      <c r="AA66" s="147"/>
      <c r="AB66" s="147"/>
      <c r="AC66" s="147"/>
      <c r="AD66" s="43">
        <f>求节点($G$37:$G$62,$J$37:$J$62,节奏预期!$AB50)*3</f>
        <v>372000</v>
      </c>
      <c r="AE66" s="146"/>
      <c r="AF66" s="146"/>
      <c r="AG66" s="146"/>
      <c r="AH66" s="146"/>
      <c r="AI66" s="43">
        <f>求节点($G$37:$G$62,$K$37:$K$62,节奏预期!$AB50)*3</f>
        <v>116250000</v>
      </c>
      <c r="AJ66" s="143"/>
      <c r="AK66" s="143"/>
      <c r="AL66" s="143"/>
      <c r="AM66" s="143"/>
      <c r="AN66" s="43">
        <f>求节点($G$37:$G$62,$O$37:$O$62,节奏预期!AB50)</f>
        <v>3000</v>
      </c>
      <c r="AO66" s="160"/>
      <c r="AP66" s="159"/>
      <c r="AQ66" s="159"/>
      <c r="AR66" s="159"/>
      <c r="AS66" s="43">
        <f t="shared" si="33"/>
        <v>3000</v>
      </c>
      <c r="AT66" s="160"/>
      <c r="AU66" s="159"/>
      <c r="AV66" s="159"/>
      <c r="AW66" s="159"/>
      <c r="AX66" s="43">
        <f>求节点($G$37:$G$62,$P$37:$P$62,节奏预期!$AB50)*3</f>
        <v>49.999999999999986</v>
      </c>
      <c r="BB66" s="25">
        <v>18</v>
      </c>
      <c r="BC66" s="147">
        <v>160</v>
      </c>
      <c r="BD66" s="52">
        <f t="shared" si="34"/>
        <v>49.999999999999986</v>
      </c>
      <c r="BE66" s="52">
        <f t="shared" si="35"/>
        <v>3000</v>
      </c>
      <c r="BF66" s="52">
        <f t="shared" si="36"/>
        <v>3000</v>
      </c>
      <c r="BG66" s="109">
        <f>(BD66-BD65)*(INDEX([2]小r将兵属性验证!V$7:V$166,$BC66,1)+INDEX([2]小r将兵属性验证!$AP$7:$AP$166,$BC66,1))+BG65</f>
        <v>73524474182.059387</v>
      </c>
      <c r="BH66" s="109">
        <f>($BE66-$BE65)*INDEX([2]小r将兵属性验证!W$7:W$166,$BC66,1)+BH65</f>
        <v>19727219815.607819</v>
      </c>
      <c r="BI66" s="109">
        <f>($BF66-$BF65)*INDEX([2]小r将兵属性验证!X$7:X$166,$BC66,1)+BI65</f>
        <v>19727219815.607819</v>
      </c>
      <c r="BJ66" s="52">
        <f t="shared" si="37"/>
        <v>112978913813.27502</v>
      </c>
      <c r="BN66" s="147">
        <v>160</v>
      </c>
      <c r="BO66" s="75">
        <f t="shared" si="38"/>
        <v>2232000</v>
      </c>
      <c r="BP66" s="164">
        <f>(BO66-BO65)*INDEX('[1]功能-付费相关'!$DG$6:$DG$165,$BN66,1)+BP65</f>
        <v>2585582.3398374817</v>
      </c>
      <c r="BQ66" s="75">
        <f t="shared" si="39"/>
        <v>810</v>
      </c>
      <c r="BR66" s="75">
        <v>0</v>
      </c>
      <c r="BS66" s="75">
        <f t="shared" si="40"/>
        <v>697500000</v>
      </c>
      <c r="BT66" s="75">
        <f>(BS66-BS65)*INDEX('[1]功能-付费相关'!$AR$6:$AR$165,$CY66,1)+BT65</f>
        <v>913026.32462396473</v>
      </c>
      <c r="BV66" s="147">
        <v>160</v>
      </c>
      <c r="BW66" s="147">
        <f t="shared" si="41"/>
        <v>2585582.3398374817</v>
      </c>
      <c r="BX66" s="147">
        <f t="shared" si="32"/>
        <v>913026.32462396473</v>
      </c>
      <c r="BY66" s="84">
        <f t="shared" si="42"/>
        <v>3498608.6644614465</v>
      </c>
      <c r="CD66" s="161">
        <v>61</v>
      </c>
      <c r="CE66" s="161">
        <f t="shared" si="11"/>
        <v>1080</v>
      </c>
      <c r="CF66" s="161">
        <f t="shared" si="12"/>
        <v>1620</v>
      </c>
      <c r="CG66" s="161">
        <f t="shared" si="13"/>
        <v>2880</v>
      </c>
      <c r="CH66" s="161">
        <f t="shared" si="14"/>
        <v>4500</v>
      </c>
      <c r="CI66" s="161">
        <f t="shared" si="15"/>
        <v>5400</v>
      </c>
    </row>
    <row r="67" spans="19:87" x14ac:dyDescent="0.15">
      <c r="S67" s="46">
        <v>20</v>
      </c>
      <c r="T67" s="69"/>
      <c r="U67" s="36"/>
      <c r="V67" s="36"/>
      <c r="W67" s="36"/>
      <c r="X67" s="36"/>
      <c r="Y67" s="36"/>
      <c r="Z67" s="36"/>
      <c r="AA67" s="36"/>
      <c r="AB67" s="36"/>
      <c r="AC67" s="36"/>
      <c r="AD67" s="36"/>
      <c r="AE67" s="36"/>
      <c r="AF67" s="36"/>
      <c r="AG67" s="36"/>
      <c r="AH67" s="36"/>
      <c r="AI67" s="36"/>
      <c r="BB67" s="25">
        <v>19</v>
      </c>
      <c r="CD67" s="161">
        <v>62</v>
      </c>
      <c r="CE67" s="161">
        <f t="shared" si="11"/>
        <v>2160</v>
      </c>
      <c r="CF67" s="161">
        <f t="shared" si="12"/>
        <v>3240</v>
      </c>
      <c r="CG67" s="161">
        <f t="shared" si="13"/>
        <v>5760</v>
      </c>
      <c r="CH67" s="161">
        <f t="shared" si="14"/>
        <v>9000</v>
      </c>
      <c r="CI67" s="161">
        <f t="shared" si="15"/>
        <v>10800</v>
      </c>
    </row>
    <row r="68" spans="19:87" x14ac:dyDescent="0.15">
      <c r="S68" s="46">
        <v>21</v>
      </c>
      <c r="T68" s="36"/>
      <c r="U68" s="36"/>
      <c r="V68" s="36"/>
      <c r="W68" s="36"/>
      <c r="X68" s="36"/>
      <c r="Y68" s="36"/>
      <c r="Z68" s="36"/>
      <c r="AA68" s="36"/>
      <c r="AB68" s="36"/>
      <c r="AC68" s="36"/>
      <c r="AD68" s="36"/>
      <c r="AE68" s="36"/>
      <c r="AF68" s="36"/>
      <c r="AG68" s="36"/>
      <c r="AH68" s="36"/>
      <c r="AI68" s="36"/>
      <c r="BB68" s="25">
        <v>20</v>
      </c>
      <c r="CD68" s="161">
        <v>63</v>
      </c>
      <c r="CE68" s="161">
        <f t="shared" si="11"/>
        <v>3240</v>
      </c>
      <c r="CF68" s="161">
        <f t="shared" si="12"/>
        <v>4860</v>
      </c>
      <c r="CG68" s="161">
        <f t="shared" si="13"/>
        <v>8640</v>
      </c>
      <c r="CH68" s="161">
        <f t="shared" si="14"/>
        <v>13500</v>
      </c>
      <c r="CI68" s="161">
        <f t="shared" si="15"/>
        <v>16200</v>
      </c>
    </row>
    <row r="69" spans="19:87" x14ac:dyDescent="0.15">
      <c r="S69" s="46">
        <v>22</v>
      </c>
      <c r="T69" s="36"/>
      <c r="U69" s="36"/>
      <c r="V69" s="36"/>
      <c r="W69" s="36"/>
      <c r="X69" s="36"/>
      <c r="Y69" s="36"/>
      <c r="Z69" s="36"/>
      <c r="AA69" s="36"/>
      <c r="AB69" s="36"/>
      <c r="AC69" s="36"/>
      <c r="AD69" s="36"/>
      <c r="AE69" s="36"/>
      <c r="AF69" s="36"/>
      <c r="AG69" s="36"/>
      <c r="AH69" s="36"/>
      <c r="AI69" s="36"/>
      <c r="BB69" s="25">
        <v>21</v>
      </c>
      <c r="CD69" s="161">
        <v>64</v>
      </c>
      <c r="CE69" s="161">
        <f t="shared" si="11"/>
        <v>4320</v>
      </c>
      <c r="CF69" s="161">
        <f t="shared" si="12"/>
        <v>6480</v>
      </c>
      <c r="CG69" s="161">
        <f t="shared" si="13"/>
        <v>11520</v>
      </c>
      <c r="CH69" s="161">
        <f t="shared" si="14"/>
        <v>18000</v>
      </c>
      <c r="CI69" s="161">
        <f t="shared" si="15"/>
        <v>21600</v>
      </c>
    </row>
    <row r="70" spans="19:87" x14ac:dyDescent="0.15">
      <c r="S70" s="46">
        <v>23</v>
      </c>
      <c r="T70" s="36"/>
      <c r="U70" s="36"/>
      <c r="V70" s="36"/>
      <c r="W70" s="36"/>
      <c r="X70" s="36"/>
      <c r="Y70" s="36"/>
      <c r="Z70" s="36"/>
      <c r="AA70" s="36"/>
      <c r="AB70" s="36"/>
      <c r="AC70" s="36"/>
      <c r="AD70" s="36"/>
      <c r="AE70" s="36"/>
      <c r="AF70" s="36"/>
      <c r="AG70" s="36"/>
      <c r="AH70" s="36"/>
      <c r="AI70" s="36"/>
      <c r="BB70" s="25">
        <v>22</v>
      </c>
      <c r="CD70" s="161">
        <v>65</v>
      </c>
      <c r="CE70" s="161">
        <f t="shared" si="11"/>
        <v>5400</v>
      </c>
      <c r="CF70" s="161">
        <f t="shared" si="12"/>
        <v>8100</v>
      </c>
      <c r="CG70" s="161">
        <f t="shared" si="13"/>
        <v>14400</v>
      </c>
      <c r="CH70" s="161">
        <f t="shared" si="14"/>
        <v>22500</v>
      </c>
      <c r="CI70" s="161">
        <f t="shared" si="15"/>
        <v>27000</v>
      </c>
    </row>
    <row r="71" spans="19:87" x14ac:dyDescent="0.15">
      <c r="S71" s="46">
        <v>24</v>
      </c>
      <c r="T71" s="36"/>
      <c r="U71" s="36"/>
      <c r="V71" s="36"/>
      <c r="W71" s="36"/>
      <c r="X71" s="36"/>
      <c r="Y71" s="36"/>
      <c r="Z71" s="36"/>
      <c r="AA71" s="36"/>
      <c r="AB71" s="36"/>
      <c r="AC71" s="36"/>
      <c r="AD71" s="36"/>
      <c r="AE71" s="36"/>
      <c r="AF71" s="36"/>
      <c r="AG71" s="36"/>
      <c r="AH71" s="36"/>
      <c r="AI71" s="36"/>
      <c r="BB71" s="25">
        <v>23</v>
      </c>
      <c r="CD71" s="161">
        <v>66</v>
      </c>
      <c r="CE71" s="161">
        <f t="shared" ref="CE71:CE134" si="43">求节点($BN$6:$BN$21,$BO$6:$BO$21,$CD71)</f>
        <v>6480</v>
      </c>
      <c r="CF71" s="161">
        <f t="shared" ref="CF71:CF134" si="44">求节点($BN$51:$BN$66,$BO$51:$BO$66,$CD71)</f>
        <v>9720</v>
      </c>
      <c r="CG71" s="161">
        <f t="shared" ref="CG71:CG134" si="45">求节点($BN$96:$BN$111,$BO$96:$BO$111,$CD71)</f>
        <v>17280</v>
      </c>
      <c r="CH71" s="161">
        <f t="shared" ref="CH71:CH134" si="46">求节点($BN$141:$BN$156,$BO$141:$BO$156,$CD71)</f>
        <v>27000</v>
      </c>
      <c r="CI71" s="161">
        <f t="shared" ref="CI71:CI134" si="47">求节点($BN$186:$BN$201,$BO$186:$BO$201,$CD71)</f>
        <v>32400</v>
      </c>
    </row>
    <row r="72" spans="19:87" x14ac:dyDescent="0.15">
      <c r="S72" s="46">
        <v>25</v>
      </c>
      <c r="T72" s="36"/>
      <c r="U72" s="36"/>
      <c r="V72" s="36"/>
      <c r="W72" s="36"/>
      <c r="X72" s="36"/>
      <c r="Y72" s="36"/>
      <c r="Z72" s="36"/>
      <c r="AA72" s="36"/>
      <c r="AB72" s="36"/>
      <c r="AC72" s="36"/>
      <c r="AD72" s="36"/>
      <c r="AE72" s="36"/>
      <c r="AF72" s="36"/>
      <c r="AG72" s="36"/>
      <c r="AH72" s="36"/>
      <c r="AI72" s="36"/>
      <c r="BB72" s="25">
        <v>24</v>
      </c>
      <c r="CD72" s="161">
        <v>67</v>
      </c>
      <c r="CE72" s="161">
        <f t="shared" si="43"/>
        <v>7560</v>
      </c>
      <c r="CF72" s="161">
        <f t="shared" si="44"/>
        <v>11340</v>
      </c>
      <c r="CG72" s="161">
        <f t="shared" si="45"/>
        <v>20160</v>
      </c>
      <c r="CH72" s="161">
        <f t="shared" si="46"/>
        <v>31500</v>
      </c>
      <c r="CI72" s="161">
        <f t="shared" si="47"/>
        <v>37800</v>
      </c>
    </row>
    <row r="73" spans="19:87" x14ac:dyDescent="0.15">
      <c r="S73" s="46">
        <v>26</v>
      </c>
      <c r="T73" s="36"/>
      <c r="U73" s="36"/>
      <c r="V73" s="36"/>
      <c r="W73" s="36"/>
      <c r="X73" s="36"/>
      <c r="Y73" s="36"/>
      <c r="Z73" s="36"/>
      <c r="AA73" s="36"/>
      <c r="AB73" s="36"/>
      <c r="AC73" s="36"/>
      <c r="AD73" s="36"/>
      <c r="AE73" s="36"/>
      <c r="AF73" s="36"/>
      <c r="AG73" s="36"/>
      <c r="AH73" s="36"/>
      <c r="AI73" s="36"/>
      <c r="BB73" s="25">
        <v>25</v>
      </c>
      <c r="CD73" s="161">
        <v>68</v>
      </c>
      <c r="CE73" s="161">
        <f t="shared" si="43"/>
        <v>8640</v>
      </c>
      <c r="CF73" s="161">
        <f t="shared" si="44"/>
        <v>12960</v>
      </c>
      <c r="CG73" s="161">
        <f t="shared" si="45"/>
        <v>23040</v>
      </c>
      <c r="CH73" s="161">
        <f t="shared" si="46"/>
        <v>36000</v>
      </c>
      <c r="CI73" s="161">
        <f t="shared" si="47"/>
        <v>43200</v>
      </c>
    </row>
    <row r="74" spans="19:87" x14ac:dyDescent="0.15">
      <c r="S74" s="46">
        <v>27</v>
      </c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BB74" s="25">
        <v>26</v>
      </c>
      <c r="BN74" s="36"/>
      <c r="CD74" s="161">
        <v>69</v>
      </c>
      <c r="CE74" s="161">
        <f t="shared" si="43"/>
        <v>9720</v>
      </c>
      <c r="CF74" s="161">
        <f t="shared" si="44"/>
        <v>14580</v>
      </c>
      <c r="CG74" s="161">
        <f t="shared" si="45"/>
        <v>25920</v>
      </c>
      <c r="CH74" s="161">
        <f t="shared" si="46"/>
        <v>40500</v>
      </c>
      <c r="CI74" s="161">
        <f t="shared" si="47"/>
        <v>48600</v>
      </c>
    </row>
    <row r="75" spans="19:87" x14ac:dyDescent="0.15">
      <c r="S75" s="46">
        <v>28</v>
      </c>
      <c r="T75" s="36"/>
      <c r="U75" s="36"/>
      <c r="V75" s="36"/>
      <c r="W75" s="36"/>
      <c r="X75" s="36"/>
      <c r="Y75" s="36"/>
      <c r="Z75" s="36"/>
      <c r="AA75" s="36"/>
      <c r="AB75" s="36"/>
      <c r="AC75" s="36"/>
      <c r="AD75" s="36"/>
      <c r="AE75" s="36"/>
      <c r="AF75" s="36"/>
      <c r="AG75" s="36"/>
      <c r="AH75" s="36"/>
      <c r="AI75" s="36"/>
      <c r="BB75" s="25">
        <v>27</v>
      </c>
      <c r="BN75" s="36"/>
      <c r="CD75" s="161">
        <v>70</v>
      </c>
      <c r="CE75" s="161">
        <f t="shared" si="43"/>
        <v>10800</v>
      </c>
      <c r="CF75" s="161">
        <f t="shared" si="44"/>
        <v>16200</v>
      </c>
      <c r="CG75" s="161">
        <f t="shared" si="45"/>
        <v>28800</v>
      </c>
      <c r="CH75" s="161">
        <f t="shared" si="46"/>
        <v>45000</v>
      </c>
      <c r="CI75" s="161">
        <f t="shared" si="47"/>
        <v>54000</v>
      </c>
    </row>
    <row r="76" spans="19:87" x14ac:dyDescent="0.15">
      <c r="S76" s="46">
        <v>29</v>
      </c>
      <c r="T76" s="36"/>
      <c r="U76" s="36"/>
      <c r="V76" s="36"/>
      <c r="W76" s="36"/>
      <c r="X76" s="36"/>
      <c r="Y76" s="36"/>
      <c r="Z76" s="36"/>
      <c r="AA76" s="36"/>
      <c r="AB76" s="36"/>
      <c r="AC76" s="36"/>
      <c r="AD76" s="36"/>
      <c r="AE76" s="36"/>
      <c r="AF76" s="36"/>
      <c r="AG76" s="36"/>
      <c r="AH76" s="36"/>
      <c r="AI76" s="36"/>
      <c r="BB76" s="25">
        <v>28</v>
      </c>
      <c r="CD76" s="161">
        <v>71</v>
      </c>
      <c r="CE76" s="161">
        <f t="shared" si="43"/>
        <v>13320</v>
      </c>
      <c r="CF76" s="161">
        <f t="shared" si="44"/>
        <v>19980</v>
      </c>
      <c r="CG76" s="161">
        <f t="shared" si="45"/>
        <v>36000</v>
      </c>
      <c r="CH76" s="161">
        <f t="shared" si="46"/>
        <v>56700</v>
      </c>
      <c r="CI76" s="161">
        <f t="shared" si="47"/>
        <v>68400</v>
      </c>
    </row>
    <row r="77" spans="19:87" x14ac:dyDescent="0.15">
      <c r="S77" s="46">
        <v>30</v>
      </c>
      <c r="BB77" s="25">
        <v>29</v>
      </c>
      <c r="CD77" s="161">
        <v>72</v>
      </c>
      <c r="CE77" s="161">
        <f t="shared" si="43"/>
        <v>15840</v>
      </c>
      <c r="CF77" s="161">
        <f t="shared" si="44"/>
        <v>23760</v>
      </c>
      <c r="CG77" s="161">
        <f t="shared" si="45"/>
        <v>43200</v>
      </c>
      <c r="CH77" s="161">
        <f t="shared" si="46"/>
        <v>68400</v>
      </c>
      <c r="CI77" s="161">
        <f t="shared" si="47"/>
        <v>82800</v>
      </c>
    </row>
    <row r="78" spans="19:87" x14ac:dyDescent="0.15">
      <c r="S78" s="46">
        <v>31</v>
      </c>
      <c r="BB78" s="25">
        <v>30</v>
      </c>
      <c r="CD78" s="161">
        <v>73</v>
      </c>
      <c r="CE78" s="161">
        <f t="shared" si="43"/>
        <v>18360</v>
      </c>
      <c r="CF78" s="161">
        <f t="shared" si="44"/>
        <v>27540</v>
      </c>
      <c r="CG78" s="161">
        <f t="shared" si="45"/>
        <v>50400</v>
      </c>
      <c r="CH78" s="161">
        <f t="shared" si="46"/>
        <v>80100</v>
      </c>
      <c r="CI78" s="161">
        <f t="shared" si="47"/>
        <v>97200</v>
      </c>
    </row>
    <row r="79" spans="19:87" x14ac:dyDescent="0.15">
      <c r="S79" s="46">
        <v>32</v>
      </c>
      <c r="BB79" s="25">
        <v>31</v>
      </c>
      <c r="CD79" s="161">
        <v>74</v>
      </c>
      <c r="CE79" s="161">
        <f t="shared" si="43"/>
        <v>20880</v>
      </c>
      <c r="CF79" s="161">
        <f t="shared" si="44"/>
        <v>31320</v>
      </c>
      <c r="CG79" s="161">
        <f t="shared" si="45"/>
        <v>57600</v>
      </c>
      <c r="CH79" s="161">
        <f t="shared" si="46"/>
        <v>91800</v>
      </c>
      <c r="CI79" s="161">
        <f t="shared" si="47"/>
        <v>111600</v>
      </c>
    </row>
    <row r="80" spans="19:87" x14ac:dyDescent="0.15">
      <c r="S80" s="46">
        <v>33</v>
      </c>
      <c r="BB80" s="25">
        <v>32</v>
      </c>
      <c r="CD80" s="161">
        <v>75</v>
      </c>
      <c r="CE80" s="161">
        <f t="shared" si="43"/>
        <v>23400</v>
      </c>
      <c r="CF80" s="161">
        <f t="shared" si="44"/>
        <v>35100</v>
      </c>
      <c r="CG80" s="161">
        <f t="shared" si="45"/>
        <v>64800</v>
      </c>
      <c r="CH80" s="161">
        <f t="shared" si="46"/>
        <v>103500</v>
      </c>
      <c r="CI80" s="161">
        <f t="shared" si="47"/>
        <v>126000</v>
      </c>
    </row>
    <row r="81" spans="19:87" x14ac:dyDescent="0.15">
      <c r="S81" s="46">
        <v>34</v>
      </c>
      <c r="BB81" s="25">
        <v>33</v>
      </c>
      <c r="CD81" s="161">
        <v>76</v>
      </c>
      <c r="CE81" s="161">
        <f t="shared" si="43"/>
        <v>25920</v>
      </c>
      <c r="CF81" s="161">
        <f t="shared" si="44"/>
        <v>38880</v>
      </c>
      <c r="CG81" s="161">
        <f t="shared" si="45"/>
        <v>72000</v>
      </c>
      <c r="CH81" s="161">
        <f t="shared" si="46"/>
        <v>115200</v>
      </c>
      <c r="CI81" s="161">
        <f t="shared" si="47"/>
        <v>140400</v>
      </c>
    </row>
    <row r="82" spans="19:87" x14ac:dyDescent="0.15">
      <c r="S82" s="46">
        <v>35</v>
      </c>
      <c r="BB82" s="25">
        <v>34</v>
      </c>
      <c r="CD82" s="161">
        <v>77</v>
      </c>
      <c r="CE82" s="161">
        <f t="shared" si="43"/>
        <v>28440</v>
      </c>
      <c r="CF82" s="161">
        <f t="shared" si="44"/>
        <v>42660</v>
      </c>
      <c r="CG82" s="161">
        <f t="shared" si="45"/>
        <v>79200</v>
      </c>
      <c r="CH82" s="161">
        <f t="shared" si="46"/>
        <v>126900</v>
      </c>
      <c r="CI82" s="161">
        <f t="shared" si="47"/>
        <v>154800</v>
      </c>
    </row>
    <row r="83" spans="19:87" x14ac:dyDescent="0.15">
      <c r="S83" s="46">
        <v>36</v>
      </c>
      <c r="BB83" s="25">
        <v>35</v>
      </c>
      <c r="CD83" s="161">
        <v>78</v>
      </c>
      <c r="CE83" s="161">
        <f t="shared" si="43"/>
        <v>30960</v>
      </c>
      <c r="CF83" s="161">
        <f t="shared" si="44"/>
        <v>46440</v>
      </c>
      <c r="CG83" s="161">
        <f t="shared" si="45"/>
        <v>86400</v>
      </c>
      <c r="CH83" s="161">
        <f t="shared" si="46"/>
        <v>138600</v>
      </c>
      <c r="CI83" s="161">
        <f t="shared" si="47"/>
        <v>169200</v>
      </c>
    </row>
    <row r="84" spans="19:87" x14ac:dyDescent="0.15">
      <c r="S84" s="46">
        <v>37</v>
      </c>
      <c r="BB84" s="25">
        <v>36</v>
      </c>
      <c r="CD84" s="161">
        <v>79</v>
      </c>
      <c r="CE84" s="161">
        <f t="shared" si="43"/>
        <v>33480</v>
      </c>
      <c r="CF84" s="161">
        <f t="shared" si="44"/>
        <v>50220</v>
      </c>
      <c r="CG84" s="161">
        <f t="shared" si="45"/>
        <v>93600</v>
      </c>
      <c r="CH84" s="161">
        <f t="shared" si="46"/>
        <v>150300</v>
      </c>
      <c r="CI84" s="161">
        <f t="shared" si="47"/>
        <v>183600</v>
      </c>
    </row>
    <row r="85" spans="19:87" x14ac:dyDescent="0.15">
      <c r="S85" s="46">
        <v>38</v>
      </c>
      <c r="BB85" s="25">
        <v>37</v>
      </c>
      <c r="CD85" s="161">
        <v>80</v>
      </c>
      <c r="CE85" s="161">
        <f t="shared" si="43"/>
        <v>36000</v>
      </c>
      <c r="CF85" s="161">
        <f t="shared" si="44"/>
        <v>54000</v>
      </c>
      <c r="CG85" s="161">
        <f t="shared" si="45"/>
        <v>100800</v>
      </c>
      <c r="CH85" s="161">
        <f t="shared" si="46"/>
        <v>162000</v>
      </c>
      <c r="CI85" s="161">
        <f t="shared" si="47"/>
        <v>198000</v>
      </c>
    </row>
    <row r="86" spans="19:87" x14ac:dyDescent="0.15">
      <c r="S86" s="46">
        <v>39</v>
      </c>
      <c r="BB86" s="25">
        <v>38</v>
      </c>
      <c r="CD86" s="161">
        <v>81</v>
      </c>
      <c r="CE86" s="161">
        <f t="shared" si="43"/>
        <v>45360</v>
      </c>
      <c r="CF86" s="161">
        <f t="shared" si="44"/>
        <v>68400</v>
      </c>
      <c r="CG86" s="161">
        <f t="shared" si="45"/>
        <v>128520</v>
      </c>
      <c r="CH86" s="161">
        <f t="shared" si="46"/>
        <v>216000</v>
      </c>
      <c r="CI86" s="161">
        <f t="shared" si="47"/>
        <v>275400</v>
      </c>
    </row>
    <row r="87" spans="19:87" x14ac:dyDescent="0.15">
      <c r="S87" s="46">
        <v>40</v>
      </c>
      <c r="BB87" s="25">
        <v>39</v>
      </c>
      <c r="CD87" s="161">
        <v>82</v>
      </c>
      <c r="CE87" s="161">
        <f t="shared" si="43"/>
        <v>54720</v>
      </c>
      <c r="CF87" s="161">
        <f t="shared" si="44"/>
        <v>82800</v>
      </c>
      <c r="CG87" s="161">
        <f t="shared" si="45"/>
        <v>156240</v>
      </c>
      <c r="CH87" s="161">
        <f t="shared" si="46"/>
        <v>270000</v>
      </c>
      <c r="CI87" s="161">
        <f t="shared" si="47"/>
        <v>352800</v>
      </c>
    </row>
    <row r="88" spans="19:87" x14ac:dyDescent="0.15">
      <c r="S88" s="46">
        <v>41</v>
      </c>
      <c r="BB88" s="25">
        <v>40</v>
      </c>
      <c r="CD88" s="161">
        <v>83</v>
      </c>
      <c r="CE88" s="161">
        <f t="shared" si="43"/>
        <v>64080</v>
      </c>
      <c r="CF88" s="161">
        <f t="shared" si="44"/>
        <v>97200</v>
      </c>
      <c r="CG88" s="161">
        <f t="shared" si="45"/>
        <v>183960</v>
      </c>
      <c r="CH88" s="161">
        <f t="shared" si="46"/>
        <v>324000</v>
      </c>
      <c r="CI88" s="161">
        <f t="shared" si="47"/>
        <v>430200</v>
      </c>
    </row>
    <row r="89" spans="19:87" x14ac:dyDescent="0.15">
      <c r="S89" s="46">
        <v>42</v>
      </c>
      <c r="BB89" s="25">
        <v>41</v>
      </c>
      <c r="CD89" s="161">
        <v>84</v>
      </c>
      <c r="CE89" s="161">
        <f t="shared" si="43"/>
        <v>73440</v>
      </c>
      <c r="CF89" s="161">
        <f t="shared" si="44"/>
        <v>111600</v>
      </c>
      <c r="CG89" s="161">
        <f t="shared" si="45"/>
        <v>211680</v>
      </c>
      <c r="CH89" s="161">
        <f t="shared" si="46"/>
        <v>378000</v>
      </c>
      <c r="CI89" s="161">
        <f t="shared" si="47"/>
        <v>507600</v>
      </c>
    </row>
    <row r="90" spans="19:87" x14ac:dyDescent="0.15">
      <c r="S90" s="46">
        <v>43</v>
      </c>
      <c r="BB90" s="25">
        <v>42</v>
      </c>
      <c r="CD90" s="161">
        <v>85</v>
      </c>
      <c r="CE90" s="161">
        <f t="shared" si="43"/>
        <v>82800</v>
      </c>
      <c r="CF90" s="161">
        <f t="shared" si="44"/>
        <v>126000</v>
      </c>
      <c r="CG90" s="161">
        <f t="shared" si="45"/>
        <v>239400</v>
      </c>
      <c r="CH90" s="161">
        <f t="shared" si="46"/>
        <v>432000</v>
      </c>
      <c r="CI90" s="161">
        <f t="shared" si="47"/>
        <v>585000</v>
      </c>
    </row>
    <row r="91" spans="19:87" x14ac:dyDescent="0.15">
      <c r="S91" s="46">
        <v>44</v>
      </c>
      <c r="BB91" s="25">
        <v>43</v>
      </c>
      <c r="CD91" s="161">
        <v>86</v>
      </c>
      <c r="CE91" s="161">
        <f t="shared" si="43"/>
        <v>92160</v>
      </c>
      <c r="CF91" s="161">
        <f t="shared" si="44"/>
        <v>140400</v>
      </c>
      <c r="CG91" s="161">
        <f t="shared" si="45"/>
        <v>267120</v>
      </c>
      <c r="CH91" s="161">
        <f t="shared" si="46"/>
        <v>486000</v>
      </c>
      <c r="CI91" s="161">
        <f t="shared" si="47"/>
        <v>662400</v>
      </c>
    </row>
    <row r="92" spans="19:87" x14ac:dyDescent="0.15">
      <c r="S92" s="46">
        <v>45</v>
      </c>
      <c r="BB92" s="25">
        <v>44</v>
      </c>
      <c r="CD92" s="161">
        <v>87</v>
      </c>
      <c r="CE92" s="161">
        <f t="shared" si="43"/>
        <v>101520</v>
      </c>
      <c r="CF92" s="161">
        <f t="shared" si="44"/>
        <v>154800</v>
      </c>
      <c r="CG92" s="161">
        <f t="shared" si="45"/>
        <v>294840</v>
      </c>
      <c r="CH92" s="161">
        <f t="shared" si="46"/>
        <v>540000</v>
      </c>
      <c r="CI92" s="161">
        <f t="shared" si="47"/>
        <v>739800</v>
      </c>
    </row>
    <row r="93" spans="19:87" x14ac:dyDescent="0.15">
      <c r="S93" s="46">
        <v>1</v>
      </c>
      <c r="BB93" s="25">
        <v>45</v>
      </c>
      <c r="CD93" s="161">
        <v>88</v>
      </c>
      <c r="CE93" s="161">
        <f t="shared" si="43"/>
        <v>110880</v>
      </c>
      <c r="CF93" s="161">
        <f t="shared" si="44"/>
        <v>169200</v>
      </c>
      <c r="CG93" s="161">
        <f t="shared" si="45"/>
        <v>322560</v>
      </c>
      <c r="CH93" s="161">
        <f t="shared" si="46"/>
        <v>594000</v>
      </c>
      <c r="CI93" s="161">
        <f t="shared" si="47"/>
        <v>817200</v>
      </c>
    </row>
    <row r="94" spans="19:87" x14ac:dyDescent="0.15">
      <c r="S94" s="46">
        <v>2</v>
      </c>
      <c r="T94" s="144" t="s">
        <v>433</v>
      </c>
      <c r="U94" s="187" t="s">
        <v>439</v>
      </c>
      <c r="V94" s="188"/>
      <c r="W94" s="188"/>
      <c r="X94" s="188"/>
      <c r="Y94" s="189"/>
      <c r="Z94" s="187" t="s">
        <v>440</v>
      </c>
      <c r="AA94" s="188"/>
      <c r="AB94" s="188"/>
      <c r="AC94" s="188"/>
      <c r="AD94" s="189"/>
      <c r="AE94" s="187" t="s">
        <v>440</v>
      </c>
      <c r="AF94" s="188"/>
      <c r="AG94" s="188"/>
      <c r="AH94" s="188"/>
      <c r="AI94" s="189"/>
      <c r="AJ94" s="186" t="s">
        <v>221</v>
      </c>
      <c r="AK94" s="186"/>
      <c r="AL94" s="186"/>
      <c r="AM94" s="186"/>
      <c r="AN94" s="186"/>
      <c r="AO94" s="187" t="s">
        <v>222</v>
      </c>
      <c r="AP94" s="188"/>
      <c r="AQ94" s="188"/>
      <c r="AR94" s="188"/>
      <c r="AS94" s="189"/>
      <c r="AT94" s="187" t="s">
        <v>451</v>
      </c>
      <c r="AU94" s="188"/>
      <c r="AV94" s="188"/>
      <c r="AW94" s="188"/>
      <c r="AX94" s="189"/>
      <c r="BB94" s="25">
        <v>1</v>
      </c>
      <c r="BC94" s="148" t="s">
        <v>206</v>
      </c>
      <c r="BD94" s="195" t="s">
        <v>231</v>
      </c>
      <c r="BE94" s="195"/>
      <c r="BF94" s="195"/>
      <c r="BG94" s="195" t="s">
        <v>232</v>
      </c>
      <c r="BH94" s="195"/>
      <c r="BI94" s="195"/>
      <c r="BJ94" s="195"/>
      <c r="BN94" s="150" t="s">
        <v>206</v>
      </c>
      <c r="BO94" s="183" t="s">
        <v>375</v>
      </c>
      <c r="BP94" s="183"/>
      <c r="BQ94" s="183"/>
      <c r="BR94" s="183"/>
      <c r="BS94" s="183"/>
      <c r="BT94" s="183"/>
      <c r="BV94" s="148" t="s">
        <v>206</v>
      </c>
      <c r="BW94" s="184" t="s">
        <v>351</v>
      </c>
      <c r="BX94" s="185"/>
      <c r="CD94" s="161">
        <v>89</v>
      </c>
      <c r="CE94" s="161">
        <f t="shared" si="43"/>
        <v>120240</v>
      </c>
      <c r="CF94" s="161">
        <f t="shared" si="44"/>
        <v>183600</v>
      </c>
      <c r="CG94" s="161">
        <f t="shared" si="45"/>
        <v>350280</v>
      </c>
      <c r="CH94" s="161">
        <f t="shared" si="46"/>
        <v>648000</v>
      </c>
      <c r="CI94" s="161">
        <f t="shared" si="47"/>
        <v>894600</v>
      </c>
    </row>
    <row r="95" spans="19:87" x14ac:dyDescent="0.15">
      <c r="S95" s="46">
        <v>3</v>
      </c>
      <c r="T95" s="144" t="s">
        <v>398</v>
      </c>
      <c r="U95" s="147" t="s">
        <v>0</v>
      </c>
      <c r="V95" s="146" t="s">
        <v>1</v>
      </c>
      <c r="W95" s="146" t="s">
        <v>2</v>
      </c>
      <c r="X95" s="146" t="s">
        <v>3</v>
      </c>
      <c r="Y95" s="146" t="s">
        <v>4</v>
      </c>
      <c r="Z95" s="147" t="s">
        <v>0</v>
      </c>
      <c r="AA95" s="146" t="s">
        <v>1</v>
      </c>
      <c r="AB95" s="146" t="s">
        <v>2</v>
      </c>
      <c r="AC95" s="146" t="s">
        <v>3</v>
      </c>
      <c r="AD95" s="146" t="s">
        <v>4</v>
      </c>
      <c r="AE95" s="147" t="s">
        <v>0</v>
      </c>
      <c r="AF95" s="146" t="s">
        <v>1</v>
      </c>
      <c r="AG95" s="146" t="s">
        <v>2</v>
      </c>
      <c r="AH95" s="146" t="s">
        <v>3</v>
      </c>
      <c r="AI95" s="146" t="s">
        <v>4</v>
      </c>
      <c r="AJ95" s="144" t="s">
        <v>0</v>
      </c>
      <c r="AK95" s="143" t="s">
        <v>1</v>
      </c>
      <c r="AL95" s="143" t="s">
        <v>2</v>
      </c>
      <c r="AM95" s="143" t="s">
        <v>3</v>
      </c>
      <c r="AN95" s="143" t="s">
        <v>4</v>
      </c>
      <c r="AO95" s="160" t="s">
        <v>0</v>
      </c>
      <c r="AP95" s="159" t="s">
        <v>1</v>
      </c>
      <c r="AQ95" s="159" t="s">
        <v>2</v>
      </c>
      <c r="AR95" s="159" t="s">
        <v>3</v>
      </c>
      <c r="AS95" s="159" t="s">
        <v>4</v>
      </c>
      <c r="AT95" s="160" t="s">
        <v>0</v>
      </c>
      <c r="AU95" s="159" t="s">
        <v>1</v>
      </c>
      <c r="AV95" s="159" t="s">
        <v>2</v>
      </c>
      <c r="AW95" s="159" t="s">
        <v>3</v>
      </c>
      <c r="AX95" s="159" t="s">
        <v>4</v>
      </c>
      <c r="BB95" s="25">
        <v>2</v>
      </c>
      <c r="BC95" s="51" t="s">
        <v>398</v>
      </c>
      <c r="BD95" s="147" t="s">
        <v>233</v>
      </c>
      <c r="BE95" s="147" t="s">
        <v>223</v>
      </c>
      <c r="BF95" s="147" t="s">
        <v>224</v>
      </c>
      <c r="BG95" s="147" t="s">
        <v>233</v>
      </c>
      <c r="BH95" s="147" t="s">
        <v>223</v>
      </c>
      <c r="BI95" s="147" t="s">
        <v>224</v>
      </c>
      <c r="BJ95" s="51" t="s">
        <v>236</v>
      </c>
      <c r="BN95" s="51" t="s">
        <v>398</v>
      </c>
      <c r="BO95" s="147" t="s">
        <v>442</v>
      </c>
      <c r="BP95" s="147" t="s">
        <v>443</v>
      </c>
      <c r="BQ95" s="147" t="s">
        <v>445</v>
      </c>
      <c r="BR95" s="147" t="s">
        <v>371</v>
      </c>
      <c r="BS95" s="147" t="s">
        <v>353</v>
      </c>
      <c r="BT95" s="147" t="s">
        <v>352</v>
      </c>
      <c r="BV95" s="51" t="s">
        <v>398</v>
      </c>
      <c r="BW95" s="51" t="s">
        <v>215</v>
      </c>
      <c r="BX95" s="147" t="s">
        <v>353</v>
      </c>
      <c r="BY95" s="147" t="s">
        <v>370</v>
      </c>
      <c r="CD95" s="161">
        <v>90</v>
      </c>
      <c r="CE95" s="161">
        <f t="shared" si="43"/>
        <v>129600</v>
      </c>
      <c r="CF95" s="161">
        <f t="shared" si="44"/>
        <v>198000</v>
      </c>
      <c r="CG95" s="161">
        <f t="shared" si="45"/>
        <v>378000</v>
      </c>
      <c r="CH95" s="161">
        <f t="shared" si="46"/>
        <v>702000</v>
      </c>
      <c r="CI95" s="161">
        <f t="shared" si="47"/>
        <v>972000</v>
      </c>
    </row>
    <row r="96" spans="19:87" x14ac:dyDescent="0.15">
      <c r="S96" s="46">
        <v>4</v>
      </c>
      <c r="T96" s="144">
        <v>10</v>
      </c>
      <c r="U96" s="147"/>
      <c r="V96" s="147"/>
      <c r="W96" s="147"/>
      <c r="X96" s="147"/>
      <c r="Y96" s="43">
        <f>求节点($G$37:$G$62,$I$37:$I$62,节奏预期!$AB64)</f>
        <v>0</v>
      </c>
      <c r="Z96" s="147"/>
      <c r="AA96" s="147"/>
      <c r="AB96" s="147"/>
      <c r="AC96" s="147"/>
      <c r="AD96" s="43">
        <f>求节点($G$37:$G$62,$J$37:$J$62,节奏预期!$AB64)*3</f>
        <v>0</v>
      </c>
      <c r="AE96" s="146"/>
      <c r="AF96" s="146"/>
      <c r="AG96" s="146"/>
      <c r="AH96" s="146"/>
      <c r="AI96" s="43">
        <f>求节点($G$37:$G$62,$K$37:$K$62,节奏预期!$AB64)*3</f>
        <v>0</v>
      </c>
      <c r="AJ96" s="143"/>
      <c r="AK96" s="143"/>
      <c r="AL96" s="143"/>
      <c r="AM96" s="143"/>
      <c r="AN96" s="43">
        <f>求节点($G$37:$G$62,$O$37:$O$62,节奏预期!$AB64)</f>
        <v>0</v>
      </c>
      <c r="AO96" s="160"/>
      <c r="AP96" s="159"/>
      <c r="AQ96" s="159"/>
      <c r="AR96" s="159"/>
      <c r="AS96" s="43">
        <f>AN96</f>
        <v>0</v>
      </c>
      <c r="AT96" s="160"/>
      <c r="AU96" s="159"/>
      <c r="AV96" s="159"/>
      <c r="AW96" s="159"/>
      <c r="AX96" s="43">
        <f>求节点($G$37:$G$62,$P$37:$P$62,节奏预期!$AB64)*3</f>
        <v>0</v>
      </c>
      <c r="BB96" s="25">
        <v>3</v>
      </c>
      <c r="BC96" s="147">
        <v>10</v>
      </c>
      <c r="BD96" s="52">
        <f>AX96</f>
        <v>0</v>
      </c>
      <c r="BE96" s="52">
        <f>AN96</f>
        <v>0</v>
      </c>
      <c r="BF96" s="52">
        <f>AS96</f>
        <v>0</v>
      </c>
      <c r="BG96" s="77">
        <f>BD96*(INDEX([2]中r将兵属性验证!V$7:V$166,$BC96,1)+INDEX([2]中r将兵属性验证!$AP$7:$AP$166,$BC96,1))</f>
        <v>0</v>
      </c>
      <c r="BH96" s="77">
        <f>$BE96*INDEX([2]中r将兵属性验证!W$7:W$166,$BC96,1)</f>
        <v>0</v>
      </c>
      <c r="BI96" s="77">
        <f>$BF96*INDEX([2]中r将兵属性验证!X$7:X$166,$BC96,1)</f>
        <v>0</v>
      </c>
      <c r="BJ96" s="52">
        <f>SUM(BG96:BI96)</f>
        <v>0</v>
      </c>
      <c r="BN96" s="147">
        <v>10</v>
      </c>
      <c r="BO96" s="75">
        <f>AD96*6</f>
        <v>0</v>
      </c>
      <c r="BP96" s="76">
        <f>BO96*INDEX('[1]功能-付费相关'!$DG$6:$DG$165,$BN96,1)</f>
        <v>0</v>
      </c>
      <c r="BQ96" s="75">
        <f>Y96*3*6</f>
        <v>0</v>
      </c>
      <c r="BR96" s="75">
        <v>0</v>
      </c>
      <c r="BS96" s="75">
        <f>AI96*6</f>
        <v>0</v>
      </c>
      <c r="BT96" s="76">
        <f>BS96*INDEX('[1]功能-付费相关'!$AS$6:$AS$165,$CY96,1)</f>
        <v>0</v>
      </c>
      <c r="BV96" s="147">
        <v>10</v>
      </c>
      <c r="BW96" s="147">
        <f>BP96</f>
        <v>0</v>
      </c>
      <c r="BX96" s="147">
        <f t="shared" ref="BX96:BX111" si="48">BT96</f>
        <v>0</v>
      </c>
      <c r="BY96" s="84">
        <f>SUM(BW96:BX96)</f>
        <v>0</v>
      </c>
      <c r="CD96" s="161">
        <v>91</v>
      </c>
      <c r="CE96" s="161">
        <f t="shared" si="43"/>
        <v>154440</v>
      </c>
      <c r="CF96" s="161">
        <f t="shared" si="44"/>
        <v>243000</v>
      </c>
      <c r="CG96" s="161">
        <f t="shared" si="45"/>
        <v>547200</v>
      </c>
      <c r="CH96" s="161">
        <f t="shared" si="46"/>
        <v>855000</v>
      </c>
      <c r="CI96" s="161">
        <f t="shared" si="47"/>
        <v>1098000</v>
      </c>
    </row>
    <row r="97" spans="19:87" x14ac:dyDescent="0.15">
      <c r="S97" s="46">
        <v>5</v>
      </c>
      <c r="T97" s="144">
        <v>20</v>
      </c>
      <c r="U97" s="147"/>
      <c r="V97" s="147"/>
      <c r="W97" s="147"/>
      <c r="X97" s="147"/>
      <c r="Y97" s="43">
        <f>求节点($G$37:$G$62,$I$37:$I$62,节奏预期!$AB65)</f>
        <v>0</v>
      </c>
      <c r="Z97" s="147"/>
      <c r="AA97" s="147"/>
      <c r="AB97" s="147"/>
      <c r="AC97" s="147"/>
      <c r="AD97" s="43">
        <f>求节点($G$37:$G$62,$J$37:$J$62,节奏预期!$AB65)*3</f>
        <v>0</v>
      </c>
      <c r="AE97" s="146"/>
      <c r="AF97" s="146"/>
      <c r="AG97" s="146"/>
      <c r="AH97" s="146"/>
      <c r="AI97" s="43">
        <f>求节点($G$37:$G$62,$K$37:$K$62,节奏预期!$AB65)*3</f>
        <v>0</v>
      </c>
      <c r="AJ97" s="143"/>
      <c r="AK97" s="143"/>
      <c r="AL97" s="143"/>
      <c r="AM97" s="143"/>
      <c r="AN97" s="43">
        <f>求节点($G$37:$G$62,$O$37:$O$62,节奏预期!$AB65)</f>
        <v>0</v>
      </c>
      <c r="AO97" s="160"/>
      <c r="AP97" s="159"/>
      <c r="AQ97" s="159"/>
      <c r="AR97" s="159"/>
      <c r="AS97" s="43">
        <f t="shared" ref="AS97:AS111" si="49">AN97</f>
        <v>0</v>
      </c>
      <c r="AT97" s="160"/>
      <c r="AU97" s="159"/>
      <c r="AV97" s="159"/>
      <c r="AW97" s="159"/>
      <c r="AX97" s="43">
        <f>求节点($G$37:$G$62,$P$37:$P$62,节奏预期!$AB65)*3</f>
        <v>0</v>
      </c>
      <c r="BB97" s="25">
        <v>4</v>
      </c>
      <c r="BC97" s="147">
        <v>20</v>
      </c>
      <c r="BD97" s="52">
        <f t="shared" ref="BD97:BD111" si="50">AX97</f>
        <v>0</v>
      </c>
      <c r="BE97" s="52">
        <f t="shared" ref="BE97:BE111" si="51">AN97</f>
        <v>0</v>
      </c>
      <c r="BF97" s="52">
        <f t="shared" ref="BF97:BF111" si="52">AS97</f>
        <v>0</v>
      </c>
      <c r="BG97" s="109">
        <f>(BD97-BD96)*(INDEX([2]中r将兵属性验证!V$7:V$166,$BC97,1)+INDEX([2]中r将兵属性验证!$AP$7:$AP$166,$BC97,1))+BG96</f>
        <v>0</v>
      </c>
      <c r="BH97" s="109">
        <f>($BE97-$BE96)*INDEX([2]中r将兵属性验证!W$7:W$166,$BC97,1)+BH96</f>
        <v>0</v>
      </c>
      <c r="BI97" s="109">
        <f>($BF97-$BF96)*INDEX([2]中r将兵属性验证!X$7:X$166,$BC97,1)+BI96</f>
        <v>0</v>
      </c>
      <c r="BJ97" s="52">
        <f t="shared" ref="BJ97:BJ111" si="53">SUM(BG97:BI97)</f>
        <v>0</v>
      </c>
      <c r="BN97" s="147">
        <v>20</v>
      </c>
      <c r="BO97" s="75">
        <f t="shared" ref="BO97:BO111" si="54">AD97*6</f>
        <v>0</v>
      </c>
      <c r="BP97" s="164">
        <f>(BO97-BO96)*INDEX('[1]功能-付费相关'!$DG$6:$DG$165,$BN97,1)+BP96</f>
        <v>0</v>
      </c>
      <c r="BQ97" s="75">
        <f t="shared" ref="BQ97:BQ111" si="55">Y97*3*6</f>
        <v>0</v>
      </c>
      <c r="BR97" s="75">
        <v>0</v>
      </c>
      <c r="BS97" s="75">
        <f t="shared" ref="BS97:BS111" si="56">AI97*6</f>
        <v>0</v>
      </c>
      <c r="BT97" s="75">
        <f>(BS97-BS96)*INDEX('[1]功能-付费相关'!$AS$6:$AS$165,$CY97,1)+BT96</f>
        <v>0</v>
      </c>
      <c r="BV97" s="147">
        <v>20</v>
      </c>
      <c r="BW97" s="147">
        <f t="shared" ref="BW97:BW111" si="57">BP97</f>
        <v>0</v>
      </c>
      <c r="BX97" s="147">
        <f t="shared" si="48"/>
        <v>0</v>
      </c>
      <c r="BY97" s="84">
        <f t="shared" ref="BY97:BY111" si="58">SUM(BW97:BX97)</f>
        <v>0</v>
      </c>
      <c r="CD97" s="161">
        <v>92</v>
      </c>
      <c r="CE97" s="161">
        <f t="shared" si="43"/>
        <v>179280</v>
      </c>
      <c r="CF97" s="161">
        <f t="shared" si="44"/>
        <v>288000</v>
      </c>
      <c r="CG97" s="161">
        <f t="shared" si="45"/>
        <v>716400</v>
      </c>
      <c r="CH97" s="161">
        <f t="shared" si="46"/>
        <v>1008000</v>
      </c>
      <c r="CI97" s="161">
        <f t="shared" si="47"/>
        <v>1224000</v>
      </c>
    </row>
    <row r="98" spans="19:87" x14ac:dyDescent="0.15">
      <c r="S98" s="46">
        <v>6</v>
      </c>
      <c r="T98" s="144">
        <v>30</v>
      </c>
      <c r="U98" s="147"/>
      <c r="V98" s="147"/>
      <c r="W98" s="147"/>
      <c r="X98" s="147"/>
      <c r="Y98" s="43">
        <f>求节点($G$37:$G$62,$I$37:$I$62,节奏预期!$AB66)</f>
        <v>0</v>
      </c>
      <c r="Z98" s="147"/>
      <c r="AA98" s="147"/>
      <c r="AB98" s="147"/>
      <c r="AC98" s="147"/>
      <c r="AD98" s="43">
        <f>求节点($G$37:$G$62,$J$37:$J$62,节奏预期!$AB66)*3</f>
        <v>0</v>
      </c>
      <c r="AE98" s="146"/>
      <c r="AF98" s="146"/>
      <c r="AG98" s="146"/>
      <c r="AH98" s="146"/>
      <c r="AI98" s="43">
        <f>求节点($G$37:$G$62,$K$37:$K$62,节奏预期!$AB66)*3</f>
        <v>0</v>
      </c>
      <c r="AJ98" s="143"/>
      <c r="AK98" s="143"/>
      <c r="AL98" s="143"/>
      <c r="AM98" s="143"/>
      <c r="AN98" s="43">
        <f>求节点($G$37:$G$62,$O$37:$O$62,节奏预期!$AB66)</f>
        <v>0</v>
      </c>
      <c r="AO98" s="160"/>
      <c r="AP98" s="159"/>
      <c r="AQ98" s="159"/>
      <c r="AR98" s="159"/>
      <c r="AS98" s="43">
        <f t="shared" si="49"/>
        <v>0</v>
      </c>
      <c r="AT98" s="160"/>
      <c r="AU98" s="159"/>
      <c r="AV98" s="159"/>
      <c r="AW98" s="159"/>
      <c r="AX98" s="43">
        <f>求节点($G$37:$G$62,$P$37:$P$62,节奏预期!$AB66)*3</f>
        <v>0</v>
      </c>
      <c r="BB98" s="25">
        <v>5</v>
      </c>
      <c r="BC98" s="147">
        <v>30</v>
      </c>
      <c r="BD98" s="52">
        <f t="shared" si="50"/>
        <v>0</v>
      </c>
      <c r="BE98" s="52">
        <f t="shared" si="51"/>
        <v>0</v>
      </c>
      <c r="BF98" s="52">
        <f t="shared" si="52"/>
        <v>0</v>
      </c>
      <c r="BG98" s="109">
        <f>(BD98-BD97)*(INDEX([2]中r将兵属性验证!V$7:V$166,$BC98,1)+INDEX([2]中r将兵属性验证!$AP$7:$AP$166,$BC98,1))+BG97</f>
        <v>0</v>
      </c>
      <c r="BH98" s="109">
        <f>($BE98-$BE97)*INDEX([2]中r将兵属性验证!W$7:W$166,$BC98,1)+BH97</f>
        <v>0</v>
      </c>
      <c r="BI98" s="109">
        <f>($BF98-$BF97)*INDEX([2]中r将兵属性验证!X$7:X$166,$BC98,1)+BI97</f>
        <v>0</v>
      </c>
      <c r="BJ98" s="52">
        <f t="shared" si="53"/>
        <v>0</v>
      </c>
      <c r="BN98" s="147">
        <v>30</v>
      </c>
      <c r="BO98" s="75">
        <f t="shared" si="54"/>
        <v>0</v>
      </c>
      <c r="BP98" s="164">
        <f>(BO98-BO97)*INDEX('[1]功能-付费相关'!$DG$6:$DG$165,$BN98,1)+BP97</f>
        <v>0</v>
      </c>
      <c r="BQ98" s="75">
        <f t="shared" si="55"/>
        <v>0</v>
      </c>
      <c r="BR98" s="75">
        <v>0</v>
      </c>
      <c r="BS98" s="75">
        <f t="shared" si="56"/>
        <v>0</v>
      </c>
      <c r="BT98" s="75">
        <f>(BS98-BS97)*INDEX('[1]功能-付费相关'!$AS$6:$AS$165,$CY98,1)+BT97</f>
        <v>0</v>
      </c>
      <c r="BV98" s="147">
        <v>30</v>
      </c>
      <c r="BW98" s="147">
        <f t="shared" si="57"/>
        <v>0</v>
      </c>
      <c r="BX98" s="147">
        <f t="shared" si="48"/>
        <v>0</v>
      </c>
      <c r="BY98" s="84">
        <f t="shared" si="58"/>
        <v>0</v>
      </c>
      <c r="CD98" s="161">
        <v>93</v>
      </c>
      <c r="CE98" s="161">
        <f t="shared" si="43"/>
        <v>204120</v>
      </c>
      <c r="CF98" s="161">
        <f t="shared" si="44"/>
        <v>333000</v>
      </c>
      <c r="CG98" s="161">
        <f t="shared" si="45"/>
        <v>885600</v>
      </c>
      <c r="CH98" s="161">
        <f t="shared" si="46"/>
        <v>1161000</v>
      </c>
      <c r="CI98" s="161">
        <f t="shared" si="47"/>
        <v>1350000</v>
      </c>
    </row>
    <row r="99" spans="19:87" x14ac:dyDescent="0.15">
      <c r="S99" s="46">
        <v>7</v>
      </c>
      <c r="T99" s="144">
        <v>40</v>
      </c>
      <c r="U99" s="147"/>
      <c r="V99" s="147"/>
      <c r="W99" s="147"/>
      <c r="X99" s="147"/>
      <c r="Y99" s="43">
        <f>求节点($G$37:$G$62,$I$37:$I$62,节奏预期!$AB67)</f>
        <v>0</v>
      </c>
      <c r="Z99" s="147"/>
      <c r="AA99" s="147"/>
      <c r="AB99" s="147"/>
      <c r="AC99" s="147"/>
      <c r="AD99" s="43">
        <f>求节点($G$37:$G$62,$J$37:$J$62,节奏预期!$AB67)*3</f>
        <v>0</v>
      </c>
      <c r="AE99" s="146"/>
      <c r="AF99" s="146"/>
      <c r="AG99" s="146"/>
      <c r="AH99" s="146"/>
      <c r="AI99" s="43">
        <f>求节点($G$37:$G$62,$K$37:$K$62,节奏预期!$AB67)*3</f>
        <v>0</v>
      </c>
      <c r="AJ99" s="143"/>
      <c r="AK99" s="143"/>
      <c r="AL99" s="143"/>
      <c r="AM99" s="143"/>
      <c r="AN99" s="43">
        <f>求节点($G$37:$G$62,$O$37:$O$62,节奏预期!$AB67)</f>
        <v>0</v>
      </c>
      <c r="AO99" s="160"/>
      <c r="AP99" s="159"/>
      <c r="AQ99" s="159"/>
      <c r="AR99" s="159"/>
      <c r="AS99" s="43">
        <f t="shared" si="49"/>
        <v>0</v>
      </c>
      <c r="AT99" s="160"/>
      <c r="AU99" s="159"/>
      <c r="AV99" s="159"/>
      <c r="AW99" s="159"/>
      <c r="AX99" s="43">
        <f>求节点($G$37:$G$62,$P$37:$P$62,节奏预期!$AB67)*3</f>
        <v>0</v>
      </c>
      <c r="BB99" s="25">
        <v>6</v>
      </c>
      <c r="BC99" s="147">
        <v>40</v>
      </c>
      <c r="BD99" s="52">
        <f t="shared" si="50"/>
        <v>0</v>
      </c>
      <c r="BE99" s="52">
        <f t="shared" si="51"/>
        <v>0</v>
      </c>
      <c r="BF99" s="52">
        <f t="shared" si="52"/>
        <v>0</v>
      </c>
      <c r="BG99" s="109">
        <f>(BD99-BD98)*(INDEX([2]中r将兵属性验证!V$7:V$166,$BC99,1)+INDEX([2]中r将兵属性验证!$AP$7:$AP$166,$BC99,1))+BG98</f>
        <v>0</v>
      </c>
      <c r="BH99" s="109">
        <f>($BE99-$BE98)*INDEX([2]中r将兵属性验证!W$7:W$166,$BC99,1)+BH98</f>
        <v>0</v>
      </c>
      <c r="BI99" s="109">
        <f>($BF99-$BF98)*INDEX([2]中r将兵属性验证!X$7:X$166,$BC99,1)+BI98</f>
        <v>0</v>
      </c>
      <c r="BJ99" s="52">
        <f t="shared" si="53"/>
        <v>0</v>
      </c>
      <c r="BN99" s="147">
        <v>40</v>
      </c>
      <c r="BO99" s="75">
        <f t="shared" si="54"/>
        <v>0</v>
      </c>
      <c r="BP99" s="164">
        <f>(BO99-BO98)*INDEX('[1]功能-付费相关'!$DG$6:$DG$165,$BN99,1)+BP98</f>
        <v>0</v>
      </c>
      <c r="BQ99" s="75">
        <f t="shared" si="55"/>
        <v>0</v>
      </c>
      <c r="BR99" s="75">
        <v>0</v>
      </c>
      <c r="BS99" s="75">
        <f t="shared" si="56"/>
        <v>0</v>
      </c>
      <c r="BT99" s="75">
        <f>(BS99-BS98)*INDEX('[1]功能-付费相关'!$AS$6:$AS$165,$CY99,1)+BT98</f>
        <v>0</v>
      </c>
      <c r="BV99" s="147">
        <v>40</v>
      </c>
      <c r="BW99" s="147">
        <f t="shared" si="57"/>
        <v>0</v>
      </c>
      <c r="BX99" s="147">
        <f t="shared" si="48"/>
        <v>0</v>
      </c>
      <c r="BY99" s="84">
        <f t="shared" si="58"/>
        <v>0</v>
      </c>
      <c r="CD99" s="161">
        <v>94</v>
      </c>
      <c r="CE99" s="161">
        <f t="shared" si="43"/>
        <v>228960</v>
      </c>
      <c r="CF99" s="161">
        <f t="shared" si="44"/>
        <v>378000</v>
      </c>
      <c r="CG99" s="161">
        <f t="shared" si="45"/>
        <v>1054800</v>
      </c>
      <c r="CH99" s="161">
        <f t="shared" si="46"/>
        <v>1314000</v>
      </c>
      <c r="CI99" s="161">
        <f t="shared" si="47"/>
        <v>1476000</v>
      </c>
    </row>
    <row r="100" spans="19:87" x14ac:dyDescent="0.15">
      <c r="S100" s="46">
        <v>8</v>
      </c>
      <c r="T100" s="144">
        <v>50</v>
      </c>
      <c r="U100" s="147"/>
      <c r="V100" s="147"/>
      <c r="W100" s="147"/>
      <c r="X100" s="147"/>
      <c r="Y100" s="43">
        <f>求节点($G$37:$G$62,$I$37:$I$62,节奏预期!$AB68)</f>
        <v>0</v>
      </c>
      <c r="Z100" s="147"/>
      <c r="AA100" s="147"/>
      <c r="AB100" s="147"/>
      <c r="AC100" s="147"/>
      <c r="AD100" s="43">
        <f>求节点($G$37:$G$62,$J$37:$J$62,节奏预期!$AB68)*3</f>
        <v>0</v>
      </c>
      <c r="AE100" s="146"/>
      <c r="AF100" s="146"/>
      <c r="AG100" s="146"/>
      <c r="AH100" s="146"/>
      <c r="AI100" s="43">
        <f>求节点($G$37:$G$62,$K$37:$K$62,节奏预期!$AB68)*3</f>
        <v>0</v>
      </c>
      <c r="AJ100" s="143"/>
      <c r="AK100" s="143"/>
      <c r="AL100" s="143"/>
      <c r="AM100" s="143"/>
      <c r="AN100" s="43">
        <f>求节点($G$37:$G$62,$O$37:$O$62,节奏预期!$AB68)</f>
        <v>0</v>
      </c>
      <c r="AO100" s="160"/>
      <c r="AP100" s="159"/>
      <c r="AQ100" s="159"/>
      <c r="AR100" s="159"/>
      <c r="AS100" s="43">
        <f t="shared" si="49"/>
        <v>0</v>
      </c>
      <c r="AT100" s="160"/>
      <c r="AU100" s="159"/>
      <c r="AV100" s="159"/>
      <c r="AW100" s="159"/>
      <c r="AX100" s="43">
        <f>求节点($G$37:$G$62,$P$37:$P$62,节奏预期!$AB68)*3</f>
        <v>0</v>
      </c>
      <c r="BB100" s="25">
        <v>7</v>
      </c>
      <c r="BC100" s="147">
        <v>50</v>
      </c>
      <c r="BD100" s="52">
        <f t="shared" si="50"/>
        <v>0</v>
      </c>
      <c r="BE100" s="52">
        <f t="shared" si="51"/>
        <v>0</v>
      </c>
      <c r="BF100" s="52">
        <f t="shared" si="52"/>
        <v>0</v>
      </c>
      <c r="BG100" s="109">
        <f>(BD100-BD99)*(INDEX([2]中r将兵属性验证!V$7:V$166,$BC100,1)+INDEX([2]中r将兵属性验证!$AP$7:$AP$166,$BC100,1))+BG99</f>
        <v>0</v>
      </c>
      <c r="BH100" s="109">
        <f>($BE100-$BE99)*INDEX([2]中r将兵属性验证!W$7:W$166,$BC100,1)+BH99</f>
        <v>0</v>
      </c>
      <c r="BI100" s="109">
        <f>($BF100-$BF99)*INDEX([2]中r将兵属性验证!X$7:X$166,$BC100,1)+BI99</f>
        <v>0</v>
      </c>
      <c r="BJ100" s="52">
        <f t="shared" si="53"/>
        <v>0</v>
      </c>
      <c r="BN100" s="147">
        <v>50</v>
      </c>
      <c r="BO100" s="75">
        <f t="shared" si="54"/>
        <v>0</v>
      </c>
      <c r="BP100" s="164">
        <f>(BO100-BO99)*INDEX('[1]功能-付费相关'!$DG$6:$DG$165,$BN100,1)+BP99</f>
        <v>0</v>
      </c>
      <c r="BQ100" s="75">
        <f t="shared" si="55"/>
        <v>0</v>
      </c>
      <c r="BR100" s="75">
        <v>0</v>
      </c>
      <c r="BS100" s="75">
        <f t="shared" si="56"/>
        <v>0</v>
      </c>
      <c r="BT100" s="75">
        <f>(BS100-BS99)*INDEX('[1]功能-付费相关'!$AS$6:$AS$165,$CY100,1)+BT99</f>
        <v>0</v>
      </c>
      <c r="BV100" s="147">
        <v>50</v>
      </c>
      <c r="BW100" s="147">
        <f t="shared" si="57"/>
        <v>0</v>
      </c>
      <c r="BX100" s="147">
        <f t="shared" si="48"/>
        <v>0</v>
      </c>
      <c r="BY100" s="84">
        <f t="shared" si="58"/>
        <v>0</v>
      </c>
      <c r="CD100" s="161">
        <v>95</v>
      </c>
      <c r="CE100" s="161">
        <f t="shared" si="43"/>
        <v>253800</v>
      </c>
      <c r="CF100" s="161">
        <f t="shared" si="44"/>
        <v>423000</v>
      </c>
      <c r="CG100" s="161">
        <f t="shared" si="45"/>
        <v>1224000</v>
      </c>
      <c r="CH100" s="161">
        <f t="shared" si="46"/>
        <v>1467000</v>
      </c>
      <c r="CI100" s="161">
        <f t="shared" si="47"/>
        <v>1602000</v>
      </c>
    </row>
    <row r="101" spans="19:87" x14ac:dyDescent="0.15">
      <c r="S101" s="46">
        <v>9</v>
      </c>
      <c r="T101" s="144">
        <v>60</v>
      </c>
      <c r="U101" s="147"/>
      <c r="V101" s="147"/>
      <c r="W101" s="147"/>
      <c r="X101" s="147"/>
      <c r="Y101" s="43">
        <f>求节点($G$37:$G$62,$I$37:$I$62,节奏预期!$AB69)</f>
        <v>0</v>
      </c>
      <c r="Z101" s="147"/>
      <c r="AA101" s="147"/>
      <c r="AB101" s="147"/>
      <c r="AC101" s="147"/>
      <c r="AD101" s="43">
        <f>求节点($G$37:$G$62,$J$37:$J$62,节奏预期!$AB69)*3</f>
        <v>0</v>
      </c>
      <c r="AE101" s="146"/>
      <c r="AF101" s="146"/>
      <c r="AG101" s="146"/>
      <c r="AH101" s="146"/>
      <c r="AI101" s="43">
        <f>求节点($G$37:$G$62,$K$37:$K$62,节奏预期!$AB69)*3</f>
        <v>0</v>
      </c>
      <c r="AJ101" s="143"/>
      <c r="AK101" s="143"/>
      <c r="AL101" s="143"/>
      <c r="AM101" s="143"/>
      <c r="AN101" s="43">
        <f>求节点($G$37:$G$62,$O$37:$O$62,节奏预期!$AB69)</f>
        <v>0</v>
      </c>
      <c r="AO101" s="160"/>
      <c r="AP101" s="159"/>
      <c r="AQ101" s="159"/>
      <c r="AR101" s="159"/>
      <c r="AS101" s="43">
        <f t="shared" si="49"/>
        <v>0</v>
      </c>
      <c r="AT101" s="160"/>
      <c r="AU101" s="159"/>
      <c r="AV101" s="159"/>
      <c r="AW101" s="159"/>
      <c r="AX101" s="43">
        <f>求节点($G$37:$G$62,$P$37:$P$62,节奏预期!$AB69)*3</f>
        <v>0</v>
      </c>
      <c r="BB101" s="25">
        <v>8</v>
      </c>
      <c r="BC101" s="147">
        <v>60</v>
      </c>
      <c r="BD101" s="52">
        <f t="shared" si="50"/>
        <v>0</v>
      </c>
      <c r="BE101" s="52">
        <f t="shared" si="51"/>
        <v>0</v>
      </c>
      <c r="BF101" s="52">
        <f t="shared" si="52"/>
        <v>0</v>
      </c>
      <c r="BG101" s="109">
        <f>(BD101-BD100)*(INDEX([2]中r将兵属性验证!V$7:V$166,$BC101,1)+INDEX([2]中r将兵属性验证!$AP$7:$AP$166,$BC101,1))+BG100</f>
        <v>0</v>
      </c>
      <c r="BH101" s="109">
        <f>($BE101-$BE100)*INDEX([2]中r将兵属性验证!W$7:W$166,$BC101,1)+BH100</f>
        <v>0</v>
      </c>
      <c r="BI101" s="109">
        <f>($BF101-$BF100)*INDEX([2]中r将兵属性验证!X$7:X$166,$BC101,1)+BI100</f>
        <v>0</v>
      </c>
      <c r="BJ101" s="52">
        <f t="shared" si="53"/>
        <v>0</v>
      </c>
      <c r="BN101" s="147">
        <v>60</v>
      </c>
      <c r="BO101" s="75">
        <f t="shared" si="54"/>
        <v>0</v>
      </c>
      <c r="BP101" s="164">
        <f>(BO101-BO100)*INDEX('[1]功能-付费相关'!$DG$6:$DG$165,$BN101,1)+BP100</f>
        <v>0</v>
      </c>
      <c r="BQ101" s="75">
        <f t="shared" si="55"/>
        <v>0</v>
      </c>
      <c r="BR101" s="75">
        <v>0</v>
      </c>
      <c r="BS101" s="75">
        <f t="shared" si="56"/>
        <v>0</v>
      </c>
      <c r="BT101" s="75">
        <f>(BS101-BS100)*INDEX('[1]功能-付费相关'!$AS$6:$AS$165,$CY101,1)+BT100</f>
        <v>0</v>
      </c>
      <c r="BV101" s="147">
        <v>60</v>
      </c>
      <c r="BW101" s="147">
        <f t="shared" si="57"/>
        <v>0</v>
      </c>
      <c r="BX101" s="147">
        <f t="shared" si="48"/>
        <v>0</v>
      </c>
      <c r="BY101" s="84">
        <f t="shared" si="58"/>
        <v>0</v>
      </c>
      <c r="CD101" s="161">
        <v>96</v>
      </c>
      <c r="CE101" s="161">
        <f t="shared" si="43"/>
        <v>278640</v>
      </c>
      <c r="CF101" s="161">
        <f t="shared" si="44"/>
        <v>468000</v>
      </c>
      <c r="CG101" s="161">
        <f t="shared" si="45"/>
        <v>1393200</v>
      </c>
      <c r="CH101" s="161">
        <f t="shared" si="46"/>
        <v>1620000</v>
      </c>
      <c r="CI101" s="161">
        <f t="shared" si="47"/>
        <v>1728000</v>
      </c>
    </row>
    <row r="102" spans="19:87" x14ac:dyDescent="0.15">
      <c r="S102" s="46">
        <v>10</v>
      </c>
      <c r="T102" s="144">
        <v>70</v>
      </c>
      <c r="U102" s="147"/>
      <c r="V102" s="147"/>
      <c r="W102" s="147"/>
      <c r="X102" s="147"/>
      <c r="Y102" s="43">
        <f>求节点($G$37:$G$62,$I$37:$I$62,节奏预期!$AB70)</f>
        <v>3.5</v>
      </c>
      <c r="Z102" s="147"/>
      <c r="AA102" s="147"/>
      <c r="AB102" s="147"/>
      <c r="AC102" s="147"/>
      <c r="AD102" s="43">
        <f>求节点($G$37:$G$62,$J$37:$J$62,节奏预期!$AB70)*3</f>
        <v>4800</v>
      </c>
      <c r="AE102" s="146"/>
      <c r="AF102" s="146"/>
      <c r="AG102" s="146"/>
      <c r="AH102" s="146"/>
      <c r="AI102" s="43">
        <f>求节点($G$37:$G$62,$K$37:$K$62,节奏预期!$AB70)*3</f>
        <v>2625000</v>
      </c>
      <c r="AJ102" s="143"/>
      <c r="AK102" s="143"/>
      <c r="AL102" s="143"/>
      <c r="AM102" s="143"/>
      <c r="AN102" s="43">
        <f>求节点($G$37:$G$62,$O$37:$O$62,节奏预期!$AB70)</f>
        <v>420</v>
      </c>
      <c r="AO102" s="160"/>
      <c r="AP102" s="159"/>
      <c r="AQ102" s="159"/>
      <c r="AR102" s="159"/>
      <c r="AS102" s="43">
        <f t="shared" si="49"/>
        <v>420</v>
      </c>
      <c r="AT102" s="160"/>
      <c r="AU102" s="159"/>
      <c r="AV102" s="159"/>
      <c r="AW102" s="159"/>
      <c r="AX102" s="43">
        <f>求节点($G$37:$G$62,$P$37:$P$62,节奏预期!$AB70)*3</f>
        <v>6.9999999999999991</v>
      </c>
      <c r="BB102" s="25">
        <v>9</v>
      </c>
      <c r="BC102" s="147">
        <v>70</v>
      </c>
      <c r="BD102" s="52">
        <f t="shared" si="50"/>
        <v>6.9999999999999991</v>
      </c>
      <c r="BE102" s="52">
        <f t="shared" si="51"/>
        <v>420</v>
      </c>
      <c r="BF102" s="52">
        <f t="shared" si="52"/>
        <v>420</v>
      </c>
      <c r="BG102" s="109">
        <f>(BD102-BD101)*(INDEX([2]中r将兵属性验证!V$7:V$166,$BC102,1)+INDEX([2]中r将兵属性验证!$AP$7:$AP$166,$BC102,1))+BG101</f>
        <v>1088471193.5819943</v>
      </c>
      <c r="BH102" s="109">
        <f>($BE102-$BE101)*INDEX([2]中r将兵属性验证!W$7:W$166,$BC102,1)+BH101</f>
        <v>521003644.54775226</v>
      </c>
      <c r="BI102" s="109">
        <f>($BF102-$BF101)*INDEX([2]中r将兵属性验证!X$7:X$166,$BC102,1)+BI101</f>
        <v>521003644.54775226</v>
      </c>
      <c r="BJ102" s="52">
        <f t="shared" si="53"/>
        <v>2130478482.6774988</v>
      </c>
      <c r="BN102" s="147">
        <v>70</v>
      </c>
      <c r="BO102" s="75">
        <f t="shared" si="54"/>
        <v>28800</v>
      </c>
      <c r="BP102" s="164">
        <f>(BO102-BO101)*INDEX('[1]功能-付费相关'!$DG$6:$DG$165,$BN102,1)+BP101</f>
        <v>93662.121759097834</v>
      </c>
      <c r="BQ102" s="75">
        <f t="shared" si="55"/>
        <v>63</v>
      </c>
      <c r="BR102" s="75">
        <v>0</v>
      </c>
      <c r="BS102" s="75">
        <f t="shared" si="56"/>
        <v>15750000</v>
      </c>
      <c r="BT102" s="75">
        <f>(BS102-BS101)*INDEX('[1]功能-付费相关'!$AS$6:$AS$165,$CY102,1)+BT101</f>
        <v>14370.43795620438</v>
      </c>
      <c r="BV102" s="147">
        <v>70</v>
      </c>
      <c r="BW102" s="147">
        <f t="shared" si="57"/>
        <v>93662.121759097834</v>
      </c>
      <c r="BX102" s="147">
        <f t="shared" si="48"/>
        <v>14370.43795620438</v>
      </c>
      <c r="BY102" s="84">
        <f t="shared" si="58"/>
        <v>108032.55971530221</v>
      </c>
      <c r="CD102" s="161">
        <v>97</v>
      </c>
      <c r="CE102" s="161">
        <f t="shared" si="43"/>
        <v>303480</v>
      </c>
      <c r="CF102" s="161">
        <f t="shared" si="44"/>
        <v>513000</v>
      </c>
      <c r="CG102" s="161">
        <f t="shared" si="45"/>
        <v>1562400</v>
      </c>
      <c r="CH102" s="161">
        <f t="shared" si="46"/>
        <v>1773000</v>
      </c>
      <c r="CI102" s="161">
        <f t="shared" si="47"/>
        <v>1854000</v>
      </c>
    </row>
    <row r="103" spans="19:87" x14ac:dyDescent="0.15">
      <c r="S103" s="46">
        <v>11</v>
      </c>
      <c r="T103" s="144">
        <v>80</v>
      </c>
      <c r="U103" s="147"/>
      <c r="V103" s="147"/>
      <c r="W103" s="147"/>
      <c r="X103" s="147"/>
      <c r="Y103" s="43">
        <f>求节点($G$37:$G$62,$I$37:$I$62,节奏预期!$AB71)</f>
        <v>7</v>
      </c>
      <c r="Z103" s="147"/>
      <c r="AA103" s="147"/>
      <c r="AB103" s="147"/>
      <c r="AC103" s="147"/>
      <c r="AD103" s="43">
        <f>求节点($G$37:$G$62,$J$37:$J$62,节奏预期!$AB71)*3</f>
        <v>16800</v>
      </c>
      <c r="AE103" s="146"/>
      <c r="AF103" s="146"/>
      <c r="AG103" s="146"/>
      <c r="AH103" s="146"/>
      <c r="AI103" s="43">
        <f>求节点($G$37:$G$62,$K$37:$K$62,节奏预期!$AB71)*3</f>
        <v>6750000</v>
      </c>
      <c r="AJ103" s="143"/>
      <c r="AK103" s="143"/>
      <c r="AL103" s="143"/>
      <c r="AM103" s="143"/>
      <c r="AN103" s="43">
        <f>求节点($G$37:$G$62,$O$37:$O$62,节奏预期!$AB71)</f>
        <v>840</v>
      </c>
      <c r="AO103" s="160"/>
      <c r="AP103" s="159"/>
      <c r="AQ103" s="159"/>
      <c r="AR103" s="159"/>
      <c r="AS103" s="43">
        <f t="shared" si="49"/>
        <v>840</v>
      </c>
      <c r="AT103" s="160"/>
      <c r="AU103" s="159"/>
      <c r="AV103" s="159"/>
      <c r="AW103" s="159"/>
      <c r="AX103" s="43">
        <f>求节点($G$37:$G$62,$P$37:$P$62,节奏预期!$AB71)*3</f>
        <v>13.999999999999998</v>
      </c>
      <c r="BB103" s="25">
        <v>10</v>
      </c>
      <c r="BC103" s="147">
        <v>80</v>
      </c>
      <c r="BD103" s="52">
        <f t="shared" si="50"/>
        <v>13.999999999999998</v>
      </c>
      <c r="BE103" s="52">
        <f t="shared" si="51"/>
        <v>840</v>
      </c>
      <c r="BF103" s="52">
        <f t="shared" si="52"/>
        <v>840</v>
      </c>
      <c r="BG103" s="109">
        <f>(BD103-BD102)*(INDEX([2]中r将兵属性验证!V$7:V$166,$BC103,1)+INDEX([2]中r将兵属性验证!$AP$7:$AP$166,$BC103,1))+BG102</f>
        <v>3736558745.0752249</v>
      </c>
      <c r="BH103" s="109">
        <f>($BE103-$BE102)*INDEX([2]中r将兵属性验证!W$7:W$166,$BC103,1)+BH102</f>
        <v>1568296339.6093719</v>
      </c>
      <c r="BI103" s="109">
        <f>($BF103-$BF102)*INDEX([2]中r将兵属性验证!X$7:X$166,$BC103,1)+BI102</f>
        <v>1568296339.6093719</v>
      </c>
      <c r="BJ103" s="52">
        <f t="shared" si="53"/>
        <v>6873151424.2939692</v>
      </c>
      <c r="BN103" s="147">
        <v>80</v>
      </c>
      <c r="BO103" s="75">
        <f t="shared" si="54"/>
        <v>100800</v>
      </c>
      <c r="BP103" s="164">
        <f>(BO103-BO102)*INDEX('[1]功能-付费相关'!$DG$6:$DG$165,$BN103,1)+BP102</f>
        <v>267895.65890224994</v>
      </c>
      <c r="BQ103" s="75">
        <f t="shared" si="55"/>
        <v>126</v>
      </c>
      <c r="BR103" s="75">
        <v>0</v>
      </c>
      <c r="BS103" s="75">
        <f t="shared" si="56"/>
        <v>40500000</v>
      </c>
      <c r="BT103" s="75">
        <f>(BS103-BS102)*INDEX('[1]功能-付费相关'!$AS$6:$AS$165,$CY103,1)+BT102</f>
        <v>36788.916217073944</v>
      </c>
      <c r="BV103" s="147">
        <v>80</v>
      </c>
      <c r="BW103" s="147">
        <f t="shared" si="57"/>
        <v>267895.65890224994</v>
      </c>
      <c r="BX103" s="147">
        <f t="shared" si="48"/>
        <v>36788.916217073944</v>
      </c>
      <c r="BY103" s="84">
        <f t="shared" si="58"/>
        <v>304684.57511932391</v>
      </c>
      <c r="CD103" s="161">
        <v>98</v>
      </c>
      <c r="CE103" s="161">
        <f t="shared" si="43"/>
        <v>328320</v>
      </c>
      <c r="CF103" s="161">
        <f t="shared" si="44"/>
        <v>558000</v>
      </c>
      <c r="CG103" s="161">
        <f t="shared" si="45"/>
        <v>1731600</v>
      </c>
      <c r="CH103" s="161">
        <f t="shared" si="46"/>
        <v>1926000</v>
      </c>
      <c r="CI103" s="161">
        <f t="shared" si="47"/>
        <v>1980000</v>
      </c>
    </row>
    <row r="104" spans="19:87" x14ac:dyDescent="0.15">
      <c r="S104" s="46">
        <v>12</v>
      </c>
      <c r="T104" s="144">
        <v>90</v>
      </c>
      <c r="U104" s="147"/>
      <c r="V104" s="147"/>
      <c r="W104" s="147"/>
      <c r="X104" s="147"/>
      <c r="Y104" s="43">
        <f>求节点($G$37:$G$62,$I$37:$I$62,节奏预期!$AB72)</f>
        <v>18</v>
      </c>
      <c r="Z104" s="147"/>
      <c r="AA104" s="147"/>
      <c r="AB104" s="147"/>
      <c r="AC104" s="147"/>
      <c r="AD104" s="43">
        <f>求节点($G$37:$G$62,$J$37:$J$62,节奏预期!$AB72)*3</f>
        <v>63000</v>
      </c>
      <c r="AE104" s="146"/>
      <c r="AF104" s="146"/>
      <c r="AG104" s="146"/>
      <c r="AH104" s="146"/>
      <c r="AI104" s="43">
        <f>求节点($G$37:$G$62,$K$37:$K$62,节奏预期!$AB72)*3</f>
        <v>23250000</v>
      </c>
      <c r="AJ104" s="143"/>
      <c r="AK104" s="143"/>
      <c r="AL104" s="143"/>
      <c r="AM104" s="143"/>
      <c r="AN104" s="43">
        <f>求节点($G$37:$G$62,$O$37:$O$62,节奏预期!$AB72)</f>
        <v>1680</v>
      </c>
      <c r="AO104" s="160"/>
      <c r="AP104" s="159"/>
      <c r="AQ104" s="159"/>
      <c r="AR104" s="159"/>
      <c r="AS104" s="43">
        <f t="shared" si="49"/>
        <v>1680</v>
      </c>
      <c r="AT104" s="160"/>
      <c r="AU104" s="159"/>
      <c r="AV104" s="159"/>
      <c r="AW104" s="159"/>
      <c r="AX104" s="43">
        <f>求节点($G$37:$G$62,$P$37:$P$62,节奏预期!$AB72)*3</f>
        <v>27.999999999999996</v>
      </c>
      <c r="BB104" s="25">
        <v>11</v>
      </c>
      <c r="BC104" s="147">
        <v>90</v>
      </c>
      <c r="BD104" s="52">
        <f t="shared" si="50"/>
        <v>27.999999999999996</v>
      </c>
      <c r="BE104" s="52">
        <f t="shared" si="51"/>
        <v>1680</v>
      </c>
      <c r="BF104" s="52">
        <f t="shared" si="52"/>
        <v>1680</v>
      </c>
      <c r="BG104" s="109">
        <f>(BD104-BD103)*(INDEX([2]中r将兵属性验证!V$7:V$166,$BC104,1)+INDEX([2]中r将兵属性验证!$AP$7:$AP$166,$BC104,1))+BG103</f>
        <v>17043614834.529221</v>
      </c>
      <c r="BH104" s="109">
        <f>($BE104-$BE103)*INDEX([2]中r将兵属性验证!W$7:W$166,$BC104,1)+BH103</f>
        <v>6129168706.7913952</v>
      </c>
      <c r="BI104" s="109">
        <f>($BF104-$BF103)*INDEX([2]中r将兵属性验证!X$7:X$166,$BC104,1)+BI103</f>
        <v>6129168706.7913952</v>
      </c>
      <c r="BJ104" s="52">
        <f t="shared" si="53"/>
        <v>29301952248.112015</v>
      </c>
      <c r="BN104" s="147">
        <v>90</v>
      </c>
      <c r="BO104" s="75">
        <f t="shared" si="54"/>
        <v>378000</v>
      </c>
      <c r="BP104" s="164">
        <f>(BO104-BO103)*INDEX('[1]功能-付费相关'!$DG$6:$DG$165,$BN104,1)+BP103</f>
        <v>767033.20072498498</v>
      </c>
      <c r="BQ104" s="75">
        <f t="shared" si="55"/>
        <v>324</v>
      </c>
      <c r="BR104" s="75">
        <v>0</v>
      </c>
      <c r="BS104" s="75">
        <f t="shared" si="56"/>
        <v>139500000</v>
      </c>
      <c r="BT104" s="75">
        <f>(BS104-BS103)*INDEX('[1]功能-付费相关'!$AS$6:$AS$165,$CY104,1)+BT103</f>
        <v>125817.69319549121</v>
      </c>
      <c r="BV104" s="147">
        <v>90</v>
      </c>
      <c r="BW104" s="147">
        <f t="shared" si="57"/>
        <v>767033.20072498498</v>
      </c>
      <c r="BX104" s="147">
        <f t="shared" si="48"/>
        <v>125817.69319549121</v>
      </c>
      <c r="BY104" s="84">
        <f t="shared" si="58"/>
        <v>892850.8939204762</v>
      </c>
      <c r="CD104" s="161">
        <v>99</v>
      </c>
      <c r="CE104" s="161">
        <f t="shared" si="43"/>
        <v>353160</v>
      </c>
      <c r="CF104" s="161">
        <f t="shared" si="44"/>
        <v>603000</v>
      </c>
      <c r="CG104" s="161">
        <f t="shared" si="45"/>
        <v>1900800</v>
      </c>
      <c r="CH104" s="161">
        <f t="shared" si="46"/>
        <v>2079000</v>
      </c>
      <c r="CI104" s="161">
        <f t="shared" si="47"/>
        <v>2106000</v>
      </c>
    </row>
    <row r="105" spans="19:87" x14ac:dyDescent="0.15">
      <c r="S105" s="46">
        <v>13</v>
      </c>
      <c r="T105" s="144">
        <v>100</v>
      </c>
      <c r="U105" s="147"/>
      <c r="V105" s="147"/>
      <c r="W105" s="147"/>
      <c r="X105" s="147"/>
      <c r="Y105" s="43">
        <f>求节点($G$37:$G$62,$I$37:$I$62,节奏预期!$AB73)</f>
        <v>43.5</v>
      </c>
      <c r="Z105" s="147"/>
      <c r="AA105" s="147"/>
      <c r="AB105" s="147"/>
      <c r="AC105" s="147"/>
      <c r="AD105" s="43">
        <f>求节点($G$37:$G$62,$J$37:$J$62,节奏预期!$AB73)*3</f>
        <v>345000</v>
      </c>
      <c r="AE105" s="146"/>
      <c r="AF105" s="146"/>
      <c r="AG105" s="146"/>
      <c r="AH105" s="146"/>
      <c r="AI105" s="43">
        <f>求节点($G$37:$G$62,$K$37:$K$62,节奏预期!$AB73)*3</f>
        <v>110250000</v>
      </c>
      <c r="AJ105" s="143"/>
      <c r="AK105" s="143"/>
      <c r="AL105" s="143"/>
      <c r="AM105" s="143"/>
      <c r="AN105" s="43">
        <f>求节点($G$37:$G$62,$O$37:$O$62,节奏预期!$AB73)</f>
        <v>2940</v>
      </c>
      <c r="AO105" s="160"/>
      <c r="AP105" s="159"/>
      <c r="AQ105" s="159"/>
      <c r="AR105" s="159"/>
      <c r="AS105" s="43">
        <f t="shared" si="49"/>
        <v>2940</v>
      </c>
      <c r="AT105" s="160"/>
      <c r="AU105" s="159"/>
      <c r="AV105" s="159"/>
      <c r="AW105" s="159"/>
      <c r="AX105" s="43">
        <f>求节点($G$37:$G$62,$P$37:$P$62,节奏预期!$AB73)*3</f>
        <v>48.999999999999986</v>
      </c>
      <c r="BB105" s="25">
        <v>12</v>
      </c>
      <c r="BC105" s="147">
        <v>100</v>
      </c>
      <c r="BD105" s="52">
        <f t="shared" si="50"/>
        <v>48.999999999999986</v>
      </c>
      <c r="BE105" s="52">
        <f t="shared" si="51"/>
        <v>2940</v>
      </c>
      <c r="BF105" s="52">
        <f t="shared" si="52"/>
        <v>2940</v>
      </c>
      <c r="BG105" s="109">
        <f>(BD105-BD104)*(INDEX([2]中r将兵属性验证!V$7:V$166,$BC105,1)+INDEX([2]中r将兵属性验证!$AP$7:$AP$166,$BC105,1))+BG104</f>
        <v>59090404146.99041</v>
      </c>
      <c r="BH105" s="109">
        <f>($BE105-$BE104)*INDEX([2]中r将兵属性验证!W$7:W$166,$BC105,1)+BH104</f>
        <v>17722772512.288593</v>
      </c>
      <c r="BI105" s="109">
        <f>($BF105-$BF104)*INDEX([2]中r将兵属性验证!X$7:X$166,$BC105,1)+BI104</f>
        <v>17722772512.288593</v>
      </c>
      <c r="BJ105" s="52">
        <f t="shared" si="53"/>
        <v>94535949171.567596</v>
      </c>
      <c r="BN105" s="147">
        <v>100</v>
      </c>
      <c r="BO105" s="75">
        <f t="shared" si="54"/>
        <v>2070000</v>
      </c>
      <c r="BP105" s="164">
        <f>(BO105-BO104)*INDEX('[1]功能-付费相关'!$DG$6:$DG$165,$BN105,1)+BP104</f>
        <v>3034052.0001587402</v>
      </c>
      <c r="BQ105" s="75">
        <f t="shared" si="55"/>
        <v>783</v>
      </c>
      <c r="BR105" s="75">
        <v>0</v>
      </c>
      <c r="BS105" s="75">
        <f t="shared" si="56"/>
        <v>661500000</v>
      </c>
      <c r="BT105" s="75">
        <f>(BS105-BS104)*INDEX('[1]功能-付费相关'!$AS$6:$AS$165,$CY105,1)+BT104</f>
        <v>591889.12176691974</v>
      </c>
      <c r="BV105" s="147">
        <v>100</v>
      </c>
      <c r="BW105" s="147">
        <f t="shared" si="57"/>
        <v>3034052.0001587402</v>
      </c>
      <c r="BX105" s="147">
        <f t="shared" si="48"/>
        <v>591889.12176691974</v>
      </c>
      <c r="BY105" s="84">
        <f t="shared" si="58"/>
        <v>3625941.1219256599</v>
      </c>
      <c r="CD105" s="161">
        <v>100</v>
      </c>
      <c r="CE105" s="161">
        <f t="shared" si="43"/>
        <v>378000</v>
      </c>
      <c r="CF105" s="161">
        <f t="shared" si="44"/>
        <v>648000</v>
      </c>
      <c r="CG105" s="161">
        <f t="shared" si="45"/>
        <v>2070000</v>
      </c>
      <c r="CH105" s="161">
        <f t="shared" si="46"/>
        <v>2232000</v>
      </c>
      <c r="CI105" s="161">
        <f t="shared" si="47"/>
        <v>2232000</v>
      </c>
    </row>
    <row r="106" spans="19:87" x14ac:dyDescent="0.15">
      <c r="S106" s="46">
        <v>14</v>
      </c>
      <c r="T106" s="144">
        <v>110</v>
      </c>
      <c r="U106" s="147"/>
      <c r="V106" s="147"/>
      <c r="W106" s="147"/>
      <c r="X106" s="147"/>
      <c r="Y106" s="43">
        <f>求节点($G$37:$G$62,$I$37:$I$62,节奏预期!$AB74)</f>
        <v>45</v>
      </c>
      <c r="Z106" s="147"/>
      <c r="AA106" s="147"/>
      <c r="AB106" s="147"/>
      <c r="AC106" s="147"/>
      <c r="AD106" s="43">
        <f>求节点($G$37:$G$62,$J$37:$J$62,节奏预期!$AB74)*3</f>
        <v>372000</v>
      </c>
      <c r="AE106" s="146"/>
      <c r="AF106" s="146"/>
      <c r="AG106" s="146"/>
      <c r="AH106" s="146"/>
      <c r="AI106" s="43">
        <f>求节点($G$37:$G$62,$K$37:$K$62,节奏预期!$AB74)*3</f>
        <v>116250000</v>
      </c>
      <c r="AJ106" s="143"/>
      <c r="AK106" s="143"/>
      <c r="AL106" s="143"/>
      <c r="AM106" s="143"/>
      <c r="AN106" s="43">
        <f>求节点($G$37:$G$62,$O$37:$O$62,节奏预期!$AB74)</f>
        <v>3000</v>
      </c>
      <c r="AO106" s="160"/>
      <c r="AP106" s="159"/>
      <c r="AQ106" s="159"/>
      <c r="AR106" s="159"/>
      <c r="AS106" s="43">
        <f t="shared" si="49"/>
        <v>3000</v>
      </c>
      <c r="AT106" s="160"/>
      <c r="AU106" s="159"/>
      <c r="AV106" s="159"/>
      <c r="AW106" s="159"/>
      <c r="AX106" s="43">
        <f>求节点($G$37:$G$62,$P$37:$P$62,节奏预期!$AB74)*3</f>
        <v>49.999999999999986</v>
      </c>
      <c r="BB106" s="25">
        <v>13</v>
      </c>
      <c r="BC106" s="147">
        <v>110</v>
      </c>
      <c r="BD106" s="52">
        <f t="shared" si="50"/>
        <v>49.999999999999986</v>
      </c>
      <c r="BE106" s="52">
        <f t="shared" si="51"/>
        <v>3000</v>
      </c>
      <c r="BF106" s="52">
        <f t="shared" si="52"/>
        <v>3000</v>
      </c>
      <c r="BG106" s="109">
        <f>(BD106-BD105)*(INDEX([2]中r将兵属性验证!V$7:V$166,$BC106,1)+INDEX([2]中r将兵属性验证!$AP$7:$AP$166,$BC106,1))+BG105</f>
        <v>62496785716.856606</v>
      </c>
      <c r="BH106" s="109">
        <f>($BE106-$BE105)*INDEX([2]中r将兵属性验证!W$7:W$166,$BC106,1)+BH105</f>
        <v>18494093955.43512</v>
      </c>
      <c r="BI106" s="109">
        <f>($BF106-$BF105)*INDEX([2]中r将兵属性验证!X$7:X$166,$BC106,1)+BI105</f>
        <v>18494093955.43512</v>
      </c>
      <c r="BJ106" s="52">
        <f t="shared" si="53"/>
        <v>99484973627.726837</v>
      </c>
      <c r="BN106" s="147">
        <v>110</v>
      </c>
      <c r="BO106" s="75">
        <f t="shared" si="54"/>
        <v>2232000</v>
      </c>
      <c r="BP106" s="164">
        <f>(BO106-BO105)*INDEX('[1]功能-付费相关'!$DG$6:$DG$165,$BN106,1)+BP105</f>
        <v>3195561.2984835939</v>
      </c>
      <c r="BQ106" s="75">
        <f t="shared" si="55"/>
        <v>810</v>
      </c>
      <c r="BR106" s="75">
        <v>0</v>
      </c>
      <c r="BS106" s="75">
        <f t="shared" si="56"/>
        <v>697500000</v>
      </c>
      <c r="BT106" s="75">
        <f>(BS106-BS105)*INDEX('[1]功能-付费相关'!$AS$6:$AS$165,$CY106,1)+BT105</f>
        <v>623804.015383941</v>
      </c>
      <c r="BV106" s="147">
        <v>110</v>
      </c>
      <c r="BW106" s="147">
        <f t="shared" si="57"/>
        <v>3195561.2984835939</v>
      </c>
      <c r="BX106" s="147">
        <f t="shared" si="48"/>
        <v>623804.015383941</v>
      </c>
      <c r="BY106" s="84">
        <f t="shared" si="58"/>
        <v>3819365.313867535</v>
      </c>
      <c r="CD106" s="161">
        <v>101</v>
      </c>
      <c r="CE106" s="161">
        <f t="shared" si="43"/>
        <v>437400</v>
      </c>
      <c r="CF106" s="161">
        <f t="shared" si="44"/>
        <v>806400</v>
      </c>
      <c r="CG106" s="161">
        <f t="shared" si="45"/>
        <v>2086200</v>
      </c>
      <c r="CH106" s="161">
        <f t="shared" si="46"/>
        <v>2232000</v>
      </c>
      <c r="CI106" s="161">
        <f t="shared" si="47"/>
        <v>2232000</v>
      </c>
    </row>
    <row r="107" spans="19:87" x14ac:dyDescent="0.15">
      <c r="S107" s="46">
        <v>15</v>
      </c>
      <c r="T107" s="144">
        <v>120</v>
      </c>
      <c r="U107" s="147"/>
      <c r="V107" s="147"/>
      <c r="W107" s="147"/>
      <c r="X107" s="147"/>
      <c r="Y107" s="43">
        <f>求节点($G$37:$G$62,$I$37:$I$62,节奏预期!$AB75)</f>
        <v>45</v>
      </c>
      <c r="Z107" s="147"/>
      <c r="AA107" s="147"/>
      <c r="AB107" s="147"/>
      <c r="AC107" s="147"/>
      <c r="AD107" s="43">
        <f>求节点($G$37:$G$62,$J$37:$J$62,节奏预期!$AB75)*3</f>
        <v>372000</v>
      </c>
      <c r="AE107" s="146"/>
      <c r="AF107" s="146"/>
      <c r="AG107" s="146"/>
      <c r="AH107" s="146"/>
      <c r="AI107" s="43">
        <f>求节点($G$37:$G$62,$K$37:$K$62,节奏预期!$AB75)*3</f>
        <v>116250000</v>
      </c>
      <c r="AJ107" s="143"/>
      <c r="AK107" s="143"/>
      <c r="AL107" s="143"/>
      <c r="AM107" s="143"/>
      <c r="AN107" s="43">
        <f>求节点($G$37:$G$62,$O$37:$O$62,节奏预期!$AB75)</f>
        <v>3000</v>
      </c>
      <c r="AO107" s="160"/>
      <c r="AP107" s="159"/>
      <c r="AQ107" s="159"/>
      <c r="AR107" s="159"/>
      <c r="AS107" s="43">
        <f t="shared" si="49"/>
        <v>3000</v>
      </c>
      <c r="AT107" s="160"/>
      <c r="AU107" s="159"/>
      <c r="AV107" s="159"/>
      <c r="AW107" s="159"/>
      <c r="AX107" s="43">
        <f>求节点($G$37:$G$62,$P$37:$P$62,节奏预期!$AB75)*3</f>
        <v>49.999999999999986</v>
      </c>
      <c r="BB107" s="25">
        <v>14</v>
      </c>
      <c r="BC107" s="147">
        <v>120</v>
      </c>
      <c r="BD107" s="52">
        <f t="shared" si="50"/>
        <v>49.999999999999986</v>
      </c>
      <c r="BE107" s="52">
        <f t="shared" si="51"/>
        <v>3000</v>
      </c>
      <c r="BF107" s="52">
        <f t="shared" si="52"/>
        <v>3000</v>
      </c>
      <c r="BG107" s="109">
        <f>(BD107-BD106)*(INDEX([2]中r将兵属性验证!V$7:V$166,$BC107,1)+INDEX([2]中r将兵属性验证!$AP$7:$AP$166,$BC107,1))+BG106</f>
        <v>62496785716.856606</v>
      </c>
      <c r="BH107" s="109">
        <f>($BE107-$BE106)*INDEX([2]中r将兵属性验证!W$7:W$166,$BC107,1)+BH106</f>
        <v>18494093955.43512</v>
      </c>
      <c r="BI107" s="109">
        <f>($BF107-$BF106)*INDEX([2]中r将兵属性验证!X$7:X$166,$BC107,1)+BI106</f>
        <v>18494093955.43512</v>
      </c>
      <c r="BJ107" s="52">
        <f t="shared" si="53"/>
        <v>99484973627.726837</v>
      </c>
      <c r="BN107" s="147">
        <v>120</v>
      </c>
      <c r="BO107" s="75">
        <f t="shared" si="54"/>
        <v>2232000</v>
      </c>
      <c r="BP107" s="164">
        <f>(BO107-BO106)*INDEX('[1]功能-付费相关'!$DG$6:$DG$165,$BN107,1)+BP106</f>
        <v>3195561.2984835939</v>
      </c>
      <c r="BQ107" s="75">
        <f t="shared" si="55"/>
        <v>810</v>
      </c>
      <c r="BR107" s="75">
        <v>0</v>
      </c>
      <c r="BS107" s="75">
        <f t="shared" si="56"/>
        <v>697500000</v>
      </c>
      <c r="BT107" s="75">
        <f>(BS107-BS106)*INDEX('[1]功能-付费相关'!$AS$6:$AS$165,$CY107,1)+BT106</f>
        <v>623804.015383941</v>
      </c>
      <c r="BV107" s="147">
        <v>120</v>
      </c>
      <c r="BW107" s="147">
        <f t="shared" si="57"/>
        <v>3195561.2984835939</v>
      </c>
      <c r="BX107" s="147">
        <f t="shared" si="48"/>
        <v>623804.015383941</v>
      </c>
      <c r="BY107" s="84">
        <f t="shared" si="58"/>
        <v>3819365.313867535</v>
      </c>
      <c r="CD107" s="161">
        <v>102</v>
      </c>
      <c r="CE107" s="161">
        <f t="shared" si="43"/>
        <v>496800</v>
      </c>
      <c r="CF107" s="161">
        <f t="shared" si="44"/>
        <v>964800</v>
      </c>
      <c r="CG107" s="161">
        <f t="shared" si="45"/>
        <v>2102400</v>
      </c>
      <c r="CH107" s="161">
        <f t="shared" si="46"/>
        <v>2232000</v>
      </c>
      <c r="CI107" s="161">
        <f t="shared" si="47"/>
        <v>2232000</v>
      </c>
    </row>
    <row r="108" spans="19:87" x14ac:dyDescent="0.15">
      <c r="S108" s="46">
        <v>16</v>
      </c>
      <c r="T108" s="144">
        <v>130</v>
      </c>
      <c r="U108" s="147"/>
      <c r="V108" s="147"/>
      <c r="W108" s="147"/>
      <c r="X108" s="147"/>
      <c r="Y108" s="43">
        <f>求节点($G$37:$G$62,$I$37:$I$62,节奏预期!$AB76)</f>
        <v>45</v>
      </c>
      <c r="Z108" s="147"/>
      <c r="AA108" s="147"/>
      <c r="AB108" s="147"/>
      <c r="AC108" s="147"/>
      <c r="AD108" s="43">
        <f>求节点($G$37:$G$62,$J$37:$J$62,节奏预期!$AB76)*3</f>
        <v>372000</v>
      </c>
      <c r="AE108" s="146"/>
      <c r="AF108" s="146"/>
      <c r="AG108" s="146"/>
      <c r="AH108" s="146"/>
      <c r="AI108" s="43">
        <f>求节点($G$37:$G$62,$K$37:$K$62,节奏预期!$AB76)*3</f>
        <v>116250000</v>
      </c>
      <c r="AJ108" s="143"/>
      <c r="AK108" s="143"/>
      <c r="AL108" s="143"/>
      <c r="AM108" s="143"/>
      <c r="AN108" s="43">
        <f>求节点($G$37:$G$62,$O$37:$O$62,节奏预期!$AB76)</f>
        <v>3000</v>
      </c>
      <c r="AO108" s="160"/>
      <c r="AP108" s="159"/>
      <c r="AQ108" s="159"/>
      <c r="AR108" s="159"/>
      <c r="AS108" s="43">
        <f t="shared" si="49"/>
        <v>3000</v>
      </c>
      <c r="AT108" s="160"/>
      <c r="AU108" s="159"/>
      <c r="AV108" s="159"/>
      <c r="AW108" s="159"/>
      <c r="AX108" s="43">
        <f>求节点($G$37:$G$62,$P$37:$P$62,节奏预期!$AB76)*3</f>
        <v>49.999999999999986</v>
      </c>
      <c r="BB108" s="25">
        <v>15</v>
      </c>
      <c r="BC108" s="147">
        <v>130</v>
      </c>
      <c r="BD108" s="52">
        <f t="shared" si="50"/>
        <v>49.999999999999986</v>
      </c>
      <c r="BE108" s="52">
        <f t="shared" si="51"/>
        <v>3000</v>
      </c>
      <c r="BF108" s="52">
        <f t="shared" si="52"/>
        <v>3000</v>
      </c>
      <c r="BG108" s="109">
        <f>(BD108-BD107)*(INDEX([2]中r将兵属性验证!V$7:V$166,$BC108,1)+INDEX([2]中r将兵属性验证!$AP$7:$AP$166,$BC108,1))+BG107</f>
        <v>62496785716.856606</v>
      </c>
      <c r="BH108" s="109">
        <f>($BE108-$BE107)*INDEX([2]中r将兵属性验证!W$7:W$166,$BC108,1)+BH107</f>
        <v>18494093955.43512</v>
      </c>
      <c r="BI108" s="109">
        <f>($BF108-$BF107)*INDEX([2]中r将兵属性验证!X$7:X$166,$BC108,1)+BI107</f>
        <v>18494093955.43512</v>
      </c>
      <c r="BJ108" s="52">
        <f t="shared" si="53"/>
        <v>99484973627.726837</v>
      </c>
      <c r="BN108" s="147">
        <v>130</v>
      </c>
      <c r="BO108" s="75">
        <f t="shared" si="54"/>
        <v>2232000</v>
      </c>
      <c r="BP108" s="164">
        <f>(BO108-BO107)*INDEX('[1]功能-付费相关'!$DG$6:$DG$165,$BN108,1)+BP107</f>
        <v>3195561.2984835939</v>
      </c>
      <c r="BQ108" s="75">
        <f t="shared" si="55"/>
        <v>810</v>
      </c>
      <c r="BR108" s="75">
        <v>0</v>
      </c>
      <c r="BS108" s="75">
        <f t="shared" si="56"/>
        <v>697500000</v>
      </c>
      <c r="BT108" s="75">
        <f>(BS108-BS107)*INDEX('[1]功能-付费相关'!$AS$6:$AS$165,$CY108,1)+BT107</f>
        <v>623804.015383941</v>
      </c>
      <c r="BV108" s="147">
        <v>130</v>
      </c>
      <c r="BW108" s="147">
        <f t="shared" si="57"/>
        <v>3195561.2984835939</v>
      </c>
      <c r="BX108" s="147">
        <f t="shared" si="48"/>
        <v>623804.015383941</v>
      </c>
      <c r="BY108" s="84">
        <f t="shared" si="58"/>
        <v>3819365.313867535</v>
      </c>
      <c r="CD108" s="161">
        <v>103</v>
      </c>
      <c r="CE108" s="161">
        <f t="shared" si="43"/>
        <v>556200</v>
      </c>
      <c r="CF108" s="161">
        <f t="shared" si="44"/>
        <v>1123200</v>
      </c>
      <c r="CG108" s="161">
        <f t="shared" si="45"/>
        <v>2118600</v>
      </c>
      <c r="CH108" s="161">
        <f t="shared" si="46"/>
        <v>2232000</v>
      </c>
      <c r="CI108" s="161">
        <f t="shared" si="47"/>
        <v>2232000</v>
      </c>
    </row>
    <row r="109" spans="19:87" x14ac:dyDescent="0.15">
      <c r="S109" s="46">
        <v>17</v>
      </c>
      <c r="T109" s="144">
        <v>140</v>
      </c>
      <c r="U109" s="147"/>
      <c r="V109" s="147"/>
      <c r="W109" s="147"/>
      <c r="X109" s="147"/>
      <c r="Y109" s="43">
        <f>求节点($G$37:$G$62,$I$37:$I$62,节奏预期!$AB77)</f>
        <v>45</v>
      </c>
      <c r="Z109" s="147"/>
      <c r="AA109" s="147"/>
      <c r="AB109" s="147"/>
      <c r="AC109" s="147"/>
      <c r="AD109" s="43">
        <f>求节点($G$37:$G$62,$J$37:$J$62,节奏预期!$AB77)*3</f>
        <v>372000</v>
      </c>
      <c r="AE109" s="146"/>
      <c r="AF109" s="146"/>
      <c r="AG109" s="146"/>
      <c r="AH109" s="146"/>
      <c r="AI109" s="43">
        <f>求节点($G$37:$G$62,$K$37:$K$62,节奏预期!$AB77)*3</f>
        <v>116250000</v>
      </c>
      <c r="AJ109" s="143"/>
      <c r="AK109" s="143"/>
      <c r="AL109" s="143"/>
      <c r="AM109" s="143"/>
      <c r="AN109" s="43">
        <f>求节点($G$37:$G$62,$O$37:$O$62,节奏预期!$AB77)</f>
        <v>3000</v>
      </c>
      <c r="AO109" s="160"/>
      <c r="AP109" s="159"/>
      <c r="AQ109" s="159"/>
      <c r="AR109" s="159"/>
      <c r="AS109" s="43">
        <f t="shared" si="49"/>
        <v>3000</v>
      </c>
      <c r="AT109" s="160"/>
      <c r="AU109" s="159"/>
      <c r="AV109" s="159"/>
      <c r="AW109" s="159"/>
      <c r="AX109" s="43">
        <f>求节点($G$37:$G$62,$P$37:$P$62,节奏预期!$AB77)*3</f>
        <v>49.999999999999986</v>
      </c>
      <c r="BB109" s="25">
        <v>16</v>
      </c>
      <c r="BC109" s="147">
        <v>140</v>
      </c>
      <c r="BD109" s="52">
        <f t="shared" si="50"/>
        <v>49.999999999999986</v>
      </c>
      <c r="BE109" s="52">
        <f t="shared" si="51"/>
        <v>3000</v>
      </c>
      <c r="BF109" s="52">
        <f t="shared" si="52"/>
        <v>3000</v>
      </c>
      <c r="BG109" s="109">
        <f>(BD109-BD108)*(INDEX([2]中r将兵属性验证!V$7:V$166,$BC109,1)+INDEX([2]中r将兵属性验证!$AP$7:$AP$166,$BC109,1))+BG108</f>
        <v>62496785716.856606</v>
      </c>
      <c r="BH109" s="109">
        <f>($BE109-$BE108)*INDEX([2]中r将兵属性验证!W$7:W$166,$BC109,1)+BH108</f>
        <v>18494093955.43512</v>
      </c>
      <c r="BI109" s="109">
        <f>($BF109-$BF108)*INDEX([2]中r将兵属性验证!X$7:X$166,$BC109,1)+BI108</f>
        <v>18494093955.43512</v>
      </c>
      <c r="BJ109" s="52">
        <f t="shared" si="53"/>
        <v>99484973627.726837</v>
      </c>
      <c r="BN109" s="147">
        <v>140</v>
      </c>
      <c r="BO109" s="75">
        <f t="shared" si="54"/>
        <v>2232000</v>
      </c>
      <c r="BP109" s="164">
        <f>(BO109-BO108)*INDEX('[1]功能-付费相关'!$DG$6:$DG$165,$BN109,1)+BP108</f>
        <v>3195561.2984835939</v>
      </c>
      <c r="BQ109" s="75">
        <f t="shared" si="55"/>
        <v>810</v>
      </c>
      <c r="BR109" s="75">
        <v>0</v>
      </c>
      <c r="BS109" s="75">
        <f t="shared" si="56"/>
        <v>697500000</v>
      </c>
      <c r="BT109" s="75">
        <f>(BS109-BS108)*INDEX('[1]功能-付费相关'!$AS$6:$AS$165,$CY109,1)+BT108</f>
        <v>623804.015383941</v>
      </c>
      <c r="BV109" s="147">
        <v>140</v>
      </c>
      <c r="BW109" s="147">
        <f t="shared" si="57"/>
        <v>3195561.2984835939</v>
      </c>
      <c r="BX109" s="147">
        <f t="shared" si="48"/>
        <v>623804.015383941</v>
      </c>
      <c r="BY109" s="84">
        <f t="shared" si="58"/>
        <v>3819365.313867535</v>
      </c>
      <c r="CD109" s="161">
        <v>104</v>
      </c>
      <c r="CE109" s="161">
        <f t="shared" si="43"/>
        <v>615600</v>
      </c>
      <c r="CF109" s="161">
        <f t="shared" si="44"/>
        <v>1281600</v>
      </c>
      <c r="CG109" s="161">
        <f t="shared" si="45"/>
        <v>2134800</v>
      </c>
      <c r="CH109" s="161">
        <f t="shared" si="46"/>
        <v>2232000</v>
      </c>
      <c r="CI109" s="161">
        <f t="shared" si="47"/>
        <v>2232000</v>
      </c>
    </row>
    <row r="110" spans="19:87" x14ac:dyDescent="0.15">
      <c r="S110" s="46">
        <v>18</v>
      </c>
      <c r="T110" s="144">
        <v>150</v>
      </c>
      <c r="U110" s="147"/>
      <c r="V110" s="147"/>
      <c r="W110" s="147"/>
      <c r="X110" s="147"/>
      <c r="Y110" s="43">
        <f>求节点($G$37:$G$62,$I$37:$I$62,节奏预期!$AB78)</f>
        <v>45</v>
      </c>
      <c r="Z110" s="147"/>
      <c r="AA110" s="147"/>
      <c r="AB110" s="147"/>
      <c r="AC110" s="147"/>
      <c r="AD110" s="43">
        <f>求节点($G$37:$G$62,$J$37:$J$62,节奏预期!$AB78)*3</f>
        <v>372000</v>
      </c>
      <c r="AE110" s="146"/>
      <c r="AF110" s="146"/>
      <c r="AG110" s="146"/>
      <c r="AH110" s="146"/>
      <c r="AI110" s="43">
        <f>求节点($G$37:$G$62,$K$37:$K$62,节奏预期!$AB78)*3</f>
        <v>116250000</v>
      </c>
      <c r="AJ110" s="143"/>
      <c r="AK110" s="143"/>
      <c r="AL110" s="143"/>
      <c r="AM110" s="143"/>
      <c r="AN110" s="43">
        <f>求节点($G$37:$G$62,$O$37:$O$62,节奏预期!$AB78)</f>
        <v>3000</v>
      </c>
      <c r="AO110" s="160"/>
      <c r="AP110" s="159"/>
      <c r="AQ110" s="159"/>
      <c r="AR110" s="159"/>
      <c r="AS110" s="43">
        <f t="shared" si="49"/>
        <v>3000</v>
      </c>
      <c r="AT110" s="160"/>
      <c r="AU110" s="159"/>
      <c r="AV110" s="159"/>
      <c r="AW110" s="159"/>
      <c r="AX110" s="43">
        <f>求节点($G$37:$G$62,$P$37:$P$62,节奏预期!$AB78)*3</f>
        <v>49.999999999999986</v>
      </c>
      <c r="BB110" s="25">
        <v>17</v>
      </c>
      <c r="BC110" s="147">
        <v>150</v>
      </c>
      <c r="BD110" s="52">
        <f t="shared" si="50"/>
        <v>49.999999999999986</v>
      </c>
      <c r="BE110" s="52">
        <f t="shared" si="51"/>
        <v>3000</v>
      </c>
      <c r="BF110" s="52">
        <f t="shared" si="52"/>
        <v>3000</v>
      </c>
      <c r="BG110" s="109">
        <f>(BD110-BD109)*(INDEX([2]中r将兵属性验证!V$7:V$166,$BC110,1)+INDEX([2]中r将兵属性验证!$AP$7:$AP$166,$BC110,1))+BG109</f>
        <v>62496785716.856606</v>
      </c>
      <c r="BH110" s="109">
        <f>($BE110-$BE109)*INDEX([2]中r将兵属性验证!W$7:W$166,$BC110,1)+BH109</f>
        <v>18494093955.43512</v>
      </c>
      <c r="BI110" s="109">
        <f>($BF110-$BF109)*INDEX([2]中r将兵属性验证!X$7:X$166,$BC110,1)+BI109</f>
        <v>18494093955.43512</v>
      </c>
      <c r="BJ110" s="52">
        <f t="shared" si="53"/>
        <v>99484973627.726837</v>
      </c>
      <c r="BN110" s="147">
        <v>150</v>
      </c>
      <c r="BO110" s="75">
        <f t="shared" si="54"/>
        <v>2232000</v>
      </c>
      <c r="BP110" s="164">
        <f>(BO110-BO109)*INDEX('[1]功能-付费相关'!$DG$6:$DG$165,$BN110,1)+BP109</f>
        <v>3195561.2984835939</v>
      </c>
      <c r="BQ110" s="75">
        <f t="shared" si="55"/>
        <v>810</v>
      </c>
      <c r="BR110" s="75">
        <v>0</v>
      </c>
      <c r="BS110" s="75">
        <f t="shared" si="56"/>
        <v>697500000</v>
      </c>
      <c r="BT110" s="75">
        <f>(BS110-BS109)*INDEX('[1]功能-付费相关'!$AS$6:$AS$165,$CY110,1)+BT109</f>
        <v>623804.015383941</v>
      </c>
      <c r="BV110" s="147">
        <v>150</v>
      </c>
      <c r="BW110" s="147">
        <f t="shared" si="57"/>
        <v>3195561.2984835939</v>
      </c>
      <c r="BX110" s="147">
        <f t="shared" si="48"/>
        <v>623804.015383941</v>
      </c>
      <c r="BY110" s="84">
        <f t="shared" si="58"/>
        <v>3819365.313867535</v>
      </c>
      <c r="CD110" s="161">
        <v>105</v>
      </c>
      <c r="CE110" s="161">
        <f t="shared" si="43"/>
        <v>675000</v>
      </c>
      <c r="CF110" s="161">
        <f t="shared" si="44"/>
        <v>1440000</v>
      </c>
      <c r="CG110" s="161">
        <f t="shared" si="45"/>
        <v>2151000</v>
      </c>
      <c r="CH110" s="161">
        <f t="shared" si="46"/>
        <v>2232000</v>
      </c>
      <c r="CI110" s="161">
        <f t="shared" si="47"/>
        <v>2232000</v>
      </c>
    </row>
    <row r="111" spans="19:87" x14ac:dyDescent="0.15">
      <c r="S111" s="46">
        <v>19</v>
      </c>
      <c r="T111" s="144">
        <v>160</v>
      </c>
      <c r="U111" s="147"/>
      <c r="V111" s="147"/>
      <c r="W111" s="147"/>
      <c r="X111" s="147"/>
      <c r="Y111" s="43">
        <f>求节点($G$37:$G$62,$I$37:$I$62,节奏预期!$AB79)</f>
        <v>45</v>
      </c>
      <c r="Z111" s="147"/>
      <c r="AA111" s="147"/>
      <c r="AB111" s="147"/>
      <c r="AC111" s="147"/>
      <c r="AD111" s="43">
        <f>求节点($G$37:$G$62,$J$37:$J$62,节奏预期!$AB79)*3</f>
        <v>372000</v>
      </c>
      <c r="AE111" s="146"/>
      <c r="AF111" s="146"/>
      <c r="AG111" s="146"/>
      <c r="AH111" s="146"/>
      <c r="AI111" s="43">
        <f>求节点($G$37:$G$62,$K$37:$K$62,节奏预期!$AB79)*3</f>
        <v>116250000</v>
      </c>
      <c r="AJ111" s="143"/>
      <c r="AK111" s="143"/>
      <c r="AL111" s="143"/>
      <c r="AM111" s="143"/>
      <c r="AN111" s="43">
        <f>求节点($G$37:$G$62,$O$37:$O$62,节奏预期!$AB79)</f>
        <v>3000</v>
      </c>
      <c r="AO111" s="160"/>
      <c r="AP111" s="159"/>
      <c r="AQ111" s="159"/>
      <c r="AR111" s="159"/>
      <c r="AS111" s="43">
        <f t="shared" si="49"/>
        <v>3000</v>
      </c>
      <c r="AT111" s="160"/>
      <c r="AU111" s="159"/>
      <c r="AV111" s="159"/>
      <c r="AW111" s="159"/>
      <c r="AX111" s="43">
        <f>求节点($G$37:$G$62,$P$37:$P$62,节奏预期!$AB79)*3</f>
        <v>49.999999999999986</v>
      </c>
      <c r="BB111" s="25">
        <v>18</v>
      </c>
      <c r="BC111" s="147">
        <v>160</v>
      </c>
      <c r="BD111" s="52">
        <f t="shared" si="50"/>
        <v>49.999999999999986</v>
      </c>
      <c r="BE111" s="52">
        <f t="shared" si="51"/>
        <v>3000</v>
      </c>
      <c r="BF111" s="52">
        <f t="shared" si="52"/>
        <v>3000</v>
      </c>
      <c r="BG111" s="109">
        <f>(BD111-BD110)*(INDEX([2]中r将兵属性验证!V$7:V$166,$BC111,1)+INDEX([2]中r将兵属性验证!$AP$7:$AP$166,$BC111,1))+BG110</f>
        <v>62496785716.856606</v>
      </c>
      <c r="BH111" s="109">
        <f>($BE111-$BE110)*INDEX([2]中r将兵属性验证!W$7:W$166,$BC111,1)+BH110</f>
        <v>18494093955.43512</v>
      </c>
      <c r="BI111" s="109">
        <f>($BF111-$BF110)*INDEX([2]中r将兵属性验证!X$7:X$166,$BC111,1)+BI110</f>
        <v>18494093955.43512</v>
      </c>
      <c r="BJ111" s="52">
        <f t="shared" si="53"/>
        <v>99484973627.726837</v>
      </c>
      <c r="BN111" s="147">
        <v>160</v>
      </c>
      <c r="BO111" s="75">
        <f t="shared" si="54"/>
        <v>2232000</v>
      </c>
      <c r="BP111" s="164">
        <f>(BO111-BO110)*INDEX('[1]功能-付费相关'!$DG$6:$DG$165,$BN111,1)+BP110</f>
        <v>3195561.2984835939</v>
      </c>
      <c r="BQ111" s="75">
        <f t="shared" si="55"/>
        <v>810</v>
      </c>
      <c r="BR111" s="75">
        <v>0</v>
      </c>
      <c r="BS111" s="75">
        <f t="shared" si="56"/>
        <v>697500000</v>
      </c>
      <c r="BT111" s="75">
        <f>(BS111-BS110)*INDEX('[1]功能-付费相关'!$AS$6:$AS$165,$CY111,1)+BT110</f>
        <v>623804.015383941</v>
      </c>
      <c r="BV111" s="147">
        <v>160</v>
      </c>
      <c r="BW111" s="147">
        <f t="shared" si="57"/>
        <v>3195561.2984835939</v>
      </c>
      <c r="BX111" s="147">
        <f t="shared" si="48"/>
        <v>623804.015383941</v>
      </c>
      <c r="BY111" s="84">
        <f t="shared" si="58"/>
        <v>3819365.313867535</v>
      </c>
      <c r="CD111" s="161">
        <v>106</v>
      </c>
      <c r="CE111" s="161">
        <f t="shared" si="43"/>
        <v>734400</v>
      </c>
      <c r="CF111" s="161">
        <f t="shared" si="44"/>
        <v>1598400</v>
      </c>
      <c r="CG111" s="161">
        <f t="shared" si="45"/>
        <v>2167200</v>
      </c>
      <c r="CH111" s="161">
        <f t="shared" si="46"/>
        <v>2232000</v>
      </c>
      <c r="CI111" s="161">
        <f t="shared" si="47"/>
        <v>2232000</v>
      </c>
    </row>
    <row r="112" spans="19:87" x14ac:dyDescent="0.15">
      <c r="S112" s="46">
        <v>20</v>
      </c>
      <c r="T112" s="69"/>
      <c r="U112" s="36"/>
      <c r="V112" s="36"/>
      <c r="W112" s="36"/>
      <c r="X112" s="36"/>
      <c r="Y112" s="36"/>
      <c r="Z112" s="36"/>
      <c r="AA112" s="36"/>
      <c r="AB112" s="36"/>
      <c r="AC112" s="36"/>
      <c r="AD112" s="36"/>
      <c r="AE112" s="36"/>
      <c r="AF112" s="36"/>
      <c r="AG112" s="36"/>
      <c r="AH112" s="36"/>
      <c r="AI112" s="36"/>
      <c r="BB112" s="25">
        <v>19</v>
      </c>
      <c r="CD112" s="161">
        <v>107</v>
      </c>
      <c r="CE112" s="161">
        <f t="shared" si="43"/>
        <v>793800</v>
      </c>
      <c r="CF112" s="161">
        <f t="shared" si="44"/>
        <v>1756800</v>
      </c>
      <c r="CG112" s="161">
        <f t="shared" si="45"/>
        <v>2183400</v>
      </c>
      <c r="CH112" s="161">
        <f t="shared" si="46"/>
        <v>2232000</v>
      </c>
      <c r="CI112" s="161">
        <f t="shared" si="47"/>
        <v>2232000</v>
      </c>
    </row>
    <row r="113" spans="19:87" x14ac:dyDescent="0.15">
      <c r="S113" s="46">
        <v>21</v>
      </c>
      <c r="T113" s="36"/>
      <c r="U113" s="36"/>
      <c r="V113" s="36"/>
      <c r="W113" s="36"/>
      <c r="X113" s="36"/>
      <c r="Y113" s="36"/>
      <c r="Z113" s="36"/>
      <c r="AA113" s="36"/>
      <c r="AB113" s="36"/>
      <c r="AC113" s="36"/>
      <c r="AD113" s="36"/>
      <c r="AE113" s="36"/>
      <c r="AF113" s="36"/>
      <c r="AG113" s="36"/>
      <c r="AH113" s="36"/>
      <c r="AI113" s="36"/>
      <c r="BB113" s="25">
        <v>20</v>
      </c>
      <c r="CD113" s="161">
        <v>108</v>
      </c>
      <c r="CE113" s="161">
        <f t="shared" si="43"/>
        <v>853200</v>
      </c>
      <c r="CF113" s="161">
        <f t="shared" si="44"/>
        <v>1915200</v>
      </c>
      <c r="CG113" s="161">
        <f t="shared" si="45"/>
        <v>2199600</v>
      </c>
      <c r="CH113" s="161">
        <f t="shared" si="46"/>
        <v>2232000</v>
      </c>
      <c r="CI113" s="161">
        <f t="shared" si="47"/>
        <v>2232000</v>
      </c>
    </row>
    <row r="114" spans="19:87" x14ac:dyDescent="0.15">
      <c r="S114" s="46">
        <v>22</v>
      </c>
      <c r="T114" s="36"/>
      <c r="U114" s="36"/>
      <c r="V114" s="36"/>
      <c r="W114" s="36"/>
      <c r="X114" s="36"/>
      <c r="Y114" s="36"/>
      <c r="Z114" s="36"/>
      <c r="AA114" s="36"/>
      <c r="AB114" s="36"/>
      <c r="AC114" s="36"/>
      <c r="AD114" s="36"/>
      <c r="AE114" s="36"/>
      <c r="AF114" s="36"/>
      <c r="AG114" s="36"/>
      <c r="AH114" s="36"/>
      <c r="AI114" s="36"/>
      <c r="BB114" s="25">
        <v>21</v>
      </c>
      <c r="CD114" s="161">
        <v>109</v>
      </c>
      <c r="CE114" s="161">
        <f t="shared" si="43"/>
        <v>912600</v>
      </c>
      <c r="CF114" s="161">
        <f t="shared" si="44"/>
        <v>2073600</v>
      </c>
      <c r="CG114" s="161">
        <f t="shared" si="45"/>
        <v>2215800</v>
      </c>
      <c r="CH114" s="161">
        <f t="shared" si="46"/>
        <v>2232000</v>
      </c>
      <c r="CI114" s="161">
        <f t="shared" si="47"/>
        <v>2232000</v>
      </c>
    </row>
    <row r="115" spans="19:87" x14ac:dyDescent="0.15">
      <c r="S115" s="46">
        <v>23</v>
      </c>
      <c r="T115" s="36"/>
      <c r="U115" s="36"/>
      <c r="V115" s="36"/>
      <c r="W115" s="36"/>
      <c r="X115" s="36"/>
      <c r="Y115" s="36"/>
      <c r="Z115" s="36"/>
      <c r="AA115" s="36"/>
      <c r="AB115" s="36"/>
      <c r="AC115" s="36"/>
      <c r="AD115" s="36"/>
      <c r="AE115" s="36"/>
      <c r="AF115" s="36"/>
      <c r="AG115" s="36"/>
      <c r="AH115" s="36"/>
      <c r="AI115" s="36"/>
      <c r="BB115" s="25">
        <v>22</v>
      </c>
      <c r="CD115" s="161">
        <v>110</v>
      </c>
      <c r="CE115" s="161">
        <f t="shared" si="43"/>
        <v>972000</v>
      </c>
      <c r="CF115" s="161">
        <f t="shared" si="44"/>
        <v>2232000</v>
      </c>
      <c r="CG115" s="161">
        <f t="shared" si="45"/>
        <v>2232000</v>
      </c>
      <c r="CH115" s="161">
        <f t="shared" si="46"/>
        <v>2232000</v>
      </c>
      <c r="CI115" s="161">
        <f t="shared" si="47"/>
        <v>2232000</v>
      </c>
    </row>
    <row r="116" spans="19:87" x14ac:dyDescent="0.15">
      <c r="S116" s="46">
        <v>24</v>
      </c>
      <c r="T116" s="36"/>
      <c r="U116" s="36"/>
      <c r="V116" s="36"/>
      <c r="W116" s="36"/>
      <c r="X116" s="36"/>
      <c r="Y116" s="36"/>
      <c r="Z116" s="36"/>
      <c r="AA116" s="36"/>
      <c r="AB116" s="36"/>
      <c r="AC116" s="36"/>
      <c r="AD116" s="36"/>
      <c r="AE116" s="36"/>
      <c r="AF116" s="36"/>
      <c r="AG116" s="36"/>
      <c r="AH116" s="36"/>
      <c r="AI116" s="36"/>
      <c r="BB116" s="25">
        <v>23</v>
      </c>
      <c r="CD116" s="161">
        <v>111</v>
      </c>
      <c r="CE116" s="161">
        <f t="shared" si="43"/>
        <v>1098000</v>
      </c>
      <c r="CF116" s="161">
        <f t="shared" si="44"/>
        <v>2232000</v>
      </c>
      <c r="CG116" s="161">
        <f t="shared" si="45"/>
        <v>2232000</v>
      </c>
      <c r="CH116" s="161">
        <f t="shared" si="46"/>
        <v>2232000</v>
      </c>
      <c r="CI116" s="161">
        <f t="shared" si="47"/>
        <v>2232000</v>
      </c>
    </row>
    <row r="117" spans="19:87" x14ac:dyDescent="0.15">
      <c r="S117" s="46">
        <v>25</v>
      </c>
      <c r="T117" s="36"/>
      <c r="U117" s="36"/>
      <c r="V117" s="36"/>
      <c r="W117" s="36"/>
      <c r="X117" s="36"/>
      <c r="Y117" s="36"/>
      <c r="Z117" s="36"/>
      <c r="AA117" s="36"/>
      <c r="AB117" s="36"/>
      <c r="AC117" s="36"/>
      <c r="AD117" s="36"/>
      <c r="AE117" s="36"/>
      <c r="AF117" s="36"/>
      <c r="AG117" s="36"/>
      <c r="AH117" s="36"/>
      <c r="AI117" s="36"/>
      <c r="BB117" s="25">
        <v>24</v>
      </c>
      <c r="CD117" s="161">
        <v>112</v>
      </c>
      <c r="CE117" s="161">
        <f t="shared" si="43"/>
        <v>1224000</v>
      </c>
      <c r="CF117" s="161">
        <f t="shared" si="44"/>
        <v>2232000</v>
      </c>
      <c r="CG117" s="161">
        <f t="shared" si="45"/>
        <v>2232000</v>
      </c>
      <c r="CH117" s="161">
        <f t="shared" si="46"/>
        <v>2232000</v>
      </c>
      <c r="CI117" s="161">
        <f t="shared" si="47"/>
        <v>2232000</v>
      </c>
    </row>
    <row r="118" spans="19:87" x14ac:dyDescent="0.15">
      <c r="S118" s="46">
        <v>26</v>
      </c>
      <c r="T118" s="36"/>
      <c r="U118" s="36"/>
      <c r="V118" s="36"/>
      <c r="W118" s="36"/>
      <c r="X118" s="36"/>
      <c r="Y118" s="36"/>
      <c r="Z118" s="36"/>
      <c r="AA118" s="36"/>
      <c r="AB118" s="36"/>
      <c r="AC118" s="36"/>
      <c r="AD118" s="36"/>
      <c r="AE118" s="36"/>
      <c r="AF118" s="36"/>
      <c r="AG118" s="36"/>
      <c r="AH118" s="36"/>
      <c r="AI118" s="36"/>
      <c r="BB118" s="25">
        <v>25</v>
      </c>
      <c r="CD118" s="161">
        <v>113</v>
      </c>
      <c r="CE118" s="161">
        <f t="shared" si="43"/>
        <v>1350000</v>
      </c>
      <c r="CF118" s="161">
        <f t="shared" si="44"/>
        <v>2232000</v>
      </c>
      <c r="CG118" s="161">
        <f t="shared" si="45"/>
        <v>2232000</v>
      </c>
      <c r="CH118" s="161">
        <f t="shared" si="46"/>
        <v>2232000</v>
      </c>
      <c r="CI118" s="161">
        <f t="shared" si="47"/>
        <v>2232000</v>
      </c>
    </row>
    <row r="119" spans="19:87" x14ac:dyDescent="0.15">
      <c r="S119" s="46">
        <v>27</v>
      </c>
      <c r="T119" s="36"/>
      <c r="U119" s="36"/>
      <c r="V119" s="36"/>
      <c r="W119" s="36"/>
      <c r="X119" s="36"/>
      <c r="Y119" s="36"/>
      <c r="Z119" s="36"/>
      <c r="AA119" s="36"/>
      <c r="AB119" s="36"/>
      <c r="AC119" s="36"/>
      <c r="AD119" s="36"/>
      <c r="AE119" s="36"/>
      <c r="AF119" s="36"/>
      <c r="AG119" s="36"/>
      <c r="AH119" s="36"/>
      <c r="AI119" s="36"/>
      <c r="BB119" s="25">
        <v>26</v>
      </c>
      <c r="BN119" s="36"/>
      <c r="CD119" s="161">
        <v>114</v>
      </c>
      <c r="CE119" s="161">
        <f t="shared" si="43"/>
        <v>1476000</v>
      </c>
      <c r="CF119" s="161">
        <f t="shared" si="44"/>
        <v>2232000</v>
      </c>
      <c r="CG119" s="161">
        <f t="shared" si="45"/>
        <v>2232000</v>
      </c>
      <c r="CH119" s="161">
        <f t="shared" si="46"/>
        <v>2232000</v>
      </c>
      <c r="CI119" s="161">
        <f t="shared" si="47"/>
        <v>2232000</v>
      </c>
    </row>
    <row r="120" spans="19:87" x14ac:dyDescent="0.15">
      <c r="S120" s="46">
        <v>28</v>
      </c>
      <c r="T120" s="36"/>
      <c r="U120" s="36"/>
      <c r="V120" s="36"/>
      <c r="W120" s="36"/>
      <c r="X120" s="36"/>
      <c r="Y120" s="36"/>
      <c r="Z120" s="36"/>
      <c r="AA120" s="36"/>
      <c r="AB120" s="36"/>
      <c r="AC120" s="36"/>
      <c r="AD120" s="36"/>
      <c r="AE120" s="36"/>
      <c r="AF120" s="36"/>
      <c r="AG120" s="36"/>
      <c r="AH120" s="36"/>
      <c r="AI120" s="36"/>
      <c r="BB120" s="25">
        <v>27</v>
      </c>
      <c r="BN120" s="36"/>
      <c r="CD120" s="161">
        <v>115</v>
      </c>
      <c r="CE120" s="161">
        <f t="shared" si="43"/>
        <v>1602000</v>
      </c>
      <c r="CF120" s="161">
        <f t="shared" si="44"/>
        <v>2232000</v>
      </c>
      <c r="CG120" s="161">
        <f t="shared" si="45"/>
        <v>2232000</v>
      </c>
      <c r="CH120" s="161">
        <f t="shared" si="46"/>
        <v>2232000</v>
      </c>
      <c r="CI120" s="161">
        <f t="shared" si="47"/>
        <v>2232000</v>
      </c>
    </row>
    <row r="121" spans="19:87" x14ac:dyDescent="0.15">
      <c r="S121" s="46">
        <v>29</v>
      </c>
      <c r="T121" s="36"/>
      <c r="U121" s="36"/>
      <c r="V121" s="36"/>
      <c r="W121" s="36"/>
      <c r="X121" s="36"/>
      <c r="Y121" s="36"/>
      <c r="Z121" s="36"/>
      <c r="AA121" s="36"/>
      <c r="AB121" s="36"/>
      <c r="AC121" s="36"/>
      <c r="AD121" s="36"/>
      <c r="AE121" s="36"/>
      <c r="AF121" s="36"/>
      <c r="AG121" s="36"/>
      <c r="AH121" s="36"/>
      <c r="AI121" s="36"/>
      <c r="BB121" s="25">
        <v>28</v>
      </c>
      <c r="CD121" s="161">
        <v>116</v>
      </c>
      <c r="CE121" s="161">
        <f t="shared" si="43"/>
        <v>1728000</v>
      </c>
      <c r="CF121" s="161">
        <f t="shared" si="44"/>
        <v>2232000</v>
      </c>
      <c r="CG121" s="161">
        <f t="shared" si="45"/>
        <v>2232000</v>
      </c>
      <c r="CH121" s="161">
        <f t="shared" si="46"/>
        <v>2232000</v>
      </c>
      <c r="CI121" s="161">
        <f t="shared" si="47"/>
        <v>2232000</v>
      </c>
    </row>
    <row r="122" spans="19:87" x14ac:dyDescent="0.15">
      <c r="S122" s="46">
        <v>30</v>
      </c>
      <c r="BB122" s="25">
        <v>29</v>
      </c>
      <c r="CD122" s="161">
        <v>117</v>
      </c>
      <c r="CE122" s="161">
        <f t="shared" si="43"/>
        <v>1854000</v>
      </c>
      <c r="CF122" s="161">
        <f t="shared" si="44"/>
        <v>2232000</v>
      </c>
      <c r="CG122" s="161">
        <f t="shared" si="45"/>
        <v>2232000</v>
      </c>
      <c r="CH122" s="161">
        <f t="shared" si="46"/>
        <v>2232000</v>
      </c>
      <c r="CI122" s="161">
        <f t="shared" si="47"/>
        <v>2232000</v>
      </c>
    </row>
    <row r="123" spans="19:87" x14ac:dyDescent="0.15">
      <c r="S123" s="46">
        <v>31</v>
      </c>
      <c r="BB123" s="25">
        <v>30</v>
      </c>
      <c r="CD123" s="161">
        <v>118</v>
      </c>
      <c r="CE123" s="161">
        <f t="shared" si="43"/>
        <v>1980000</v>
      </c>
      <c r="CF123" s="161">
        <f t="shared" si="44"/>
        <v>2232000</v>
      </c>
      <c r="CG123" s="161">
        <f t="shared" si="45"/>
        <v>2232000</v>
      </c>
      <c r="CH123" s="161">
        <f t="shared" si="46"/>
        <v>2232000</v>
      </c>
      <c r="CI123" s="161">
        <f t="shared" si="47"/>
        <v>2232000</v>
      </c>
    </row>
    <row r="124" spans="19:87" x14ac:dyDescent="0.15">
      <c r="S124" s="46">
        <v>32</v>
      </c>
      <c r="BB124" s="25">
        <v>31</v>
      </c>
      <c r="CD124" s="161">
        <v>119</v>
      </c>
      <c r="CE124" s="161">
        <f t="shared" si="43"/>
        <v>2106000</v>
      </c>
      <c r="CF124" s="161">
        <f t="shared" si="44"/>
        <v>2232000</v>
      </c>
      <c r="CG124" s="161">
        <f t="shared" si="45"/>
        <v>2232000</v>
      </c>
      <c r="CH124" s="161">
        <f t="shared" si="46"/>
        <v>2232000</v>
      </c>
      <c r="CI124" s="161">
        <f t="shared" si="47"/>
        <v>2232000</v>
      </c>
    </row>
    <row r="125" spans="19:87" x14ac:dyDescent="0.15">
      <c r="S125" s="46">
        <v>33</v>
      </c>
      <c r="BB125" s="25">
        <v>32</v>
      </c>
      <c r="CD125" s="161">
        <v>120</v>
      </c>
      <c r="CE125" s="161">
        <f t="shared" si="43"/>
        <v>2232000</v>
      </c>
      <c r="CF125" s="161">
        <f t="shared" si="44"/>
        <v>2232000</v>
      </c>
      <c r="CG125" s="161">
        <f t="shared" si="45"/>
        <v>2232000</v>
      </c>
      <c r="CH125" s="161">
        <f t="shared" si="46"/>
        <v>2232000</v>
      </c>
      <c r="CI125" s="161">
        <f t="shared" si="47"/>
        <v>2232000</v>
      </c>
    </row>
    <row r="126" spans="19:87" x14ac:dyDescent="0.15">
      <c r="S126" s="46">
        <v>34</v>
      </c>
      <c r="BB126" s="25">
        <v>33</v>
      </c>
      <c r="CD126" s="161">
        <v>121</v>
      </c>
      <c r="CE126" s="161">
        <f t="shared" si="43"/>
        <v>2232000</v>
      </c>
      <c r="CF126" s="161">
        <f t="shared" si="44"/>
        <v>2232000</v>
      </c>
      <c r="CG126" s="161">
        <f t="shared" si="45"/>
        <v>2232000</v>
      </c>
      <c r="CH126" s="161">
        <f t="shared" si="46"/>
        <v>2232000</v>
      </c>
      <c r="CI126" s="161">
        <f t="shared" si="47"/>
        <v>2232000</v>
      </c>
    </row>
    <row r="127" spans="19:87" x14ac:dyDescent="0.15">
      <c r="S127" s="46">
        <v>35</v>
      </c>
      <c r="BB127" s="25">
        <v>34</v>
      </c>
      <c r="CD127" s="161">
        <v>122</v>
      </c>
      <c r="CE127" s="161">
        <f t="shared" si="43"/>
        <v>2232000</v>
      </c>
      <c r="CF127" s="161">
        <f t="shared" si="44"/>
        <v>2232000</v>
      </c>
      <c r="CG127" s="161">
        <f t="shared" si="45"/>
        <v>2232000</v>
      </c>
      <c r="CH127" s="161">
        <f t="shared" si="46"/>
        <v>2232000</v>
      </c>
      <c r="CI127" s="161">
        <f t="shared" si="47"/>
        <v>2232000</v>
      </c>
    </row>
    <row r="128" spans="19:87" x14ac:dyDescent="0.15">
      <c r="S128" s="46">
        <v>36</v>
      </c>
      <c r="BB128" s="25">
        <v>35</v>
      </c>
      <c r="CD128" s="161">
        <v>123</v>
      </c>
      <c r="CE128" s="161">
        <f t="shared" si="43"/>
        <v>2232000</v>
      </c>
      <c r="CF128" s="161">
        <f t="shared" si="44"/>
        <v>2232000</v>
      </c>
      <c r="CG128" s="161">
        <f t="shared" si="45"/>
        <v>2232000</v>
      </c>
      <c r="CH128" s="161">
        <f t="shared" si="46"/>
        <v>2232000</v>
      </c>
      <c r="CI128" s="161">
        <f t="shared" si="47"/>
        <v>2232000</v>
      </c>
    </row>
    <row r="129" spans="19:87" x14ac:dyDescent="0.15">
      <c r="S129" s="46">
        <v>37</v>
      </c>
      <c r="BB129" s="25">
        <v>36</v>
      </c>
      <c r="CD129" s="161">
        <v>124</v>
      </c>
      <c r="CE129" s="161">
        <f t="shared" si="43"/>
        <v>2232000</v>
      </c>
      <c r="CF129" s="161">
        <f t="shared" si="44"/>
        <v>2232000</v>
      </c>
      <c r="CG129" s="161">
        <f t="shared" si="45"/>
        <v>2232000</v>
      </c>
      <c r="CH129" s="161">
        <f t="shared" si="46"/>
        <v>2232000</v>
      </c>
      <c r="CI129" s="161">
        <f t="shared" si="47"/>
        <v>2232000</v>
      </c>
    </row>
    <row r="130" spans="19:87" x14ac:dyDescent="0.15">
      <c r="S130" s="46">
        <v>38</v>
      </c>
      <c r="BB130" s="25">
        <v>37</v>
      </c>
      <c r="CD130" s="161">
        <v>125</v>
      </c>
      <c r="CE130" s="161">
        <f t="shared" si="43"/>
        <v>2232000</v>
      </c>
      <c r="CF130" s="161">
        <f t="shared" si="44"/>
        <v>2232000</v>
      </c>
      <c r="CG130" s="161">
        <f t="shared" si="45"/>
        <v>2232000</v>
      </c>
      <c r="CH130" s="161">
        <f t="shared" si="46"/>
        <v>2232000</v>
      </c>
      <c r="CI130" s="161">
        <f t="shared" si="47"/>
        <v>2232000</v>
      </c>
    </row>
    <row r="131" spans="19:87" x14ac:dyDescent="0.15">
      <c r="S131" s="46">
        <v>39</v>
      </c>
      <c r="BB131" s="25">
        <v>38</v>
      </c>
      <c r="CD131" s="161">
        <v>126</v>
      </c>
      <c r="CE131" s="161">
        <f t="shared" si="43"/>
        <v>2232000</v>
      </c>
      <c r="CF131" s="161">
        <f t="shared" si="44"/>
        <v>2232000</v>
      </c>
      <c r="CG131" s="161">
        <f t="shared" si="45"/>
        <v>2232000</v>
      </c>
      <c r="CH131" s="161">
        <f t="shared" si="46"/>
        <v>2232000</v>
      </c>
      <c r="CI131" s="161">
        <f t="shared" si="47"/>
        <v>2232000</v>
      </c>
    </row>
    <row r="132" spans="19:87" x14ac:dyDescent="0.15">
      <c r="S132" s="46">
        <v>40</v>
      </c>
      <c r="BB132" s="25">
        <v>39</v>
      </c>
      <c r="CD132" s="161">
        <v>127</v>
      </c>
      <c r="CE132" s="161">
        <f t="shared" si="43"/>
        <v>2232000</v>
      </c>
      <c r="CF132" s="161">
        <f t="shared" si="44"/>
        <v>2232000</v>
      </c>
      <c r="CG132" s="161">
        <f t="shared" si="45"/>
        <v>2232000</v>
      </c>
      <c r="CH132" s="161">
        <f t="shared" si="46"/>
        <v>2232000</v>
      </c>
      <c r="CI132" s="161">
        <f t="shared" si="47"/>
        <v>2232000</v>
      </c>
    </row>
    <row r="133" spans="19:87" x14ac:dyDescent="0.15">
      <c r="S133" s="46">
        <v>41</v>
      </c>
      <c r="BB133" s="25">
        <v>40</v>
      </c>
      <c r="CD133" s="161">
        <v>128</v>
      </c>
      <c r="CE133" s="161">
        <f t="shared" si="43"/>
        <v>2232000</v>
      </c>
      <c r="CF133" s="161">
        <f t="shared" si="44"/>
        <v>2232000</v>
      </c>
      <c r="CG133" s="161">
        <f t="shared" si="45"/>
        <v>2232000</v>
      </c>
      <c r="CH133" s="161">
        <f t="shared" si="46"/>
        <v>2232000</v>
      </c>
      <c r="CI133" s="161">
        <f t="shared" si="47"/>
        <v>2232000</v>
      </c>
    </row>
    <row r="134" spans="19:87" x14ac:dyDescent="0.15">
      <c r="S134" s="46">
        <v>42</v>
      </c>
      <c r="BB134" s="25">
        <v>41</v>
      </c>
      <c r="CD134" s="161">
        <v>129</v>
      </c>
      <c r="CE134" s="161">
        <f t="shared" si="43"/>
        <v>2232000</v>
      </c>
      <c r="CF134" s="161">
        <f t="shared" si="44"/>
        <v>2232000</v>
      </c>
      <c r="CG134" s="161">
        <f t="shared" si="45"/>
        <v>2232000</v>
      </c>
      <c r="CH134" s="161">
        <f t="shared" si="46"/>
        <v>2232000</v>
      </c>
      <c r="CI134" s="161">
        <f t="shared" si="47"/>
        <v>2232000</v>
      </c>
    </row>
    <row r="135" spans="19:87" x14ac:dyDescent="0.15">
      <c r="S135" s="46">
        <v>43</v>
      </c>
      <c r="BB135" s="25">
        <v>42</v>
      </c>
      <c r="CD135" s="161">
        <v>130</v>
      </c>
      <c r="CE135" s="161">
        <f t="shared" ref="CE135:CE165" si="59">求节点($BN$6:$BN$21,$BO$6:$BO$21,$CD135)</f>
        <v>2232000</v>
      </c>
      <c r="CF135" s="161">
        <f t="shared" ref="CF135:CF165" si="60">求节点($BN$51:$BN$66,$BO$51:$BO$66,$CD135)</f>
        <v>2232000</v>
      </c>
      <c r="CG135" s="161">
        <f t="shared" ref="CG135:CG165" si="61">求节点($BN$96:$BN$111,$BO$96:$BO$111,$CD135)</f>
        <v>2232000</v>
      </c>
      <c r="CH135" s="161">
        <f t="shared" ref="CH135:CH165" si="62">求节点($BN$141:$BN$156,$BO$141:$BO$156,$CD135)</f>
        <v>2232000</v>
      </c>
      <c r="CI135" s="161">
        <f t="shared" ref="CI135:CI165" si="63">求节点($BN$186:$BN$201,$BO$186:$BO$201,$CD135)</f>
        <v>2232000</v>
      </c>
    </row>
    <row r="136" spans="19:87" x14ac:dyDescent="0.15">
      <c r="S136" s="46">
        <v>44</v>
      </c>
      <c r="BB136" s="25">
        <v>43</v>
      </c>
      <c r="CD136" s="161">
        <v>131</v>
      </c>
      <c r="CE136" s="161">
        <f t="shared" si="59"/>
        <v>2232000</v>
      </c>
      <c r="CF136" s="161">
        <f t="shared" si="60"/>
        <v>2232000</v>
      </c>
      <c r="CG136" s="161">
        <f t="shared" si="61"/>
        <v>2232000</v>
      </c>
      <c r="CH136" s="161">
        <f t="shared" si="62"/>
        <v>2232000</v>
      </c>
      <c r="CI136" s="161">
        <f t="shared" si="63"/>
        <v>2232000</v>
      </c>
    </row>
    <row r="137" spans="19:87" x14ac:dyDescent="0.15">
      <c r="S137" s="46">
        <v>45</v>
      </c>
      <c r="BB137" s="25">
        <v>44</v>
      </c>
      <c r="CD137" s="161">
        <v>132</v>
      </c>
      <c r="CE137" s="161">
        <f t="shared" si="59"/>
        <v>2232000</v>
      </c>
      <c r="CF137" s="161">
        <f t="shared" si="60"/>
        <v>2232000</v>
      </c>
      <c r="CG137" s="161">
        <f t="shared" si="61"/>
        <v>2232000</v>
      </c>
      <c r="CH137" s="161">
        <f t="shared" si="62"/>
        <v>2232000</v>
      </c>
      <c r="CI137" s="161">
        <f t="shared" si="63"/>
        <v>2232000</v>
      </c>
    </row>
    <row r="138" spans="19:87" x14ac:dyDescent="0.15">
      <c r="S138" s="46">
        <v>1</v>
      </c>
      <c r="BB138" s="25">
        <v>45</v>
      </c>
      <c r="CD138" s="161">
        <v>133</v>
      </c>
      <c r="CE138" s="161">
        <f t="shared" si="59"/>
        <v>2232000</v>
      </c>
      <c r="CF138" s="161">
        <f t="shared" si="60"/>
        <v>2232000</v>
      </c>
      <c r="CG138" s="161">
        <f t="shared" si="61"/>
        <v>2232000</v>
      </c>
      <c r="CH138" s="161">
        <f t="shared" si="62"/>
        <v>2232000</v>
      </c>
      <c r="CI138" s="161">
        <f t="shared" si="63"/>
        <v>2232000</v>
      </c>
    </row>
    <row r="139" spans="19:87" x14ac:dyDescent="0.15">
      <c r="S139" s="46">
        <v>2</v>
      </c>
      <c r="T139" s="144" t="s">
        <v>432</v>
      </c>
      <c r="U139" s="187" t="s">
        <v>439</v>
      </c>
      <c r="V139" s="188"/>
      <c r="W139" s="188"/>
      <c r="X139" s="188"/>
      <c r="Y139" s="189"/>
      <c r="Z139" s="187" t="s">
        <v>440</v>
      </c>
      <c r="AA139" s="188"/>
      <c r="AB139" s="188"/>
      <c r="AC139" s="188"/>
      <c r="AD139" s="189"/>
      <c r="AE139" s="187" t="s">
        <v>440</v>
      </c>
      <c r="AF139" s="188"/>
      <c r="AG139" s="188"/>
      <c r="AH139" s="188"/>
      <c r="AI139" s="189"/>
      <c r="AJ139" s="186" t="s">
        <v>221</v>
      </c>
      <c r="AK139" s="186"/>
      <c r="AL139" s="186"/>
      <c r="AM139" s="186"/>
      <c r="AN139" s="186"/>
      <c r="AO139" s="187" t="s">
        <v>222</v>
      </c>
      <c r="AP139" s="188"/>
      <c r="AQ139" s="188"/>
      <c r="AR139" s="188"/>
      <c r="AS139" s="189"/>
      <c r="AT139" s="187" t="s">
        <v>451</v>
      </c>
      <c r="AU139" s="188"/>
      <c r="AV139" s="188"/>
      <c r="AW139" s="188"/>
      <c r="AX139" s="189"/>
      <c r="BB139" s="25">
        <v>1</v>
      </c>
      <c r="BC139" s="148" t="s">
        <v>207</v>
      </c>
      <c r="BD139" s="195" t="s">
        <v>231</v>
      </c>
      <c r="BE139" s="195"/>
      <c r="BF139" s="195"/>
      <c r="BG139" s="195" t="s">
        <v>232</v>
      </c>
      <c r="BH139" s="195"/>
      <c r="BI139" s="195"/>
      <c r="BJ139" s="195"/>
      <c r="BN139" s="150" t="s">
        <v>207</v>
      </c>
      <c r="BO139" s="183" t="s">
        <v>375</v>
      </c>
      <c r="BP139" s="183"/>
      <c r="BQ139" s="183"/>
      <c r="BR139" s="183"/>
      <c r="BS139" s="183"/>
      <c r="BT139" s="183"/>
      <c r="BV139" s="148" t="s">
        <v>207</v>
      </c>
      <c r="BW139" s="184" t="s">
        <v>351</v>
      </c>
      <c r="BX139" s="185"/>
      <c r="CD139" s="161">
        <v>134</v>
      </c>
      <c r="CE139" s="161">
        <f t="shared" si="59"/>
        <v>2232000</v>
      </c>
      <c r="CF139" s="161">
        <f t="shared" si="60"/>
        <v>2232000</v>
      </c>
      <c r="CG139" s="161">
        <f t="shared" si="61"/>
        <v>2232000</v>
      </c>
      <c r="CH139" s="161">
        <f t="shared" si="62"/>
        <v>2232000</v>
      </c>
      <c r="CI139" s="161">
        <f t="shared" si="63"/>
        <v>2232000</v>
      </c>
    </row>
    <row r="140" spans="19:87" x14ac:dyDescent="0.15">
      <c r="S140" s="46">
        <v>3</v>
      </c>
      <c r="T140" s="144" t="s">
        <v>398</v>
      </c>
      <c r="U140" s="147" t="s">
        <v>0</v>
      </c>
      <c r="V140" s="146" t="s">
        <v>1</v>
      </c>
      <c r="W140" s="146" t="s">
        <v>2</v>
      </c>
      <c r="X140" s="146" t="s">
        <v>3</v>
      </c>
      <c r="Y140" s="146" t="s">
        <v>4</v>
      </c>
      <c r="Z140" s="147" t="s">
        <v>0</v>
      </c>
      <c r="AA140" s="146" t="s">
        <v>1</v>
      </c>
      <c r="AB140" s="146" t="s">
        <v>2</v>
      </c>
      <c r="AC140" s="146" t="s">
        <v>3</v>
      </c>
      <c r="AD140" s="146" t="s">
        <v>4</v>
      </c>
      <c r="AE140" s="147" t="s">
        <v>0</v>
      </c>
      <c r="AF140" s="146" t="s">
        <v>1</v>
      </c>
      <c r="AG140" s="146" t="s">
        <v>2</v>
      </c>
      <c r="AH140" s="146" t="s">
        <v>3</v>
      </c>
      <c r="AI140" s="146" t="s">
        <v>4</v>
      </c>
      <c r="AJ140" s="144" t="s">
        <v>0</v>
      </c>
      <c r="AK140" s="143" t="s">
        <v>1</v>
      </c>
      <c r="AL140" s="143" t="s">
        <v>2</v>
      </c>
      <c r="AM140" s="143" t="s">
        <v>3</v>
      </c>
      <c r="AN140" s="143" t="s">
        <v>4</v>
      </c>
      <c r="AO140" s="160" t="s">
        <v>0</v>
      </c>
      <c r="AP140" s="159" t="s">
        <v>1</v>
      </c>
      <c r="AQ140" s="159" t="s">
        <v>2</v>
      </c>
      <c r="AR140" s="159" t="s">
        <v>3</v>
      </c>
      <c r="AS140" s="159" t="s">
        <v>4</v>
      </c>
      <c r="AT140" s="160" t="s">
        <v>0</v>
      </c>
      <c r="AU140" s="159" t="s">
        <v>1</v>
      </c>
      <c r="AV140" s="159" t="s">
        <v>2</v>
      </c>
      <c r="AW140" s="159" t="s">
        <v>3</v>
      </c>
      <c r="AX140" s="159" t="s">
        <v>4</v>
      </c>
      <c r="BB140" s="25">
        <v>2</v>
      </c>
      <c r="BC140" s="51" t="s">
        <v>398</v>
      </c>
      <c r="BD140" s="147" t="s">
        <v>233</v>
      </c>
      <c r="BE140" s="147" t="s">
        <v>223</v>
      </c>
      <c r="BF140" s="147" t="s">
        <v>224</v>
      </c>
      <c r="BG140" s="147" t="s">
        <v>233</v>
      </c>
      <c r="BH140" s="147" t="s">
        <v>223</v>
      </c>
      <c r="BI140" s="147" t="s">
        <v>224</v>
      </c>
      <c r="BJ140" s="51" t="s">
        <v>236</v>
      </c>
      <c r="BN140" s="51" t="s">
        <v>398</v>
      </c>
      <c r="BO140" s="147" t="s">
        <v>442</v>
      </c>
      <c r="BP140" s="147" t="s">
        <v>443</v>
      </c>
      <c r="BQ140" s="147" t="s">
        <v>445</v>
      </c>
      <c r="BR140" s="147" t="s">
        <v>371</v>
      </c>
      <c r="BS140" s="147" t="s">
        <v>353</v>
      </c>
      <c r="BT140" s="147" t="s">
        <v>352</v>
      </c>
      <c r="BV140" s="51" t="s">
        <v>398</v>
      </c>
      <c r="BW140" s="51" t="s">
        <v>215</v>
      </c>
      <c r="BX140" s="147" t="s">
        <v>353</v>
      </c>
      <c r="BY140" s="147" t="s">
        <v>370</v>
      </c>
      <c r="CD140" s="161">
        <v>135</v>
      </c>
      <c r="CE140" s="161">
        <f t="shared" si="59"/>
        <v>2232000</v>
      </c>
      <c r="CF140" s="161">
        <f t="shared" si="60"/>
        <v>2232000</v>
      </c>
      <c r="CG140" s="161">
        <f t="shared" si="61"/>
        <v>2232000</v>
      </c>
      <c r="CH140" s="161">
        <f t="shared" si="62"/>
        <v>2232000</v>
      </c>
      <c r="CI140" s="161">
        <f t="shared" si="63"/>
        <v>2232000</v>
      </c>
    </row>
    <row r="141" spans="19:87" x14ac:dyDescent="0.15">
      <c r="S141" s="46">
        <v>4</v>
      </c>
      <c r="T141" s="144">
        <v>10</v>
      </c>
      <c r="U141" s="147"/>
      <c r="V141" s="147"/>
      <c r="W141" s="147"/>
      <c r="X141" s="147"/>
      <c r="Y141" s="43">
        <f>求节点($G$37:$G$62,$I$37:$I$62,节奏预期!$AB93)</f>
        <v>0</v>
      </c>
      <c r="Z141" s="147"/>
      <c r="AA141" s="147"/>
      <c r="AB141" s="147"/>
      <c r="AC141" s="147"/>
      <c r="AD141" s="43">
        <f>求节点($G$37:$G$62,$J$37:$J$62,节奏预期!$AB93)*3</f>
        <v>0</v>
      </c>
      <c r="AE141" s="146"/>
      <c r="AF141" s="146"/>
      <c r="AG141" s="146"/>
      <c r="AH141" s="146"/>
      <c r="AI141" s="43">
        <f>求节点($G$37:$G$62,$K$37:$K$62,节奏预期!$AB93)*3</f>
        <v>0</v>
      </c>
      <c r="AJ141" s="143"/>
      <c r="AK141" s="143"/>
      <c r="AL141" s="143"/>
      <c r="AM141" s="143"/>
      <c r="AN141" s="43">
        <f>求节点($G$37:$G$62,$O$37:$O$62,节奏预期!$AB93)</f>
        <v>0</v>
      </c>
      <c r="AO141" s="160"/>
      <c r="AP141" s="159"/>
      <c r="AQ141" s="159"/>
      <c r="AR141" s="159"/>
      <c r="AS141" s="43">
        <f>AN141</f>
        <v>0</v>
      </c>
      <c r="AT141" s="160"/>
      <c r="AU141" s="159"/>
      <c r="AV141" s="159"/>
      <c r="AW141" s="159"/>
      <c r="AX141" s="43">
        <f>求节点($G$37:$G$62,$P$37:$P$62,节奏预期!$AB93)*3</f>
        <v>0</v>
      </c>
      <c r="BB141" s="25">
        <v>3</v>
      </c>
      <c r="BC141" s="147">
        <v>10</v>
      </c>
      <c r="BD141" s="52">
        <f>AX141</f>
        <v>0</v>
      </c>
      <c r="BE141" s="52">
        <f>AN141</f>
        <v>0</v>
      </c>
      <c r="BF141" s="52">
        <f>AS141</f>
        <v>0</v>
      </c>
      <c r="BG141" s="77">
        <f>BD141*(INDEX([2]大r将兵属性验证!V$7:V$166,$BC141,1)+INDEX([2]大r将兵属性验证!$AP$7:$AP$166,$BC141,1))</f>
        <v>0</v>
      </c>
      <c r="BH141" s="77">
        <f>$BE141*INDEX([2]大r将兵属性验证!W$7:W$166,$BC141,1)</f>
        <v>0</v>
      </c>
      <c r="BI141" s="77">
        <f>$BF141*INDEX([2]大r将兵属性验证!X$7:X$166,$BC141,1)</f>
        <v>0</v>
      </c>
      <c r="BJ141" s="52">
        <f>SUM(BG141:BI141)</f>
        <v>0</v>
      </c>
      <c r="BN141" s="147">
        <v>10</v>
      </c>
      <c r="BO141" s="75">
        <f>AD141*6</f>
        <v>0</v>
      </c>
      <c r="BP141" s="76">
        <f>BO141*INDEX('[1]功能-付费相关'!$DG$6:$DG$165,$BN141,1)</f>
        <v>0</v>
      </c>
      <c r="BQ141" s="75">
        <f>Y141*3*6</f>
        <v>0</v>
      </c>
      <c r="BR141" s="75">
        <v>0</v>
      </c>
      <c r="BS141" s="75">
        <f>AI141*6</f>
        <v>0</v>
      </c>
      <c r="BT141" s="76">
        <f>BS141*INDEX('[1]功能-付费相关'!$AT$6:$AT$165,$CY141,1)</f>
        <v>0</v>
      </c>
      <c r="BV141" s="147">
        <v>10</v>
      </c>
      <c r="BW141" s="147">
        <f>BP141</f>
        <v>0</v>
      </c>
      <c r="BX141" s="147">
        <f t="shared" ref="BX141:BX156" si="64">BT141</f>
        <v>0</v>
      </c>
      <c r="BY141" s="84">
        <f>SUM(BW141:BX141)</f>
        <v>0</v>
      </c>
      <c r="CD141" s="161">
        <v>136</v>
      </c>
      <c r="CE141" s="161">
        <f t="shared" si="59"/>
        <v>2232000</v>
      </c>
      <c r="CF141" s="161">
        <f t="shared" si="60"/>
        <v>2232000</v>
      </c>
      <c r="CG141" s="161">
        <f t="shared" si="61"/>
        <v>2232000</v>
      </c>
      <c r="CH141" s="161">
        <f t="shared" si="62"/>
        <v>2232000</v>
      </c>
      <c r="CI141" s="161">
        <f t="shared" si="63"/>
        <v>2232000</v>
      </c>
    </row>
    <row r="142" spans="19:87" x14ac:dyDescent="0.15">
      <c r="S142" s="46">
        <v>5</v>
      </c>
      <c r="T142" s="144">
        <v>20</v>
      </c>
      <c r="U142" s="147"/>
      <c r="V142" s="147"/>
      <c r="W142" s="147"/>
      <c r="X142" s="147"/>
      <c r="Y142" s="43">
        <f>求节点($G$37:$G$62,$I$37:$I$62,节奏预期!$AB94)</f>
        <v>0</v>
      </c>
      <c r="Z142" s="147"/>
      <c r="AA142" s="147"/>
      <c r="AB142" s="147"/>
      <c r="AC142" s="147"/>
      <c r="AD142" s="43">
        <f>求节点($G$37:$G$62,$J$37:$J$62,节奏预期!$AB94)*3</f>
        <v>0</v>
      </c>
      <c r="AE142" s="146"/>
      <c r="AF142" s="146"/>
      <c r="AG142" s="146"/>
      <c r="AH142" s="146"/>
      <c r="AI142" s="43">
        <f>求节点($G$37:$G$62,$K$37:$K$62,节奏预期!$AB94)*3</f>
        <v>0</v>
      </c>
      <c r="AJ142" s="143"/>
      <c r="AK142" s="143"/>
      <c r="AL142" s="143"/>
      <c r="AM142" s="143"/>
      <c r="AN142" s="43">
        <f>求节点($G$37:$G$62,$O$37:$O$62,节奏预期!$AB94)</f>
        <v>0</v>
      </c>
      <c r="AO142" s="160"/>
      <c r="AP142" s="159"/>
      <c r="AQ142" s="159"/>
      <c r="AR142" s="159"/>
      <c r="AS142" s="43">
        <f t="shared" ref="AS142:AS156" si="65">AN142</f>
        <v>0</v>
      </c>
      <c r="AT142" s="160"/>
      <c r="AU142" s="159"/>
      <c r="AV142" s="159"/>
      <c r="AW142" s="159"/>
      <c r="AX142" s="43">
        <f>求节点($G$37:$G$62,$P$37:$P$62,节奏预期!$AB94)*3</f>
        <v>0</v>
      </c>
      <c r="BB142" s="25">
        <v>4</v>
      </c>
      <c r="BC142" s="147">
        <v>20</v>
      </c>
      <c r="BD142" s="52">
        <f t="shared" ref="BD142:BD156" si="66">AX142</f>
        <v>0</v>
      </c>
      <c r="BE142" s="52">
        <f t="shared" ref="BE142:BE156" si="67">AN142</f>
        <v>0</v>
      </c>
      <c r="BF142" s="52">
        <f t="shared" ref="BF142:BF156" si="68">AS142</f>
        <v>0</v>
      </c>
      <c r="BG142" s="109">
        <f>(BD142-BD141)*(INDEX([2]大r将兵属性验证!V$7:V$166,$BC142,1)+INDEX([2]大r将兵属性验证!$AP$7:$AP$166,$BC142,1))+BG141</f>
        <v>0</v>
      </c>
      <c r="BH142" s="109">
        <f>($BE142-$BE141)*INDEX([2]大r将兵属性验证!W$7:W$166,$BC142,1)+BH141</f>
        <v>0</v>
      </c>
      <c r="BI142" s="109">
        <f>($BF142-$BF141)*INDEX([2]大r将兵属性验证!X$7:X$166,$BC142,1)+BI141</f>
        <v>0</v>
      </c>
      <c r="BJ142" s="52">
        <f t="shared" ref="BJ142:BJ156" si="69">SUM(BG142:BI142)</f>
        <v>0</v>
      </c>
      <c r="BN142" s="147">
        <v>20</v>
      </c>
      <c r="BO142" s="75">
        <f t="shared" ref="BO142:BO156" si="70">AD142*6</f>
        <v>0</v>
      </c>
      <c r="BP142" s="164">
        <f>(BO142-BO141)*INDEX('[1]功能-付费相关'!$DG$6:$DG$165,$BN142,1)+BP141</f>
        <v>0</v>
      </c>
      <c r="BQ142" s="75">
        <f t="shared" ref="BQ142:BQ156" si="71">Y142*3*6</f>
        <v>0</v>
      </c>
      <c r="BR142" s="75">
        <v>0</v>
      </c>
      <c r="BS142" s="75">
        <f t="shared" ref="BS142:BS156" si="72">AI142*6</f>
        <v>0</v>
      </c>
      <c r="BT142" s="75">
        <f>(BS142-BS141)*INDEX('[1]功能-付费相关'!$AT$6:$AT$165,$CY142,1)+BT141</f>
        <v>0</v>
      </c>
      <c r="BV142" s="147">
        <v>20</v>
      </c>
      <c r="BW142" s="147">
        <f t="shared" ref="BW142:BW156" si="73">BP142</f>
        <v>0</v>
      </c>
      <c r="BX142" s="147">
        <f t="shared" si="64"/>
        <v>0</v>
      </c>
      <c r="BY142" s="84">
        <f t="shared" ref="BY142:BY156" si="74">SUM(BW142:BX142)</f>
        <v>0</v>
      </c>
      <c r="CD142" s="161">
        <v>137</v>
      </c>
      <c r="CE142" s="161">
        <f t="shared" si="59"/>
        <v>2232000</v>
      </c>
      <c r="CF142" s="161">
        <f t="shared" si="60"/>
        <v>2232000</v>
      </c>
      <c r="CG142" s="161">
        <f t="shared" si="61"/>
        <v>2232000</v>
      </c>
      <c r="CH142" s="161">
        <f t="shared" si="62"/>
        <v>2232000</v>
      </c>
      <c r="CI142" s="161">
        <f t="shared" si="63"/>
        <v>2232000</v>
      </c>
    </row>
    <row r="143" spans="19:87" x14ac:dyDescent="0.15">
      <c r="S143" s="46">
        <v>6</v>
      </c>
      <c r="T143" s="144">
        <v>30</v>
      </c>
      <c r="U143" s="147"/>
      <c r="V143" s="147"/>
      <c r="W143" s="147"/>
      <c r="X143" s="147"/>
      <c r="Y143" s="43">
        <f>求节点($G$37:$G$62,$I$37:$I$62,节奏预期!$AB95)</f>
        <v>0</v>
      </c>
      <c r="Z143" s="147"/>
      <c r="AA143" s="147"/>
      <c r="AB143" s="147"/>
      <c r="AC143" s="147"/>
      <c r="AD143" s="43">
        <f>求节点($G$37:$G$62,$J$37:$J$62,节奏预期!$AB95)*3</f>
        <v>0</v>
      </c>
      <c r="AE143" s="146"/>
      <c r="AF143" s="146"/>
      <c r="AG143" s="146"/>
      <c r="AH143" s="146"/>
      <c r="AI143" s="43">
        <f>求节点($G$37:$G$62,$K$37:$K$62,节奏预期!$AB95)*3</f>
        <v>0</v>
      </c>
      <c r="AJ143" s="143"/>
      <c r="AK143" s="143"/>
      <c r="AL143" s="143"/>
      <c r="AM143" s="143"/>
      <c r="AN143" s="43">
        <f>求节点($G$37:$G$62,$O$37:$O$62,节奏预期!$AB95)</f>
        <v>0</v>
      </c>
      <c r="AO143" s="160"/>
      <c r="AP143" s="159"/>
      <c r="AQ143" s="159"/>
      <c r="AR143" s="159"/>
      <c r="AS143" s="43">
        <f t="shared" si="65"/>
        <v>0</v>
      </c>
      <c r="AT143" s="160"/>
      <c r="AU143" s="159"/>
      <c r="AV143" s="159"/>
      <c r="AW143" s="159"/>
      <c r="AX143" s="43">
        <f>求节点($G$37:$G$62,$P$37:$P$62,节奏预期!$AB95)*3</f>
        <v>0</v>
      </c>
      <c r="BB143" s="25">
        <v>5</v>
      </c>
      <c r="BC143" s="147">
        <v>30</v>
      </c>
      <c r="BD143" s="52">
        <f t="shared" si="66"/>
        <v>0</v>
      </c>
      <c r="BE143" s="52">
        <f t="shared" si="67"/>
        <v>0</v>
      </c>
      <c r="BF143" s="52">
        <f t="shared" si="68"/>
        <v>0</v>
      </c>
      <c r="BG143" s="109">
        <f>(BD143-BD142)*(INDEX([2]大r将兵属性验证!V$7:V$166,$BC143,1)+INDEX([2]大r将兵属性验证!$AP$7:$AP$166,$BC143,1))+BG142</f>
        <v>0</v>
      </c>
      <c r="BH143" s="109">
        <f>($BE143-$BE142)*INDEX([2]大r将兵属性验证!W$7:W$166,$BC143,1)+BH142</f>
        <v>0</v>
      </c>
      <c r="BI143" s="109">
        <f>($BF143-$BF142)*INDEX([2]大r将兵属性验证!X$7:X$166,$BC143,1)+BI142</f>
        <v>0</v>
      </c>
      <c r="BJ143" s="52">
        <f t="shared" si="69"/>
        <v>0</v>
      </c>
      <c r="BN143" s="147">
        <v>30</v>
      </c>
      <c r="BO143" s="75">
        <f t="shared" si="70"/>
        <v>0</v>
      </c>
      <c r="BP143" s="164">
        <f>(BO143-BO142)*INDEX('[1]功能-付费相关'!$DG$6:$DG$165,$BN143,1)+BP142</f>
        <v>0</v>
      </c>
      <c r="BQ143" s="75">
        <f t="shared" si="71"/>
        <v>0</v>
      </c>
      <c r="BR143" s="75">
        <v>0</v>
      </c>
      <c r="BS143" s="75">
        <f t="shared" si="72"/>
        <v>0</v>
      </c>
      <c r="BT143" s="75">
        <f>(BS143-BS142)*INDEX('[1]功能-付费相关'!$AT$6:$AT$165,$CY143,1)+BT142</f>
        <v>0</v>
      </c>
      <c r="BV143" s="147">
        <v>30</v>
      </c>
      <c r="BW143" s="147">
        <f t="shared" si="73"/>
        <v>0</v>
      </c>
      <c r="BX143" s="147">
        <f t="shared" si="64"/>
        <v>0</v>
      </c>
      <c r="BY143" s="84">
        <f t="shared" si="74"/>
        <v>0</v>
      </c>
      <c r="CD143" s="161">
        <v>138</v>
      </c>
      <c r="CE143" s="161">
        <f t="shared" si="59"/>
        <v>2232000</v>
      </c>
      <c r="CF143" s="161">
        <f t="shared" si="60"/>
        <v>2232000</v>
      </c>
      <c r="CG143" s="161">
        <f t="shared" si="61"/>
        <v>2232000</v>
      </c>
      <c r="CH143" s="161">
        <f t="shared" si="62"/>
        <v>2232000</v>
      </c>
      <c r="CI143" s="161">
        <f t="shared" si="63"/>
        <v>2232000</v>
      </c>
    </row>
    <row r="144" spans="19:87" x14ac:dyDescent="0.15">
      <c r="S144" s="46">
        <v>7</v>
      </c>
      <c r="T144" s="144">
        <v>40</v>
      </c>
      <c r="U144" s="147"/>
      <c r="V144" s="147"/>
      <c r="W144" s="147"/>
      <c r="X144" s="147"/>
      <c r="Y144" s="43">
        <f>求节点($G$37:$G$62,$I$37:$I$62,节奏预期!$AB96)</f>
        <v>0</v>
      </c>
      <c r="Z144" s="147"/>
      <c r="AA144" s="147"/>
      <c r="AB144" s="147"/>
      <c r="AC144" s="147"/>
      <c r="AD144" s="43">
        <f>求节点($G$37:$G$62,$J$37:$J$62,节奏预期!$AB96)*3</f>
        <v>0</v>
      </c>
      <c r="AE144" s="146"/>
      <c r="AF144" s="146"/>
      <c r="AG144" s="146"/>
      <c r="AH144" s="146"/>
      <c r="AI144" s="43">
        <f>求节点($G$37:$G$62,$K$37:$K$62,节奏预期!$AB96)*3</f>
        <v>0</v>
      </c>
      <c r="AJ144" s="143"/>
      <c r="AK144" s="143"/>
      <c r="AL144" s="143"/>
      <c r="AM144" s="143"/>
      <c r="AN144" s="43">
        <f>求节点($G$37:$G$62,$O$37:$O$62,节奏预期!$AB96)</f>
        <v>0</v>
      </c>
      <c r="AO144" s="160"/>
      <c r="AP144" s="159"/>
      <c r="AQ144" s="159"/>
      <c r="AR144" s="159"/>
      <c r="AS144" s="43">
        <f t="shared" si="65"/>
        <v>0</v>
      </c>
      <c r="AT144" s="160"/>
      <c r="AU144" s="159"/>
      <c r="AV144" s="159"/>
      <c r="AW144" s="159"/>
      <c r="AX144" s="43">
        <f>求节点($G$37:$G$62,$P$37:$P$62,节奏预期!$AB96)*3</f>
        <v>0</v>
      </c>
      <c r="BB144" s="25">
        <v>6</v>
      </c>
      <c r="BC144" s="147">
        <v>40</v>
      </c>
      <c r="BD144" s="52">
        <f t="shared" si="66"/>
        <v>0</v>
      </c>
      <c r="BE144" s="52">
        <f t="shared" si="67"/>
        <v>0</v>
      </c>
      <c r="BF144" s="52">
        <f t="shared" si="68"/>
        <v>0</v>
      </c>
      <c r="BG144" s="109">
        <f>(BD144-BD143)*(INDEX([2]大r将兵属性验证!V$7:V$166,$BC144,1)+INDEX([2]大r将兵属性验证!$AP$7:$AP$166,$BC144,1))+BG143</f>
        <v>0</v>
      </c>
      <c r="BH144" s="109">
        <f>($BE144-$BE143)*INDEX([2]大r将兵属性验证!W$7:W$166,$BC144,1)+BH143</f>
        <v>0</v>
      </c>
      <c r="BI144" s="109">
        <f>($BF144-$BF143)*INDEX([2]大r将兵属性验证!X$7:X$166,$BC144,1)+BI143</f>
        <v>0</v>
      </c>
      <c r="BJ144" s="52">
        <f t="shared" si="69"/>
        <v>0</v>
      </c>
      <c r="BN144" s="147">
        <v>40</v>
      </c>
      <c r="BO144" s="75">
        <f t="shared" si="70"/>
        <v>0</v>
      </c>
      <c r="BP144" s="164">
        <f>(BO144-BO143)*INDEX('[1]功能-付费相关'!$DG$6:$DG$165,$BN144,1)+BP143</f>
        <v>0</v>
      </c>
      <c r="BQ144" s="75">
        <f t="shared" si="71"/>
        <v>0</v>
      </c>
      <c r="BR144" s="75">
        <v>0</v>
      </c>
      <c r="BS144" s="75">
        <f t="shared" si="72"/>
        <v>0</v>
      </c>
      <c r="BT144" s="75">
        <f>(BS144-BS143)*INDEX('[1]功能-付费相关'!$AT$6:$AT$165,$CY144,1)+BT143</f>
        <v>0</v>
      </c>
      <c r="BV144" s="147">
        <v>40</v>
      </c>
      <c r="BW144" s="147">
        <f t="shared" si="73"/>
        <v>0</v>
      </c>
      <c r="BX144" s="147">
        <f t="shared" si="64"/>
        <v>0</v>
      </c>
      <c r="BY144" s="84">
        <f t="shared" si="74"/>
        <v>0</v>
      </c>
      <c r="CD144" s="161">
        <v>139</v>
      </c>
      <c r="CE144" s="161">
        <f t="shared" si="59"/>
        <v>2232000</v>
      </c>
      <c r="CF144" s="161">
        <f t="shared" si="60"/>
        <v>2232000</v>
      </c>
      <c r="CG144" s="161">
        <f t="shared" si="61"/>
        <v>2232000</v>
      </c>
      <c r="CH144" s="161">
        <f t="shared" si="62"/>
        <v>2232000</v>
      </c>
      <c r="CI144" s="161">
        <f t="shared" si="63"/>
        <v>2232000</v>
      </c>
    </row>
    <row r="145" spans="19:87" x14ac:dyDescent="0.15">
      <c r="S145" s="46">
        <v>8</v>
      </c>
      <c r="T145" s="144">
        <v>50</v>
      </c>
      <c r="U145" s="147"/>
      <c r="V145" s="147"/>
      <c r="W145" s="147"/>
      <c r="X145" s="147"/>
      <c r="Y145" s="43">
        <f>求节点($G$37:$G$62,$I$37:$I$62,节奏预期!$AB97)</f>
        <v>0</v>
      </c>
      <c r="Z145" s="147"/>
      <c r="AA145" s="147"/>
      <c r="AB145" s="147"/>
      <c r="AC145" s="147"/>
      <c r="AD145" s="43">
        <f>求节点($G$37:$G$62,$J$37:$J$62,节奏预期!$AB97)*3</f>
        <v>0</v>
      </c>
      <c r="AE145" s="146"/>
      <c r="AF145" s="146"/>
      <c r="AG145" s="146"/>
      <c r="AH145" s="146"/>
      <c r="AI145" s="43">
        <f>求节点($G$37:$G$62,$K$37:$K$62,节奏预期!$AB97)*3</f>
        <v>0</v>
      </c>
      <c r="AJ145" s="143"/>
      <c r="AK145" s="143"/>
      <c r="AL145" s="143"/>
      <c r="AM145" s="143"/>
      <c r="AN145" s="43">
        <f>求节点($G$37:$G$62,$O$37:$O$62,节奏预期!$AB97)</f>
        <v>0</v>
      </c>
      <c r="AO145" s="160"/>
      <c r="AP145" s="159"/>
      <c r="AQ145" s="159"/>
      <c r="AR145" s="159"/>
      <c r="AS145" s="43">
        <f t="shared" si="65"/>
        <v>0</v>
      </c>
      <c r="AT145" s="160"/>
      <c r="AU145" s="159"/>
      <c r="AV145" s="159"/>
      <c r="AW145" s="159"/>
      <c r="AX145" s="43">
        <f>求节点($G$37:$G$62,$P$37:$P$62,节奏预期!$AB97)*3</f>
        <v>0</v>
      </c>
      <c r="BB145" s="25">
        <v>7</v>
      </c>
      <c r="BC145" s="147">
        <v>50</v>
      </c>
      <c r="BD145" s="52">
        <f t="shared" si="66"/>
        <v>0</v>
      </c>
      <c r="BE145" s="52">
        <f t="shared" si="67"/>
        <v>0</v>
      </c>
      <c r="BF145" s="52">
        <f t="shared" si="68"/>
        <v>0</v>
      </c>
      <c r="BG145" s="109">
        <f>(BD145-BD144)*(INDEX([2]大r将兵属性验证!V$7:V$166,$BC145,1)+INDEX([2]大r将兵属性验证!$AP$7:$AP$166,$BC145,1))+BG144</f>
        <v>0</v>
      </c>
      <c r="BH145" s="109">
        <f>($BE145-$BE144)*INDEX([2]大r将兵属性验证!W$7:W$166,$BC145,1)+BH144</f>
        <v>0</v>
      </c>
      <c r="BI145" s="109">
        <f>($BF145-$BF144)*INDEX([2]大r将兵属性验证!X$7:X$166,$BC145,1)+BI144</f>
        <v>0</v>
      </c>
      <c r="BJ145" s="52">
        <f t="shared" si="69"/>
        <v>0</v>
      </c>
      <c r="BN145" s="147">
        <v>50</v>
      </c>
      <c r="BO145" s="75">
        <f t="shared" si="70"/>
        <v>0</v>
      </c>
      <c r="BP145" s="164">
        <f>(BO145-BO144)*INDEX('[1]功能-付费相关'!$DG$6:$DG$165,$BN145,1)+BP144</f>
        <v>0</v>
      </c>
      <c r="BQ145" s="75">
        <f t="shared" si="71"/>
        <v>0</v>
      </c>
      <c r="BR145" s="75">
        <v>0</v>
      </c>
      <c r="BS145" s="75">
        <f t="shared" si="72"/>
        <v>0</v>
      </c>
      <c r="BT145" s="75">
        <f>(BS145-BS144)*INDEX('[1]功能-付费相关'!$AT$6:$AT$165,$CY145,1)+BT144</f>
        <v>0</v>
      </c>
      <c r="BV145" s="147">
        <v>50</v>
      </c>
      <c r="BW145" s="147">
        <f t="shared" si="73"/>
        <v>0</v>
      </c>
      <c r="BX145" s="147">
        <f t="shared" si="64"/>
        <v>0</v>
      </c>
      <c r="BY145" s="84">
        <f t="shared" si="74"/>
        <v>0</v>
      </c>
      <c r="CD145" s="161">
        <v>140</v>
      </c>
      <c r="CE145" s="161">
        <f t="shared" si="59"/>
        <v>2232000</v>
      </c>
      <c r="CF145" s="161">
        <f t="shared" si="60"/>
        <v>2232000</v>
      </c>
      <c r="CG145" s="161">
        <f t="shared" si="61"/>
        <v>2232000</v>
      </c>
      <c r="CH145" s="161">
        <f t="shared" si="62"/>
        <v>2232000</v>
      </c>
      <c r="CI145" s="161">
        <f t="shared" si="63"/>
        <v>2232000</v>
      </c>
    </row>
    <row r="146" spans="19:87" x14ac:dyDescent="0.15">
      <c r="S146" s="46">
        <v>9</v>
      </c>
      <c r="T146" s="144">
        <v>60</v>
      </c>
      <c r="U146" s="147"/>
      <c r="V146" s="147"/>
      <c r="W146" s="147"/>
      <c r="X146" s="147"/>
      <c r="Y146" s="43">
        <f>求节点($G$37:$G$62,$I$37:$I$62,节奏预期!$AB98)</f>
        <v>0</v>
      </c>
      <c r="Z146" s="147"/>
      <c r="AA146" s="147"/>
      <c r="AB146" s="147"/>
      <c r="AC146" s="147"/>
      <c r="AD146" s="43">
        <f>求节点($G$37:$G$62,$J$37:$J$62,节奏预期!$AB98)*3</f>
        <v>0</v>
      </c>
      <c r="AE146" s="146"/>
      <c r="AF146" s="146"/>
      <c r="AG146" s="146"/>
      <c r="AH146" s="146"/>
      <c r="AI146" s="43">
        <f>求节点($G$37:$G$62,$K$37:$K$62,节奏预期!$AB98)*3</f>
        <v>0</v>
      </c>
      <c r="AJ146" s="143"/>
      <c r="AK146" s="143"/>
      <c r="AL146" s="143"/>
      <c r="AM146" s="143"/>
      <c r="AN146" s="43">
        <f>求节点($G$37:$G$62,$O$37:$O$62,节奏预期!$AB98)</f>
        <v>0</v>
      </c>
      <c r="AO146" s="160"/>
      <c r="AP146" s="159"/>
      <c r="AQ146" s="159"/>
      <c r="AR146" s="159"/>
      <c r="AS146" s="43">
        <f t="shared" si="65"/>
        <v>0</v>
      </c>
      <c r="AT146" s="160"/>
      <c r="AU146" s="159"/>
      <c r="AV146" s="159"/>
      <c r="AW146" s="159"/>
      <c r="AX146" s="43">
        <f>求节点($G$37:$G$62,$P$37:$P$62,节奏预期!$AB98)*3</f>
        <v>0</v>
      </c>
      <c r="BB146" s="25">
        <v>8</v>
      </c>
      <c r="BC146" s="147">
        <v>60</v>
      </c>
      <c r="BD146" s="52">
        <f t="shared" si="66"/>
        <v>0</v>
      </c>
      <c r="BE146" s="52">
        <f t="shared" si="67"/>
        <v>0</v>
      </c>
      <c r="BF146" s="52">
        <f t="shared" si="68"/>
        <v>0</v>
      </c>
      <c r="BG146" s="109">
        <f>(BD146-BD145)*(INDEX([2]大r将兵属性验证!V$7:V$166,$BC146,1)+INDEX([2]大r将兵属性验证!$AP$7:$AP$166,$BC146,1))+BG145</f>
        <v>0</v>
      </c>
      <c r="BH146" s="109">
        <f>($BE146-$BE145)*INDEX([2]大r将兵属性验证!W$7:W$166,$BC146,1)+BH145</f>
        <v>0</v>
      </c>
      <c r="BI146" s="109">
        <f>($BF146-$BF145)*INDEX([2]大r将兵属性验证!X$7:X$166,$BC146,1)+BI145</f>
        <v>0</v>
      </c>
      <c r="BJ146" s="52">
        <f t="shared" si="69"/>
        <v>0</v>
      </c>
      <c r="BN146" s="147">
        <v>60</v>
      </c>
      <c r="BO146" s="75">
        <f t="shared" si="70"/>
        <v>0</v>
      </c>
      <c r="BP146" s="164">
        <f>(BO146-BO145)*INDEX('[1]功能-付费相关'!$DG$6:$DG$165,$BN146,1)+BP145</f>
        <v>0</v>
      </c>
      <c r="BQ146" s="75">
        <f t="shared" si="71"/>
        <v>0</v>
      </c>
      <c r="BR146" s="75">
        <v>0</v>
      </c>
      <c r="BS146" s="75">
        <f t="shared" si="72"/>
        <v>0</v>
      </c>
      <c r="BT146" s="75">
        <f>(BS146-BS145)*INDEX('[1]功能-付费相关'!$AT$6:$AT$165,$CY146,1)+BT145</f>
        <v>0</v>
      </c>
      <c r="BV146" s="147">
        <v>60</v>
      </c>
      <c r="BW146" s="147">
        <f t="shared" si="73"/>
        <v>0</v>
      </c>
      <c r="BX146" s="147">
        <f t="shared" si="64"/>
        <v>0</v>
      </c>
      <c r="BY146" s="84">
        <f t="shared" si="74"/>
        <v>0</v>
      </c>
      <c r="CD146" s="161">
        <v>141</v>
      </c>
      <c r="CE146" s="161">
        <f t="shared" si="59"/>
        <v>2232000</v>
      </c>
      <c r="CF146" s="161">
        <f t="shared" si="60"/>
        <v>2232000</v>
      </c>
      <c r="CG146" s="161">
        <f t="shared" si="61"/>
        <v>2232000</v>
      </c>
      <c r="CH146" s="161">
        <f t="shared" si="62"/>
        <v>2232000</v>
      </c>
      <c r="CI146" s="161">
        <f t="shared" si="63"/>
        <v>2232000</v>
      </c>
    </row>
    <row r="147" spans="19:87" x14ac:dyDescent="0.15">
      <c r="S147" s="46">
        <v>10</v>
      </c>
      <c r="T147" s="144">
        <v>70</v>
      </c>
      <c r="U147" s="147"/>
      <c r="V147" s="147"/>
      <c r="W147" s="147"/>
      <c r="X147" s="147"/>
      <c r="Y147" s="43">
        <f>求节点($G$37:$G$62,$I$37:$I$62,节奏预期!$AB99)</f>
        <v>4.5</v>
      </c>
      <c r="Z147" s="147"/>
      <c r="AA147" s="147"/>
      <c r="AB147" s="147"/>
      <c r="AC147" s="147"/>
      <c r="AD147" s="43">
        <f>求节点($G$37:$G$62,$J$37:$J$62,节奏预期!$AB99)*3</f>
        <v>7500</v>
      </c>
      <c r="AE147" s="146"/>
      <c r="AF147" s="146"/>
      <c r="AG147" s="146"/>
      <c r="AH147" s="146"/>
      <c r="AI147" s="43">
        <f>求节点($G$37:$G$62,$K$37:$K$62,节奏预期!$AB99)*3</f>
        <v>3375000</v>
      </c>
      <c r="AJ147" s="143"/>
      <c r="AK147" s="143"/>
      <c r="AL147" s="143"/>
      <c r="AM147" s="143"/>
      <c r="AN147" s="43">
        <f>求节点($G$37:$G$62,$O$37:$O$62,节奏预期!$AB99)</f>
        <v>540</v>
      </c>
      <c r="AO147" s="160"/>
      <c r="AP147" s="159"/>
      <c r="AQ147" s="159"/>
      <c r="AR147" s="159"/>
      <c r="AS147" s="43">
        <f t="shared" si="65"/>
        <v>540</v>
      </c>
      <c r="AT147" s="160"/>
      <c r="AU147" s="159"/>
      <c r="AV147" s="159"/>
      <c r="AW147" s="159"/>
      <c r="AX147" s="43">
        <f>求节点($G$37:$G$62,$P$37:$P$62,节奏预期!$AB99)*3</f>
        <v>9</v>
      </c>
      <c r="BB147" s="25">
        <v>9</v>
      </c>
      <c r="BC147" s="147">
        <v>70</v>
      </c>
      <c r="BD147" s="52">
        <f t="shared" si="66"/>
        <v>9</v>
      </c>
      <c r="BE147" s="52">
        <f t="shared" si="67"/>
        <v>540</v>
      </c>
      <c r="BF147" s="52">
        <f t="shared" si="68"/>
        <v>540</v>
      </c>
      <c r="BG147" s="109">
        <f>(BD147-BD146)*(INDEX([2]大r将兵属性验证!V$7:V$166,$BC147,1)+INDEX([2]大r将兵属性验证!$AP$7:$AP$166,$BC147,1))+BG146</f>
        <v>1771809707.2203503</v>
      </c>
      <c r="BH147" s="109">
        <f>($BE147-$BE146)*INDEX([2]大r将兵属性验证!W$7:W$166,$BC147,1)+BH146</f>
        <v>899958387.77126169</v>
      </c>
      <c r="BI147" s="109">
        <f>($BF147-$BF146)*INDEX([2]大r将兵属性验证!X$7:X$166,$BC147,1)+BI146</f>
        <v>899958387.77126169</v>
      </c>
      <c r="BJ147" s="52">
        <f t="shared" si="69"/>
        <v>3571726482.7628736</v>
      </c>
      <c r="BN147" s="147">
        <v>70</v>
      </c>
      <c r="BO147" s="75">
        <f t="shared" si="70"/>
        <v>45000</v>
      </c>
      <c r="BP147" s="164">
        <f>(BO147-BO146)*INDEX('[1]功能-付费相关'!$DG$6:$DG$165,$BN147,1)+BP146</f>
        <v>146347.06524859037</v>
      </c>
      <c r="BQ147" s="75">
        <f t="shared" si="71"/>
        <v>81</v>
      </c>
      <c r="BR147" s="75">
        <v>0</v>
      </c>
      <c r="BS147" s="75">
        <f t="shared" si="72"/>
        <v>20250000</v>
      </c>
      <c r="BT147" s="75">
        <f>(BS147-BS146)*INDEX('[1]功能-付费相关'!$AT$6:$AT$165,$CY147,1)+BT146</f>
        <v>13907.967032967033</v>
      </c>
      <c r="BV147" s="147">
        <v>70</v>
      </c>
      <c r="BW147" s="147">
        <f t="shared" si="73"/>
        <v>146347.06524859037</v>
      </c>
      <c r="BX147" s="147">
        <f t="shared" si="64"/>
        <v>13907.967032967033</v>
      </c>
      <c r="BY147" s="84">
        <f t="shared" si="74"/>
        <v>160255.03228155739</v>
      </c>
      <c r="CD147" s="161">
        <v>142</v>
      </c>
      <c r="CE147" s="161">
        <f t="shared" si="59"/>
        <v>2232000</v>
      </c>
      <c r="CF147" s="161">
        <f t="shared" si="60"/>
        <v>2232000</v>
      </c>
      <c r="CG147" s="161">
        <f t="shared" si="61"/>
        <v>2232000</v>
      </c>
      <c r="CH147" s="161">
        <f t="shared" si="62"/>
        <v>2232000</v>
      </c>
      <c r="CI147" s="161">
        <f t="shared" si="63"/>
        <v>2232000</v>
      </c>
    </row>
    <row r="148" spans="19:87" x14ac:dyDescent="0.15">
      <c r="S148" s="46">
        <v>11</v>
      </c>
      <c r="T148" s="144">
        <v>80</v>
      </c>
      <c r="U148" s="147"/>
      <c r="V148" s="147"/>
      <c r="W148" s="147"/>
      <c r="X148" s="147"/>
      <c r="Y148" s="43">
        <f>求节点($G$37:$G$62,$I$37:$I$62,节奏预期!$AB100)</f>
        <v>9</v>
      </c>
      <c r="Z148" s="147"/>
      <c r="AA148" s="147"/>
      <c r="AB148" s="147"/>
      <c r="AC148" s="147"/>
      <c r="AD148" s="43">
        <f>求节点($G$37:$G$62,$J$37:$J$62,节奏预期!$AB100)*3</f>
        <v>27000</v>
      </c>
      <c r="AE148" s="146"/>
      <c r="AF148" s="146"/>
      <c r="AG148" s="146"/>
      <c r="AH148" s="146"/>
      <c r="AI148" s="43">
        <f>求节点($G$37:$G$62,$K$37:$K$62,节奏预期!$AB100)*3</f>
        <v>9750000</v>
      </c>
      <c r="AJ148" s="143"/>
      <c r="AK148" s="143"/>
      <c r="AL148" s="143"/>
      <c r="AM148" s="143"/>
      <c r="AN148" s="43">
        <f>求节点($G$37:$G$62,$O$37:$O$62,节奏预期!$AB100)</f>
        <v>1080</v>
      </c>
      <c r="AO148" s="160"/>
      <c r="AP148" s="159"/>
      <c r="AQ148" s="159"/>
      <c r="AR148" s="159"/>
      <c r="AS148" s="43">
        <f t="shared" si="65"/>
        <v>1080</v>
      </c>
      <c r="AT148" s="160"/>
      <c r="AU148" s="159"/>
      <c r="AV148" s="159"/>
      <c r="AW148" s="159"/>
      <c r="AX148" s="43">
        <f>求节点($G$37:$G$62,$P$37:$P$62,节奏预期!$AB100)*3</f>
        <v>18</v>
      </c>
      <c r="BB148" s="25">
        <v>10</v>
      </c>
      <c r="BC148" s="147">
        <v>80</v>
      </c>
      <c r="BD148" s="52">
        <f t="shared" si="66"/>
        <v>18</v>
      </c>
      <c r="BE148" s="52">
        <f t="shared" si="67"/>
        <v>1080</v>
      </c>
      <c r="BF148" s="52">
        <f t="shared" si="68"/>
        <v>1080</v>
      </c>
      <c r="BG148" s="109">
        <f>(BD148-BD147)*(INDEX([2]大r将兵属性验证!V$7:V$166,$BC148,1)+INDEX([2]大r将兵属性验证!$AP$7:$AP$166,$BC148,1))+BG147</f>
        <v>6537213160.4324131</v>
      </c>
      <c r="BH148" s="109">
        <f>($BE148-$BE147)*INDEX([2]大r将兵属性验证!W$7:W$166,$BC148,1)+BH147</f>
        <v>2878597327.3790455</v>
      </c>
      <c r="BI148" s="109">
        <f>($BF148-$BF147)*INDEX([2]大r将兵属性验证!X$7:X$166,$BC148,1)+BI147</f>
        <v>2878597327.3790455</v>
      </c>
      <c r="BJ148" s="52">
        <f t="shared" si="69"/>
        <v>12294407815.190504</v>
      </c>
      <c r="BN148" s="147">
        <v>80</v>
      </c>
      <c r="BO148" s="75">
        <f t="shared" si="70"/>
        <v>162000</v>
      </c>
      <c r="BP148" s="164">
        <f>(BO148-BO147)*INDEX('[1]功能-付费相关'!$DG$6:$DG$165,$BN148,1)+BP147</f>
        <v>429476.56310621253</v>
      </c>
      <c r="BQ148" s="75">
        <f t="shared" si="71"/>
        <v>162</v>
      </c>
      <c r="BR148" s="75">
        <v>0</v>
      </c>
      <c r="BS148" s="75">
        <f t="shared" si="72"/>
        <v>58500000</v>
      </c>
      <c r="BT148" s="75">
        <f>(BS148-BS147)*INDEX('[1]功能-付费相关'!$AT$6:$AT$165,$CY148,1)+BT147</f>
        <v>40035.016213294904</v>
      </c>
      <c r="BV148" s="147">
        <v>80</v>
      </c>
      <c r="BW148" s="147">
        <f t="shared" si="73"/>
        <v>429476.56310621253</v>
      </c>
      <c r="BX148" s="147">
        <f t="shared" si="64"/>
        <v>40035.016213294904</v>
      </c>
      <c r="BY148" s="84">
        <f t="shared" si="74"/>
        <v>469511.57931950747</v>
      </c>
      <c r="CD148" s="161">
        <v>143</v>
      </c>
      <c r="CE148" s="161">
        <f t="shared" si="59"/>
        <v>2232000</v>
      </c>
      <c r="CF148" s="161">
        <f t="shared" si="60"/>
        <v>2232000</v>
      </c>
      <c r="CG148" s="161">
        <f t="shared" si="61"/>
        <v>2232000</v>
      </c>
      <c r="CH148" s="161">
        <f t="shared" si="62"/>
        <v>2232000</v>
      </c>
      <c r="CI148" s="161">
        <f t="shared" si="63"/>
        <v>2232000</v>
      </c>
    </row>
    <row r="149" spans="19:87" x14ac:dyDescent="0.15">
      <c r="S149" s="46">
        <v>12</v>
      </c>
      <c r="T149" s="144">
        <v>90</v>
      </c>
      <c r="U149" s="147"/>
      <c r="V149" s="147"/>
      <c r="W149" s="147"/>
      <c r="X149" s="147"/>
      <c r="Y149" s="43">
        <f>求节点($G$37:$G$62,$I$37:$I$62,节奏预期!$AB101)</f>
        <v>26</v>
      </c>
      <c r="Z149" s="147"/>
      <c r="AA149" s="147"/>
      <c r="AB149" s="147"/>
      <c r="AC149" s="147"/>
      <c r="AD149" s="43">
        <f>求节点($G$37:$G$62,$J$37:$J$62,节奏预期!$AB101)*3</f>
        <v>117000</v>
      </c>
      <c r="AE149" s="146"/>
      <c r="AF149" s="146"/>
      <c r="AG149" s="146"/>
      <c r="AH149" s="146"/>
      <c r="AI149" s="43">
        <f>求节点($G$37:$G$62,$K$37:$K$62,节奏预期!$AB101)*3</f>
        <v>44250000</v>
      </c>
      <c r="AJ149" s="143"/>
      <c r="AK149" s="143"/>
      <c r="AL149" s="143"/>
      <c r="AM149" s="143"/>
      <c r="AN149" s="43">
        <f>求节点($G$37:$G$62,$O$37:$O$62,节奏预期!$AB101)</f>
        <v>2160</v>
      </c>
      <c r="AO149" s="160"/>
      <c r="AP149" s="159"/>
      <c r="AQ149" s="159"/>
      <c r="AR149" s="159"/>
      <c r="AS149" s="43">
        <f t="shared" si="65"/>
        <v>2160</v>
      </c>
      <c r="AT149" s="160"/>
      <c r="AU149" s="159"/>
      <c r="AV149" s="159"/>
      <c r="AW149" s="159"/>
      <c r="AX149" s="43">
        <f>求节点($G$37:$G$62,$P$37:$P$62,节奏预期!$AB101)*3</f>
        <v>35.999999999999986</v>
      </c>
      <c r="BB149" s="25">
        <v>11</v>
      </c>
      <c r="BC149" s="147">
        <v>90</v>
      </c>
      <c r="BD149" s="52">
        <f t="shared" si="66"/>
        <v>35.999999999999986</v>
      </c>
      <c r="BE149" s="52">
        <f t="shared" si="67"/>
        <v>2160</v>
      </c>
      <c r="BF149" s="52">
        <f t="shared" si="68"/>
        <v>2160</v>
      </c>
      <c r="BG149" s="109">
        <f>(BD149-BD148)*(INDEX([2]大r将兵属性验证!V$7:V$166,$BC149,1)+INDEX([2]大r将兵属性验证!$AP$7:$AP$166,$BC149,1))+BG148</f>
        <v>31302066692.529305</v>
      </c>
      <c r="BH149" s="109">
        <f>($BE149-$BE148)*INDEX([2]大r将兵属性验证!W$7:W$166,$BC149,1)+BH148</f>
        <v>11392397959.403286</v>
      </c>
      <c r="BI149" s="109">
        <f>($BF149-$BF148)*INDEX([2]大r将兵属性验证!X$7:X$166,$BC149,1)+BI148</f>
        <v>11392397959.403286</v>
      </c>
      <c r="BJ149" s="52">
        <f t="shared" si="69"/>
        <v>54086862611.335876</v>
      </c>
      <c r="BN149" s="147">
        <v>90</v>
      </c>
      <c r="BO149" s="75">
        <f t="shared" si="70"/>
        <v>702000</v>
      </c>
      <c r="BP149" s="164">
        <f>(BO149-BO148)*INDEX('[1]功能-付费相关'!$DG$6:$DG$165,$BN149,1)+BP148</f>
        <v>1401822.4237998524</v>
      </c>
      <c r="BQ149" s="75">
        <f t="shared" si="71"/>
        <v>468</v>
      </c>
      <c r="BR149" s="75">
        <v>0</v>
      </c>
      <c r="BS149" s="75">
        <f t="shared" si="72"/>
        <v>265500000</v>
      </c>
      <c r="BT149" s="75">
        <f>(BS149-BS148)*INDEX('[1]功能-付费相关'!$AT$6:$AT$165,$CY149,1)+BT148</f>
        <v>180660.0162132949</v>
      </c>
      <c r="BV149" s="147">
        <v>90</v>
      </c>
      <c r="BW149" s="147">
        <f t="shared" si="73"/>
        <v>1401822.4237998524</v>
      </c>
      <c r="BX149" s="147">
        <f t="shared" si="64"/>
        <v>180660.0162132949</v>
      </c>
      <c r="BY149" s="84">
        <f t="shared" si="74"/>
        <v>1582482.4400131472</v>
      </c>
      <c r="CD149" s="161">
        <v>144</v>
      </c>
      <c r="CE149" s="161">
        <f t="shared" si="59"/>
        <v>2232000</v>
      </c>
      <c r="CF149" s="161">
        <f t="shared" si="60"/>
        <v>2232000</v>
      </c>
      <c r="CG149" s="161">
        <f t="shared" si="61"/>
        <v>2232000</v>
      </c>
      <c r="CH149" s="161">
        <f t="shared" si="62"/>
        <v>2232000</v>
      </c>
      <c r="CI149" s="161">
        <f t="shared" si="63"/>
        <v>2232000</v>
      </c>
    </row>
    <row r="150" spans="19:87" x14ac:dyDescent="0.15">
      <c r="S150" s="46">
        <v>13</v>
      </c>
      <c r="T150" s="144">
        <v>100</v>
      </c>
      <c r="U150" s="147"/>
      <c r="V150" s="147"/>
      <c r="W150" s="147"/>
      <c r="X150" s="147"/>
      <c r="Y150" s="43">
        <f>求节点($G$37:$G$62,$I$37:$I$62,节奏预期!$AB102)</f>
        <v>45</v>
      </c>
      <c r="Z150" s="147"/>
      <c r="AA150" s="147"/>
      <c r="AB150" s="147"/>
      <c r="AC150" s="147"/>
      <c r="AD150" s="43">
        <f>求节点($G$37:$G$62,$J$37:$J$62,节奏预期!$AB102)*3</f>
        <v>372000</v>
      </c>
      <c r="AE150" s="146"/>
      <c r="AF150" s="146"/>
      <c r="AG150" s="146"/>
      <c r="AH150" s="146"/>
      <c r="AI150" s="43">
        <f>求节点($G$37:$G$62,$K$37:$K$62,节奏预期!$AB102)*3</f>
        <v>116250000</v>
      </c>
      <c r="AJ150" s="143"/>
      <c r="AK150" s="143"/>
      <c r="AL150" s="143"/>
      <c r="AM150" s="143"/>
      <c r="AN150" s="43">
        <f>求节点($G$37:$G$62,$O$37:$O$62,节奏预期!$AB102)</f>
        <v>3000</v>
      </c>
      <c r="AO150" s="160"/>
      <c r="AP150" s="159"/>
      <c r="AQ150" s="159"/>
      <c r="AR150" s="159"/>
      <c r="AS150" s="43">
        <f t="shared" si="65"/>
        <v>3000</v>
      </c>
      <c r="AT150" s="160"/>
      <c r="AU150" s="159"/>
      <c r="AV150" s="159"/>
      <c r="AW150" s="159"/>
      <c r="AX150" s="43">
        <f>求节点($G$37:$G$62,$P$37:$P$62,节奏预期!$AB102)*3</f>
        <v>49.999999999999986</v>
      </c>
      <c r="BB150" s="25">
        <v>12</v>
      </c>
      <c r="BC150" s="147">
        <v>100</v>
      </c>
      <c r="BD150" s="52">
        <f t="shared" si="66"/>
        <v>49.999999999999986</v>
      </c>
      <c r="BE150" s="52">
        <f t="shared" si="67"/>
        <v>3000</v>
      </c>
      <c r="BF150" s="52">
        <f t="shared" si="68"/>
        <v>3000</v>
      </c>
      <c r="BG150" s="109">
        <f>(BD150-BD149)*(INDEX([2]大r将兵属性验证!V$7:V$166,$BC150,1)+INDEX([2]大r将兵属性验证!$AP$7:$AP$166,$BC150,1))+BG149</f>
        <v>73050493972.926666</v>
      </c>
      <c r="BH150" s="109">
        <f>($BE150-$BE149)*INDEX([2]大r将兵属性验证!W$7:W$166,$BC150,1)+BH149</f>
        <v>21307070773.749825</v>
      </c>
      <c r="BI150" s="109">
        <f>($BF150-$BF149)*INDEX([2]大r将兵属性验证!X$7:X$166,$BC150,1)+BI149</f>
        <v>21307070773.749825</v>
      </c>
      <c r="BJ150" s="52">
        <f t="shared" si="69"/>
        <v>115664635520.4263</v>
      </c>
      <c r="BN150" s="147">
        <v>100</v>
      </c>
      <c r="BO150" s="75">
        <f t="shared" si="70"/>
        <v>2232000</v>
      </c>
      <c r="BP150" s="164">
        <f>(BO150-BO149)*INDEX('[1]功能-付费相关'!$DG$6:$DG$165,$BN150,1)+BP149</f>
        <v>3451786.2317984607</v>
      </c>
      <c r="BQ150" s="75">
        <f t="shared" si="71"/>
        <v>810</v>
      </c>
      <c r="BR150" s="75">
        <v>0</v>
      </c>
      <c r="BS150" s="75">
        <f t="shared" si="72"/>
        <v>697500000</v>
      </c>
      <c r="BT150" s="75">
        <f>(BS150-BS149)*INDEX('[1]功能-付费相关'!$AT$6:$AT$165,$CY150,1)+BT149</f>
        <v>472551.90810518677</v>
      </c>
      <c r="BV150" s="147">
        <v>100</v>
      </c>
      <c r="BW150" s="147">
        <f t="shared" si="73"/>
        <v>3451786.2317984607</v>
      </c>
      <c r="BX150" s="147">
        <f t="shared" si="64"/>
        <v>472551.90810518677</v>
      </c>
      <c r="BY150" s="84">
        <f t="shared" si="74"/>
        <v>3924338.1399036474</v>
      </c>
      <c r="CD150" s="161">
        <v>145</v>
      </c>
      <c r="CE150" s="161">
        <f t="shared" si="59"/>
        <v>2232000</v>
      </c>
      <c r="CF150" s="161">
        <f t="shared" si="60"/>
        <v>2232000</v>
      </c>
      <c r="CG150" s="161">
        <f t="shared" si="61"/>
        <v>2232000</v>
      </c>
      <c r="CH150" s="161">
        <f t="shared" si="62"/>
        <v>2232000</v>
      </c>
      <c r="CI150" s="161">
        <f t="shared" si="63"/>
        <v>2232000</v>
      </c>
    </row>
    <row r="151" spans="19:87" x14ac:dyDescent="0.15">
      <c r="S151" s="46">
        <v>14</v>
      </c>
      <c r="T151" s="144">
        <v>110</v>
      </c>
      <c r="U151" s="147"/>
      <c r="V151" s="147"/>
      <c r="W151" s="147"/>
      <c r="X151" s="147"/>
      <c r="Y151" s="43">
        <f>求节点($G$37:$G$62,$I$37:$I$62,节奏预期!$AB103)</f>
        <v>45</v>
      </c>
      <c r="Z151" s="147"/>
      <c r="AA151" s="147"/>
      <c r="AB151" s="147"/>
      <c r="AC151" s="147"/>
      <c r="AD151" s="43">
        <f>求节点($G$37:$G$62,$J$37:$J$62,节奏预期!$AB103)*3</f>
        <v>372000</v>
      </c>
      <c r="AE151" s="146"/>
      <c r="AF151" s="146"/>
      <c r="AG151" s="146"/>
      <c r="AH151" s="146"/>
      <c r="AI151" s="43">
        <f>求节点($G$37:$G$62,$K$37:$K$62,节奏预期!$AB103)*3</f>
        <v>116250000</v>
      </c>
      <c r="AJ151" s="143"/>
      <c r="AK151" s="143"/>
      <c r="AL151" s="143"/>
      <c r="AM151" s="143"/>
      <c r="AN151" s="43">
        <f>求节点($G$37:$G$62,$O$37:$O$62,节奏预期!$AB103)</f>
        <v>3000</v>
      </c>
      <c r="AO151" s="160"/>
      <c r="AP151" s="159"/>
      <c r="AQ151" s="159"/>
      <c r="AR151" s="159"/>
      <c r="AS151" s="43">
        <f t="shared" si="65"/>
        <v>3000</v>
      </c>
      <c r="AT151" s="160"/>
      <c r="AU151" s="159"/>
      <c r="AV151" s="159"/>
      <c r="AW151" s="159"/>
      <c r="AX151" s="43">
        <f>求节点($G$37:$G$62,$P$37:$P$62,节奏预期!$AB103)*3</f>
        <v>49.999999999999986</v>
      </c>
      <c r="BB151" s="25">
        <v>13</v>
      </c>
      <c r="BC151" s="147">
        <v>110</v>
      </c>
      <c r="BD151" s="52">
        <f t="shared" si="66"/>
        <v>49.999999999999986</v>
      </c>
      <c r="BE151" s="52">
        <f t="shared" si="67"/>
        <v>3000</v>
      </c>
      <c r="BF151" s="52">
        <f t="shared" si="68"/>
        <v>3000</v>
      </c>
      <c r="BG151" s="109">
        <f>(BD151-BD150)*(INDEX([2]大r将兵属性验证!V$7:V$166,$BC151,1)+INDEX([2]大r将兵属性验证!$AP$7:$AP$166,$BC151,1))+BG150</f>
        <v>73050493972.926666</v>
      </c>
      <c r="BH151" s="109">
        <f>($BE151-$BE150)*INDEX([2]大r将兵属性验证!W$7:W$166,$BC151,1)+BH150</f>
        <v>21307070773.749825</v>
      </c>
      <c r="BI151" s="109">
        <f>($BF151-$BF150)*INDEX([2]大r将兵属性验证!X$7:X$166,$BC151,1)+BI150</f>
        <v>21307070773.749825</v>
      </c>
      <c r="BJ151" s="52">
        <f t="shared" si="69"/>
        <v>115664635520.4263</v>
      </c>
      <c r="BN151" s="147">
        <v>110</v>
      </c>
      <c r="BO151" s="75">
        <f t="shared" si="70"/>
        <v>2232000</v>
      </c>
      <c r="BP151" s="164">
        <f>(BO151-BO150)*INDEX('[1]功能-付费相关'!$DG$6:$DG$165,$BN151,1)+BP150</f>
        <v>3451786.2317984607</v>
      </c>
      <c r="BQ151" s="75">
        <f t="shared" si="71"/>
        <v>810</v>
      </c>
      <c r="BR151" s="75">
        <v>0</v>
      </c>
      <c r="BS151" s="75">
        <f t="shared" si="72"/>
        <v>697500000</v>
      </c>
      <c r="BT151" s="75">
        <f>(BS151-BS150)*INDEX('[1]功能-付费相关'!$AT$6:$AT$165,$CY151,1)+BT150</f>
        <v>472551.90810518677</v>
      </c>
      <c r="BV151" s="147">
        <v>110</v>
      </c>
      <c r="BW151" s="147">
        <f t="shared" si="73"/>
        <v>3451786.2317984607</v>
      </c>
      <c r="BX151" s="147">
        <f t="shared" si="64"/>
        <v>472551.90810518677</v>
      </c>
      <c r="BY151" s="84">
        <f t="shared" si="74"/>
        <v>3924338.1399036474</v>
      </c>
      <c r="CD151" s="161">
        <v>146</v>
      </c>
      <c r="CE151" s="161">
        <f t="shared" si="59"/>
        <v>2232000</v>
      </c>
      <c r="CF151" s="161">
        <f t="shared" si="60"/>
        <v>2232000</v>
      </c>
      <c r="CG151" s="161">
        <f t="shared" si="61"/>
        <v>2232000</v>
      </c>
      <c r="CH151" s="161">
        <f t="shared" si="62"/>
        <v>2232000</v>
      </c>
      <c r="CI151" s="161">
        <f t="shared" si="63"/>
        <v>2232000</v>
      </c>
    </row>
    <row r="152" spans="19:87" x14ac:dyDescent="0.15">
      <c r="S152" s="46">
        <v>15</v>
      </c>
      <c r="T152" s="144">
        <v>120</v>
      </c>
      <c r="U152" s="147"/>
      <c r="V152" s="147"/>
      <c r="W152" s="147"/>
      <c r="X152" s="147"/>
      <c r="Y152" s="43">
        <f>求节点($G$37:$G$62,$I$37:$I$62,节奏预期!$AB104)</f>
        <v>45</v>
      </c>
      <c r="Z152" s="147"/>
      <c r="AA152" s="147"/>
      <c r="AB152" s="147"/>
      <c r="AC152" s="147"/>
      <c r="AD152" s="43">
        <f>求节点($G$37:$G$62,$J$37:$J$62,节奏预期!$AB104)*3</f>
        <v>372000</v>
      </c>
      <c r="AE152" s="146"/>
      <c r="AF152" s="146"/>
      <c r="AG152" s="146"/>
      <c r="AH152" s="146"/>
      <c r="AI152" s="43">
        <f>求节点($G$37:$G$62,$K$37:$K$62,节奏预期!$AB104)*3</f>
        <v>116250000</v>
      </c>
      <c r="AJ152" s="143"/>
      <c r="AK152" s="143"/>
      <c r="AL152" s="143"/>
      <c r="AM152" s="143"/>
      <c r="AN152" s="43">
        <f>求节点($G$37:$G$62,$O$37:$O$62,节奏预期!$AB104)</f>
        <v>3000</v>
      </c>
      <c r="AO152" s="160"/>
      <c r="AP152" s="159"/>
      <c r="AQ152" s="159"/>
      <c r="AR152" s="159"/>
      <c r="AS152" s="43">
        <f t="shared" si="65"/>
        <v>3000</v>
      </c>
      <c r="AT152" s="160"/>
      <c r="AU152" s="159"/>
      <c r="AV152" s="159"/>
      <c r="AW152" s="159"/>
      <c r="AX152" s="43">
        <f>求节点($G$37:$G$62,$P$37:$P$62,节奏预期!$AB104)*3</f>
        <v>49.999999999999986</v>
      </c>
      <c r="BB152" s="25">
        <v>14</v>
      </c>
      <c r="BC152" s="147">
        <v>120</v>
      </c>
      <c r="BD152" s="52">
        <f t="shared" si="66"/>
        <v>49.999999999999986</v>
      </c>
      <c r="BE152" s="52">
        <f t="shared" si="67"/>
        <v>3000</v>
      </c>
      <c r="BF152" s="52">
        <f t="shared" si="68"/>
        <v>3000</v>
      </c>
      <c r="BG152" s="109">
        <f>(BD152-BD151)*(INDEX([2]大r将兵属性验证!V$7:V$166,$BC152,1)+INDEX([2]大r将兵属性验证!$AP$7:$AP$166,$BC152,1))+BG151</f>
        <v>73050493972.926666</v>
      </c>
      <c r="BH152" s="109">
        <f>($BE152-$BE151)*INDEX([2]大r将兵属性验证!W$7:W$166,$BC152,1)+BH151</f>
        <v>21307070773.749825</v>
      </c>
      <c r="BI152" s="109">
        <f>($BF152-$BF151)*INDEX([2]大r将兵属性验证!X$7:X$166,$BC152,1)+BI151</f>
        <v>21307070773.749825</v>
      </c>
      <c r="BJ152" s="52">
        <f t="shared" si="69"/>
        <v>115664635520.4263</v>
      </c>
      <c r="BN152" s="147">
        <v>120</v>
      </c>
      <c r="BO152" s="75">
        <f t="shared" si="70"/>
        <v>2232000</v>
      </c>
      <c r="BP152" s="164">
        <f>(BO152-BO151)*INDEX('[1]功能-付费相关'!$DG$6:$DG$165,$BN152,1)+BP151</f>
        <v>3451786.2317984607</v>
      </c>
      <c r="BQ152" s="75">
        <f t="shared" si="71"/>
        <v>810</v>
      </c>
      <c r="BR152" s="75">
        <v>0</v>
      </c>
      <c r="BS152" s="75">
        <f t="shared" si="72"/>
        <v>697500000</v>
      </c>
      <c r="BT152" s="75">
        <f>(BS152-BS151)*INDEX('[1]功能-付费相关'!$AT$6:$AT$165,$CY152,1)+BT151</f>
        <v>472551.90810518677</v>
      </c>
      <c r="BV152" s="147">
        <v>120</v>
      </c>
      <c r="BW152" s="147">
        <f t="shared" si="73"/>
        <v>3451786.2317984607</v>
      </c>
      <c r="BX152" s="147">
        <f t="shared" si="64"/>
        <v>472551.90810518677</v>
      </c>
      <c r="BY152" s="84">
        <f t="shared" si="74"/>
        <v>3924338.1399036474</v>
      </c>
      <c r="CD152" s="161">
        <v>147</v>
      </c>
      <c r="CE152" s="161">
        <f t="shared" si="59"/>
        <v>2232000</v>
      </c>
      <c r="CF152" s="161">
        <f t="shared" si="60"/>
        <v>2232000</v>
      </c>
      <c r="CG152" s="161">
        <f t="shared" si="61"/>
        <v>2232000</v>
      </c>
      <c r="CH152" s="161">
        <f t="shared" si="62"/>
        <v>2232000</v>
      </c>
      <c r="CI152" s="161">
        <f t="shared" si="63"/>
        <v>2232000</v>
      </c>
    </row>
    <row r="153" spans="19:87" x14ac:dyDescent="0.15">
      <c r="S153" s="46">
        <v>16</v>
      </c>
      <c r="T153" s="144">
        <v>130</v>
      </c>
      <c r="U153" s="147"/>
      <c r="V153" s="147"/>
      <c r="W153" s="147"/>
      <c r="X153" s="147"/>
      <c r="Y153" s="43">
        <f>求节点($G$37:$G$62,$I$37:$I$62,节奏预期!$AB105)</f>
        <v>45</v>
      </c>
      <c r="Z153" s="147"/>
      <c r="AA153" s="147"/>
      <c r="AB153" s="147"/>
      <c r="AC153" s="147"/>
      <c r="AD153" s="43">
        <f>求节点($G$37:$G$62,$J$37:$J$62,节奏预期!$AB105)*3</f>
        <v>372000</v>
      </c>
      <c r="AE153" s="146"/>
      <c r="AF153" s="146"/>
      <c r="AG153" s="146"/>
      <c r="AH153" s="146"/>
      <c r="AI153" s="43">
        <f>求节点($G$37:$G$62,$K$37:$K$62,节奏预期!$AB105)*3</f>
        <v>116250000</v>
      </c>
      <c r="AJ153" s="143"/>
      <c r="AK153" s="143"/>
      <c r="AL153" s="143"/>
      <c r="AM153" s="143"/>
      <c r="AN153" s="43">
        <f>求节点($G$37:$G$62,$O$37:$O$62,节奏预期!$AB105)</f>
        <v>3000</v>
      </c>
      <c r="AO153" s="160"/>
      <c r="AP153" s="159"/>
      <c r="AQ153" s="159"/>
      <c r="AR153" s="159"/>
      <c r="AS153" s="43">
        <f t="shared" si="65"/>
        <v>3000</v>
      </c>
      <c r="AT153" s="160"/>
      <c r="AU153" s="159"/>
      <c r="AV153" s="159"/>
      <c r="AW153" s="159"/>
      <c r="AX153" s="43">
        <f>求节点($G$37:$G$62,$P$37:$P$62,节奏预期!$AB105)*3</f>
        <v>49.999999999999986</v>
      </c>
      <c r="BB153" s="25">
        <v>15</v>
      </c>
      <c r="BC153" s="147">
        <v>130</v>
      </c>
      <c r="BD153" s="52">
        <f t="shared" si="66"/>
        <v>49.999999999999986</v>
      </c>
      <c r="BE153" s="52">
        <f t="shared" si="67"/>
        <v>3000</v>
      </c>
      <c r="BF153" s="52">
        <f t="shared" si="68"/>
        <v>3000</v>
      </c>
      <c r="BG153" s="109">
        <f>(BD153-BD152)*(INDEX([2]大r将兵属性验证!V$7:V$166,$BC153,1)+INDEX([2]大r将兵属性验证!$AP$7:$AP$166,$BC153,1))+BG152</f>
        <v>73050493972.926666</v>
      </c>
      <c r="BH153" s="109">
        <f>($BE153-$BE152)*INDEX([2]大r将兵属性验证!W$7:W$166,$BC153,1)+BH152</f>
        <v>21307070773.749825</v>
      </c>
      <c r="BI153" s="109">
        <f>($BF153-$BF152)*INDEX([2]大r将兵属性验证!X$7:X$166,$BC153,1)+BI152</f>
        <v>21307070773.749825</v>
      </c>
      <c r="BJ153" s="52">
        <f t="shared" si="69"/>
        <v>115664635520.4263</v>
      </c>
      <c r="BN153" s="147">
        <v>130</v>
      </c>
      <c r="BO153" s="75">
        <f t="shared" si="70"/>
        <v>2232000</v>
      </c>
      <c r="BP153" s="164">
        <f>(BO153-BO152)*INDEX('[1]功能-付费相关'!$DG$6:$DG$165,$BN153,1)+BP152</f>
        <v>3451786.2317984607</v>
      </c>
      <c r="BQ153" s="75">
        <f t="shared" si="71"/>
        <v>810</v>
      </c>
      <c r="BR153" s="75">
        <v>0</v>
      </c>
      <c r="BS153" s="75">
        <f t="shared" si="72"/>
        <v>697500000</v>
      </c>
      <c r="BT153" s="75">
        <f>(BS153-BS152)*INDEX('[1]功能-付费相关'!$AT$6:$AT$165,$CY153,1)+BT152</f>
        <v>472551.90810518677</v>
      </c>
      <c r="BV153" s="147">
        <v>130</v>
      </c>
      <c r="BW153" s="147">
        <f t="shared" si="73"/>
        <v>3451786.2317984607</v>
      </c>
      <c r="BX153" s="147">
        <f t="shared" si="64"/>
        <v>472551.90810518677</v>
      </c>
      <c r="BY153" s="84">
        <f t="shared" si="74"/>
        <v>3924338.1399036474</v>
      </c>
      <c r="CD153" s="161">
        <v>148</v>
      </c>
      <c r="CE153" s="161">
        <f t="shared" si="59"/>
        <v>2232000</v>
      </c>
      <c r="CF153" s="161">
        <f t="shared" si="60"/>
        <v>2232000</v>
      </c>
      <c r="CG153" s="161">
        <f t="shared" si="61"/>
        <v>2232000</v>
      </c>
      <c r="CH153" s="161">
        <f t="shared" si="62"/>
        <v>2232000</v>
      </c>
      <c r="CI153" s="161">
        <f t="shared" si="63"/>
        <v>2232000</v>
      </c>
    </row>
    <row r="154" spans="19:87" x14ac:dyDescent="0.15">
      <c r="S154" s="46">
        <v>17</v>
      </c>
      <c r="T154" s="144">
        <v>140</v>
      </c>
      <c r="U154" s="147"/>
      <c r="V154" s="147"/>
      <c r="W154" s="147"/>
      <c r="X154" s="147"/>
      <c r="Y154" s="43">
        <f>求节点($G$37:$G$62,$I$37:$I$62,节奏预期!$AB106)</f>
        <v>45</v>
      </c>
      <c r="Z154" s="147"/>
      <c r="AA154" s="147"/>
      <c r="AB154" s="147"/>
      <c r="AC154" s="147"/>
      <c r="AD154" s="43">
        <f>求节点($G$37:$G$62,$J$37:$J$62,节奏预期!$AB106)*3</f>
        <v>372000</v>
      </c>
      <c r="AE154" s="146"/>
      <c r="AF154" s="146"/>
      <c r="AG154" s="146"/>
      <c r="AH154" s="146"/>
      <c r="AI154" s="43">
        <f>求节点($G$37:$G$62,$K$37:$K$62,节奏预期!$AB106)*3</f>
        <v>116250000</v>
      </c>
      <c r="AJ154" s="143"/>
      <c r="AK154" s="143"/>
      <c r="AL154" s="143"/>
      <c r="AM154" s="143"/>
      <c r="AN154" s="43">
        <f>求节点($G$37:$G$62,$O$37:$O$62,节奏预期!$AB106)</f>
        <v>3000</v>
      </c>
      <c r="AO154" s="160"/>
      <c r="AP154" s="159"/>
      <c r="AQ154" s="159"/>
      <c r="AR154" s="159"/>
      <c r="AS154" s="43">
        <f t="shared" si="65"/>
        <v>3000</v>
      </c>
      <c r="AT154" s="160"/>
      <c r="AU154" s="159"/>
      <c r="AV154" s="159"/>
      <c r="AW154" s="159"/>
      <c r="AX154" s="43">
        <f>求节点($G$37:$G$62,$P$37:$P$62,节奏预期!$AB106)*3</f>
        <v>49.999999999999986</v>
      </c>
      <c r="BB154" s="25">
        <v>16</v>
      </c>
      <c r="BC154" s="147">
        <v>140</v>
      </c>
      <c r="BD154" s="52">
        <f t="shared" si="66"/>
        <v>49.999999999999986</v>
      </c>
      <c r="BE154" s="52">
        <f t="shared" si="67"/>
        <v>3000</v>
      </c>
      <c r="BF154" s="52">
        <f t="shared" si="68"/>
        <v>3000</v>
      </c>
      <c r="BG154" s="109">
        <f>(BD154-BD153)*(INDEX([2]大r将兵属性验证!V$7:V$166,$BC154,1)+INDEX([2]大r将兵属性验证!$AP$7:$AP$166,$BC154,1))+BG153</f>
        <v>73050493972.926666</v>
      </c>
      <c r="BH154" s="109">
        <f>($BE154-$BE153)*INDEX([2]大r将兵属性验证!W$7:W$166,$BC154,1)+BH153</f>
        <v>21307070773.749825</v>
      </c>
      <c r="BI154" s="109">
        <f>($BF154-$BF153)*INDEX([2]大r将兵属性验证!X$7:X$166,$BC154,1)+BI153</f>
        <v>21307070773.749825</v>
      </c>
      <c r="BJ154" s="52">
        <f t="shared" si="69"/>
        <v>115664635520.4263</v>
      </c>
      <c r="BN154" s="147">
        <v>140</v>
      </c>
      <c r="BO154" s="75">
        <f t="shared" si="70"/>
        <v>2232000</v>
      </c>
      <c r="BP154" s="164">
        <f>(BO154-BO153)*INDEX('[1]功能-付费相关'!$DG$6:$DG$165,$BN154,1)+BP153</f>
        <v>3451786.2317984607</v>
      </c>
      <c r="BQ154" s="75">
        <f t="shared" si="71"/>
        <v>810</v>
      </c>
      <c r="BR154" s="75">
        <v>0</v>
      </c>
      <c r="BS154" s="75">
        <f t="shared" si="72"/>
        <v>697500000</v>
      </c>
      <c r="BT154" s="75">
        <f>(BS154-BS153)*INDEX('[1]功能-付费相关'!$AT$6:$AT$165,$CY154,1)+BT153</f>
        <v>472551.90810518677</v>
      </c>
      <c r="BV154" s="147">
        <v>140</v>
      </c>
      <c r="BW154" s="147">
        <f t="shared" si="73"/>
        <v>3451786.2317984607</v>
      </c>
      <c r="BX154" s="147">
        <f t="shared" si="64"/>
        <v>472551.90810518677</v>
      </c>
      <c r="BY154" s="84">
        <f t="shared" si="74"/>
        <v>3924338.1399036474</v>
      </c>
      <c r="CD154" s="161">
        <v>149</v>
      </c>
      <c r="CE154" s="161">
        <f t="shared" si="59"/>
        <v>2232000</v>
      </c>
      <c r="CF154" s="161">
        <f t="shared" si="60"/>
        <v>2232000</v>
      </c>
      <c r="CG154" s="161">
        <f t="shared" si="61"/>
        <v>2232000</v>
      </c>
      <c r="CH154" s="161">
        <f t="shared" si="62"/>
        <v>2232000</v>
      </c>
      <c r="CI154" s="161">
        <f t="shared" si="63"/>
        <v>2232000</v>
      </c>
    </row>
    <row r="155" spans="19:87" x14ac:dyDescent="0.15">
      <c r="S155" s="46">
        <v>18</v>
      </c>
      <c r="T155" s="144">
        <v>150</v>
      </c>
      <c r="U155" s="147"/>
      <c r="V155" s="147"/>
      <c r="W155" s="147"/>
      <c r="X155" s="147"/>
      <c r="Y155" s="43">
        <f>求节点($G$37:$G$62,$I$37:$I$62,节奏预期!$AB107)</f>
        <v>45</v>
      </c>
      <c r="Z155" s="147"/>
      <c r="AA155" s="147"/>
      <c r="AB155" s="147"/>
      <c r="AC155" s="147"/>
      <c r="AD155" s="43">
        <f>求节点($G$37:$G$62,$J$37:$J$62,节奏预期!$AB107)*3</f>
        <v>372000</v>
      </c>
      <c r="AE155" s="146"/>
      <c r="AF155" s="146"/>
      <c r="AG155" s="146"/>
      <c r="AH155" s="146"/>
      <c r="AI155" s="43">
        <f>求节点($G$37:$G$62,$K$37:$K$62,节奏预期!$AB107)*3</f>
        <v>116250000</v>
      </c>
      <c r="AJ155" s="143"/>
      <c r="AK155" s="143"/>
      <c r="AL155" s="143"/>
      <c r="AM155" s="143"/>
      <c r="AN155" s="43">
        <f>求节点($G$37:$G$62,$O$37:$O$62,节奏预期!$AB107)</f>
        <v>3000</v>
      </c>
      <c r="AO155" s="160"/>
      <c r="AP155" s="159"/>
      <c r="AQ155" s="159"/>
      <c r="AR155" s="159"/>
      <c r="AS155" s="43">
        <f t="shared" si="65"/>
        <v>3000</v>
      </c>
      <c r="AT155" s="160"/>
      <c r="AU155" s="159"/>
      <c r="AV155" s="159"/>
      <c r="AW155" s="159"/>
      <c r="AX155" s="43">
        <f>求节点($G$37:$G$62,$P$37:$P$62,节奏预期!$AB107)*3</f>
        <v>49.999999999999986</v>
      </c>
      <c r="BB155" s="25">
        <v>17</v>
      </c>
      <c r="BC155" s="147">
        <v>150</v>
      </c>
      <c r="BD155" s="52">
        <f t="shared" si="66"/>
        <v>49.999999999999986</v>
      </c>
      <c r="BE155" s="52">
        <f t="shared" si="67"/>
        <v>3000</v>
      </c>
      <c r="BF155" s="52">
        <f t="shared" si="68"/>
        <v>3000</v>
      </c>
      <c r="BG155" s="109">
        <f>(BD155-BD154)*(INDEX([2]大r将兵属性验证!V$7:V$166,$BC155,1)+INDEX([2]大r将兵属性验证!$AP$7:$AP$166,$BC155,1))+BG154</f>
        <v>73050493972.926666</v>
      </c>
      <c r="BH155" s="109">
        <f>($BE155-$BE154)*INDEX([2]大r将兵属性验证!W$7:W$166,$BC155,1)+BH154</f>
        <v>21307070773.749825</v>
      </c>
      <c r="BI155" s="109">
        <f>($BF155-$BF154)*INDEX([2]大r将兵属性验证!X$7:X$166,$BC155,1)+BI154</f>
        <v>21307070773.749825</v>
      </c>
      <c r="BJ155" s="52">
        <f t="shared" si="69"/>
        <v>115664635520.4263</v>
      </c>
      <c r="BN155" s="147">
        <v>150</v>
      </c>
      <c r="BO155" s="75">
        <f t="shared" si="70"/>
        <v>2232000</v>
      </c>
      <c r="BP155" s="164">
        <f>(BO155-BO154)*INDEX('[1]功能-付费相关'!$DG$6:$DG$165,$BN155,1)+BP154</f>
        <v>3451786.2317984607</v>
      </c>
      <c r="BQ155" s="75">
        <f t="shared" si="71"/>
        <v>810</v>
      </c>
      <c r="BR155" s="75">
        <v>0</v>
      </c>
      <c r="BS155" s="75">
        <f t="shared" si="72"/>
        <v>697500000</v>
      </c>
      <c r="BT155" s="75">
        <f>(BS155-BS154)*INDEX('[1]功能-付费相关'!$AT$6:$AT$165,$CY155,1)+BT154</f>
        <v>472551.90810518677</v>
      </c>
      <c r="BV155" s="147">
        <v>150</v>
      </c>
      <c r="BW155" s="147">
        <f t="shared" si="73"/>
        <v>3451786.2317984607</v>
      </c>
      <c r="BX155" s="147">
        <f t="shared" si="64"/>
        <v>472551.90810518677</v>
      </c>
      <c r="BY155" s="84">
        <f t="shared" si="74"/>
        <v>3924338.1399036474</v>
      </c>
      <c r="CD155" s="161">
        <v>150</v>
      </c>
      <c r="CE155" s="161">
        <f t="shared" si="59"/>
        <v>2232000</v>
      </c>
      <c r="CF155" s="161">
        <f t="shared" si="60"/>
        <v>2232000</v>
      </c>
      <c r="CG155" s="161">
        <f t="shared" si="61"/>
        <v>2232000</v>
      </c>
      <c r="CH155" s="161">
        <f t="shared" si="62"/>
        <v>2232000</v>
      </c>
      <c r="CI155" s="161">
        <f t="shared" si="63"/>
        <v>2232000</v>
      </c>
    </row>
    <row r="156" spans="19:87" x14ac:dyDescent="0.15">
      <c r="S156" s="46">
        <v>19</v>
      </c>
      <c r="T156" s="144">
        <v>160</v>
      </c>
      <c r="U156" s="147"/>
      <c r="V156" s="147"/>
      <c r="W156" s="147"/>
      <c r="X156" s="147"/>
      <c r="Y156" s="43">
        <f>求节点($G$37:$G$62,$I$37:$I$62,节奏预期!$AB108)</f>
        <v>45</v>
      </c>
      <c r="Z156" s="147"/>
      <c r="AA156" s="147"/>
      <c r="AB156" s="147"/>
      <c r="AC156" s="147"/>
      <c r="AD156" s="43">
        <f>求节点($G$37:$G$62,$J$37:$J$62,节奏预期!$AB108)*3</f>
        <v>372000</v>
      </c>
      <c r="AE156" s="146"/>
      <c r="AF156" s="146"/>
      <c r="AG156" s="146"/>
      <c r="AH156" s="146"/>
      <c r="AI156" s="43">
        <f>求节点($G$37:$G$62,$K$37:$K$62,节奏预期!$AB108)*3</f>
        <v>116250000</v>
      </c>
      <c r="AJ156" s="143"/>
      <c r="AK156" s="143"/>
      <c r="AL156" s="143"/>
      <c r="AM156" s="143"/>
      <c r="AN156" s="43">
        <f>求节点($G$37:$G$62,$O$37:$O$62,节奏预期!$AB108)</f>
        <v>3000</v>
      </c>
      <c r="AO156" s="160"/>
      <c r="AP156" s="159"/>
      <c r="AQ156" s="159"/>
      <c r="AR156" s="159"/>
      <c r="AS156" s="43">
        <f t="shared" si="65"/>
        <v>3000</v>
      </c>
      <c r="AT156" s="160"/>
      <c r="AU156" s="159"/>
      <c r="AV156" s="159"/>
      <c r="AW156" s="159"/>
      <c r="AX156" s="43">
        <f>求节点($G$37:$G$62,$P$37:$P$62,节奏预期!$AB108)*3</f>
        <v>49.999999999999986</v>
      </c>
      <c r="BB156" s="25">
        <v>18</v>
      </c>
      <c r="BC156" s="147">
        <v>160</v>
      </c>
      <c r="BD156" s="52">
        <f t="shared" si="66"/>
        <v>49.999999999999986</v>
      </c>
      <c r="BE156" s="52">
        <f t="shared" si="67"/>
        <v>3000</v>
      </c>
      <c r="BF156" s="52">
        <f t="shared" si="68"/>
        <v>3000</v>
      </c>
      <c r="BG156" s="109">
        <f>(BD156-BD155)*(INDEX([2]大r将兵属性验证!V$7:V$166,$BC156,1)+INDEX([2]大r将兵属性验证!$AP$7:$AP$166,$BC156,1))+BG155</f>
        <v>73050493972.926666</v>
      </c>
      <c r="BH156" s="109">
        <f>($BE156-$BE155)*INDEX([2]大r将兵属性验证!W$7:W$166,$BC156,1)+BH155</f>
        <v>21307070773.749825</v>
      </c>
      <c r="BI156" s="109">
        <f>($BF156-$BF155)*INDEX([2]大r将兵属性验证!X$7:X$166,$BC156,1)+BI155</f>
        <v>21307070773.749825</v>
      </c>
      <c r="BJ156" s="52">
        <f t="shared" si="69"/>
        <v>115664635520.4263</v>
      </c>
      <c r="BN156" s="147">
        <v>160</v>
      </c>
      <c r="BO156" s="75">
        <f t="shared" si="70"/>
        <v>2232000</v>
      </c>
      <c r="BP156" s="164">
        <f>(BO156-BO155)*INDEX('[1]功能-付费相关'!$DG$6:$DG$165,$BN156,1)+BP155</f>
        <v>3451786.2317984607</v>
      </c>
      <c r="BQ156" s="75">
        <f t="shared" si="71"/>
        <v>810</v>
      </c>
      <c r="BR156" s="75">
        <v>0</v>
      </c>
      <c r="BS156" s="75">
        <f t="shared" si="72"/>
        <v>697500000</v>
      </c>
      <c r="BT156" s="75">
        <f>(BS156-BS155)*INDEX('[1]功能-付费相关'!$AT$6:$AT$165,$CY156,1)+BT155</f>
        <v>472551.90810518677</v>
      </c>
      <c r="BV156" s="147">
        <v>160</v>
      </c>
      <c r="BW156" s="147">
        <f t="shared" si="73"/>
        <v>3451786.2317984607</v>
      </c>
      <c r="BX156" s="147">
        <f t="shared" si="64"/>
        <v>472551.90810518677</v>
      </c>
      <c r="BY156" s="84">
        <f t="shared" si="74"/>
        <v>3924338.1399036474</v>
      </c>
      <c r="CD156" s="161">
        <v>151</v>
      </c>
      <c r="CE156" s="161">
        <f t="shared" si="59"/>
        <v>2232000</v>
      </c>
      <c r="CF156" s="161">
        <f t="shared" si="60"/>
        <v>2232000</v>
      </c>
      <c r="CG156" s="161">
        <f t="shared" si="61"/>
        <v>2232000</v>
      </c>
      <c r="CH156" s="161">
        <f t="shared" si="62"/>
        <v>2232000</v>
      </c>
      <c r="CI156" s="161">
        <f t="shared" si="63"/>
        <v>2232000</v>
      </c>
    </row>
    <row r="157" spans="19:87" x14ac:dyDescent="0.15">
      <c r="S157" s="46">
        <v>20</v>
      </c>
      <c r="T157" s="69"/>
      <c r="U157" s="36"/>
      <c r="V157" s="36"/>
      <c r="W157" s="36"/>
      <c r="X157" s="36"/>
      <c r="Y157" s="36"/>
      <c r="Z157" s="36"/>
      <c r="AA157" s="36"/>
      <c r="AB157" s="36"/>
      <c r="AC157" s="36"/>
      <c r="AD157" s="36"/>
      <c r="AE157" s="36"/>
      <c r="AF157" s="36"/>
      <c r="AG157" s="36"/>
      <c r="AH157" s="36"/>
      <c r="AI157" s="36"/>
      <c r="BB157" s="25">
        <v>19</v>
      </c>
      <c r="CD157" s="161">
        <v>152</v>
      </c>
      <c r="CE157" s="161">
        <f t="shared" si="59"/>
        <v>2232000</v>
      </c>
      <c r="CF157" s="161">
        <f t="shared" si="60"/>
        <v>2232000</v>
      </c>
      <c r="CG157" s="161">
        <f t="shared" si="61"/>
        <v>2232000</v>
      </c>
      <c r="CH157" s="161">
        <f t="shared" si="62"/>
        <v>2232000</v>
      </c>
      <c r="CI157" s="161">
        <f t="shared" si="63"/>
        <v>2232000</v>
      </c>
    </row>
    <row r="158" spans="19:87" x14ac:dyDescent="0.15">
      <c r="S158" s="46">
        <v>21</v>
      </c>
      <c r="T158" s="36"/>
      <c r="U158" s="36"/>
      <c r="V158" s="36"/>
      <c r="W158" s="36"/>
      <c r="X158" s="36"/>
      <c r="Y158" s="36"/>
      <c r="Z158" s="36"/>
      <c r="AA158" s="36"/>
      <c r="AB158" s="36"/>
      <c r="AC158" s="36"/>
      <c r="AD158" s="36"/>
      <c r="AE158" s="36"/>
      <c r="AF158" s="36"/>
      <c r="AG158" s="36"/>
      <c r="AH158" s="36"/>
      <c r="AI158" s="36"/>
      <c r="BB158" s="25">
        <v>20</v>
      </c>
      <c r="CD158" s="161">
        <v>153</v>
      </c>
      <c r="CE158" s="161">
        <f t="shared" si="59"/>
        <v>2232000</v>
      </c>
      <c r="CF158" s="161">
        <f t="shared" si="60"/>
        <v>2232000</v>
      </c>
      <c r="CG158" s="161">
        <f t="shared" si="61"/>
        <v>2232000</v>
      </c>
      <c r="CH158" s="161">
        <f t="shared" si="62"/>
        <v>2232000</v>
      </c>
      <c r="CI158" s="161">
        <f t="shared" si="63"/>
        <v>2232000</v>
      </c>
    </row>
    <row r="159" spans="19:87" x14ac:dyDescent="0.15">
      <c r="S159" s="46">
        <v>22</v>
      </c>
      <c r="T159" s="36"/>
      <c r="U159" s="36"/>
      <c r="V159" s="36"/>
      <c r="W159" s="36"/>
      <c r="X159" s="36"/>
      <c r="Y159" s="36"/>
      <c r="Z159" s="36"/>
      <c r="AA159" s="36"/>
      <c r="AB159" s="36"/>
      <c r="AC159" s="36"/>
      <c r="AD159" s="36"/>
      <c r="AE159" s="36"/>
      <c r="AF159" s="36"/>
      <c r="AG159" s="36"/>
      <c r="AH159" s="36"/>
      <c r="AI159" s="36"/>
      <c r="BB159" s="25">
        <v>21</v>
      </c>
      <c r="CD159" s="161">
        <v>154</v>
      </c>
      <c r="CE159" s="161">
        <f t="shared" si="59"/>
        <v>2232000</v>
      </c>
      <c r="CF159" s="161">
        <f t="shared" si="60"/>
        <v>2232000</v>
      </c>
      <c r="CG159" s="161">
        <f t="shared" si="61"/>
        <v>2232000</v>
      </c>
      <c r="CH159" s="161">
        <f t="shared" si="62"/>
        <v>2232000</v>
      </c>
      <c r="CI159" s="161">
        <f t="shared" si="63"/>
        <v>2232000</v>
      </c>
    </row>
    <row r="160" spans="19:87" x14ac:dyDescent="0.15">
      <c r="S160" s="46">
        <v>23</v>
      </c>
      <c r="T160" s="36"/>
      <c r="U160" s="36"/>
      <c r="V160" s="36"/>
      <c r="W160" s="36"/>
      <c r="X160" s="36"/>
      <c r="Y160" s="36"/>
      <c r="Z160" s="36"/>
      <c r="AA160" s="36"/>
      <c r="AB160" s="36"/>
      <c r="AC160" s="36"/>
      <c r="AD160" s="36"/>
      <c r="AE160" s="36"/>
      <c r="AF160" s="36"/>
      <c r="AG160" s="36"/>
      <c r="AH160" s="36"/>
      <c r="AI160" s="36"/>
      <c r="BB160" s="25">
        <v>22</v>
      </c>
      <c r="CD160" s="161">
        <v>155</v>
      </c>
      <c r="CE160" s="161">
        <f t="shared" si="59"/>
        <v>2232000</v>
      </c>
      <c r="CF160" s="161">
        <f t="shared" si="60"/>
        <v>2232000</v>
      </c>
      <c r="CG160" s="161">
        <f t="shared" si="61"/>
        <v>2232000</v>
      </c>
      <c r="CH160" s="161">
        <f t="shared" si="62"/>
        <v>2232000</v>
      </c>
      <c r="CI160" s="161">
        <f t="shared" si="63"/>
        <v>2232000</v>
      </c>
    </row>
    <row r="161" spans="19:87" x14ac:dyDescent="0.15">
      <c r="S161" s="46">
        <v>24</v>
      </c>
      <c r="T161" s="36"/>
      <c r="U161" s="36"/>
      <c r="V161" s="36"/>
      <c r="W161" s="36"/>
      <c r="X161" s="36"/>
      <c r="Y161" s="36"/>
      <c r="Z161" s="36"/>
      <c r="AA161" s="36"/>
      <c r="AB161" s="36"/>
      <c r="AC161" s="36"/>
      <c r="AD161" s="36"/>
      <c r="AE161" s="36"/>
      <c r="AF161" s="36"/>
      <c r="AG161" s="36"/>
      <c r="AH161" s="36"/>
      <c r="AI161" s="36"/>
      <c r="BB161" s="25">
        <v>23</v>
      </c>
      <c r="CD161" s="161">
        <v>156</v>
      </c>
      <c r="CE161" s="161">
        <f t="shared" si="59"/>
        <v>2232000</v>
      </c>
      <c r="CF161" s="161">
        <f t="shared" si="60"/>
        <v>2232000</v>
      </c>
      <c r="CG161" s="161">
        <f t="shared" si="61"/>
        <v>2232000</v>
      </c>
      <c r="CH161" s="161">
        <f t="shared" si="62"/>
        <v>2232000</v>
      </c>
      <c r="CI161" s="161">
        <f t="shared" si="63"/>
        <v>2232000</v>
      </c>
    </row>
    <row r="162" spans="19:87" x14ac:dyDescent="0.15">
      <c r="S162" s="46">
        <v>25</v>
      </c>
      <c r="T162" s="36"/>
      <c r="U162" s="36"/>
      <c r="V162" s="36"/>
      <c r="W162" s="36"/>
      <c r="X162" s="36"/>
      <c r="Y162" s="36"/>
      <c r="Z162" s="36"/>
      <c r="AA162" s="36"/>
      <c r="AB162" s="36"/>
      <c r="AC162" s="36"/>
      <c r="AD162" s="36"/>
      <c r="AE162" s="36"/>
      <c r="AF162" s="36"/>
      <c r="AG162" s="36"/>
      <c r="AH162" s="36"/>
      <c r="AI162" s="36"/>
      <c r="BB162" s="25">
        <v>24</v>
      </c>
      <c r="CD162" s="161">
        <v>157</v>
      </c>
      <c r="CE162" s="161">
        <f t="shared" si="59"/>
        <v>2232000</v>
      </c>
      <c r="CF162" s="161">
        <f t="shared" si="60"/>
        <v>2232000</v>
      </c>
      <c r="CG162" s="161">
        <f t="shared" si="61"/>
        <v>2232000</v>
      </c>
      <c r="CH162" s="161">
        <f t="shared" si="62"/>
        <v>2232000</v>
      </c>
      <c r="CI162" s="161">
        <f t="shared" si="63"/>
        <v>2232000</v>
      </c>
    </row>
    <row r="163" spans="19:87" x14ac:dyDescent="0.15">
      <c r="S163" s="46">
        <v>26</v>
      </c>
      <c r="T163" s="36"/>
      <c r="U163" s="36"/>
      <c r="V163" s="36"/>
      <c r="W163" s="36"/>
      <c r="X163" s="36"/>
      <c r="Y163" s="36"/>
      <c r="Z163" s="36"/>
      <c r="AA163" s="36"/>
      <c r="AB163" s="36"/>
      <c r="AC163" s="36"/>
      <c r="AD163" s="36"/>
      <c r="AE163" s="36"/>
      <c r="AF163" s="36"/>
      <c r="AG163" s="36"/>
      <c r="AH163" s="36"/>
      <c r="AI163" s="36"/>
      <c r="BB163" s="25">
        <v>25</v>
      </c>
      <c r="CD163" s="161">
        <v>158</v>
      </c>
      <c r="CE163" s="161">
        <f t="shared" si="59"/>
        <v>2232000</v>
      </c>
      <c r="CF163" s="161">
        <f t="shared" si="60"/>
        <v>2232000</v>
      </c>
      <c r="CG163" s="161">
        <f t="shared" si="61"/>
        <v>2232000</v>
      </c>
      <c r="CH163" s="161">
        <f t="shared" si="62"/>
        <v>2232000</v>
      </c>
      <c r="CI163" s="161">
        <f t="shared" si="63"/>
        <v>2232000</v>
      </c>
    </row>
    <row r="164" spans="19:87" x14ac:dyDescent="0.15">
      <c r="S164" s="46">
        <v>27</v>
      </c>
      <c r="T164" s="36"/>
      <c r="U164" s="36"/>
      <c r="V164" s="36"/>
      <c r="W164" s="36"/>
      <c r="X164" s="36"/>
      <c r="Y164" s="36"/>
      <c r="Z164" s="36"/>
      <c r="AA164" s="36"/>
      <c r="AB164" s="36"/>
      <c r="AC164" s="36"/>
      <c r="AD164" s="36"/>
      <c r="AE164" s="36"/>
      <c r="AF164" s="36"/>
      <c r="AG164" s="36"/>
      <c r="AH164" s="36"/>
      <c r="AI164" s="36"/>
      <c r="BB164" s="25">
        <v>26</v>
      </c>
      <c r="BN164" s="36"/>
      <c r="CD164" s="161">
        <v>159</v>
      </c>
      <c r="CE164" s="161">
        <f t="shared" si="59"/>
        <v>2232000</v>
      </c>
      <c r="CF164" s="161">
        <f t="shared" si="60"/>
        <v>2232000</v>
      </c>
      <c r="CG164" s="161">
        <f t="shared" si="61"/>
        <v>2232000</v>
      </c>
      <c r="CH164" s="161">
        <f t="shared" si="62"/>
        <v>2232000</v>
      </c>
      <c r="CI164" s="161">
        <f t="shared" si="63"/>
        <v>2232000</v>
      </c>
    </row>
    <row r="165" spans="19:87" x14ac:dyDescent="0.15">
      <c r="S165" s="46">
        <v>28</v>
      </c>
      <c r="T165" s="36"/>
      <c r="U165" s="36"/>
      <c r="V165" s="36"/>
      <c r="W165" s="36"/>
      <c r="X165" s="36"/>
      <c r="Y165" s="36"/>
      <c r="Z165" s="36"/>
      <c r="AA165" s="36"/>
      <c r="AB165" s="36"/>
      <c r="AC165" s="36"/>
      <c r="AD165" s="36"/>
      <c r="AE165" s="36"/>
      <c r="AF165" s="36"/>
      <c r="AG165" s="36"/>
      <c r="AH165" s="36"/>
      <c r="AI165" s="36"/>
      <c r="BB165" s="25">
        <v>27</v>
      </c>
      <c r="BN165" s="36"/>
      <c r="CD165" s="161">
        <v>160</v>
      </c>
      <c r="CE165" s="161">
        <f t="shared" si="59"/>
        <v>2232000</v>
      </c>
      <c r="CF165" s="161">
        <f t="shared" si="60"/>
        <v>2232000</v>
      </c>
      <c r="CG165" s="161">
        <f t="shared" si="61"/>
        <v>2232000</v>
      </c>
      <c r="CH165" s="161">
        <f t="shared" si="62"/>
        <v>2232000</v>
      </c>
      <c r="CI165" s="161">
        <f t="shared" si="63"/>
        <v>2232000</v>
      </c>
    </row>
    <row r="166" spans="19:87" x14ac:dyDescent="0.15">
      <c r="S166" s="46">
        <v>29</v>
      </c>
      <c r="T166" s="36"/>
      <c r="U166" s="36"/>
      <c r="V166" s="36"/>
      <c r="W166" s="36"/>
      <c r="X166" s="36"/>
      <c r="Y166" s="36"/>
      <c r="Z166" s="36"/>
      <c r="AA166" s="36"/>
      <c r="AB166" s="36"/>
      <c r="AC166" s="36"/>
      <c r="AD166" s="36"/>
      <c r="AE166" s="36"/>
      <c r="AF166" s="36"/>
      <c r="AG166" s="36"/>
      <c r="AH166" s="36"/>
      <c r="AI166" s="36"/>
      <c r="BB166" s="25">
        <v>28</v>
      </c>
    </row>
    <row r="167" spans="19:87" x14ac:dyDescent="0.15">
      <c r="S167" s="46">
        <v>30</v>
      </c>
      <c r="BB167" s="25">
        <v>29</v>
      </c>
    </row>
    <row r="168" spans="19:87" x14ac:dyDescent="0.15">
      <c r="S168" s="46">
        <v>31</v>
      </c>
      <c r="BB168" s="25">
        <v>30</v>
      </c>
    </row>
    <row r="169" spans="19:87" x14ac:dyDescent="0.15">
      <c r="S169" s="46">
        <v>32</v>
      </c>
      <c r="BB169" s="25">
        <v>31</v>
      </c>
    </row>
    <row r="170" spans="19:87" x14ac:dyDescent="0.15">
      <c r="S170" s="46">
        <v>33</v>
      </c>
      <c r="BB170" s="25">
        <v>32</v>
      </c>
    </row>
    <row r="171" spans="19:87" x14ac:dyDescent="0.15">
      <c r="S171" s="46">
        <v>34</v>
      </c>
      <c r="BB171" s="25">
        <v>33</v>
      </c>
    </row>
    <row r="172" spans="19:87" x14ac:dyDescent="0.15">
      <c r="S172" s="46">
        <v>35</v>
      </c>
      <c r="BB172" s="25">
        <v>34</v>
      </c>
    </row>
    <row r="173" spans="19:87" x14ac:dyDescent="0.15">
      <c r="S173" s="46">
        <v>36</v>
      </c>
      <c r="BB173" s="25">
        <v>35</v>
      </c>
    </row>
    <row r="174" spans="19:87" x14ac:dyDescent="0.15">
      <c r="S174" s="46">
        <v>37</v>
      </c>
      <c r="BB174" s="25">
        <v>36</v>
      </c>
    </row>
    <row r="175" spans="19:87" x14ac:dyDescent="0.15">
      <c r="S175" s="46">
        <v>38</v>
      </c>
      <c r="BB175" s="25">
        <v>37</v>
      </c>
    </row>
    <row r="176" spans="19:87" x14ac:dyDescent="0.15">
      <c r="S176" s="46">
        <v>39</v>
      </c>
      <c r="BB176" s="25">
        <v>38</v>
      </c>
    </row>
    <row r="177" spans="19:77" x14ac:dyDescent="0.15">
      <c r="S177" s="46">
        <v>40</v>
      </c>
      <c r="BB177" s="25">
        <v>39</v>
      </c>
    </row>
    <row r="178" spans="19:77" x14ac:dyDescent="0.15">
      <c r="S178" s="46">
        <v>41</v>
      </c>
      <c r="BB178" s="25">
        <v>40</v>
      </c>
    </row>
    <row r="179" spans="19:77" x14ac:dyDescent="0.15">
      <c r="S179" s="46">
        <v>42</v>
      </c>
      <c r="BB179" s="25">
        <v>41</v>
      </c>
    </row>
    <row r="180" spans="19:77" x14ac:dyDescent="0.15">
      <c r="S180" s="46">
        <v>43</v>
      </c>
      <c r="BB180" s="25">
        <v>42</v>
      </c>
    </row>
    <row r="181" spans="19:77" x14ac:dyDescent="0.15">
      <c r="S181" s="46">
        <v>44</v>
      </c>
      <c r="BB181" s="25">
        <v>43</v>
      </c>
    </row>
    <row r="182" spans="19:77" x14ac:dyDescent="0.15">
      <c r="S182" s="46">
        <v>45</v>
      </c>
      <c r="BB182" s="25">
        <v>44</v>
      </c>
    </row>
    <row r="183" spans="19:77" x14ac:dyDescent="0.15">
      <c r="S183" s="46">
        <v>1</v>
      </c>
      <c r="BB183" s="25">
        <v>45</v>
      </c>
    </row>
    <row r="184" spans="19:77" x14ac:dyDescent="0.15">
      <c r="S184" s="46">
        <v>2</v>
      </c>
      <c r="T184" s="144" t="s">
        <v>430</v>
      </c>
      <c r="U184" s="187" t="s">
        <v>439</v>
      </c>
      <c r="V184" s="188"/>
      <c r="W184" s="188"/>
      <c r="X184" s="188"/>
      <c r="Y184" s="189"/>
      <c r="Z184" s="187" t="s">
        <v>440</v>
      </c>
      <c r="AA184" s="188"/>
      <c r="AB184" s="188"/>
      <c r="AC184" s="188"/>
      <c r="AD184" s="189"/>
      <c r="AE184" s="187" t="s">
        <v>440</v>
      </c>
      <c r="AF184" s="188"/>
      <c r="AG184" s="188"/>
      <c r="AH184" s="188"/>
      <c r="AI184" s="189"/>
      <c r="AJ184" s="186" t="s">
        <v>221</v>
      </c>
      <c r="AK184" s="186"/>
      <c r="AL184" s="186"/>
      <c r="AM184" s="186"/>
      <c r="AN184" s="186"/>
      <c r="AO184" s="187" t="s">
        <v>222</v>
      </c>
      <c r="AP184" s="188"/>
      <c r="AQ184" s="188"/>
      <c r="AR184" s="188"/>
      <c r="AS184" s="189"/>
      <c r="AT184" s="187" t="s">
        <v>451</v>
      </c>
      <c r="AU184" s="188"/>
      <c r="AV184" s="188"/>
      <c r="AW184" s="188"/>
      <c r="AX184" s="189"/>
      <c r="BB184" s="25">
        <v>1</v>
      </c>
      <c r="BC184" s="148" t="s">
        <v>208</v>
      </c>
      <c r="BD184" s="195" t="s">
        <v>231</v>
      </c>
      <c r="BE184" s="195"/>
      <c r="BF184" s="195"/>
      <c r="BG184" s="195" t="s">
        <v>232</v>
      </c>
      <c r="BH184" s="195"/>
      <c r="BI184" s="195"/>
      <c r="BJ184" s="195"/>
      <c r="BN184" s="150" t="s">
        <v>208</v>
      </c>
      <c r="BO184" s="183" t="s">
        <v>375</v>
      </c>
      <c r="BP184" s="183"/>
      <c r="BQ184" s="183"/>
      <c r="BR184" s="183"/>
      <c r="BS184" s="183"/>
      <c r="BT184" s="183"/>
      <c r="BV184" s="148" t="s">
        <v>208</v>
      </c>
      <c r="BW184" s="184" t="s">
        <v>351</v>
      </c>
      <c r="BX184" s="185"/>
    </row>
    <row r="185" spans="19:77" x14ac:dyDescent="0.15">
      <c r="S185" s="46">
        <v>3</v>
      </c>
      <c r="T185" s="144" t="s">
        <v>398</v>
      </c>
      <c r="U185" s="147" t="s">
        <v>0</v>
      </c>
      <c r="V185" s="146" t="s">
        <v>1</v>
      </c>
      <c r="W185" s="146" t="s">
        <v>2</v>
      </c>
      <c r="X185" s="146" t="s">
        <v>3</v>
      </c>
      <c r="Y185" s="146" t="s">
        <v>4</v>
      </c>
      <c r="Z185" s="147" t="s">
        <v>0</v>
      </c>
      <c r="AA185" s="146" t="s">
        <v>1</v>
      </c>
      <c r="AB185" s="146" t="s">
        <v>2</v>
      </c>
      <c r="AC185" s="146" t="s">
        <v>3</v>
      </c>
      <c r="AD185" s="146" t="s">
        <v>4</v>
      </c>
      <c r="AE185" s="147" t="s">
        <v>0</v>
      </c>
      <c r="AF185" s="146" t="s">
        <v>1</v>
      </c>
      <c r="AG185" s="146" t="s">
        <v>2</v>
      </c>
      <c r="AH185" s="146" t="s">
        <v>3</v>
      </c>
      <c r="AI185" s="146" t="s">
        <v>4</v>
      </c>
      <c r="AJ185" s="144" t="s">
        <v>0</v>
      </c>
      <c r="AK185" s="143" t="s">
        <v>1</v>
      </c>
      <c r="AL185" s="143" t="s">
        <v>2</v>
      </c>
      <c r="AM185" s="143" t="s">
        <v>3</v>
      </c>
      <c r="AN185" s="143" t="s">
        <v>4</v>
      </c>
      <c r="AO185" s="160" t="s">
        <v>0</v>
      </c>
      <c r="AP185" s="159" t="s">
        <v>1</v>
      </c>
      <c r="AQ185" s="159" t="s">
        <v>2</v>
      </c>
      <c r="AR185" s="159" t="s">
        <v>3</v>
      </c>
      <c r="AS185" s="159" t="s">
        <v>4</v>
      </c>
      <c r="AT185" s="160" t="s">
        <v>0</v>
      </c>
      <c r="AU185" s="159" t="s">
        <v>1</v>
      </c>
      <c r="AV185" s="159" t="s">
        <v>2</v>
      </c>
      <c r="AW185" s="159" t="s">
        <v>3</v>
      </c>
      <c r="AX185" s="159" t="s">
        <v>4</v>
      </c>
      <c r="BB185" s="25">
        <v>2</v>
      </c>
      <c r="BC185" s="51" t="s">
        <v>398</v>
      </c>
      <c r="BD185" s="147" t="s">
        <v>233</v>
      </c>
      <c r="BE185" s="147" t="s">
        <v>223</v>
      </c>
      <c r="BF185" s="147" t="s">
        <v>224</v>
      </c>
      <c r="BG185" s="147" t="s">
        <v>233</v>
      </c>
      <c r="BH185" s="147" t="s">
        <v>223</v>
      </c>
      <c r="BI185" s="147" t="s">
        <v>224</v>
      </c>
      <c r="BJ185" s="51" t="s">
        <v>236</v>
      </c>
      <c r="BN185" s="51" t="s">
        <v>398</v>
      </c>
      <c r="BO185" s="147" t="s">
        <v>442</v>
      </c>
      <c r="BP185" s="147" t="s">
        <v>443</v>
      </c>
      <c r="BQ185" s="147" t="s">
        <v>445</v>
      </c>
      <c r="BR185" s="147" t="s">
        <v>371</v>
      </c>
      <c r="BS185" s="147" t="s">
        <v>353</v>
      </c>
      <c r="BT185" s="147" t="s">
        <v>352</v>
      </c>
      <c r="BV185" s="51" t="s">
        <v>398</v>
      </c>
      <c r="BW185" s="51" t="s">
        <v>215</v>
      </c>
      <c r="BX185" s="147" t="s">
        <v>353</v>
      </c>
      <c r="BY185" s="147" t="s">
        <v>370</v>
      </c>
    </row>
    <row r="186" spans="19:77" x14ac:dyDescent="0.15">
      <c r="S186" s="46">
        <v>4</v>
      </c>
      <c r="T186" s="144">
        <v>10</v>
      </c>
      <c r="U186" s="147"/>
      <c r="V186" s="147"/>
      <c r="W186" s="147"/>
      <c r="X186" s="147"/>
      <c r="Y186" s="43">
        <f>求节点($G$37:$G$62,$I$37:$I$62,节奏预期!$AB122)</f>
        <v>0</v>
      </c>
      <c r="Z186" s="147"/>
      <c r="AA186" s="147"/>
      <c r="AB186" s="147"/>
      <c r="AC186" s="147"/>
      <c r="AD186" s="43">
        <f>求节点($G$37:$G$62,$J$37:$J$62,节奏预期!$AB122)*3</f>
        <v>0</v>
      </c>
      <c r="AE186" s="146"/>
      <c r="AF186" s="146"/>
      <c r="AG186" s="146"/>
      <c r="AH186" s="146"/>
      <c r="AI186" s="43">
        <f>求节点($G$37:$G$62,$K$37:$K$62,节奏预期!$AB122)*3</f>
        <v>0</v>
      </c>
      <c r="AJ186" s="143"/>
      <c r="AK186" s="143"/>
      <c r="AL186" s="143"/>
      <c r="AM186" s="143"/>
      <c r="AN186" s="43">
        <f>求节点($G$37:$G$62,$O$37:$O$62,节奏预期!$AB122)</f>
        <v>0</v>
      </c>
      <c r="AO186" s="160"/>
      <c r="AP186" s="159"/>
      <c r="AQ186" s="159"/>
      <c r="AR186" s="159"/>
      <c r="AS186" s="43">
        <f>AN186</f>
        <v>0</v>
      </c>
      <c r="AT186" s="160"/>
      <c r="AU186" s="159"/>
      <c r="AV186" s="159"/>
      <c r="AW186" s="159"/>
      <c r="AX186" s="43">
        <f>求节点($G$37:$G$62,$P$37:$P$62,节奏预期!$AB122)*3</f>
        <v>0</v>
      </c>
      <c r="BB186" s="25">
        <v>3</v>
      </c>
      <c r="BC186" s="147">
        <v>10</v>
      </c>
      <c r="BD186" s="52">
        <f>AX186</f>
        <v>0</v>
      </c>
      <c r="BE186" s="52">
        <f>AN186</f>
        <v>0</v>
      </c>
      <c r="BF186" s="52">
        <f>AS186</f>
        <v>0</v>
      </c>
      <c r="BG186" s="77">
        <f>BD186*(INDEX([2]超r将兵属性验证!V$7:V$166,$BC186,1)+INDEX([2]超r将兵属性验证!$AP$7:$AP$166,$BC186,1))</f>
        <v>0</v>
      </c>
      <c r="BH186" s="77">
        <f>$BE186*INDEX([2]超r将兵属性验证!W$7:W$166,$BC186,1)</f>
        <v>0</v>
      </c>
      <c r="BI186" s="77">
        <f>$BF186*INDEX([2]超r将兵属性验证!X$7:X$166,$BC186,1)</f>
        <v>0</v>
      </c>
      <c r="BJ186" s="52">
        <f>SUM(BG186:BI186)</f>
        <v>0</v>
      </c>
      <c r="BN186" s="147">
        <v>10</v>
      </c>
      <c r="BO186" s="75">
        <f>AD186*6</f>
        <v>0</v>
      </c>
      <c r="BP186" s="76">
        <f>BO186*INDEX('[1]功能-付费相关'!$DG$6:$DG$165,$BN186,1)</f>
        <v>0</v>
      </c>
      <c r="BQ186" s="75">
        <f>Y186*3*6</f>
        <v>0</v>
      </c>
      <c r="BR186" s="75">
        <v>0</v>
      </c>
      <c r="BS186" s="75">
        <f>AI186*6</f>
        <v>0</v>
      </c>
      <c r="BT186" s="76" t="e">
        <f>BS186*INDEX('[1]功能-付费相关'!$AU$6:$AU$165,$CY186,1)</f>
        <v>#VALUE!</v>
      </c>
      <c r="BV186" s="147">
        <v>10</v>
      </c>
      <c r="BW186" s="147">
        <f>BP186</f>
        <v>0</v>
      </c>
      <c r="BX186" s="147" t="e">
        <f t="shared" ref="BX186:BX201" si="75">BT186</f>
        <v>#VALUE!</v>
      </c>
      <c r="BY186" s="84" t="e">
        <f>SUM(BW186:BX186)</f>
        <v>#VALUE!</v>
      </c>
    </row>
    <row r="187" spans="19:77" x14ac:dyDescent="0.15">
      <c r="S187" s="46">
        <v>5</v>
      </c>
      <c r="T187" s="144">
        <v>20</v>
      </c>
      <c r="U187" s="147"/>
      <c r="V187" s="147"/>
      <c r="W187" s="147"/>
      <c r="X187" s="147"/>
      <c r="Y187" s="43">
        <f>求节点($G$37:$G$62,$I$37:$I$62,节奏预期!$AB123)</f>
        <v>0</v>
      </c>
      <c r="Z187" s="147"/>
      <c r="AA187" s="147"/>
      <c r="AB187" s="147"/>
      <c r="AC187" s="147"/>
      <c r="AD187" s="43">
        <f>求节点($G$37:$G$62,$J$37:$J$62,节奏预期!$AB123)*3</f>
        <v>0</v>
      </c>
      <c r="AE187" s="146"/>
      <c r="AF187" s="146"/>
      <c r="AG187" s="146"/>
      <c r="AH187" s="146"/>
      <c r="AI187" s="43">
        <f>求节点($G$37:$G$62,$K$37:$K$62,节奏预期!$AB123)*3</f>
        <v>0</v>
      </c>
      <c r="AJ187" s="143"/>
      <c r="AK187" s="143"/>
      <c r="AL187" s="143"/>
      <c r="AM187" s="143"/>
      <c r="AN187" s="43">
        <f>求节点($G$37:$G$62,$O$37:$O$62,节奏预期!$AB123)</f>
        <v>0</v>
      </c>
      <c r="AO187" s="160"/>
      <c r="AP187" s="159"/>
      <c r="AQ187" s="159"/>
      <c r="AR187" s="159"/>
      <c r="AS187" s="43">
        <f t="shared" ref="AS187:AS201" si="76">AN187</f>
        <v>0</v>
      </c>
      <c r="AT187" s="160"/>
      <c r="AU187" s="159"/>
      <c r="AV187" s="159"/>
      <c r="AW187" s="159"/>
      <c r="AX187" s="43">
        <f>求节点($G$37:$G$62,$P$37:$P$62,节奏预期!$AB123)*3</f>
        <v>0</v>
      </c>
      <c r="BB187" s="25">
        <v>4</v>
      </c>
      <c r="BC187" s="147">
        <v>20</v>
      </c>
      <c r="BD187" s="52">
        <f t="shared" ref="BD187:BD201" si="77">AX187</f>
        <v>0</v>
      </c>
      <c r="BE187" s="52">
        <f t="shared" ref="BE187:BE201" si="78">AN187</f>
        <v>0</v>
      </c>
      <c r="BF187" s="52">
        <f t="shared" ref="BF187:BF201" si="79">AS187</f>
        <v>0</v>
      </c>
      <c r="BG187" s="109">
        <f>(BD187-BD186)*(INDEX([2]超r将兵属性验证!V$7:V$166,$BC187,1)+INDEX([2]超r将兵属性验证!$AP$7:$AP$166,$BC187,1))+BG186</f>
        <v>0</v>
      </c>
      <c r="BH187" s="109">
        <f>($BE187-$BE186)*INDEX([2]超r将兵属性验证!W$7:W$166,$BC187,1)+BH186</f>
        <v>0</v>
      </c>
      <c r="BI187" s="109">
        <f>($BF187-$BF186)*INDEX([2]超r将兵属性验证!X$7:X$166,$BC187,1)+BI186</f>
        <v>0</v>
      </c>
      <c r="BJ187" s="52">
        <f t="shared" ref="BJ187:BJ201" si="80">SUM(BG187:BI187)</f>
        <v>0</v>
      </c>
      <c r="BN187" s="147">
        <v>20</v>
      </c>
      <c r="BO187" s="75">
        <f t="shared" ref="BO187:BO201" si="81">AD187*6</f>
        <v>0</v>
      </c>
      <c r="BP187" s="164">
        <f>(BO187-BO186)*INDEX('[1]功能-付费相关'!$DG$6:$DG$165,$BN187,1)+BP186</f>
        <v>0</v>
      </c>
      <c r="BQ187" s="75">
        <f t="shared" ref="BQ187:BQ201" si="82">Y187*3*6</f>
        <v>0</v>
      </c>
      <c r="BR187" s="75">
        <v>0</v>
      </c>
      <c r="BS187" s="75">
        <f t="shared" ref="BS187:BS201" si="83">AI187*6</f>
        <v>0</v>
      </c>
      <c r="BT187" s="75" t="e">
        <f>(BS187-BS186)*INDEX('[1]功能-付费相关'!$AU$6:$AU$165,$CY187,1)+BT186</f>
        <v>#VALUE!</v>
      </c>
      <c r="BV187" s="147">
        <v>20</v>
      </c>
      <c r="BW187" s="147">
        <f t="shared" ref="BW187:BW201" si="84">BP187</f>
        <v>0</v>
      </c>
      <c r="BX187" s="147" t="e">
        <f t="shared" si="75"/>
        <v>#VALUE!</v>
      </c>
      <c r="BY187" s="84" t="e">
        <f t="shared" ref="BY187:BY201" si="85">SUM(BW187:BX187)</f>
        <v>#VALUE!</v>
      </c>
    </row>
    <row r="188" spans="19:77" x14ac:dyDescent="0.15">
      <c r="S188" s="46">
        <v>6</v>
      </c>
      <c r="T188" s="144">
        <v>30</v>
      </c>
      <c r="U188" s="147"/>
      <c r="V188" s="147"/>
      <c r="W188" s="147"/>
      <c r="X188" s="147"/>
      <c r="Y188" s="43">
        <f>求节点($G$37:$G$62,$I$37:$I$62,节奏预期!$AB124)</f>
        <v>0</v>
      </c>
      <c r="Z188" s="147"/>
      <c r="AA188" s="147"/>
      <c r="AB188" s="147"/>
      <c r="AC188" s="147"/>
      <c r="AD188" s="43">
        <f>求节点($G$37:$G$62,$J$37:$J$62,节奏预期!$AB124)*3</f>
        <v>0</v>
      </c>
      <c r="AE188" s="146"/>
      <c r="AF188" s="146"/>
      <c r="AG188" s="146"/>
      <c r="AH188" s="146"/>
      <c r="AI188" s="43">
        <f>求节点($G$37:$G$62,$K$37:$K$62,节奏预期!$AB124)*3</f>
        <v>0</v>
      </c>
      <c r="AJ188" s="143"/>
      <c r="AK188" s="143"/>
      <c r="AL188" s="143"/>
      <c r="AM188" s="143"/>
      <c r="AN188" s="43">
        <f>求节点($G$37:$G$62,$O$37:$O$62,节奏预期!$AB124)</f>
        <v>0</v>
      </c>
      <c r="AO188" s="160"/>
      <c r="AP188" s="159"/>
      <c r="AQ188" s="159"/>
      <c r="AR188" s="159"/>
      <c r="AS188" s="43">
        <f t="shared" si="76"/>
        <v>0</v>
      </c>
      <c r="AT188" s="160"/>
      <c r="AU188" s="159"/>
      <c r="AV188" s="159"/>
      <c r="AW188" s="159"/>
      <c r="AX188" s="43">
        <f>求节点($G$37:$G$62,$P$37:$P$62,节奏预期!$AB124)*3</f>
        <v>0</v>
      </c>
      <c r="BB188" s="25">
        <v>5</v>
      </c>
      <c r="BC188" s="147">
        <v>30</v>
      </c>
      <c r="BD188" s="52">
        <f t="shared" si="77"/>
        <v>0</v>
      </c>
      <c r="BE188" s="52">
        <f t="shared" si="78"/>
        <v>0</v>
      </c>
      <c r="BF188" s="52">
        <f t="shared" si="79"/>
        <v>0</v>
      </c>
      <c r="BG188" s="109">
        <f>(BD188-BD187)*(INDEX([2]超r将兵属性验证!V$7:V$166,$BC188,1)+INDEX([2]超r将兵属性验证!$AP$7:$AP$166,$BC188,1))+BG187</f>
        <v>0</v>
      </c>
      <c r="BH188" s="109">
        <f>($BE188-$BE187)*INDEX([2]超r将兵属性验证!W$7:W$166,$BC188,1)+BH187</f>
        <v>0</v>
      </c>
      <c r="BI188" s="109">
        <f>($BF188-$BF187)*INDEX([2]超r将兵属性验证!X$7:X$166,$BC188,1)+BI187</f>
        <v>0</v>
      </c>
      <c r="BJ188" s="52">
        <f t="shared" si="80"/>
        <v>0</v>
      </c>
      <c r="BN188" s="147">
        <v>30</v>
      </c>
      <c r="BO188" s="75">
        <f t="shared" si="81"/>
        <v>0</v>
      </c>
      <c r="BP188" s="164">
        <f>(BO188-BO187)*INDEX('[1]功能-付费相关'!$DG$6:$DG$165,$BN188,1)+BP187</f>
        <v>0</v>
      </c>
      <c r="BQ188" s="75">
        <f t="shared" si="82"/>
        <v>0</v>
      </c>
      <c r="BR188" s="75">
        <v>0</v>
      </c>
      <c r="BS188" s="75">
        <f t="shared" si="83"/>
        <v>0</v>
      </c>
      <c r="BT188" s="75" t="e">
        <f>(BS188-BS187)*INDEX('[1]功能-付费相关'!$AU$6:$AU$165,$CY188,1)+BT187</f>
        <v>#VALUE!</v>
      </c>
      <c r="BV188" s="147">
        <v>30</v>
      </c>
      <c r="BW188" s="147">
        <f t="shared" si="84"/>
        <v>0</v>
      </c>
      <c r="BX188" s="147" t="e">
        <f t="shared" si="75"/>
        <v>#VALUE!</v>
      </c>
      <c r="BY188" s="84" t="e">
        <f t="shared" si="85"/>
        <v>#VALUE!</v>
      </c>
    </row>
    <row r="189" spans="19:77" x14ac:dyDescent="0.15">
      <c r="S189" s="46">
        <v>7</v>
      </c>
      <c r="T189" s="144">
        <v>40</v>
      </c>
      <c r="U189" s="147"/>
      <c r="V189" s="147"/>
      <c r="W189" s="147"/>
      <c r="X189" s="147"/>
      <c r="Y189" s="43">
        <f>求节点($G$37:$G$62,$I$37:$I$62,节奏预期!$AB125)</f>
        <v>0</v>
      </c>
      <c r="Z189" s="147"/>
      <c r="AA189" s="147"/>
      <c r="AB189" s="147"/>
      <c r="AC189" s="147"/>
      <c r="AD189" s="43">
        <f>求节点($G$37:$G$62,$J$37:$J$62,节奏预期!$AB125)*3</f>
        <v>0</v>
      </c>
      <c r="AE189" s="146"/>
      <c r="AF189" s="146"/>
      <c r="AG189" s="146"/>
      <c r="AH189" s="146"/>
      <c r="AI189" s="43">
        <f>求节点($G$37:$G$62,$K$37:$K$62,节奏预期!$AB125)*3</f>
        <v>0</v>
      </c>
      <c r="AJ189" s="143"/>
      <c r="AK189" s="143"/>
      <c r="AL189" s="143"/>
      <c r="AM189" s="143"/>
      <c r="AN189" s="43">
        <f>求节点($G$37:$G$62,$O$37:$O$62,节奏预期!$AB125)</f>
        <v>0</v>
      </c>
      <c r="AO189" s="160"/>
      <c r="AP189" s="159"/>
      <c r="AQ189" s="159"/>
      <c r="AR189" s="159"/>
      <c r="AS189" s="43">
        <f t="shared" si="76"/>
        <v>0</v>
      </c>
      <c r="AT189" s="160"/>
      <c r="AU189" s="159"/>
      <c r="AV189" s="159"/>
      <c r="AW189" s="159"/>
      <c r="AX189" s="43">
        <f>求节点($G$37:$G$62,$P$37:$P$62,节奏预期!$AB125)*3</f>
        <v>0</v>
      </c>
      <c r="BB189" s="25">
        <v>6</v>
      </c>
      <c r="BC189" s="147">
        <v>40</v>
      </c>
      <c r="BD189" s="52">
        <f t="shared" si="77"/>
        <v>0</v>
      </c>
      <c r="BE189" s="52">
        <f t="shared" si="78"/>
        <v>0</v>
      </c>
      <c r="BF189" s="52">
        <f t="shared" si="79"/>
        <v>0</v>
      </c>
      <c r="BG189" s="109">
        <f>(BD189-BD188)*(INDEX([2]超r将兵属性验证!V$7:V$166,$BC189,1)+INDEX([2]超r将兵属性验证!$AP$7:$AP$166,$BC189,1))+BG188</f>
        <v>0</v>
      </c>
      <c r="BH189" s="109">
        <f>($BE189-$BE188)*INDEX([2]超r将兵属性验证!W$7:W$166,$BC189,1)+BH188</f>
        <v>0</v>
      </c>
      <c r="BI189" s="109">
        <f>($BF189-$BF188)*INDEX([2]超r将兵属性验证!X$7:X$166,$BC189,1)+BI188</f>
        <v>0</v>
      </c>
      <c r="BJ189" s="52">
        <f t="shared" si="80"/>
        <v>0</v>
      </c>
      <c r="BN189" s="147">
        <v>40</v>
      </c>
      <c r="BO189" s="75">
        <f t="shared" si="81"/>
        <v>0</v>
      </c>
      <c r="BP189" s="164">
        <f>(BO189-BO188)*INDEX('[1]功能-付费相关'!$DG$6:$DG$165,$BN189,1)+BP188</f>
        <v>0</v>
      </c>
      <c r="BQ189" s="75">
        <f t="shared" si="82"/>
        <v>0</v>
      </c>
      <c r="BR189" s="75">
        <v>0</v>
      </c>
      <c r="BS189" s="75">
        <f t="shared" si="83"/>
        <v>0</v>
      </c>
      <c r="BT189" s="75" t="e">
        <f>(BS189-BS188)*INDEX('[1]功能-付费相关'!$AU$6:$AU$165,$CY189,1)+BT188</f>
        <v>#VALUE!</v>
      </c>
      <c r="BV189" s="147">
        <v>40</v>
      </c>
      <c r="BW189" s="147">
        <f t="shared" si="84"/>
        <v>0</v>
      </c>
      <c r="BX189" s="147" t="e">
        <f t="shared" si="75"/>
        <v>#VALUE!</v>
      </c>
      <c r="BY189" s="84" t="e">
        <f t="shared" si="85"/>
        <v>#VALUE!</v>
      </c>
    </row>
    <row r="190" spans="19:77" x14ac:dyDescent="0.15">
      <c r="S190" s="46">
        <v>8</v>
      </c>
      <c r="T190" s="144">
        <v>50</v>
      </c>
      <c r="U190" s="147"/>
      <c r="V190" s="147"/>
      <c r="W190" s="147"/>
      <c r="X190" s="147"/>
      <c r="Y190" s="43">
        <f>求节点($G$37:$G$62,$I$37:$I$62,节奏预期!$AB126)</f>
        <v>0</v>
      </c>
      <c r="Z190" s="147"/>
      <c r="AA190" s="147"/>
      <c r="AB190" s="147"/>
      <c r="AC190" s="147"/>
      <c r="AD190" s="43">
        <f>求节点($G$37:$G$62,$J$37:$J$62,节奏预期!$AB126)*3</f>
        <v>0</v>
      </c>
      <c r="AE190" s="146"/>
      <c r="AF190" s="146"/>
      <c r="AG190" s="146"/>
      <c r="AH190" s="146"/>
      <c r="AI190" s="43">
        <f>求节点($G$37:$G$62,$K$37:$K$62,节奏预期!$AB126)*3</f>
        <v>0</v>
      </c>
      <c r="AJ190" s="143"/>
      <c r="AK190" s="143"/>
      <c r="AL190" s="143"/>
      <c r="AM190" s="143"/>
      <c r="AN190" s="43">
        <f>求节点($G$37:$G$62,$O$37:$O$62,节奏预期!$AB126)</f>
        <v>0</v>
      </c>
      <c r="AO190" s="160"/>
      <c r="AP190" s="159"/>
      <c r="AQ190" s="159"/>
      <c r="AR190" s="159"/>
      <c r="AS190" s="43">
        <f t="shared" si="76"/>
        <v>0</v>
      </c>
      <c r="AT190" s="160"/>
      <c r="AU190" s="159"/>
      <c r="AV190" s="159"/>
      <c r="AW190" s="159"/>
      <c r="AX190" s="43">
        <f>求节点($G$37:$G$62,$P$37:$P$62,节奏预期!$AB126)*3</f>
        <v>0</v>
      </c>
      <c r="BB190" s="25">
        <v>7</v>
      </c>
      <c r="BC190" s="147">
        <v>50</v>
      </c>
      <c r="BD190" s="52">
        <f t="shared" si="77"/>
        <v>0</v>
      </c>
      <c r="BE190" s="52">
        <f t="shared" si="78"/>
        <v>0</v>
      </c>
      <c r="BF190" s="52">
        <f t="shared" si="79"/>
        <v>0</v>
      </c>
      <c r="BG190" s="109">
        <f>(BD190-BD189)*(INDEX([2]超r将兵属性验证!V$7:V$166,$BC190,1)+INDEX([2]超r将兵属性验证!$AP$7:$AP$166,$BC190,1))+BG189</f>
        <v>0</v>
      </c>
      <c r="BH190" s="109">
        <f>($BE190-$BE189)*INDEX([2]超r将兵属性验证!W$7:W$166,$BC190,1)+BH189</f>
        <v>0</v>
      </c>
      <c r="BI190" s="109">
        <f>($BF190-$BF189)*INDEX([2]超r将兵属性验证!X$7:X$166,$BC190,1)+BI189</f>
        <v>0</v>
      </c>
      <c r="BJ190" s="52">
        <f t="shared" si="80"/>
        <v>0</v>
      </c>
      <c r="BN190" s="147">
        <v>50</v>
      </c>
      <c r="BO190" s="75">
        <f t="shared" si="81"/>
        <v>0</v>
      </c>
      <c r="BP190" s="164">
        <f>(BO190-BO189)*INDEX('[1]功能-付费相关'!$DG$6:$DG$165,$BN190,1)+BP189</f>
        <v>0</v>
      </c>
      <c r="BQ190" s="75">
        <f t="shared" si="82"/>
        <v>0</v>
      </c>
      <c r="BR190" s="75">
        <v>0</v>
      </c>
      <c r="BS190" s="75">
        <f t="shared" si="83"/>
        <v>0</v>
      </c>
      <c r="BT190" s="75" t="e">
        <f>(BS190-BS189)*INDEX('[1]功能-付费相关'!$AU$6:$AU$165,$CY190,1)+BT189</f>
        <v>#VALUE!</v>
      </c>
      <c r="BV190" s="147">
        <v>50</v>
      </c>
      <c r="BW190" s="147">
        <f t="shared" si="84"/>
        <v>0</v>
      </c>
      <c r="BX190" s="147" t="e">
        <f t="shared" si="75"/>
        <v>#VALUE!</v>
      </c>
      <c r="BY190" s="84" t="e">
        <f t="shared" si="85"/>
        <v>#VALUE!</v>
      </c>
    </row>
    <row r="191" spans="19:77" x14ac:dyDescent="0.15">
      <c r="S191" s="46">
        <v>9</v>
      </c>
      <c r="T191" s="144">
        <v>60</v>
      </c>
      <c r="U191" s="147"/>
      <c r="V191" s="147"/>
      <c r="W191" s="147"/>
      <c r="X191" s="147"/>
      <c r="Y191" s="43">
        <f>求节点($G$37:$G$62,$I$37:$I$62,节奏预期!$AB127)</f>
        <v>0</v>
      </c>
      <c r="Z191" s="147"/>
      <c r="AA191" s="147"/>
      <c r="AB191" s="147"/>
      <c r="AC191" s="147"/>
      <c r="AD191" s="43">
        <f>求节点($G$37:$G$62,$J$37:$J$62,节奏预期!$AB127)*3</f>
        <v>0</v>
      </c>
      <c r="AE191" s="146"/>
      <c r="AF191" s="146"/>
      <c r="AG191" s="146"/>
      <c r="AH191" s="146"/>
      <c r="AI191" s="43">
        <f>求节点($G$37:$G$62,$K$37:$K$62,节奏预期!$AB127)*3</f>
        <v>0</v>
      </c>
      <c r="AJ191" s="143"/>
      <c r="AK191" s="143"/>
      <c r="AL191" s="143"/>
      <c r="AM191" s="143"/>
      <c r="AN191" s="43">
        <f>求节点($G$37:$G$62,$O$37:$O$62,节奏预期!$AB127)</f>
        <v>0</v>
      </c>
      <c r="AO191" s="160"/>
      <c r="AP191" s="159"/>
      <c r="AQ191" s="159"/>
      <c r="AR191" s="159"/>
      <c r="AS191" s="43">
        <f t="shared" si="76"/>
        <v>0</v>
      </c>
      <c r="AT191" s="160"/>
      <c r="AU191" s="159"/>
      <c r="AV191" s="159"/>
      <c r="AW191" s="159"/>
      <c r="AX191" s="43">
        <f>求节点($G$37:$G$62,$P$37:$P$62,节奏预期!$AB127)*3</f>
        <v>0</v>
      </c>
      <c r="BB191" s="25">
        <v>8</v>
      </c>
      <c r="BC191" s="147">
        <v>60</v>
      </c>
      <c r="BD191" s="52">
        <f t="shared" si="77"/>
        <v>0</v>
      </c>
      <c r="BE191" s="52">
        <f t="shared" si="78"/>
        <v>0</v>
      </c>
      <c r="BF191" s="52">
        <f t="shared" si="79"/>
        <v>0</v>
      </c>
      <c r="BG191" s="109">
        <f>(BD191-BD190)*(INDEX([2]超r将兵属性验证!V$7:V$166,$BC191,1)+INDEX([2]超r将兵属性验证!$AP$7:$AP$166,$BC191,1))+BG190</f>
        <v>0</v>
      </c>
      <c r="BH191" s="109">
        <f>($BE191-$BE190)*INDEX([2]超r将兵属性验证!W$7:W$166,$BC191,1)+BH190</f>
        <v>0</v>
      </c>
      <c r="BI191" s="109">
        <f>($BF191-$BF190)*INDEX([2]超r将兵属性验证!X$7:X$166,$BC191,1)+BI190</f>
        <v>0</v>
      </c>
      <c r="BJ191" s="52">
        <f t="shared" si="80"/>
        <v>0</v>
      </c>
      <c r="BN191" s="147">
        <v>60</v>
      </c>
      <c r="BO191" s="75">
        <f t="shared" si="81"/>
        <v>0</v>
      </c>
      <c r="BP191" s="164">
        <f>(BO191-BO190)*INDEX('[1]功能-付费相关'!$DG$6:$DG$165,$BN191,1)+BP190</f>
        <v>0</v>
      </c>
      <c r="BQ191" s="75">
        <f t="shared" si="82"/>
        <v>0</v>
      </c>
      <c r="BR191" s="75">
        <v>0</v>
      </c>
      <c r="BS191" s="75">
        <f t="shared" si="83"/>
        <v>0</v>
      </c>
      <c r="BT191" s="75" t="e">
        <f>(BS191-BS190)*INDEX('[1]功能-付费相关'!$AU$6:$AU$165,$CY191,1)+BT190</f>
        <v>#VALUE!</v>
      </c>
      <c r="BV191" s="147">
        <v>60</v>
      </c>
      <c r="BW191" s="147">
        <f t="shared" si="84"/>
        <v>0</v>
      </c>
      <c r="BX191" s="147" t="e">
        <f t="shared" si="75"/>
        <v>#VALUE!</v>
      </c>
      <c r="BY191" s="84" t="e">
        <f t="shared" si="85"/>
        <v>#VALUE!</v>
      </c>
    </row>
    <row r="192" spans="19:77" x14ac:dyDescent="0.15">
      <c r="S192" s="46">
        <v>10</v>
      </c>
      <c r="T192" s="144">
        <v>70</v>
      </c>
      <c r="U192" s="147"/>
      <c r="V192" s="147"/>
      <c r="W192" s="147"/>
      <c r="X192" s="147"/>
      <c r="Y192" s="43">
        <f>求节点($G$37:$G$62,$I$37:$I$62,节奏预期!$AB128)</f>
        <v>5</v>
      </c>
      <c r="Z192" s="147"/>
      <c r="AA192" s="147"/>
      <c r="AB192" s="147"/>
      <c r="AC192" s="147"/>
      <c r="AD192" s="43">
        <f>求节点($G$37:$G$62,$J$37:$J$62,节奏预期!$AB128)*3</f>
        <v>9000</v>
      </c>
      <c r="AE192" s="146"/>
      <c r="AF192" s="146"/>
      <c r="AG192" s="146"/>
      <c r="AH192" s="146"/>
      <c r="AI192" s="43">
        <f>求节点($G$37:$G$62,$K$37:$K$62,节奏预期!$AB128)*3</f>
        <v>3750000</v>
      </c>
      <c r="AJ192" s="143"/>
      <c r="AK192" s="143"/>
      <c r="AL192" s="143"/>
      <c r="AM192" s="143"/>
      <c r="AN192" s="43">
        <f>求节点($G$37:$G$62,$O$37:$O$62,节奏预期!$AB128)</f>
        <v>600</v>
      </c>
      <c r="AO192" s="160"/>
      <c r="AP192" s="159"/>
      <c r="AQ192" s="159"/>
      <c r="AR192" s="159"/>
      <c r="AS192" s="43">
        <f t="shared" si="76"/>
        <v>600</v>
      </c>
      <c r="AT192" s="160"/>
      <c r="AU192" s="159"/>
      <c r="AV192" s="159"/>
      <c r="AW192" s="159"/>
      <c r="AX192" s="43">
        <f>求节点($G$37:$G$62,$P$37:$P$62,节奏预期!$AB128)*3</f>
        <v>10</v>
      </c>
      <c r="BB192" s="25">
        <v>9</v>
      </c>
      <c r="BC192" s="147">
        <v>70</v>
      </c>
      <c r="BD192" s="52">
        <f t="shared" si="77"/>
        <v>10</v>
      </c>
      <c r="BE192" s="52">
        <f t="shared" si="78"/>
        <v>600</v>
      </c>
      <c r="BF192" s="52">
        <f t="shared" si="79"/>
        <v>600</v>
      </c>
      <c r="BG192" s="109">
        <f>(BD192-BD191)*(INDEX([2]超r将兵属性验证!V$7:V$166,$BC192,1)+INDEX([2]超r将兵属性验证!$AP$7:$AP$166,$BC192,1))+BG191</f>
        <v>2137475636.8112488</v>
      </c>
      <c r="BH192" s="109">
        <f>($BE192-$BE191)*INDEX([2]超r将兵属性验证!W$7:W$166,$BC192,1)+BH191</f>
        <v>1117516746.2859337</v>
      </c>
      <c r="BI192" s="109">
        <f>($BF192-$BF191)*INDEX([2]超r将兵属性验证!X$7:X$166,$BC192,1)+BI191</f>
        <v>1117516746.2859337</v>
      </c>
      <c r="BJ192" s="52">
        <f t="shared" si="80"/>
        <v>4372509129.3831158</v>
      </c>
      <c r="BN192" s="147">
        <v>70</v>
      </c>
      <c r="BO192" s="75">
        <f t="shared" si="81"/>
        <v>54000</v>
      </c>
      <c r="BP192" s="164">
        <f>(BO192-BO191)*INDEX('[1]功能-付费相关'!$DG$6:$DG$165,$BN192,1)+BP191</f>
        <v>175616.47829830844</v>
      </c>
      <c r="BQ192" s="75">
        <f t="shared" si="82"/>
        <v>90</v>
      </c>
      <c r="BR192" s="75">
        <v>0</v>
      </c>
      <c r="BS192" s="75">
        <f t="shared" si="83"/>
        <v>22500000</v>
      </c>
      <c r="BT192" s="75" t="e">
        <f>(BS192-BS191)*INDEX('[1]功能-付费相关'!$AU$6:$AU$165,$CY192,1)+BT191</f>
        <v>#VALUE!</v>
      </c>
      <c r="BV192" s="147">
        <v>70</v>
      </c>
      <c r="BW192" s="147">
        <f t="shared" si="84"/>
        <v>175616.47829830844</v>
      </c>
      <c r="BX192" s="147" t="e">
        <f t="shared" si="75"/>
        <v>#VALUE!</v>
      </c>
      <c r="BY192" s="84" t="e">
        <f t="shared" si="85"/>
        <v>#VALUE!</v>
      </c>
    </row>
    <row r="193" spans="19:77" x14ac:dyDescent="0.15">
      <c r="S193" s="46">
        <v>11</v>
      </c>
      <c r="T193" s="144">
        <v>80</v>
      </c>
      <c r="U193" s="147"/>
      <c r="V193" s="147"/>
      <c r="W193" s="147"/>
      <c r="X193" s="147"/>
      <c r="Y193" s="43">
        <f>求节点($G$37:$G$62,$I$37:$I$62,节奏预期!$AB129)</f>
        <v>10</v>
      </c>
      <c r="Z193" s="147"/>
      <c r="AA193" s="147"/>
      <c r="AB193" s="147"/>
      <c r="AC193" s="147"/>
      <c r="AD193" s="43">
        <f>求节点($G$37:$G$62,$J$37:$J$62,节奏预期!$AB129)*3</f>
        <v>33000</v>
      </c>
      <c r="AE193" s="146"/>
      <c r="AF193" s="146"/>
      <c r="AG193" s="146"/>
      <c r="AH193" s="146"/>
      <c r="AI193" s="43">
        <f>求节点($G$37:$G$62,$K$37:$K$62,节奏预期!$AB129)*3</f>
        <v>11250000</v>
      </c>
      <c r="AJ193" s="143"/>
      <c r="AK193" s="143"/>
      <c r="AL193" s="143"/>
      <c r="AM193" s="143"/>
      <c r="AN193" s="43">
        <f>求节点($G$37:$G$62,$O$37:$O$62,节奏预期!$AB129)</f>
        <v>1200</v>
      </c>
      <c r="AO193" s="160"/>
      <c r="AP193" s="159"/>
      <c r="AQ193" s="159"/>
      <c r="AR193" s="159"/>
      <c r="AS193" s="43">
        <f t="shared" si="76"/>
        <v>1200</v>
      </c>
      <c r="AT193" s="160"/>
      <c r="AU193" s="159"/>
      <c r="AV193" s="159"/>
      <c r="AW193" s="159"/>
      <c r="AX193" s="43">
        <f>求节点($G$37:$G$62,$P$37:$P$62,节奏预期!$AB129)*3</f>
        <v>20</v>
      </c>
      <c r="BB193" s="25">
        <v>10</v>
      </c>
      <c r="BC193" s="147">
        <v>80</v>
      </c>
      <c r="BD193" s="52">
        <f t="shared" si="77"/>
        <v>20</v>
      </c>
      <c r="BE193" s="52">
        <f t="shared" si="78"/>
        <v>1200</v>
      </c>
      <c r="BF193" s="52">
        <f t="shared" si="79"/>
        <v>1200</v>
      </c>
      <c r="BG193" s="109">
        <f>(BD193-BD192)*(INDEX([2]超r将兵属性验证!V$7:V$166,$BC193,1)+INDEX([2]超r将兵属性验证!$AP$7:$AP$166,$BC193,1))+BG192</f>
        <v>8345609077.1065493</v>
      </c>
      <c r="BH193" s="109">
        <f>($BE193-$BE192)*INDEX([2]超r将兵属性验证!W$7:W$166,$BC193,1)+BH192</f>
        <v>3683319897.8159113</v>
      </c>
      <c r="BI193" s="109">
        <f>($BF193-$BF192)*INDEX([2]超r将兵属性验证!X$7:X$166,$BC193,1)+BI192</f>
        <v>3683319897.8159113</v>
      </c>
      <c r="BJ193" s="52">
        <f t="shared" si="80"/>
        <v>15712248872.738373</v>
      </c>
      <c r="BN193" s="147">
        <v>80</v>
      </c>
      <c r="BO193" s="75">
        <f t="shared" si="81"/>
        <v>198000</v>
      </c>
      <c r="BP193" s="164">
        <f>(BO193-BO192)*INDEX('[1]功能-付费相关'!$DG$6:$DG$165,$BN193,1)+BP192</f>
        <v>524083.55258461263</v>
      </c>
      <c r="BQ193" s="75">
        <f t="shared" si="82"/>
        <v>180</v>
      </c>
      <c r="BR193" s="75">
        <v>0</v>
      </c>
      <c r="BS193" s="75">
        <f t="shared" si="83"/>
        <v>67500000</v>
      </c>
      <c r="BT193" s="75" t="e">
        <f>(BS193-BS192)*INDEX('[1]功能-付费相关'!$AU$6:$AU$165,$CY193,1)+BT192</f>
        <v>#VALUE!</v>
      </c>
      <c r="BV193" s="147">
        <v>80</v>
      </c>
      <c r="BW193" s="147">
        <f t="shared" si="84"/>
        <v>524083.55258461263</v>
      </c>
      <c r="BX193" s="147" t="e">
        <f t="shared" si="75"/>
        <v>#VALUE!</v>
      </c>
      <c r="BY193" s="84" t="e">
        <f t="shared" si="85"/>
        <v>#VALUE!</v>
      </c>
    </row>
    <row r="194" spans="19:77" x14ac:dyDescent="0.15">
      <c r="S194" s="46">
        <v>12</v>
      </c>
      <c r="T194" s="144">
        <v>90</v>
      </c>
      <c r="U194" s="147"/>
      <c r="V194" s="147"/>
      <c r="W194" s="147"/>
      <c r="X194" s="147"/>
      <c r="Y194" s="43">
        <f>求节点($G$37:$G$62,$I$37:$I$62,节奏预期!$AB130)</f>
        <v>30</v>
      </c>
      <c r="Z194" s="147"/>
      <c r="AA194" s="147"/>
      <c r="AB194" s="147"/>
      <c r="AC194" s="147"/>
      <c r="AD194" s="43">
        <f>求节点($G$37:$G$62,$J$37:$J$62,节奏预期!$AB130)*3</f>
        <v>162000</v>
      </c>
      <c r="AE194" s="146"/>
      <c r="AF194" s="146"/>
      <c r="AG194" s="146"/>
      <c r="AH194" s="146"/>
      <c r="AI194" s="43">
        <f>求节点($G$37:$G$62,$K$37:$K$62,节奏预期!$AB130)*3</f>
        <v>56250000</v>
      </c>
      <c r="AJ194" s="143"/>
      <c r="AK194" s="143"/>
      <c r="AL194" s="143"/>
      <c r="AM194" s="143"/>
      <c r="AN194" s="43">
        <f>求节点($G$37:$G$62,$O$37:$O$62,节奏预期!$AB130)</f>
        <v>2400</v>
      </c>
      <c r="AO194" s="160"/>
      <c r="AP194" s="159"/>
      <c r="AQ194" s="159"/>
      <c r="AR194" s="159"/>
      <c r="AS194" s="43">
        <f t="shared" si="76"/>
        <v>2400</v>
      </c>
      <c r="AT194" s="160"/>
      <c r="AU194" s="159"/>
      <c r="AV194" s="159"/>
      <c r="AW194" s="159"/>
      <c r="AX194" s="43">
        <f>求节点($G$37:$G$62,$P$37:$P$62,节奏预期!$AB130)*3</f>
        <v>39.999999999999986</v>
      </c>
      <c r="BB194" s="25">
        <v>11</v>
      </c>
      <c r="BC194" s="147">
        <v>90</v>
      </c>
      <c r="BD194" s="52">
        <f t="shared" si="77"/>
        <v>39.999999999999986</v>
      </c>
      <c r="BE194" s="52">
        <f t="shared" si="78"/>
        <v>2400</v>
      </c>
      <c r="BF194" s="52">
        <f t="shared" si="79"/>
        <v>2400</v>
      </c>
      <c r="BG194" s="109">
        <f>(BD194-BD193)*(INDEX([2]超r将兵属性验证!V$7:V$166,$BC194,1)+INDEX([2]超r将兵属性验证!$AP$7:$AP$166,$BC194,1))+BG193</f>
        <v>40430099571.322914</v>
      </c>
      <c r="BH194" s="109">
        <f>($BE194-$BE193)*INDEX([2]超r将兵属性验证!W$7:W$166,$BC194,1)+BH193</f>
        <v>13917651595.698738</v>
      </c>
      <c r="BI194" s="109">
        <f>($BF194-$BF193)*INDEX([2]超r将兵属性验证!X$7:X$166,$BC194,1)+BI193</f>
        <v>13917651595.698738</v>
      </c>
      <c r="BJ194" s="52">
        <f t="shared" si="80"/>
        <v>68265402762.72039</v>
      </c>
      <c r="BN194" s="147">
        <v>90</v>
      </c>
      <c r="BO194" s="75">
        <f t="shared" si="81"/>
        <v>972000</v>
      </c>
      <c r="BP194" s="164">
        <f>(BO194-BO193)*INDEX('[1]功能-付费相关'!$DG$6:$DG$165,$BN194,1)+BP193</f>
        <v>1917779.286245496</v>
      </c>
      <c r="BQ194" s="75">
        <f t="shared" si="82"/>
        <v>540</v>
      </c>
      <c r="BR194" s="75">
        <v>0</v>
      </c>
      <c r="BS194" s="75">
        <f t="shared" si="83"/>
        <v>337500000</v>
      </c>
      <c r="BT194" s="75" t="e">
        <f>(BS194-BS193)*INDEX('[1]功能-付费相关'!$AU$6:$AU$165,$CY194,1)+BT193</f>
        <v>#VALUE!</v>
      </c>
      <c r="BV194" s="147">
        <v>90</v>
      </c>
      <c r="BW194" s="147">
        <f t="shared" si="84"/>
        <v>1917779.286245496</v>
      </c>
      <c r="BX194" s="147" t="e">
        <f t="shared" si="75"/>
        <v>#VALUE!</v>
      </c>
      <c r="BY194" s="84" t="e">
        <f t="shared" si="85"/>
        <v>#VALUE!</v>
      </c>
    </row>
    <row r="195" spans="19:77" x14ac:dyDescent="0.15">
      <c r="S195" s="46">
        <v>13</v>
      </c>
      <c r="T195" s="144">
        <v>100</v>
      </c>
      <c r="U195" s="147"/>
      <c r="V195" s="147"/>
      <c r="W195" s="147"/>
      <c r="X195" s="147"/>
      <c r="Y195" s="43">
        <f>求节点($G$37:$G$62,$I$37:$I$62,节奏预期!$AB131)</f>
        <v>45</v>
      </c>
      <c r="Z195" s="147"/>
      <c r="AA195" s="147"/>
      <c r="AB195" s="147"/>
      <c r="AC195" s="147"/>
      <c r="AD195" s="43">
        <f>求节点($G$37:$G$62,$J$37:$J$62,节奏预期!$AB131)*3</f>
        <v>372000</v>
      </c>
      <c r="AE195" s="146"/>
      <c r="AF195" s="146"/>
      <c r="AG195" s="146"/>
      <c r="AH195" s="146"/>
      <c r="AI195" s="43">
        <f>求节点($G$37:$G$62,$K$37:$K$62,节奏预期!$AB131)*3</f>
        <v>116250000</v>
      </c>
      <c r="AJ195" s="143"/>
      <c r="AK195" s="143"/>
      <c r="AL195" s="143"/>
      <c r="AM195" s="143"/>
      <c r="AN195" s="43">
        <f>求节点($G$37:$G$62,$O$37:$O$62,节奏预期!$AB131)</f>
        <v>3000</v>
      </c>
      <c r="AO195" s="160"/>
      <c r="AP195" s="159"/>
      <c r="AQ195" s="159"/>
      <c r="AR195" s="159"/>
      <c r="AS195" s="43">
        <f t="shared" si="76"/>
        <v>3000</v>
      </c>
      <c r="AT195" s="160"/>
      <c r="AU195" s="159"/>
      <c r="AV195" s="159"/>
      <c r="AW195" s="159"/>
      <c r="AX195" s="43">
        <f>求节点($G$37:$G$62,$P$37:$P$62,节奏预期!$AB131)*3</f>
        <v>49.999999999999986</v>
      </c>
      <c r="BB195" s="25">
        <v>12</v>
      </c>
      <c r="BC195" s="147">
        <v>100</v>
      </c>
      <c r="BD195" s="52">
        <f t="shared" si="77"/>
        <v>49.999999999999986</v>
      </c>
      <c r="BE195" s="52">
        <f t="shared" si="78"/>
        <v>3000</v>
      </c>
      <c r="BF195" s="52">
        <f t="shared" si="79"/>
        <v>3000</v>
      </c>
      <c r="BG195" s="109">
        <f>(BD195-BD194)*(INDEX([2]超r将兵属性验证!V$7:V$166,$BC195,1)+INDEX([2]超r将兵属性验证!$AP$7:$AP$166,$BC195,1))+BG194</f>
        <v>72492958267.671356</v>
      </c>
      <c r="BH195" s="109">
        <f>($BE195-$BE194)*INDEX([2]超r将兵属性验证!W$7:W$166,$BC195,1)+BH194</f>
        <v>21224872862.161171</v>
      </c>
      <c r="BI195" s="109">
        <f>($BF195-$BF194)*INDEX([2]超r将兵属性验证!X$7:X$166,$BC195,1)+BI194</f>
        <v>21224872862.161171</v>
      </c>
      <c r="BJ195" s="52">
        <f t="shared" si="80"/>
        <v>114942703991.99368</v>
      </c>
      <c r="BN195" s="147">
        <v>100</v>
      </c>
      <c r="BO195" s="75">
        <f t="shared" si="81"/>
        <v>2232000</v>
      </c>
      <c r="BP195" s="164">
        <f>(BO195-BO194)*INDEX('[1]功能-付费相关'!$DG$6:$DG$165,$BN195,1)+BP194</f>
        <v>3605984.7751855263</v>
      </c>
      <c r="BQ195" s="75">
        <f t="shared" si="82"/>
        <v>810</v>
      </c>
      <c r="BR195" s="75">
        <v>0</v>
      </c>
      <c r="BS195" s="75">
        <f t="shared" si="83"/>
        <v>697500000</v>
      </c>
      <c r="BT195" s="75" t="e">
        <f>(BS195-BS194)*INDEX('[1]功能-付费相关'!$AU$6:$AU$165,$CY195,1)+BT194</f>
        <v>#VALUE!</v>
      </c>
      <c r="BV195" s="147">
        <v>100</v>
      </c>
      <c r="BW195" s="147">
        <f t="shared" si="84"/>
        <v>3605984.7751855263</v>
      </c>
      <c r="BX195" s="147" t="e">
        <f t="shared" si="75"/>
        <v>#VALUE!</v>
      </c>
      <c r="BY195" s="84" t="e">
        <f t="shared" si="85"/>
        <v>#VALUE!</v>
      </c>
    </row>
    <row r="196" spans="19:77" x14ac:dyDescent="0.15">
      <c r="S196" s="46">
        <v>14</v>
      </c>
      <c r="T196" s="144">
        <v>110</v>
      </c>
      <c r="U196" s="147"/>
      <c r="V196" s="147"/>
      <c r="W196" s="147"/>
      <c r="X196" s="147"/>
      <c r="Y196" s="43">
        <f>求节点($G$37:$G$62,$I$37:$I$62,节奏预期!$AB132)</f>
        <v>45</v>
      </c>
      <c r="Z196" s="147"/>
      <c r="AA196" s="147"/>
      <c r="AB196" s="147"/>
      <c r="AC196" s="147"/>
      <c r="AD196" s="43">
        <f>求节点($G$37:$G$62,$J$37:$J$62,节奏预期!$AB132)*3</f>
        <v>372000</v>
      </c>
      <c r="AE196" s="146"/>
      <c r="AF196" s="146"/>
      <c r="AG196" s="146"/>
      <c r="AH196" s="146"/>
      <c r="AI196" s="43">
        <f>求节点($G$37:$G$62,$K$37:$K$62,节奏预期!$AB132)*3</f>
        <v>116250000</v>
      </c>
      <c r="AJ196" s="143"/>
      <c r="AK196" s="143"/>
      <c r="AL196" s="143"/>
      <c r="AM196" s="143"/>
      <c r="AN196" s="43">
        <f>求节点($G$37:$G$62,$O$37:$O$62,节奏预期!$AB132)</f>
        <v>3000</v>
      </c>
      <c r="AO196" s="160"/>
      <c r="AP196" s="159"/>
      <c r="AQ196" s="159"/>
      <c r="AR196" s="159"/>
      <c r="AS196" s="43">
        <f t="shared" si="76"/>
        <v>3000</v>
      </c>
      <c r="AT196" s="160"/>
      <c r="AU196" s="159"/>
      <c r="AV196" s="159"/>
      <c r="AW196" s="159"/>
      <c r="AX196" s="43">
        <f>求节点($G$37:$G$62,$P$37:$P$62,节奏预期!$AB132)*3</f>
        <v>49.999999999999986</v>
      </c>
      <c r="BB196" s="25">
        <v>13</v>
      </c>
      <c r="BC196" s="147">
        <v>110</v>
      </c>
      <c r="BD196" s="52">
        <f t="shared" si="77"/>
        <v>49.999999999999986</v>
      </c>
      <c r="BE196" s="52">
        <f t="shared" si="78"/>
        <v>3000</v>
      </c>
      <c r="BF196" s="52">
        <f t="shared" si="79"/>
        <v>3000</v>
      </c>
      <c r="BG196" s="109">
        <f>(BD196-BD195)*(INDEX([2]超r将兵属性验证!V$7:V$166,$BC196,1)+INDEX([2]超r将兵属性验证!$AP$7:$AP$166,$BC196,1))+BG195</f>
        <v>72492958267.671356</v>
      </c>
      <c r="BH196" s="109">
        <f>($BE196-$BE195)*INDEX([2]超r将兵属性验证!W$7:W$166,$BC196,1)+BH195</f>
        <v>21224872862.161171</v>
      </c>
      <c r="BI196" s="109">
        <f>($BF196-$BF195)*INDEX([2]超r将兵属性验证!X$7:X$166,$BC196,1)+BI195</f>
        <v>21224872862.161171</v>
      </c>
      <c r="BJ196" s="52">
        <f t="shared" si="80"/>
        <v>114942703991.99368</v>
      </c>
      <c r="BN196" s="147">
        <v>110</v>
      </c>
      <c r="BO196" s="75">
        <f t="shared" si="81"/>
        <v>2232000</v>
      </c>
      <c r="BP196" s="164">
        <f>(BO196-BO195)*INDEX('[1]功能-付费相关'!$DG$6:$DG$165,$BN196,1)+BP195</f>
        <v>3605984.7751855263</v>
      </c>
      <c r="BQ196" s="75">
        <f t="shared" si="82"/>
        <v>810</v>
      </c>
      <c r="BR196" s="75">
        <v>0</v>
      </c>
      <c r="BS196" s="75">
        <f t="shared" si="83"/>
        <v>697500000</v>
      </c>
      <c r="BT196" s="75" t="e">
        <f>(BS196-BS195)*INDEX('[1]功能-付费相关'!$AU$6:$AU$165,$CY196,1)+BT195</f>
        <v>#VALUE!</v>
      </c>
      <c r="BV196" s="147">
        <v>110</v>
      </c>
      <c r="BW196" s="147">
        <f t="shared" si="84"/>
        <v>3605984.7751855263</v>
      </c>
      <c r="BX196" s="147" t="e">
        <f t="shared" si="75"/>
        <v>#VALUE!</v>
      </c>
      <c r="BY196" s="84" t="e">
        <f t="shared" si="85"/>
        <v>#VALUE!</v>
      </c>
    </row>
    <row r="197" spans="19:77" x14ac:dyDescent="0.15">
      <c r="S197" s="46">
        <v>15</v>
      </c>
      <c r="T197" s="144">
        <v>120</v>
      </c>
      <c r="U197" s="147"/>
      <c r="V197" s="147"/>
      <c r="W197" s="147"/>
      <c r="X197" s="147"/>
      <c r="Y197" s="43">
        <f>求节点($G$37:$G$62,$I$37:$I$62,节奏预期!$AB133)</f>
        <v>45</v>
      </c>
      <c r="Z197" s="147"/>
      <c r="AA197" s="147"/>
      <c r="AB197" s="147"/>
      <c r="AC197" s="147"/>
      <c r="AD197" s="43">
        <f>求节点($G$37:$G$62,$J$37:$J$62,节奏预期!$AB133)*3</f>
        <v>372000</v>
      </c>
      <c r="AE197" s="146"/>
      <c r="AF197" s="146"/>
      <c r="AG197" s="146"/>
      <c r="AH197" s="146"/>
      <c r="AI197" s="43">
        <f>求节点($G$37:$G$62,$K$37:$K$62,节奏预期!$AB133)*3</f>
        <v>116250000</v>
      </c>
      <c r="AJ197" s="143"/>
      <c r="AK197" s="143"/>
      <c r="AL197" s="143"/>
      <c r="AM197" s="143"/>
      <c r="AN197" s="43">
        <f>求节点($G$37:$G$62,$O$37:$O$62,节奏预期!$AB133)</f>
        <v>3000</v>
      </c>
      <c r="AO197" s="160"/>
      <c r="AP197" s="159"/>
      <c r="AQ197" s="159"/>
      <c r="AR197" s="159"/>
      <c r="AS197" s="43">
        <f t="shared" si="76"/>
        <v>3000</v>
      </c>
      <c r="AT197" s="160"/>
      <c r="AU197" s="159"/>
      <c r="AV197" s="159"/>
      <c r="AW197" s="159"/>
      <c r="AX197" s="43">
        <f>求节点($G$37:$G$62,$P$37:$P$62,节奏预期!$AB133)*3</f>
        <v>49.999999999999986</v>
      </c>
      <c r="BB197" s="25">
        <v>14</v>
      </c>
      <c r="BC197" s="147">
        <v>120</v>
      </c>
      <c r="BD197" s="52">
        <f t="shared" si="77"/>
        <v>49.999999999999986</v>
      </c>
      <c r="BE197" s="52">
        <f t="shared" si="78"/>
        <v>3000</v>
      </c>
      <c r="BF197" s="52">
        <f t="shared" si="79"/>
        <v>3000</v>
      </c>
      <c r="BG197" s="109">
        <f>(BD197-BD196)*(INDEX([2]超r将兵属性验证!V$7:V$166,$BC197,1)+INDEX([2]超r将兵属性验证!$AP$7:$AP$166,$BC197,1))+BG196</f>
        <v>72492958267.671356</v>
      </c>
      <c r="BH197" s="109">
        <f>($BE197-$BE196)*INDEX([2]超r将兵属性验证!W$7:W$166,$BC197,1)+BH196</f>
        <v>21224872862.161171</v>
      </c>
      <c r="BI197" s="109">
        <f>($BF197-$BF196)*INDEX([2]超r将兵属性验证!X$7:X$166,$BC197,1)+BI196</f>
        <v>21224872862.161171</v>
      </c>
      <c r="BJ197" s="52">
        <f t="shared" si="80"/>
        <v>114942703991.99368</v>
      </c>
      <c r="BN197" s="147">
        <v>120</v>
      </c>
      <c r="BO197" s="75">
        <f t="shared" si="81"/>
        <v>2232000</v>
      </c>
      <c r="BP197" s="164">
        <f>(BO197-BO196)*INDEX('[1]功能-付费相关'!$DG$6:$DG$165,$BN197,1)+BP196</f>
        <v>3605984.7751855263</v>
      </c>
      <c r="BQ197" s="75">
        <f t="shared" si="82"/>
        <v>810</v>
      </c>
      <c r="BR197" s="75">
        <v>0</v>
      </c>
      <c r="BS197" s="75">
        <f t="shared" si="83"/>
        <v>697500000</v>
      </c>
      <c r="BT197" s="75" t="e">
        <f>(BS197-BS196)*INDEX('[1]功能-付费相关'!$AU$6:$AU$165,$CY197,1)+BT196</f>
        <v>#VALUE!</v>
      </c>
      <c r="BV197" s="147">
        <v>120</v>
      </c>
      <c r="BW197" s="147">
        <f t="shared" si="84"/>
        <v>3605984.7751855263</v>
      </c>
      <c r="BX197" s="147" t="e">
        <f t="shared" si="75"/>
        <v>#VALUE!</v>
      </c>
      <c r="BY197" s="84" t="e">
        <f t="shared" si="85"/>
        <v>#VALUE!</v>
      </c>
    </row>
    <row r="198" spans="19:77" x14ac:dyDescent="0.15">
      <c r="S198" s="46">
        <v>16</v>
      </c>
      <c r="T198" s="144">
        <v>130</v>
      </c>
      <c r="U198" s="147"/>
      <c r="V198" s="147"/>
      <c r="W198" s="147"/>
      <c r="X198" s="147"/>
      <c r="Y198" s="43">
        <f>求节点($G$37:$G$62,$I$37:$I$62,节奏预期!$AB134)</f>
        <v>45</v>
      </c>
      <c r="Z198" s="147"/>
      <c r="AA198" s="147"/>
      <c r="AB198" s="147"/>
      <c r="AC198" s="147"/>
      <c r="AD198" s="43">
        <f>求节点($G$37:$G$62,$J$37:$J$62,节奏预期!$AB134)*3</f>
        <v>372000</v>
      </c>
      <c r="AE198" s="146"/>
      <c r="AF198" s="146"/>
      <c r="AG198" s="146"/>
      <c r="AH198" s="146"/>
      <c r="AI198" s="43">
        <f>求节点($G$37:$G$62,$K$37:$K$62,节奏预期!$AB134)*3</f>
        <v>116250000</v>
      </c>
      <c r="AJ198" s="143"/>
      <c r="AK198" s="143"/>
      <c r="AL198" s="143"/>
      <c r="AM198" s="143"/>
      <c r="AN198" s="43">
        <f>求节点($G$37:$G$62,$O$37:$O$62,节奏预期!$AB134)</f>
        <v>3000</v>
      </c>
      <c r="AO198" s="160"/>
      <c r="AP198" s="159"/>
      <c r="AQ198" s="159"/>
      <c r="AR198" s="159"/>
      <c r="AS198" s="43">
        <f t="shared" si="76"/>
        <v>3000</v>
      </c>
      <c r="AT198" s="160"/>
      <c r="AU198" s="159"/>
      <c r="AV198" s="159"/>
      <c r="AW198" s="159"/>
      <c r="AX198" s="43">
        <f>求节点($G$37:$G$62,$P$37:$P$62,节奏预期!$AB134)*3</f>
        <v>49.999999999999986</v>
      </c>
      <c r="BB198" s="25">
        <v>15</v>
      </c>
      <c r="BC198" s="147">
        <v>130</v>
      </c>
      <c r="BD198" s="52">
        <f t="shared" si="77"/>
        <v>49.999999999999986</v>
      </c>
      <c r="BE198" s="52">
        <f t="shared" si="78"/>
        <v>3000</v>
      </c>
      <c r="BF198" s="52">
        <f t="shared" si="79"/>
        <v>3000</v>
      </c>
      <c r="BG198" s="109">
        <f>(BD198-BD197)*(INDEX([2]超r将兵属性验证!V$7:V$166,$BC198,1)+INDEX([2]超r将兵属性验证!$AP$7:$AP$166,$BC198,1))+BG197</f>
        <v>72492958267.671356</v>
      </c>
      <c r="BH198" s="109">
        <f>($BE198-$BE197)*INDEX([2]超r将兵属性验证!W$7:W$166,$BC198,1)+BH197</f>
        <v>21224872862.161171</v>
      </c>
      <c r="BI198" s="109">
        <f>($BF198-$BF197)*INDEX([2]超r将兵属性验证!X$7:X$166,$BC198,1)+BI197</f>
        <v>21224872862.161171</v>
      </c>
      <c r="BJ198" s="52">
        <f t="shared" si="80"/>
        <v>114942703991.99368</v>
      </c>
      <c r="BN198" s="147">
        <v>130</v>
      </c>
      <c r="BO198" s="75">
        <f t="shared" si="81"/>
        <v>2232000</v>
      </c>
      <c r="BP198" s="164">
        <f>(BO198-BO197)*INDEX('[1]功能-付费相关'!$DG$6:$DG$165,$BN198,1)+BP197</f>
        <v>3605984.7751855263</v>
      </c>
      <c r="BQ198" s="75">
        <f t="shared" si="82"/>
        <v>810</v>
      </c>
      <c r="BR198" s="75">
        <v>0</v>
      </c>
      <c r="BS198" s="75">
        <f t="shared" si="83"/>
        <v>697500000</v>
      </c>
      <c r="BT198" s="75" t="e">
        <f>(BS198-BS197)*INDEX('[1]功能-付费相关'!$AU$6:$AU$165,$CY198,1)+BT197</f>
        <v>#VALUE!</v>
      </c>
      <c r="BV198" s="147">
        <v>130</v>
      </c>
      <c r="BW198" s="147">
        <f t="shared" si="84"/>
        <v>3605984.7751855263</v>
      </c>
      <c r="BX198" s="147" t="e">
        <f t="shared" si="75"/>
        <v>#VALUE!</v>
      </c>
      <c r="BY198" s="84" t="e">
        <f t="shared" si="85"/>
        <v>#VALUE!</v>
      </c>
    </row>
    <row r="199" spans="19:77" x14ac:dyDescent="0.15">
      <c r="S199" s="46">
        <v>17</v>
      </c>
      <c r="T199" s="144">
        <v>140</v>
      </c>
      <c r="U199" s="147"/>
      <c r="V199" s="147"/>
      <c r="W199" s="147"/>
      <c r="X199" s="147"/>
      <c r="Y199" s="43">
        <f>求节点($G$37:$G$62,$I$37:$I$62,节奏预期!$AB135)</f>
        <v>45</v>
      </c>
      <c r="Z199" s="147"/>
      <c r="AA199" s="147"/>
      <c r="AB199" s="147"/>
      <c r="AC199" s="147"/>
      <c r="AD199" s="43">
        <f>求节点($G$37:$G$62,$J$37:$J$62,节奏预期!$AB135)*3</f>
        <v>372000</v>
      </c>
      <c r="AE199" s="146"/>
      <c r="AF199" s="146"/>
      <c r="AG199" s="146"/>
      <c r="AH199" s="146"/>
      <c r="AI199" s="43">
        <f>求节点($G$37:$G$62,$K$37:$K$62,节奏预期!$AB135)*3</f>
        <v>116250000</v>
      </c>
      <c r="AJ199" s="143"/>
      <c r="AK199" s="143"/>
      <c r="AL199" s="143"/>
      <c r="AM199" s="143"/>
      <c r="AN199" s="43">
        <f>求节点($G$37:$G$62,$O$37:$O$62,节奏预期!$AB135)</f>
        <v>3000</v>
      </c>
      <c r="AO199" s="160"/>
      <c r="AP199" s="159"/>
      <c r="AQ199" s="159"/>
      <c r="AR199" s="159"/>
      <c r="AS199" s="43">
        <f t="shared" si="76"/>
        <v>3000</v>
      </c>
      <c r="AT199" s="160"/>
      <c r="AU199" s="159"/>
      <c r="AV199" s="159"/>
      <c r="AW199" s="159"/>
      <c r="AX199" s="43">
        <f>求节点($G$37:$G$62,$P$37:$P$62,节奏预期!$AB135)*3</f>
        <v>49.999999999999986</v>
      </c>
      <c r="BB199" s="25">
        <v>16</v>
      </c>
      <c r="BC199" s="147">
        <v>140</v>
      </c>
      <c r="BD199" s="52">
        <f t="shared" si="77"/>
        <v>49.999999999999986</v>
      </c>
      <c r="BE199" s="52">
        <f t="shared" si="78"/>
        <v>3000</v>
      </c>
      <c r="BF199" s="52">
        <f t="shared" si="79"/>
        <v>3000</v>
      </c>
      <c r="BG199" s="109">
        <f>(BD199-BD198)*(INDEX([2]超r将兵属性验证!V$7:V$166,$BC199,1)+INDEX([2]超r将兵属性验证!$AP$7:$AP$166,$BC199,1))+BG198</f>
        <v>72492958267.671356</v>
      </c>
      <c r="BH199" s="109">
        <f>($BE199-$BE198)*INDEX([2]超r将兵属性验证!W$7:W$166,$BC199,1)+BH198</f>
        <v>21224872862.161171</v>
      </c>
      <c r="BI199" s="109">
        <f>($BF199-$BF198)*INDEX([2]超r将兵属性验证!X$7:X$166,$BC199,1)+BI198</f>
        <v>21224872862.161171</v>
      </c>
      <c r="BJ199" s="52">
        <f t="shared" si="80"/>
        <v>114942703991.99368</v>
      </c>
      <c r="BN199" s="147">
        <v>140</v>
      </c>
      <c r="BO199" s="75">
        <f t="shared" si="81"/>
        <v>2232000</v>
      </c>
      <c r="BP199" s="164">
        <f>(BO199-BO198)*INDEX('[1]功能-付费相关'!$DG$6:$DG$165,$BN199,1)+BP198</f>
        <v>3605984.7751855263</v>
      </c>
      <c r="BQ199" s="75">
        <f t="shared" si="82"/>
        <v>810</v>
      </c>
      <c r="BR199" s="75">
        <v>0</v>
      </c>
      <c r="BS199" s="75">
        <f t="shared" si="83"/>
        <v>697500000</v>
      </c>
      <c r="BT199" s="75" t="e">
        <f>(BS199-BS198)*INDEX('[1]功能-付费相关'!$AU$6:$AU$165,$CY199,1)+BT198</f>
        <v>#VALUE!</v>
      </c>
      <c r="BV199" s="147">
        <v>140</v>
      </c>
      <c r="BW199" s="147">
        <f t="shared" si="84"/>
        <v>3605984.7751855263</v>
      </c>
      <c r="BX199" s="147" t="e">
        <f t="shared" si="75"/>
        <v>#VALUE!</v>
      </c>
      <c r="BY199" s="84" t="e">
        <f t="shared" si="85"/>
        <v>#VALUE!</v>
      </c>
    </row>
    <row r="200" spans="19:77" x14ac:dyDescent="0.15">
      <c r="S200" s="46">
        <v>18</v>
      </c>
      <c r="T200" s="144">
        <v>150</v>
      </c>
      <c r="U200" s="147"/>
      <c r="V200" s="147"/>
      <c r="W200" s="147"/>
      <c r="X200" s="147"/>
      <c r="Y200" s="43">
        <f>求节点($G$37:$G$62,$I$37:$I$62,节奏预期!$AB136)</f>
        <v>45</v>
      </c>
      <c r="Z200" s="147"/>
      <c r="AA200" s="147"/>
      <c r="AB200" s="147"/>
      <c r="AC200" s="147"/>
      <c r="AD200" s="43">
        <f>求节点($G$37:$G$62,$J$37:$J$62,节奏预期!$AB136)*3</f>
        <v>372000</v>
      </c>
      <c r="AE200" s="146"/>
      <c r="AF200" s="146"/>
      <c r="AG200" s="146"/>
      <c r="AH200" s="146"/>
      <c r="AI200" s="43">
        <f>求节点($G$37:$G$62,$K$37:$K$62,节奏预期!$AB136)*3</f>
        <v>116250000</v>
      </c>
      <c r="AJ200" s="143"/>
      <c r="AK200" s="143"/>
      <c r="AL200" s="143"/>
      <c r="AM200" s="143"/>
      <c r="AN200" s="43">
        <f>求节点($G$37:$G$62,$O$37:$O$62,节奏预期!$AB136)</f>
        <v>3000</v>
      </c>
      <c r="AO200" s="160"/>
      <c r="AP200" s="159"/>
      <c r="AQ200" s="159"/>
      <c r="AR200" s="159"/>
      <c r="AS200" s="43">
        <f t="shared" si="76"/>
        <v>3000</v>
      </c>
      <c r="AT200" s="160"/>
      <c r="AU200" s="159"/>
      <c r="AV200" s="159"/>
      <c r="AW200" s="159"/>
      <c r="AX200" s="43">
        <f>求节点($G$37:$G$62,$P$37:$P$62,节奏预期!$AB136)*3</f>
        <v>49.999999999999986</v>
      </c>
      <c r="BB200" s="25">
        <v>17</v>
      </c>
      <c r="BC200" s="147">
        <v>150</v>
      </c>
      <c r="BD200" s="52">
        <f t="shared" si="77"/>
        <v>49.999999999999986</v>
      </c>
      <c r="BE200" s="52">
        <f t="shared" si="78"/>
        <v>3000</v>
      </c>
      <c r="BF200" s="52">
        <f t="shared" si="79"/>
        <v>3000</v>
      </c>
      <c r="BG200" s="109">
        <f>(BD200-BD199)*(INDEX([2]超r将兵属性验证!V$7:V$166,$BC200,1)+INDEX([2]超r将兵属性验证!$AP$7:$AP$166,$BC200,1))+BG199</f>
        <v>72492958267.671356</v>
      </c>
      <c r="BH200" s="109">
        <f>($BE200-$BE199)*INDEX([2]超r将兵属性验证!W$7:W$166,$BC200,1)+BH199</f>
        <v>21224872862.161171</v>
      </c>
      <c r="BI200" s="109">
        <f>($BF200-$BF199)*INDEX([2]超r将兵属性验证!X$7:X$166,$BC200,1)+BI199</f>
        <v>21224872862.161171</v>
      </c>
      <c r="BJ200" s="52">
        <f t="shared" si="80"/>
        <v>114942703991.99368</v>
      </c>
      <c r="BN200" s="147">
        <v>150</v>
      </c>
      <c r="BO200" s="75">
        <f t="shared" si="81"/>
        <v>2232000</v>
      </c>
      <c r="BP200" s="164">
        <f>(BO200-BO199)*INDEX('[1]功能-付费相关'!$DG$6:$DG$165,$BN200,1)+BP199</f>
        <v>3605984.7751855263</v>
      </c>
      <c r="BQ200" s="75">
        <f t="shared" si="82"/>
        <v>810</v>
      </c>
      <c r="BR200" s="75">
        <v>0</v>
      </c>
      <c r="BS200" s="75">
        <f t="shared" si="83"/>
        <v>697500000</v>
      </c>
      <c r="BT200" s="75" t="e">
        <f>(BS200-BS199)*INDEX('[1]功能-付费相关'!$AU$6:$AU$165,$CY200,1)+BT199</f>
        <v>#VALUE!</v>
      </c>
      <c r="BV200" s="147">
        <v>150</v>
      </c>
      <c r="BW200" s="147">
        <f t="shared" si="84"/>
        <v>3605984.7751855263</v>
      </c>
      <c r="BX200" s="147" t="e">
        <f t="shared" si="75"/>
        <v>#VALUE!</v>
      </c>
      <c r="BY200" s="84" t="e">
        <f t="shared" si="85"/>
        <v>#VALUE!</v>
      </c>
    </row>
    <row r="201" spans="19:77" x14ac:dyDescent="0.15">
      <c r="S201" s="46">
        <v>19</v>
      </c>
      <c r="T201" s="144">
        <v>160</v>
      </c>
      <c r="U201" s="147"/>
      <c r="V201" s="147"/>
      <c r="W201" s="147"/>
      <c r="X201" s="147"/>
      <c r="Y201" s="43">
        <f>求节点($G$37:$G$62,$I$37:$I$62,节奏预期!$AB137)</f>
        <v>45</v>
      </c>
      <c r="Z201" s="147"/>
      <c r="AA201" s="147"/>
      <c r="AB201" s="147"/>
      <c r="AC201" s="147"/>
      <c r="AD201" s="43">
        <f>求节点($G$37:$G$62,$J$37:$J$62,节奏预期!$AB137)*3</f>
        <v>372000</v>
      </c>
      <c r="AE201" s="146"/>
      <c r="AF201" s="146"/>
      <c r="AG201" s="146"/>
      <c r="AH201" s="146"/>
      <c r="AI201" s="43">
        <f>求节点($G$37:$G$62,$K$37:$K$62,节奏预期!$AB137)*3</f>
        <v>116250000</v>
      </c>
      <c r="AJ201" s="143"/>
      <c r="AK201" s="143"/>
      <c r="AL201" s="143"/>
      <c r="AM201" s="143"/>
      <c r="AN201" s="43">
        <f>求节点($G$37:$G$62,$O$37:$O$62,节奏预期!$AB137)</f>
        <v>3000</v>
      </c>
      <c r="AO201" s="160"/>
      <c r="AP201" s="159"/>
      <c r="AQ201" s="159"/>
      <c r="AR201" s="159"/>
      <c r="AS201" s="43">
        <f t="shared" si="76"/>
        <v>3000</v>
      </c>
      <c r="AT201" s="160"/>
      <c r="AU201" s="159"/>
      <c r="AV201" s="159"/>
      <c r="AW201" s="159"/>
      <c r="AX201" s="43">
        <f>求节点($G$37:$G$62,$P$37:$P$62,节奏预期!$AB137)*3</f>
        <v>49.999999999999986</v>
      </c>
      <c r="BB201" s="25">
        <v>18</v>
      </c>
      <c r="BC201" s="147">
        <v>160</v>
      </c>
      <c r="BD201" s="52">
        <f t="shared" si="77"/>
        <v>49.999999999999986</v>
      </c>
      <c r="BE201" s="52">
        <f t="shared" si="78"/>
        <v>3000</v>
      </c>
      <c r="BF201" s="52">
        <f t="shared" si="79"/>
        <v>3000</v>
      </c>
      <c r="BG201" s="109">
        <f>(BD201-BD200)*(INDEX([2]超r将兵属性验证!V$7:V$166,$BC201,1)+INDEX([2]超r将兵属性验证!$AP$7:$AP$166,$BC201,1))+BG200</f>
        <v>72492958267.671356</v>
      </c>
      <c r="BH201" s="109">
        <f>($BE201-$BE200)*INDEX([2]超r将兵属性验证!W$7:W$166,$BC201,1)+BH200</f>
        <v>21224872862.161171</v>
      </c>
      <c r="BI201" s="109">
        <f>($BF201-$BF200)*INDEX([2]超r将兵属性验证!X$7:X$166,$BC201,1)+BI200</f>
        <v>21224872862.161171</v>
      </c>
      <c r="BJ201" s="52">
        <f t="shared" si="80"/>
        <v>114942703991.99368</v>
      </c>
      <c r="BN201" s="147">
        <v>160</v>
      </c>
      <c r="BO201" s="75">
        <f t="shared" si="81"/>
        <v>2232000</v>
      </c>
      <c r="BP201" s="164">
        <f>(BO201-BO200)*INDEX('[1]功能-付费相关'!$DG$6:$DG$165,$BN201,1)+BP200</f>
        <v>3605984.7751855263</v>
      </c>
      <c r="BQ201" s="75">
        <f t="shared" si="82"/>
        <v>810</v>
      </c>
      <c r="BR201" s="75">
        <v>0</v>
      </c>
      <c r="BS201" s="75">
        <f t="shared" si="83"/>
        <v>697500000</v>
      </c>
      <c r="BT201" s="75" t="e">
        <f>(BS201-BS200)*INDEX('[1]功能-付费相关'!$AU$6:$AU$165,$CY201,1)+BT200</f>
        <v>#VALUE!</v>
      </c>
      <c r="BV201" s="147">
        <v>160</v>
      </c>
      <c r="BW201" s="147">
        <f t="shared" si="84"/>
        <v>3605984.7751855263</v>
      </c>
      <c r="BX201" s="147" t="e">
        <f t="shared" si="75"/>
        <v>#VALUE!</v>
      </c>
      <c r="BY201" s="84" t="e">
        <f t="shared" si="85"/>
        <v>#VALUE!</v>
      </c>
    </row>
    <row r="202" spans="19:77" x14ac:dyDescent="0.15">
      <c r="S202" s="46">
        <v>20</v>
      </c>
      <c r="T202" s="69"/>
      <c r="U202" s="36"/>
      <c r="V202" s="36"/>
      <c r="W202" s="36"/>
      <c r="X202" s="36"/>
      <c r="Y202" s="36"/>
      <c r="Z202" s="36"/>
      <c r="AA202" s="36"/>
      <c r="AB202" s="36"/>
      <c r="AC202" s="36"/>
      <c r="AD202" s="36"/>
      <c r="AE202" s="36"/>
      <c r="AF202" s="36"/>
      <c r="AG202" s="36"/>
      <c r="AH202" s="36"/>
      <c r="AI202" s="36"/>
      <c r="BB202" s="25">
        <v>19</v>
      </c>
    </row>
    <row r="203" spans="19:77" x14ac:dyDescent="0.15">
      <c r="S203" s="46">
        <v>21</v>
      </c>
      <c r="T203" s="36"/>
      <c r="U203" s="36"/>
      <c r="V203" s="36"/>
      <c r="W203" s="36"/>
      <c r="X203" s="36"/>
      <c r="Y203" s="36"/>
      <c r="Z203" s="36"/>
      <c r="AA203" s="36"/>
      <c r="AB203" s="36"/>
      <c r="AC203" s="36"/>
      <c r="AD203" s="36"/>
      <c r="AE203" s="36"/>
      <c r="AF203" s="36"/>
      <c r="AG203" s="36"/>
      <c r="AH203" s="36"/>
      <c r="AI203" s="36"/>
      <c r="BB203" s="25">
        <v>20</v>
      </c>
    </row>
    <row r="204" spans="19:77" x14ac:dyDescent="0.15">
      <c r="S204" s="46">
        <v>22</v>
      </c>
      <c r="T204" s="36"/>
      <c r="U204" s="36"/>
      <c r="V204" s="36"/>
      <c r="W204" s="36"/>
      <c r="X204" s="36"/>
      <c r="Y204" s="36"/>
      <c r="Z204" s="36"/>
      <c r="AA204" s="36"/>
      <c r="AB204" s="36"/>
      <c r="AC204" s="36"/>
      <c r="AD204" s="36"/>
      <c r="AE204" s="36"/>
      <c r="AF204" s="36"/>
      <c r="AG204" s="36"/>
      <c r="AH204" s="36"/>
      <c r="AI204" s="36"/>
      <c r="BB204" s="25">
        <v>21</v>
      </c>
    </row>
    <row r="205" spans="19:77" x14ac:dyDescent="0.15">
      <c r="S205" s="46">
        <v>23</v>
      </c>
      <c r="T205" s="36"/>
      <c r="U205" s="36"/>
      <c r="V205" s="36"/>
      <c r="W205" s="36"/>
      <c r="X205" s="36"/>
      <c r="Y205" s="36"/>
      <c r="Z205" s="36"/>
      <c r="AA205" s="36"/>
      <c r="AB205" s="36"/>
      <c r="AC205" s="36"/>
      <c r="AD205" s="36"/>
      <c r="AE205" s="36"/>
      <c r="AF205" s="36"/>
      <c r="AG205" s="36"/>
      <c r="AH205" s="36"/>
      <c r="AI205" s="36"/>
      <c r="BB205" s="25">
        <v>22</v>
      </c>
    </row>
    <row r="206" spans="19:77" x14ac:dyDescent="0.15">
      <c r="S206" s="46">
        <v>24</v>
      </c>
      <c r="T206" s="36"/>
      <c r="U206" s="36"/>
      <c r="V206" s="36"/>
      <c r="W206" s="36"/>
      <c r="X206" s="36"/>
      <c r="Y206" s="36"/>
      <c r="Z206" s="36"/>
      <c r="AA206" s="36"/>
      <c r="AB206" s="36"/>
      <c r="AC206" s="36"/>
      <c r="AD206" s="36"/>
      <c r="AE206" s="36"/>
      <c r="AF206" s="36"/>
      <c r="AG206" s="36"/>
      <c r="AH206" s="36"/>
      <c r="AI206" s="36"/>
      <c r="BB206" s="25">
        <v>23</v>
      </c>
    </row>
    <row r="207" spans="19:77" x14ac:dyDescent="0.15">
      <c r="S207" s="46">
        <v>25</v>
      </c>
      <c r="T207" s="36"/>
      <c r="U207" s="36"/>
      <c r="V207" s="36"/>
      <c r="W207" s="36"/>
      <c r="X207" s="36"/>
      <c r="Y207" s="36"/>
      <c r="Z207" s="36"/>
      <c r="AA207" s="36"/>
      <c r="AB207" s="36"/>
      <c r="AC207" s="36"/>
      <c r="AD207" s="36"/>
      <c r="AE207" s="36"/>
      <c r="AF207" s="36"/>
      <c r="AG207" s="36"/>
      <c r="AH207" s="36"/>
      <c r="AI207" s="36"/>
      <c r="BB207" s="25">
        <v>24</v>
      </c>
    </row>
    <row r="208" spans="19:77" x14ac:dyDescent="0.15">
      <c r="S208" s="46">
        <v>26</v>
      </c>
      <c r="T208" s="36"/>
      <c r="U208" s="36"/>
      <c r="V208" s="36"/>
      <c r="W208" s="36"/>
      <c r="X208" s="36"/>
      <c r="Y208" s="36"/>
      <c r="Z208" s="36"/>
      <c r="AA208" s="36"/>
      <c r="AB208" s="36"/>
      <c r="AC208" s="36"/>
      <c r="AD208" s="36"/>
      <c r="AE208" s="36"/>
      <c r="AF208" s="36"/>
      <c r="AG208" s="36"/>
      <c r="AH208" s="36"/>
      <c r="AI208" s="36"/>
      <c r="BB208" s="25">
        <v>25</v>
      </c>
    </row>
    <row r="209" spans="19:66" x14ac:dyDescent="0.15">
      <c r="S209" s="46">
        <v>27</v>
      </c>
      <c r="T209" s="36"/>
      <c r="U209" s="36"/>
      <c r="V209" s="36"/>
      <c r="W209" s="36"/>
      <c r="X209" s="36"/>
      <c r="Y209" s="36"/>
      <c r="Z209" s="36"/>
      <c r="AA209" s="36"/>
      <c r="AB209" s="36"/>
      <c r="AC209" s="36"/>
      <c r="AD209" s="36"/>
      <c r="AE209" s="36"/>
      <c r="AF209" s="36"/>
      <c r="AG209" s="36"/>
      <c r="AH209" s="36"/>
      <c r="AI209" s="36"/>
      <c r="BB209" s="25">
        <v>26</v>
      </c>
      <c r="BN209" s="36"/>
    </row>
    <row r="210" spans="19:66" x14ac:dyDescent="0.15">
      <c r="S210" s="46">
        <v>28</v>
      </c>
      <c r="T210" s="36"/>
      <c r="U210" s="36"/>
      <c r="V210" s="36"/>
      <c r="W210" s="36"/>
      <c r="X210" s="36"/>
      <c r="Y210" s="36"/>
      <c r="Z210" s="36"/>
      <c r="AA210" s="36"/>
      <c r="AB210" s="36"/>
      <c r="AC210" s="36"/>
      <c r="AD210" s="36"/>
      <c r="AE210" s="36"/>
      <c r="AF210" s="36"/>
      <c r="AG210" s="36"/>
      <c r="AH210" s="36"/>
      <c r="AI210" s="36"/>
      <c r="BB210" s="25">
        <v>27</v>
      </c>
      <c r="BN210" s="36"/>
    </row>
    <row r="211" spans="19:66" x14ac:dyDescent="0.15">
      <c r="S211" s="46">
        <v>29</v>
      </c>
      <c r="T211" s="36"/>
      <c r="U211" s="36"/>
      <c r="V211" s="36"/>
      <c r="W211" s="36"/>
      <c r="X211" s="36"/>
      <c r="Y211" s="36"/>
      <c r="Z211" s="36"/>
      <c r="AA211" s="36"/>
      <c r="AB211" s="36"/>
      <c r="AC211" s="36"/>
      <c r="AD211" s="36"/>
      <c r="AE211" s="36"/>
      <c r="AF211" s="36"/>
      <c r="AG211" s="36"/>
      <c r="AH211" s="36"/>
      <c r="AI211" s="36"/>
      <c r="BB211" s="25">
        <v>28</v>
      </c>
    </row>
    <row r="212" spans="19:66" x14ac:dyDescent="0.15">
      <c r="S212" s="46">
        <v>30</v>
      </c>
      <c r="BB212" s="25">
        <v>29</v>
      </c>
    </row>
    <row r="213" spans="19:66" x14ac:dyDescent="0.15">
      <c r="S213" s="46">
        <v>31</v>
      </c>
      <c r="BB213" s="25">
        <v>30</v>
      </c>
    </row>
    <row r="214" spans="19:66" x14ac:dyDescent="0.15">
      <c r="S214" s="46">
        <v>32</v>
      </c>
      <c r="BB214" s="25">
        <v>31</v>
      </c>
    </row>
    <row r="215" spans="19:66" x14ac:dyDescent="0.15">
      <c r="S215" s="46">
        <v>33</v>
      </c>
      <c r="BB215" s="25">
        <v>32</v>
      </c>
    </row>
    <row r="216" spans="19:66" x14ac:dyDescent="0.15">
      <c r="S216" s="46">
        <v>34</v>
      </c>
      <c r="BB216" s="25">
        <v>33</v>
      </c>
    </row>
    <row r="217" spans="19:66" x14ac:dyDescent="0.15">
      <c r="S217" s="46">
        <v>35</v>
      </c>
      <c r="BB217" s="25">
        <v>34</v>
      </c>
    </row>
    <row r="218" spans="19:66" x14ac:dyDescent="0.15">
      <c r="S218" s="46">
        <v>36</v>
      </c>
      <c r="BB218" s="25">
        <v>35</v>
      </c>
    </row>
    <row r="219" spans="19:66" x14ac:dyDescent="0.15">
      <c r="S219" s="46">
        <v>37</v>
      </c>
      <c r="BB219" s="25">
        <v>36</v>
      </c>
    </row>
    <row r="220" spans="19:66" x14ac:dyDescent="0.15">
      <c r="S220" s="46">
        <v>38</v>
      </c>
      <c r="BB220" s="25">
        <v>37</v>
      </c>
    </row>
    <row r="221" spans="19:66" x14ac:dyDescent="0.15">
      <c r="S221" s="46">
        <v>39</v>
      </c>
      <c r="BB221" s="25">
        <v>38</v>
      </c>
    </row>
    <row r="222" spans="19:66" x14ac:dyDescent="0.15">
      <c r="S222" s="46">
        <v>40</v>
      </c>
      <c r="BB222" s="25">
        <v>39</v>
      </c>
    </row>
    <row r="223" spans="19:66" x14ac:dyDescent="0.15">
      <c r="S223" s="46">
        <v>41</v>
      </c>
      <c r="BB223" s="25">
        <v>40</v>
      </c>
    </row>
    <row r="224" spans="19:66" x14ac:dyDescent="0.15">
      <c r="S224" s="46">
        <v>42</v>
      </c>
      <c r="BB224" s="25">
        <v>41</v>
      </c>
    </row>
    <row r="225" spans="19:54" x14ac:dyDescent="0.15">
      <c r="S225" s="46">
        <v>43</v>
      </c>
      <c r="BB225" s="25">
        <v>42</v>
      </c>
    </row>
    <row r="226" spans="19:54" x14ac:dyDescent="0.15">
      <c r="S226" s="46">
        <v>44</v>
      </c>
      <c r="BB226" s="25">
        <v>43</v>
      </c>
    </row>
    <row r="227" spans="19:54" x14ac:dyDescent="0.15">
      <c r="S227" s="46">
        <v>45</v>
      </c>
      <c r="BB227" s="25">
        <v>44</v>
      </c>
    </row>
    <row r="228" spans="19:54" x14ac:dyDescent="0.15">
      <c r="BB228" s="25">
        <v>45</v>
      </c>
    </row>
  </sheetData>
  <mergeCells count="53">
    <mergeCell ref="AT4:AX4"/>
    <mergeCell ref="AT49:AX49"/>
    <mergeCell ref="AT94:AX94"/>
    <mergeCell ref="AT139:AX139"/>
    <mergeCell ref="AT184:AX184"/>
    <mergeCell ref="AJ184:AN184"/>
    <mergeCell ref="AO184:AS184"/>
    <mergeCell ref="AJ49:AN49"/>
    <mergeCell ref="AO49:AS49"/>
    <mergeCell ref="AJ94:AN94"/>
    <mergeCell ref="AO94:AS94"/>
    <mergeCell ref="B7:D7"/>
    <mergeCell ref="Z4:AD4"/>
    <mergeCell ref="U4:Y4"/>
    <mergeCell ref="AJ139:AN139"/>
    <mergeCell ref="AO139:AS139"/>
    <mergeCell ref="Z94:AD94"/>
    <mergeCell ref="U139:Y139"/>
    <mergeCell ref="Z139:AD139"/>
    <mergeCell ref="AJ4:AN4"/>
    <mergeCell ref="AO4:AS4"/>
    <mergeCell ref="BO49:BT49"/>
    <mergeCell ref="BW49:BX49"/>
    <mergeCell ref="U184:Y184"/>
    <mergeCell ref="Z184:AD184"/>
    <mergeCell ref="BD4:BF4"/>
    <mergeCell ref="BG4:BJ4"/>
    <mergeCell ref="BO4:BT4"/>
    <mergeCell ref="BD94:BF94"/>
    <mergeCell ref="BG94:BJ94"/>
    <mergeCell ref="BO94:BT94"/>
    <mergeCell ref="BD184:BF184"/>
    <mergeCell ref="BG184:BJ184"/>
    <mergeCell ref="BO184:BT184"/>
    <mergeCell ref="U49:Y49"/>
    <mergeCell ref="Z49:AD49"/>
    <mergeCell ref="U94:Y94"/>
    <mergeCell ref="BW184:BX184"/>
    <mergeCell ref="I5:K5"/>
    <mergeCell ref="I35:K35"/>
    <mergeCell ref="AE4:AI4"/>
    <mergeCell ref="AE49:AI49"/>
    <mergeCell ref="AE94:AI94"/>
    <mergeCell ref="AE139:AI139"/>
    <mergeCell ref="AE184:AI184"/>
    <mergeCell ref="BW94:BX94"/>
    <mergeCell ref="BD139:BF139"/>
    <mergeCell ref="BG139:BJ139"/>
    <mergeCell ref="BO139:BT139"/>
    <mergeCell ref="BW139:BX139"/>
    <mergeCell ref="BW4:BX4"/>
    <mergeCell ref="BD49:BF49"/>
    <mergeCell ref="BG49:BJ49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2"/>
  <dimension ref="B3:P164"/>
  <sheetViews>
    <sheetView workbookViewId="0">
      <selection activeCell="U41" sqref="U41"/>
    </sheetView>
  </sheetViews>
  <sheetFormatPr defaultColWidth="6.625" defaultRowHeight="11.25" x14ac:dyDescent="0.15"/>
  <cols>
    <col min="1" max="1" width="6.625" style="21"/>
    <col min="2" max="16" width="6.625" style="24"/>
    <col min="17" max="16384" width="6.625" style="21"/>
  </cols>
  <sheetData>
    <row r="3" spans="2:16" x14ac:dyDescent="0.15">
      <c r="B3" s="184" t="s">
        <v>170</v>
      </c>
      <c r="C3" s="204"/>
      <c r="D3" s="204"/>
      <c r="E3" s="204"/>
      <c r="F3" s="204"/>
      <c r="G3" s="185"/>
      <c r="I3" s="28" t="s">
        <v>153</v>
      </c>
      <c r="K3" s="184" t="s">
        <v>214</v>
      </c>
      <c r="L3" s="204"/>
      <c r="M3" s="204"/>
      <c r="N3" s="204"/>
      <c r="O3" s="204"/>
      <c r="P3" s="185"/>
    </row>
    <row r="4" spans="2:16" x14ac:dyDescent="0.15">
      <c r="B4" s="22" t="s">
        <v>398</v>
      </c>
      <c r="C4" s="22" t="s">
        <v>164</v>
      </c>
      <c r="D4" s="22" t="s">
        <v>165</v>
      </c>
      <c r="E4" s="22" t="s">
        <v>166</v>
      </c>
      <c r="F4" s="22" t="s">
        <v>167</v>
      </c>
      <c r="G4" s="22" t="s">
        <v>168</v>
      </c>
      <c r="I4" s="23" t="s">
        <v>169</v>
      </c>
      <c r="K4" s="22" t="s">
        <v>398</v>
      </c>
      <c r="L4" s="22" t="s">
        <v>164</v>
      </c>
      <c r="M4" s="22" t="s">
        <v>165</v>
      </c>
      <c r="N4" s="22" t="s">
        <v>166</v>
      </c>
      <c r="O4" s="22" t="s">
        <v>167</v>
      </c>
      <c r="P4" s="22" t="s">
        <v>168</v>
      </c>
    </row>
    <row r="5" spans="2:16" x14ac:dyDescent="0.15">
      <c r="B5" s="26">
        <v>10</v>
      </c>
      <c r="C5" s="23">
        <f>装备强化!BB6</f>
        <v>1200</v>
      </c>
      <c r="D5" s="23">
        <f>装备强化!BB35</f>
        <v>1200</v>
      </c>
      <c r="E5" s="23">
        <f>装备强化!BB64</f>
        <v>1200</v>
      </c>
      <c r="F5" s="23">
        <f>装备强化!BB93</f>
        <v>1200</v>
      </c>
      <c r="G5" s="23">
        <f>装备强化!BB122</f>
        <v>1200</v>
      </c>
      <c r="I5" s="9">
        <v>1</v>
      </c>
      <c r="K5" s="23">
        <v>1</v>
      </c>
      <c r="L5" s="23">
        <f>求节点($B$5:$B$20,C$5:C$20,$K5)</f>
        <v>120</v>
      </c>
      <c r="M5" s="126">
        <f t="shared" ref="M5:P5" si="0">求节点($B$5:$B$20,D$5:D$20,$K5)</f>
        <v>120</v>
      </c>
      <c r="N5" s="126">
        <f t="shared" si="0"/>
        <v>120</v>
      </c>
      <c r="O5" s="126">
        <f t="shared" si="0"/>
        <v>120</v>
      </c>
      <c r="P5" s="126">
        <f t="shared" si="0"/>
        <v>120</v>
      </c>
    </row>
    <row r="6" spans="2:16" x14ac:dyDescent="0.15">
      <c r="B6" s="26">
        <v>20</v>
      </c>
      <c r="C6" s="23">
        <f>装备强化!BB7</f>
        <v>6900</v>
      </c>
      <c r="D6" s="23">
        <f>装备强化!BB36</f>
        <v>6900</v>
      </c>
      <c r="E6" s="23">
        <f>装备强化!BB65</f>
        <v>6900</v>
      </c>
      <c r="F6" s="23">
        <f>装备强化!BB94</f>
        <v>6900</v>
      </c>
      <c r="G6" s="23">
        <f>装备强化!BB123</f>
        <v>6900</v>
      </c>
      <c r="H6" s="46"/>
      <c r="I6" s="9">
        <v>1</v>
      </c>
      <c r="K6" s="23">
        <v>2</v>
      </c>
      <c r="L6" s="126">
        <f t="shared" ref="L6:L69" si="1">求节点($B$5:$B$20,C$5:C$20,$K6)</f>
        <v>240</v>
      </c>
      <c r="M6" s="126">
        <f t="shared" ref="M6:M69" si="2">求节点($B$5:$B$20,D$5:D$20,$K6)</f>
        <v>240</v>
      </c>
      <c r="N6" s="126">
        <f t="shared" ref="N6:N69" si="3">求节点($B$5:$B$20,E$5:E$20,$K6)</f>
        <v>240</v>
      </c>
      <c r="O6" s="126">
        <f t="shared" ref="O6:O69" si="4">求节点($B$5:$B$20,F$5:F$20,$K6)</f>
        <v>240</v>
      </c>
      <c r="P6" s="126">
        <f t="shared" ref="P6:P69" si="5">求节点($B$5:$B$20,G$5:G$20,$K6)</f>
        <v>240</v>
      </c>
    </row>
    <row r="7" spans="2:16" x14ac:dyDescent="0.15">
      <c r="B7" s="26">
        <v>30</v>
      </c>
      <c r="C7" s="23">
        <f>装备强化!BB8</f>
        <v>29820</v>
      </c>
      <c r="D7" s="23">
        <f>装备强化!BB37</f>
        <v>29820</v>
      </c>
      <c r="E7" s="23">
        <f>装备强化!BB66</f>
        <v>29820</v>
      </c>
      <c r="F7" s="23">
        <f>装备强化!BB95</f>
        <v>29820</v>
      </c>
      <c r="G7" s="23">
        <f>装备强化!BB124</f>
        <v>29820</v>
      </c>
      <c r="H7" s="46"/>
      <c r="I7" s="9">
        <v>1</v>
      </c>
      <c r="K7" s="23">
        <v>3</v>
      </c>
      <c r="L7" s="126">
        <f t="shared" si="1"/>
        <v>360</v>
      </c>
      <c r="M7" s="126">
        <f t="shared" si="2"/>
        <v>360</v>
      </c>
      <c r="N7" s="126">
        <f t="shared" si="3"/>
        <v>360</v>
      </c>
      <c r="O7" s="126">
        <f t="shared" si="4"/>
        <v>360</v>
      </c>
      <c r="P7" s="126">
        <f t="shared" si="5"/>
        <v>360</v>
      </c>
    </row>
    <row r="8" spans="2:16" x14ac:dyDescent="0.15">
      <c r="B8" s="26">
        <v>40</v>
      </c>
      <c r="C8" s="23">
        <f>装备强化!BB9</f>
        <v>108000</v>
      </c>
      <c r="D8" s="23">
        <f>装备强化!BB38</f>
        <v>108000</v>
      </c>
      <c r="E8" s="23">
        <f>装备强化!BB67</f>
        <v>108000</v>
      </c>
      <c r="F8" s="23">
        <f>装备强化!BB96</f>
        <v>108000</v>
      </c>
      <c r="G8" s="23">
        <f>装备强化!BB125</f>
        <v>108000</v>
      </c>
      <c r="H8" s="46"/>
      <c r="I8" s="9">
        <v>1</v>
      </c>
      <c r="K8" s="23">
        <v>4</v>
      </c>
      <c r="L8" s="126">
        <f t="shared" si="1"/>
        <v>480</v>
      </c>
      <c r="M8" s="126">
        <f t="shared" si="2"/>
        <v>480</v>
      </c>
      <c r="N8" s="126">
        <f t="shared" si="3"/>
        <v>480</v>
      </c>
      <c r="O8" s="126">
        <f t="shared" si="4"/>
        <v>480</v>
      </c>
      <c r="P8" s="126">
        <f t="shared" si="5"/>
        <v>480</v>
      </c>
    </row>
    <row r="9" spans="2:16" x14ac:dyDescent="0.15">
      <c r="B9" s="26">
        <v>50</v>
      </c>
      <c r="C9" s="23">
        <f>装备强化!BB10</f>
        <v>285000</v>
      </c>
      <c r="D9" s="23">
        <f>装备强化!BB39</f>
        <v>285000</v>
      </c>
      <c r="E9" s="23">
        <f>装备强化!BB68</f>
        <v>285000</v>
      </c>
      <c r="F9" s="23">
        <f>装备强化!BB97</f>
        <v>285000</v>
      </c>
      <c r="G9" s="23">
        <f>装备强化!BB126</f>
        <v>285000</v>
      </c>
      <c r="H9" s="46"/>
      <c r="I9" s="9">
        <v>1</v>
      </c>
      <c r="K9" s="23">
        <v>5</v>
      </c>
      <c r="L9" s="126">
        <f t="shared" si="1"/>
        <v>600</v>
      </c>
      <c r="M9" s="126">
        <f t="shared" si="2"/>
        <v>600</v>
      </c>
      <c r="N9" s="126">
        <f t="shared" si="3"/>
        <v>600</v>
      </c>
      <c r="O9" s="126">
        <f t="shared" si="4"/>
        <v>600</v>
      </c>
      <c r="P9" s="126">
        <f t="shared" si="5"/>
        <v>600</v>
      </c>
    </row>
    <row r="10" spans="2:16" x14ac:dyDescent="0.15">
      <c r="B10" s="26">
        <v>60</v>
      </c>
      <c r="C10" s="23">
        <f>装备强化!BB11</f>
        <v>913500</v>
      </c>
      <c r="D10" s="23">
        <f>装备强化!BB40</f>
        <v>913500</v>
      </c>
      <c r="E10" s="23">
        <f>装备强化!BB69</f>
        <v>913500</v>
      </c>
      <c r="F10" s="23">
        <f>装备强化!BB98</f>
        <v>913500</v>
      </c>
      <c r="G10" s="23">
        <f>装备强化!BB127</f>
        <v>913500</v>
      </c>
      <c r="H10" s="46"/>
      <c r="I10" s="9">
        <v>1</v>
      </c>
      <c r="K10" s="23">
        <v>6</v>
      </c>
      <c r="L10" s="126">
        <f t="shared" si="1"/>
        <v>720</v>
      </c>
      <c r="M10" s="126">
        <f t="shared" si="2"/>
        <v>720</v>
      </c>
      <c r="N10" s="126">
        <f t="shared" si="3"/>
        <v>720</v>
      </c>
      <c r="O10" s="126">
        <f t="shared" si="4"/>
        <v>720</v>
      </c>
      <c r="P10" s="126">
        <f t="shared" si="5"/>
        <v>720</v>
      </c>
    </row>
    <row r="11" spans="2:16" x14ac:dyDescent="0.15">
      <c r="B11" s="26">
        <v>70</v>
      </c>
      <c r="C11" s="23">
        <f>装备强化!BB12</f>
        <v>2099700</v>
      </c>
      <c r="D11" s="23">
        <f>装备强化!BB41</f>
        <v>2099700</v>
      </c>
      <c r="E11" s="23">
        <f>装备强化!BB70</f>
        <v>2099700</v>
      </c>
      <c r="F11" s="23">
        <f>装备强化!BB99</f>
        <v>2099700</v>
      </c>
      <c r="G11" s="23">
        <f>装备强化!BB128</f>
        <v>2099700</v>
      </c>
      <c r="H11" s="46"/>
      <c r="I11" s="9">
        <v>1</v>
      </c>
      <c r="K11" s="23">
        <v>7</v>
      </c>
      <c r="L11" s="126">
        <f t="shared" si="1"/>
        <v>840</v>
      </c>
      <c r="M11" s="126">
        <f t="shared" si="2"/>
        <v>840</v>
      </c>
      <c r="N11" s="126">
        <f t="shared" si="3"/>
        <v>840</v>
      </c>
      <c r="O11" s="126">
        <f t="shared" si="4"/>
        <v>840</v>
      </c>
      <c r="P11" s="126">
        <f t="shared" si="5"/>
        <v>840</v>
      </c>
    </row>
    <row r="12" spans="2:16" x14ac:dyDescent="0.15">
      <c r="B12" s="26">
        <v>80</v>
      </c>
      <c r="C12" s="23">
        <f>装备强化!BB13</f>
        <v>5262300</v>
      </c>
      <c r="D12" s="23">
        <f>装备强化!BB42</f>
        <v>5262300</v>
      </c>
      <c r="E12" s="23">
        <f>装备强化!BB71</f>
        <v>5262300</v>
      </c>
      <c r="F12" s="23">
        <f>装备强化!BB100</f>
        <v>5262300</v>
      </c>
      <c r="G12" s="23">
        <f>装备强化!BB129</f>
        <v>5262300</v>
      </c>
      <c r="H12" s="46"/>
      <c r="I12" s="9">
        <v>1</v>
      </c>
      <c r="K12" s="23">
        <v>8</v>
      </c>
      <c r="L12" s="126">
        <f t="shared" si="1"/>
        <v>960</v>
      </c>
      <c r="M12" s="126">
        <f t="shared" si="2"/>
        <v>960</v>
      </c>
      <c r="N12" s="126">
        <f t="shared" si="3"/>
        <v>960</v>
      </c>
      <c r="O12" s="126">
        <f t="shared" si="4"/>
        <v>960</v>
      </c>
      <c r="P12" s="126">
        <f t="shared" si="5"/>
        <v>960</v>
      </c>
    </row>
    <row r="13" spans="2:16" x14ac:dyDescent="0.15">
      <c r="B13" s="26">
        <v>90</v>
      </c>
      <c r="C13" s="23">
        <f>装备强化!BB14</f>
        <v>12174300</v>
      </c>
      <c r="D13" s="23">
        <f>装备强化!BB43</f>
        <v>12174300</v>
      </c>
      <c r="E13" s="23">
        <f>装备强化!BB72</f>
        <v>12174300</v>
      </c>
      <c r="F13" s="23">
        <f>装备强化!BB101</f>
        <v>12174300</v>
      </c>
      <c r="G13" s="23">
        <f>装备强化!BB130</f>
        <v>12174300</v>
      </c>
      <c r="H13" s="46"/>
      <c r="I13" s="9">
        <v>1</v>
      </c>
      <c r="K13" s="23">
        <v>9</v>
      </c>
      <c r="L13" s="126">
        <f t="shared" si="1"/>
        <v>1080</v>
      </c>
      <c r="M13" s="126">
        <f t="shared" si="2"/>
        <v>1080</v>
      </c>
      <c r="N13" s="126">
        <f t="shared" si="3"/>
        <v>1080</v>
      </c>
      <c r="O13" s="126">
        <f t="shared" si="4"/>
        <v>1080</v>
      </c>
      <c r="P13" s="126">
        <f t="shared" si="5"/>
        <v>1080</v>
      </c>
    </row>
    <row r="14" spans="2:16" x14ac:dyDescent="0.15">
      <c r="B14" s="129">
        <v>100</v>
      </c>
      <c r="C14" s="126">
        <f>装备强化!BB15</f>
        <v>27942300</v>
      </c>
      <c r="D14" s="126">
        <f>装备强化!BB44</f>
        <v>27942300</v>
      </c>
      <c r="E14" s="126">
        <f>装备强化!BB73</f>
        <v>27942300</v>
      </c>
      <c r="F14" s="126">
        <f>装备强化!BB102</f>
        <v>27942300</v>
      </c>
      <c r="G14" s="126">
        <f>装备强化!BB131</f>
        <v>27942300</v>
      </c>
      <c r="H14" s="46"/>
      <c r="I14" s="9">
        <v>1</v>
      </c>
      <c r="K14" s="23">
        <v>10</v>
      </c>
      <c r="L14" s="126">
        <f t="shared" si="1"/>
        <v>1200</v>
      </c>
      <c r="M14" s="126">
        <f t="shared" si="2"/>
        <v>1200</v>
      </c>
      <c r="N14" s="126">
        <f t="shared" si="3"/>
        <v>1200</v>
      </c>
      <c r="O14" s="126">
        <f t="shared" si="4"/>
        <v>1200</v>
      </c>
      <c r="P14" s="126">
        <f t="shared" si="5"/>
        <v>1200</v>
      </c>
    </row>
    <row r="15" spans="2:16" x14ac:dyDescent="0.15">
      <c r="B15" s="129">
        <v>110</v>
      </c>
      <c r="C15" s="126">
        <f>装备强化!BB16</f>
        <v>61962300</v>
      </c>
      <c r="D15" s="126">
        <f>装备强化!BB45</f>
        <v>61962300</v>
      </c>
      <c r="E15" s="126">
        <f>装备强化!BB74</f>
        <v>61962300</v>
      </c>
      <c r="F15" s="126">
        <f>装备强化!BB103</f>
        <v>61962300</v>
      </c>
      <c r="G15" s="126">
        <f>装备强化!BB132</f>
        <v>61962300</v>
      </c>
      <c r="I15" s="9">
        <v>1</v>
      </c>
      <c r="K15" s="23">
        <v>11</v>
      </c>
      <c r="L15" s="126">
        <f t="shared" si="1"/>
        <v>1770</v>
      </c>
      <c r="M15" s="126">
        <f t="shared" si="2"/>
        <v>1770</v>
      </c>
      <c r="N15" s="126">
        <f t="shared" si="3"/>
        <v>1770</v>
      </c>
      <c r="O15" s="126">
        <f t="shared" si="4"/>
        <v>1770</v>
      </c>
      <c r="P15" s="126">
        <f t="shared" si="5"/>
        <v>1770</v>
      </c>
    </row>
    <row r="16" spans="2:16" x14ac:dyDescent="0.15">
      <c r="B16" s="129">
        <v>120</v>
      </c>
      <c r="C16" s="126">
        <f>装备强化!BB17</f>
        <v>140046300</v>
      </c>
      <c r="D16" s="126">
        <f>装备强化!BB46</f>
        <v>140046300</v>
      </c>
      <c r="E16" s="126">
        <f>装备强化!BB75</f>
        <v>140046300</v>
      </c>
      <c r="F16" s="126">
        <f>装备强化!BB104</f>
        <v>140046300</v>
      </c>
      <c r="G16" s="126">
        <f>装备强化!BB133</f>
        <v>140046300</v>
      </c>
      <c r="I16" s="9">
        <v>1</v>
      </c>
      <c r="K16" s="23">
        <v>12</v>
      </c>
      <c r="L16" s="126">
        <f t="shared" si="1"/>
        <v>2340</v>
      </c>
      <c r="M16" s="126">
        <f t="shared" si="2"/>
        <v>2340</v>
      </c>
      <c r="N16" s="126">
        <f t="shared" si="3"/>
        <v>2340</v>
      </c>
      <c r="O16" s="126">
        <f t="shared" si="4"/>
        <v>2340</v>
      </c>
      <c r="P16" s="126">
        <f t="shared" si="5"/>
        <v>2340</v>
      </c>
    </row>
    <row r="17" spans="2:16" x14ac:dyDescent="0.15">
      <c r="B17" s="129">
        <v>130</v>
      </c>
      <c r="C17" s="126">
        <f>装备强化!BB18</f>
        <v>320406300</v>
      </c>
      <c r="D17" s="126">
        <f>装备强化!BB47</f>
        <v>320406300</v>
      </c>
      <c r="E17" s="126">
        <f>装备强化!BB76</f>
        <v>320406300</v>
      </c>
      <c r="F17" s="126">
        <f>装备强化!BB105</f>
        <v>320406300</v>
      </c>
      <c r="G17" s="126">
        <f>装备强化!BB134</f>
        <v>320406300</v>
      </c>
      <c r="I17" s="9">
        <v>1</v>
      </c>
      <c r="K17" s="23">
        <v>13</v>
      </c>
      <c r="L17" s="126">
        <f t="shared" si="1"/>
        <v>2910</v>
      </c>
      <c r="M17" s="126">
        <f t="shared" si="2"/>
        <v>2910</v>
      </c>
      <c r="N17" s="126">
        <f t="shared" si="3"/>
        <v>2910</v>
      </c>
      <c r="O17" s="126">
        <f t="shared" si="4"/>
        <v>2910</v>
      </c>
      <c r="P17" s="126">
        <f t="shared" si="5"/>
        <v>2910</v>
      </c>
    </row>
    <row r="18" spans="2:16" x14ac:dyDescent="0.15">
      <c r="B18" s="129">
        <v>140</v>
      </c>
      <c r="C18" s="126">
        <f>装备强化!BB19</f>
        <v>779406300</v>
      </c>
      <c r="D18" s="126">
        <f>装备强化!BB48</f>
        <v>779406300</v>
      </c>
      <c r="E18" s="126">
        <f>装备强化!BB77</f>
        <v>779406300</v>
      </c>
      <c r="F18" s="126">
        <f>装备强化!BB106</f>
        <v>779406300</v>
      </c>
      <c r="G18" s="126">
        <f>装备强化!BB135</f>
        <v>779406300</v>
      </c>
      <c r="I18" s="9">
        <v>1</v>
      </c>
      <c r="K18" s="23">
        <v>14</v>
      </c>
      <c r="L18" s="126">
        <f t="shared" si="1"/>
        <v>3480</v>
      </c>
      <c r="M18" s="126">
        <f t="shared" si="2"/>
        <v>3480</v>
      </c>
      <c r="N18" s="126">
        <f t="shared" si="3"/>
        <v>3480</v>
      </c>
      <c r="O18" s="126">
        <f t="shared" si="4"/>
        <v>3480</v>
      </c>
      <c r="P18" s="126">
        <f t="shared" si="5"/>
        <v>3480</v>
      </c>
    </row>
    <row r="19" spans="2:16" x14ac:dyDescent="0.15">
      <c r="B19" s="129">
        <v>150</v>
      </c>
      <c r="C19" s="126">
        <f>装备强化!BB20</f>
        <v>1881006300</v>
      </c>
      <c r="D19" s="126">
        <f>装备强化!BB49</f>
        <v>1881006300</v>
      </c>
      <c r="E19" s="126">
        <f>装备强化!BB78</f>
        <v>1881006300</v>
      </c>
      <c r="F19" s="126">
        <f>装备强化!BB107</f>
        <v>1881006300</v>
      </c>
      <c r="G19" s="126">
        <f>装备强化!BB136</f>
        <v>1881006300</v>
      </c>
      <c r="I19" s="9">
        <v>1</v>
      </c>
      <c r="K19" s="23">
        <v>15</v>
      </c>
      <c r="L19" s="126">
        <f t="shared" si="1"/>
        <v>4050</v>
      </c>
      <c r="M19" s="126">
        <f t="shared" si="2"/>
        <v>4050</v>
      </c>
      <c r="N19" s="126">
        <f t="shared" si="3"/>
        <v>4050</v>
      </c>
      <c r="O19" s="126">
        <f t="shared" si="4"/>
        <v>4050</v>
      </c>
      <c r="P19" s="126">
        <f t="shared" si="5"/>
        <v>4050</v>
      </c>
    </row>
    <row r="20" spans="2:16" x14ac:dyDescent="0.15">
      <c r="B20" s="129">
        <v>160</v>
      </c>
      <c r="C20" s="126">
        <f>装备强化!BB21</f>
        <v>1881006300</v>
      </c>
      <c r="D20" s="126">
        <f>装备强化!BB50</f>
        <v>1881006300</v>
      </c>
      <c r="E20" s="126">
        <f>装备强化!BB79</f>
        <v>1881006300</v>
      </c>
      <c r="F20" s="126">
        <f>装备强化!BB108</f>
        <v>1881006300</v>
      </c>
      <c r="G20" s="126">
        <f>装备强化!BB137</f>
        <v>1881006300</v>
      </c>
      <c r="I20" s="9">
        <v>1</v>
      </c>
      <c r="K20" s="23">
        <v>16</v>
      </c>
      <c r="L20" s="126">
        <f t="shared" si="1"/>
        <v>4620</v>
      </c>
      <c r="M20" s="126">
        <f t="shared" si="2"/>
        <v>4620</v>
      </c>
      <c r="N20" s="126">
        <f t="shared" si="3"/>
        <v>4620</v>
      </c>
      <c r="O20" s="126">
        <f t="shared" si="4"/>
        <v>4620</v>
      </c>
      <c r="P20" s="126">
        <f t="shared" si="5"/>
        <v>4620</v>
      </c>
    </row>
    <row r="21" spans="2:16" x14ac:dyDescent="0.15">
      <c r="K21" s="23">
        <v>17</v>
      </c>
      <c r="L21" s="126">
        <f t="shared" si="1"/>
        <v>5190</v>
      </c>
      <c r="M21" s="126">
        <f t="shared" si="2"/>
        <v>5190</v>
      </c>
      <c r="N21" s="126">
        <f t="shared" si="3"/>
        <v>5190</v>
      </c>
      <c r="O21" s="126">
        <f t="shared" si="4"/>
        <v>5190</v>
      </c>
      <c r="P21" s="126">
        <f t="shared" si="5"/>
        <v>5190</v>
      </c>
    </row>
    <row r="22" spans="2:16" x14ac:dyDescent="0.15">
      <c r="K22" s="23">
        <v>18</v>
      </c>
      <c r="L22" s="126">
        <f t="shared" si="1"/>
        <v>5760</v>
      </c>
      <c r="M22" s="126">
        <f t="shared" si="2"/>
        <v>5760</v>
      </c>
      <c r="N22" s="126">
        <f t="shared" si="3"/>
        <v>5760</v>
      </c>
      <c r="O22" s="126">
        <f t="shared" si="4"/>
        <v>5760</v>
      </c>
      <c r="P22" s="126">
        <f t="shared" si="5"/>
        <v>5760</v>
      </c>
    </row>
    <row r="23" spans="2:16" x14ac:dyDescent="0.15">
      <c r="K23" s="23">
        <v>19</v>
      </c>
      <c r="L23" s="126">
        <f t="shared" si="1"/>
        <v>6330</v>
      </c>
      <c r="M23" s="126">
        <f t="shared" si="2"/>
        <v>6330</v>
      </c>
      <c r="N23" s="126">
        <f t="shared" si="3"/>
        <v>6330</v>
      </c>
      <c r="O23" s="126">
        <f t="shared" si="4"/>
        <v>6330</v>
      </c>
      <c r="P23" s="126">
        <f t="shared" si="5"/>
        <v>6330</v>
      </c>
    </row>
    <row r="24" spans="2:16" x14ac:dyDescent="0.15">
      <c r="K24" s="23">
        <v>20</v>
      </c>
      <c r="L24" s="126">
        <f t="shared" si="1"/>
        <v>6900</v>
      </c>
      <c r="M24" s="126">
        <f t="shared" si="2"/>
        <v>6900</v>
      </c>
      <c r="N24" s="126">
        <f t="shared" si="3"/>
        <v>6900</v>
      </c>
      <c r="O24" s="126">
        <f t="shared" si="4"/>
        <v>6900</v>
      </c>
      <c r="P24" s="126">
        <f t="shared" si="5"/>
        <v>6900</v>
      </c>
    </row>
    <row r="25" spans="2:16" x14ac:dyDescent="0.15">
      <c r="K25" s="23">
        <v>21</v>
      </c>
      <c r="L25" s="126">
        <f t="shared" si="1"/>
        <v>9192</v>
      </c>
      <c r="M25" s="126">
        <f t="shared" si="2"/>
        <v>9192</v>
      </c>
      <c r="N25" s="126">
        <f t="shared" si="3"/>
        <v>9192</v>
      </c>
      <c r="O25" s="126">
        <f t="shared" si="4"/>
        <v>9192</v>
      </c>
      <c r="P25" s="126">
        <f t="shared" si="5"/>
        <v>9192</v>
      </c>
    </row>
    <row r="26" spans="2:16" x14ac:dyDescent="0.15">
      <c r="K26" s="23">
        <v>22</v>
      </c>
      <c r="L26" s="126">
        <f t="shared" si="1"/>
        <v>11484</v>
      </c>
      <c r="M26" s="126">
        <f t="shared" si="2"/>
        <v>11484</v>
      </c>
      <c r="N26" s="126">
        <f t="shared" si="3"/>
        <v>11484</v>
      </c>
      <c r="O26" s="126">
        <f t="shared" si="4"/>
        <v>11484</v>
      </c>
      <c r="P26" s="126">
        <f t="shared" si="5"/>
        <v>11484</v>
      </c>
    </row>
    <row r="27" spans="2:16" x14ac:dyDescent="0.15">
      <c r="K27" s="23">
        <v>23</v>
      </c>
      <c r="L27" s="126">
        <f t="shared" si="1"/>
        <v>13776</v>
      </c>
      <c r="M27" s="126">
        <f t="shared" si="2"/>
        <v>13776</v>
      </c>
      <c r="N27" s="126">
        <f t="shared" si="3"/>
        <v>13776</v>
      </c>
      <c r="O27" s="126">
        <f t="shared" si="4"/>
        <v>13776</v>
      </c>
      <c r="P27" s="126">
        <f t="shared" si="5"/>
        <v>13776</v>
      </c>
    </row>
    <row r="28" spans="2:16" x14ac:dyDescent="0.15">
      <c r="K28" s="23">
        <v>24</v>
      </c>
      <c r="L28" s="126">
        <f t="shared" si="1"/>
        <v>16068</v>
      </c>
      <c r="M28" s="126">
        <f t="shared" si="2"/>
        <v>16068</v>
      </c>
      <c r="N28" s="126">
        <f t="shared" si="3"/>
        <v>16068</v>
      </c>
      <c r="O28" s="126">
        <f t="shared" si="4"/>
        <v>16068</v>
      </c>
      <c r="P28" s="126">
        <f t="shared" si="5"/>
        <v>16068</v>
      </c>
    </row>
    <row r="29" spans="2:16" x14ac:dyDescent="0.15">
      <c r="K29" s="23">
        <v>25</v>
      </c>
      <c r="L29" s="126">
        <f t="shared" si="1"/>
        <v>18360</v>
      </c>
      <c r="M29" s="126">
        <f t="shared" si="2"/>
        <v>18360</v>
      </c>
      <c r="N29" s="126">
        <f t="shared" si="3"/>
        <v>18360</v>
      </c>
      <c r="O29" s="126">
        <f t="shared" si="4"/>
        <v>18360</v>
      </c>
      <c r="P29" s="126">
        <f t="shared" si="5"/>
        <v>18360</v>
      </c>
    </row>
    <row r="30" spans="2:16" x14ac:dyDescent="0.15">
      <c r="K30" s="23">
        <v>26</v>
      </c>
      <c r="L30" s="126">
        <f t="shared" si="1"/>
        <v>20652</v>
      </c>
      <c r="M30" s="126">
        <f t="shared" si="2"/>
        <v>20652</v>
      </c>
      <c r="N30" s="126">
        <f t="shared" si="3"/>
        <v>20652</v>
      </c>
      <c r="O30" s="126">
        <f t="shared" si="4"/>
        <v>20652</v>
      </c>
      <c r="P30" s="126">
        <f t="shared" si="5"/>
        <v>20652</v>
      </c>
    </row>
    <row r="31" spans="2:16" x14ac:dyDescent="0.15">
      <c r="K31" s="23">
        <v>27</v>
      </c>
      <c r="L31" s="126">
        <f t="shared" si="1"/>
        <v>22944</v>
      </c>
      <c r="M31" s="126">
        <f t="shared" si="2"/>
        <v>22944</v>
      </c>
      <c r="N31" s="126">
        <f t="shared" si="3"/>
        <v>22944</v>
      </c>
      <c r="O31" s="126">
        <f t="shared" si="4"/>
        <v>22944</v>
      </c>
      <c r="P31" s="126">
        <f t="shared" si="5"/>
        <v>22944</v>
      </c>
    </row>
    <row r="32" spans="2:16" x14ac:dyDescent="0.15">
      <c r="K32" s="23">
        <v>28</v>
      </c>
      <c r="L32" s="126">
        <f t="shared" si="1"/>
        <v>25236</v>
      </c>
      <c r="M32" s="126">
        <f t="shared" si="2"/>
        <v>25236</v>
      </c>
      <c r="N32" s="126">
        <f t="shared" si="3"/>
        <v>25236</v>
      </c>
      <c r="O32" s="126">
        <f t="shared" si="4"/>
        <v>25236</v>
      </c>
      <c r="P32" s="126">
        <f t="shared" si="5"/>
        <v>25236</v>
      </c>
    </row>
    <row r="33" spans="11:16" x14ac:dyDescent="0.15">
      <c r="K33" s="23">
        <v>29</v>
      </c>
      <c r="L33" s="126">
        <f t="shared" si="1"/>
        <v>27528</v>
      </c>
      <c r="M33" s="126">
        <f t="shared" si="2"/>
        <v>27528</v>
      </c>
      <c r="N33" s="126">
        <f t="shared" si="3"/>
        <v>27528</v>
      </c>
      <c r="O33" s="126">
        <f t="shared" si="4"/>
        <v>27528</v>
      </c>
      <c r="P33" s="126">
        <f t="shared" si="5"/>
        <v>27528</v>
      </c>
    </row>
    <row r="34" spans="11:16" x14ac:dyDescent="0.15">
      <c r="K34" s="23">
        <v>30</v>
      </c>
      <c r="L34" s="126">
        <f t="shared" si="1"/>
        <v>29820</v>
      </c>
      <c r="M34" s="126">
        <f t="shared" si="2"/>
        <v>29820</v>
      </c>
      <c r="N34" s="126">
        <f t="shared" si="3"/>
        <v>29820</v>
      </c>
      <c r="O34" s="126">
        <f t="shared" si="4"/>
        <v>29820</v>
      </c>
      <c r="P34" s="126">
        <f t="shared" si="5"/>
        <v>29820</v>
      </c>
    </row>
    <row r="35" spans="11:16" x14ac:dyDescent="0.15">
      <c r="K35" s="23">
        <v>31</v>
      </c>
      <c r="L35" s="126">
        <f t="shared" si="1"/>
        <v>37638</v>
      </c>
      <c r="M35" s="126">
        <f t="shared" si="2"/>
        <v>37638</v>
      </c>
      <c r="N35" s="126">
        <f t="shared" si="3"/>
        <v>37638</v>
      </c>
      <c r="O35" s="126">
        <f t="shared" si="4"/>
        <v>37638</v>
      </c>
      <c r="P35" s="126">
        <f t="shared" si="5"/>
        <v>37638</v>
      </c>
    </row>
    <row r="36" spans="11:16" x14ac:dyDescent="0.15">
      <c r="K36" s="23">
        <v>32</v>
      </c>
      <c r="L36" s="126">
        <f t="shared" si="1"/>
        <v>45456</v>
      </c>
      <c r="M36" s="126">
        <f t="shared" si="2"/>
        <v>45456</v>
      </c>
      <c r="N36" s="126">
        <f t="shared" si="3"/>
        <v>45456</v>
      </c>
      <c r="O36" s="126">
        <f t="shared" si="4"/>
        <v>45456</v>
      </c>
      <c r="P36" s="126">
        <f t="shared" si="5"/>
        <v>45456</v>
      </c>
    </row>
    <row r="37" spans="11:16" x14ac:dyDescent="0.15">
      <c r="K37" s="23">
        <v>33</v>
      </c>
      <c r="L37" s="126">
        <f t="shared" si="1"/>
        <v>53274</v>
      </c>
      <c r="M37" s="126">
        <f t="shared" si="2"/>
        <v>53274</v>
      </c>
      <c r="N37" s="126">
        <f t="shared" si="3"/>
        <v>53274</v>
      </c>
      <c r="O37" s="126">
        <f t="shared" si="4"/>
        <v>53274</v>
      </c>
      <c r="P37" s="126">
        <f t="shared" si="5"/>
        <v>53274</v>
      </c>
    </row>
    <row r="38" spans="11:16" x14ac:dyDescent="0.15">
      <c r="K38" s="23">
        <v>34</v>
      </c>
      <c r="L38" s="126">
        <f t="shared" si="1"/>
        <v>61092</v>
      </c>
      <c r="M38" s="126">
        <f t="shared" si="2"/>
        <v>61092</v>
      </c>
      <c r="N38" s="126">
        <f t="shared" si="3"/>
        <v>61092</v>
      </c>
      <c r="O38" s="126">
        <f t="shared" si="4"/>
        <v>61092</v>
      </c>
      <c r="P38" s="126">
        <f t="shared" si="5"/>
        <v>61092</v>
      </c>
    </row>
    <row r="39" spans="11:16" x14ac:dyDescent="0.15">
      <c r="K39" s="23">
        <v>35</v>
      </c>
      <c r="L39" s="126">
        <f t="shared" si="1"/>
        <v>68910</v>
      </c>
      <c r="M39" s="126">
        <f t="shared" si="2"/>
        <v>68910</v>
      </c>
      <c r="N39" s="126">
        <f t="shared" si="3"/>
        <v>68910</v>
      </c>
      <c r="O39" s="126">
        <f t="shared" si="4"/>
        <v>68910</v>
      </c>
      <c r="P39" s="126">
        <f t="shared" si="5"/>
        <v>68910</v>
      </c>
    </row>
    <row r="40" spans="11:16" x14ac:dyDescent="0.15">
      <c r="K40" s="23">
        <v>36</v>
      </c>
      <c r="L40" s="126">
        <f t="shared" si="1"/>
        <v>76728</v>
      </c>
      <c r="M40" s="126">
        <f t="shared" si="2"/>
        <v>76728</v>
      </c>
      <c r="N40" s="126">
        <f t="shared" si="3"/>
        <v>76728</v>
      </c>
      <c r="O40" s="126">
        <f t="shared" si="4"/>
        <v>76728</v>
      </c>
      <c r="P40" s="126">
        <f t="shared" si="5"/>
        <v>76728</v>
      </c>
    </row>
    <row r="41" spans="11:16" x14ac:dyDescent="0.15">
      <c r="K41" s="23">
        <v>37</v>
      </c>
      <c r="L41" s="126">
        <f t="shared" si="1"/>
        <v>84546</v>
      </c>
      <c r="M41" s="126">
        <f t="shared" si="2"/>
        <v>84546</v>
      </c>
      <c r="N41" s="126">
        <f t="shared" si="3"/>
        <v>84546</v>
      </c>
      <c r="O41" s="126">
        <f t="shared" si="4"/>
        <v>84546</v>
      </c>
      <c r="P41" s="126">
        <f t="shared" si="5"/>
        <v>84546</v>
      </c>
    </row>
    <row r="42" spans="11:16" x14ac:dyDescent="0.15">
      <c r="K42" s="23">
        <v>38</v>
      </c>
      <c r="L42" s="126">
        <f t="shared" si="1"/>
        <v>92364</v>
      </c>
      <c r="M42" s="126">
        <f t="shared" si="2"/>
        <v>92364</v>
      </c>
      <c r="N42" s="126">
        <f t="shared" si="3"/>
        <v>92364</v>
      </c>
      <c r="O42" s="126">
        <f t="shared" si="4"/>
        <v>92364</v>
      </c>
      <c r="P42" s="126">
        <f t="shared" si="5"/>
        <v>92364</v>
      </c>
    </row>
    <row r="43" spans="11:16" x14ac:dyDescent="0.15">
      <c r="K43" s="23">
        <v>39</v>
      </c>
      <c r="L43" s="126">
        <f t="shared" si="1"/>
        <v>100182</v>
      </c>
      <c r="M43" s="126">
        <f t="shared" si="2"/>
        <v>100182</v>
      </c>
      <c r="N43" s="126">
        <f t="shared" si="3"/>
        <v>100182</v>
      </c>
      <c r="O43" s="126">
        <f t="shared" si="4"/>
        <v>100182</v>
      </c>
      <c r="P43" s="126">
        <f t="shared" si="5"/>
        <v>100182</v>
      </c>
    </row>
    <row r="44" spans="11:16" x14ac:dyDescent="0.15">
      <c r="K44" s="23">
        <v>40</v>
      </c>
      <c r="L44" s="126">
        <f t="shared" si="1"/>
        <v>108000</v>
      </c>
      <c r="M44" s="126">
        <f t="shared" si="2"/>
        <v>108000</v>
      </c>
      <c r="N44" s="126">
        <f t="shared" si="3"/>
        <v>108000</v>
      </c>
      <c r="O44" s="126">
        <f t="shared" si="4"/>
        <v>108000</v>
      </c>
      <c r="P44" s="126">
        <f t="shared" si="5"/>
        <v>108000</v>
      </c>
    </row>
    <row r="45" spans="11:16" x14ac:dyDescent="0.15">
      <c r="K45" s="23">
        <v>41</v>
      </c>
      <c r="L45" s="126">
        <f t="shared" si="1"/>
        <v>125700</v>
      </c>
      <c r="M45" s="126">
        <f t="shared" si="2"/>
        <v>125700</v>
      </c>
      <c r="N45" s="126">
        <f t="shared" si="3"/>
        <v>125700</v>
      </c>
      <c r="O45" s="126">
        <f t="shared" si="4"/>
        <v>125700</v>
      </c>
      <c r="P45" s="126">
        <f t="shared" si="5"/>
        <v>125700</v>
      </c>
    </row>
    <row r="46" spans="11:16" x14ac:dyDescent="0.15">
      <c r="K46" s="23">
        <v>42</v>
      </c>
      <c r="L46" s="126">
        <f t="shared" si="1"/>
        <v>143400</v>
      </c>
      <c r="M46" s="126">
        <f t="shared" si="2"/>
        <v>143400</v>
      </c>
      <c r="N46" s="126">
        <f t="shared" si="3"/>
        <v>143400</v>
      </c>
      <c r="O46" s="126">
        <f t="shared" si="4"/>
        <v>143400</v>
      </c>
      <c r="P46" s="126">
        <f t="shared" si="5"/>
        <v>143400</v>
      </c>
    </row>
    <row r="47" spans="11:16" x14ac:dyDescent="0.15">
      <c r="K47" s="23">
        <v>43</v>
      </c>
      <c r="L47" s="126">
        <f t="shared" si="1"/>
        <v>161100</v>
      </c>
      <c r="M47" s="126">
        <f t="shared" si="2"/>
        <v>161100</v>
      </c>
      <c r="N47" s="126">
        <f t="shared" si="3"/>
        <v>161100</v>
      </c>
      <c r="O47" s="126">
        <f t="shared" si="4"/>
        <v>161100</v>
      </c>
      <c r="P47" s="126">
        <f t="shared" si="5"/>
        <v>161100</v>
      </c>
    </row>
    <row r="48" spans="11:16" x14ac:dyDescent="0.15">
      <c r="K48" s="23">
        <v>44</v>
      </c>
      <c r="L48" s="126">
        <f t="shared" si="1"/>
        <v>178800</v>
      </c>
      <c r="M48" s="126">
        <f t="shared" si="2"/>
        <v>178800</v>
      </c>
      <c r="N48" s="126">
        <f t="shared" si="3"/>
        <v>178800</v>
      </c>
      <c r="O48" s="126">
        <f t="shared" si="4"/>
        <v>178800</v>
      </c>
      <c r="P48" s="126">
        <f t="shared" si="5"/>
        <v>178800</v>
      </c>
    </row>
    <row r="49" spans="11:16" x14ac:dyDescent="0.15">
      <c r="K49" s="23">
        <v>45</v>
      </c>
      <c r="L49" s="126">
        <f t="shared" si="1"/>
        <v>196500</v>
      </c>
      <c r="M49" s="126">
        <f t="shared" si="2"/>
        <v>196500</v>
      </c>
      <c r="N49" s="126">
        <f t="shared" si="3"/>
        <v>196500</v>
      </c>
      <c r="O49" s="126">
        <f t="shared" si="4"/>
        <v>196500</v>
      </c>
      <c r="P49" s="126">
        <f t="shared" si="5"/>
        <v>196500</v>
      </c>
    </row>
    <row r="50" spans="11:16" x14ac:dyDescent="0.15">
      <c r="K50" s="23">
        <v>46</v>
      </c>
      <c r="L50" s="126">
        <f t="shared" si="1"/>
        <v>214200</v>
      </c>
      <c r="M50" s="126">
        <f t="shared" si="2"/>
        <v>214200</v>
      </c>
      <c r="N50" s="126">
        <f t="shared" si="3"/>
        <v>214200</v>
      </c>
      <c r="O50" s="126">
        <f t="shared" si="4"/>
        <v>214200</v>
      </c>
      <c r="P50" s="126">
        <f t="shared" si="5"/>
        <v>214200</v>
      </c>
    </row>
    <row r="51" spans="11:16" x14ac:dyDescent="0.15">
      <c r="K51" s="23">
        <v>47</v>
      </c>
      <c r="L51" s="126">
        <f t="shared" si="1"/>
        <v>231900</v>
      </c>
      <c r="M51" s="126">
        <f t="shared" si="2"/>
        <v>231900</v>
      </c>
      <c r="N51" s="126">
        <f t="shared" si="3"/>
        <v>231900</v>
      </c>
      <c r="O51" s="126">
        <f t="shared" si="4"/>
        <v>231900</v>
      </c>
      <c r="P51" s="126">
        <f t="shared" si="5"/>
        <v>231900</v>
      </c>
    </row>
    <row r="52" spans="11:16" x14ac:dyDescent="0.15">
      <c r="K52" s="23">
        <v>48</v>
      </c>
      <c r="L52" s="126">
        <f t="shared" si="1"/>
        <v>249600</v>
      </c>
      <c r="M52" s="126">
        <f t="shared" si="2"/>
        <v>249600</v>
      </c>
      <c r="N52" s="126">
        <f t="shared" si="3"/>
        <v>249600</v>
      </c>
      <c r="O52" s="126">
        <f t="shared" si="4"/>
        <v>249600</v>
      </c>
      <c r="P52" s="126">
        <f t="shared" si="5"/>
        <v>249600</v>
      </c>
    </row>
    <row r="53" spans="11:16" x14ac:dyDescent="0.15">
      <c r="K53" s="23">
        <v>49</v>
      </c>
      <c r="L53" s="126">
        <f t="shared" si="1"/>
        <v>267300</v>
      </c>
      <c r="M53" s="126">
        <f t="shared" si="2"/>
        <v>267300</v>
      </c>
      <c r="N53" s="126">
        <f t="shared" si="3"/>
        <v>267300</v>
      </c>
      <c r="O53" s="126">
        <f t="shared" si="4"/>
        <v>267300</v>
      </c>
      <c r="P53" s="126">
        <f t="shared" si="5"/>
        <v>267300</v>
      </c>
    </row>
    <row r="54" spans="11:16" x14ac:dyDescent="0.15">
      <c r="K54" s="23">
        <v>50</v>
      </c>
      <c r="L54" s="126">
        <f t="shared" si="1"/>
        <v>285000</v>
      </c>
      <c r="M54" s="126">
        <f t="shared" si="2"/>
        <v>285000</v>
      </c>
      <c r="N54" s="126">
        <f t="shared" si="3"/>
        <v>285000</v>
      </c>
      <c r="O54" s="126">
        <f t="shared" si="4"/>
        <v>285000</v>
      </c>
      <c r="P54" s="126">
        <f t="shared" si="5"/>
        <v>285000</v>
      </c>
    </row>
    <row r="55" spans="11:16" x14ac:dyDescent="0.15">
      <c r="K55" s="23">
        <v>51</v>
      </c>
      <c r="L55" s="126">
        <f t="shared" si="1"/>
        <v>347850</v>
      </c>
      <c r="M55" s="126">
        <f t="shared" si="2"/>
        <v>347850</v>
      </c>
      <c r="N55" s="126">
        <f t="shared" si="3"/>
        <v>347850</v>
      </c>
      <c r="O55" s="126">
        <f t="shared" si="4"/>
        <v>347850</v>
      </c>
      <c r="P55" s="126">
        <f t="shared" si="5"/>
        <v>347850</v>
      </c>
    </row>
    <row r="56" spans="11:16" x14ac:dyDescent="0.15">
      <c r="K56" s="23">
        <v>52</v>
      </c>
      <c r="L56" s="126">
        <f t="shared" si="1"/>
        <v>410700</v>
      </c>
      <c r="M56" s="126">
        <f t="shared" si="2"/>
        <v>410700</v>
      </c>
      <c r="N56" s="126">
        <f t="shared" si="3"/>
        <v>410700</v>
      </c>
      <c r="O56" s="126">
        <f t="shared" si="4"/>
        <v>410700</v>
      </c>
      <c r="P56" s="126">
        <f t="shared" si="5"/>
        <v>410700</v>
      </c>
    </row>
    <row r="57" spans="11:16" x14ac:dyDescent="0.15">
      <c r="K57" s="23">
        <v>53</v>
      </c>
      <c r="L57" s="126">
        <f t="shared" si="1"/>
        <v>473550</v>
      </c>
      <c r="M57" s="126">
        <f t="shared" si="2"/>
        <v>473550</v>
      </c>
      <c r="N57" s="126">
        <f t="shared" si="3"/>
        <v>473550</v>
      </c>
      <c r="O57" s="126">
        <f t="shared" si="4"/>
        <v>473550</v>
      </c>
      <c r="P57" s="126">
        <f t="shared" si="5"/>
        <v>473550</v>
      </c>
    </row>
    <row r="58" spans="11:16" x14ac:dyDescent="0.15">
      <c r="K58" s="23">
        <v>54</v>
      </c>
      <c r="L58" s="126">
        <f t="shared" si="1"/>
        <v>536400</v>
      </c>
      <c r="M58" s="126">
        <f t="shared" si="2"/>
        <v>536400</v>
      </c>
      <c r="N58" s="126">
        <f t="shared" si="3"/>
        <v>536400</v>
      </c>
      <c r="O58" s="126">
        <f t="shared" si="4"/>
        <v>536400</v>
      </c>
      <c r="P58" s="126">
        <f t="shared" si="5"/>
        <v>536400</v>
      </c>
    </row>
    <row r="59" spans="11:16" x14ac:dyDescent="0.15">
      <c r="K59" s="23">
        <v>55</v>
      </c>
      <c r="L59" s="126">
        <f t="shared" si="1"/>
        <v>599250</v>
      </c>
      <c r="M59" s="126">
        <f t="shared" si="2"/>
        <v>599250</v>
      </c>
      <c r="N59" s="126">
        <f t="shared" si="3"/>
        <v>599250</v>
      </c>
      <c r="O59" s="126">
        <f t="shared" si="4"/>
        <v>599250</v>
      </c>
      <c r="P59" s="126">
        <f t="shared" si="5"/>
        <v>599250</v>
      </c>
    </row>
    <row r="60" spans="11:16" x14ac:dyDescent="0.15">
      <c r="K60" s="23">
        <v>56</v>
      </c>
      <c r="L60" s="126">
        <f t="shared" si="1"/>
        <v>662100</v>
      </c>
      <c r="M60" s="126">
        <f t="shared" si="2"/>
        <v>662100</v>
      </c>
      <c r="N60" s="126">
        <f t="shared" si="3"/>
        <v>662100</v>
      </c>
      <c r="O60" s="126">
        <f t="shared" si="4"/>
        <v>662100</v>
      </c>
      <c r="P60" s="126">
        <f t="shared" si="5"/>
        <v>662100</v>
      </c>
    </row>
    <row r="61" spans="11:16" x14ac:dyDescent="0.15">
      <c r="K61" s="23">
        <v>57</v>
      </c>
      <c r="L61" s="126">
        <f t="shared" si="1"/>
        <v>724950</v>
      </c>
      <c r="M61" s="126">
        <f t="shared" si="2"/>
        <v>724950</v>
      </c>
      <c r="N61" s="126">
        <f t="shared" si="3"/>
        <v>724950</v>
      </c>
      <c r="O61" s="126">
        <f t="shared" si="4"/>
        <v>724950</v>
      </c>
      <c r="P61" s="126">
        <f t="shared" si="5"/>
        <v>724950</v>
      </c>
    </row>
    <row r="62" spans="11:16" x14ac:dyDescent="0.15">
      <c r="K62" s="23">
        <v>58</v>
      </c>
      <c r="L62" s="126">
        <f t="shared" si="1"/>
        <v>787800</v>
      </c>
      <c r="M62" s="126">
        <f t="shared" si="2"/>
        <v>787800</v>
      </c>
      <c r="N62" s="126">
        <f t="shared" si="3"/>
        <v>787800</v>
      </c>
      <c r="O62" s="126">
        <f t="shared" si="4"/>
        <v>787800</v>
      </c>
      <c r="P62" s="126">
        <f t="shared" si="5"/>
        <v>787800</v>
      </c>
    </row>
    <row r="63" spans="11:16" x14ac:dyDescent="0.15">
      <c r="K63" s="23">
        <v>59</v>
      </c>
      <c r="L63" s="126">
        <f t="shared" si="1"/>
        <v>850650</v>
      </c>
      <c r="M63" s="126">
        <f t="shared" si="2"/>
        <v>850650</v>
      </c>
      <c r="N63" s="126">
        <f t="shared" si="3"/>
        <v>850650</v>
      </c>
      <c r="O63" s="126">
        <f t="shared" si="4"/>
        <v>850650</v>
      </c>
      <c r="P63" s="126">
        <f t="shared" si="5"/>
        <v>850650</v>
      </c>
    </row>
    <row r="64" spans="11:16" x14ac:dyDescent="0.15">
      <c r="K64" s="23">
        <v>60</v>
      </c>
      <c r="L64" s="126">
        <f t="shared" si="1"/>
        <v>913500</v>
      </c>
      <c r="M64" s="126">
        <f t="shared" si="2"/>
        <v>913500</v>
      </c>
      <c r="N64" s="126">
        <f t="shared" si="3"/>
        <v>913500</v>
      </c>
      <c r="O64" s="126">
        <f t="shared" si="4"/>
        <v>913500</v>
      </c>
      <c r="P64" s="126">
        <f t="shared" si="5"/>
        <v>913500</v>
      </c>
    </row>
    <row r="65" spans="11:16" x14ac:dyDescent="0.15">
      <c r="K65" s="23">
        <v>61</v>
      </c>
      <c r="L65" s="126">
        <f t="shared" si="1"/>
        <v>1032120</v>
      </c>
      <c r="M65" s="126">
        <f t="shared" si="2"/>
        <v>1032120</v>
      </c>
      <c r="N65" s="126">
        <f t="shared" si="3"/>
        <v>1032120</v>
      </c>
      <c r="O65" s="126">
        <f t="shared" si="4"/>
        <v>1032120</v>
      </c>
      <c r="P65" s="126">
        <f t="shared" si="5"/>
        <v>1032120</v>
      </c>
    </row>
    <row r="66" spans="11:16" x14ac:dyDescent="0.15">
      <c r="K66" s="23">
        <v>62</v>
      </c>
      <c r="L66" s="126">
        <f t="shared" si="1"/>
        <v>1150740</v>
      </c>
      <c r="M66" s="126">
        <f t="shared" si="2"/>
        <v>1150740</v>
      </c>
      <c r="N66" s="126">
        <f t="shared" si="3"/>
        <v>1150740</v>
      </c>
      <c r="O66" s="126">
        <f t="shared" si="4"/>
        <v>1150740</v>
      </c>
      <c r="P66" s="126">
        <f t="shared" si="5"/>
        <v>1150740</v>
      </c>
    </row>
    <row r="67" spans="11:16" x14ac:dyDescent="0.15">
      <c r="K67" s="23">
        <v>63</v>
      </c>
      <c r="L67" s="126">
        <f t="shared" si="1"/>
        <v>1269360</v>
      </c>
      <c r="M67" s="126">
        <f t="shared" si="2"/>
        <v>1269360</v>
      </c>
      <c r="N67" s="126">
        <f t="shared" si="3"/>
        <v>1269360</v>
      </c>
      <c r="O67" s="126">
        <f t="shared" si="4"/>
        <v>1269360</v>
      </c>
      <c r="P67" s="126">
        <f t="shared" si="5"/>
        <v>1269360</v>
      </c>
    </row>
    <row r="68" spans="11:16" x14ac:dyDescent="0.15">
      <c r="K68" s="23">
        <v>64</v>
      </c>
      <c r="L68" s="126">
        <f t="shared" si="1"/>
        <v>1387980</v>
      </c>
      <c r="M68" s="126">
        <f t="shared" si="2"/>
        <v>1387980</v>
      </c>
      <c r="N68" s="126">
        <f t="shared" si="3"/>
        <v>1387980</v>
      </c>
      <c r="O68" s="126">
        <f t="shared" si="4"/>
        <v>1387980</v>
      </c>
      <c r="P68" s="126">
        <f t="shared" si="5"/>
        <v>1387980</v>
      </c>
    </row>
    <row r="69" spans="11:16" x14ac:dyDescent="0.15">
      <c r="K69" s="23">
        <v>65</v>
      </c>
      <c r="L69" s="126">
        <f t="shared" si="1"/>
        <v>1506600</v>
      </c>
      <c r="M69" s="126">
        <f t="shared" si="2"/>
        <v>1506600</v>
      </c>
      <c r="N69" s="126">
        <f t="shared" si="3"/>
        <v>1506600</v>
      </c>
      <c r="O69" s="126">
        <f t="shared" si="4"/>
        <v>1506600</v>
      </c>
      <c r="P69" s="126">
        <f t="shared" si="5"/>
        <v>1506600</v>
      </c>
    </row>
    <row r="70" spans="11:16" x14ac:dyDescent="0.15">
      <c r="K70" s="23">
        <v>66</v>
      </c>
      <c r="L70" s="126">
        <f t="shared" ref="L70:L104" si="6">求节点($B$5:$B$20,C$5:C$20,$K70)</f>
        <v>1625220</v>
      </c>
      <c r="M70" s="126">
        <f t="shared" ref="M70:M104" si="7">求节点($B$5:$B$20,D$5:D$20,$K70)</f>
        <v>1625220</v>
      </c>
      <c r="N70" s="126">
        <f t="shared" ref="N70:N104" si="8">求节点($B$5:$B$20,E$5:E$20,$K70)</f>
        <v>1625220</v>
      </c>
      <c r="O70" s="126">
        <f t="shared" ref="O70:O104" si="9">求节点($B$5:$B$20,F$5:F$20,$K70)</f>
        <v>1625220</v>
      </c>
      <c r="P70" s="126">
        <f t="shared" ref="P70:P104" si="10">求节点($B$5:$B$20,G$5:G$20,$K70)</f>
        <v>1625220</v>
      </c>
    </row>
    <row r="71" spans="11:16" x14ac:dyDescent="0.15">
      <c r="K71" s="23">
        <v>67</v>
      </c>
      <c r="L71" s="126">
        <f t="shared" si="6"/>
        <v>1743840</v>
      </c>
      <c r="M71" s="126">
        <f t="shared" si="7"/>
        <v>1743840</v>
      </c>
      <c r="N71" s="126">
        <f t="shared" si="8"/>
        <v>1743840</v>
      </c>
      <c r="O71" s="126">
        <f t="shared" si="9"/>
        <v>1743840</v>
      </c>
      <c r="P71" s="126">
        <f t="shared" si="10"/>
        <v>1743840</v>
      </c>
    </row>
    <row r="72" spans="11:16" x14ac:dyDescent="0.15">
      <c r="K72" s="23">
        <v>68</v>
      </c>
      <c r="L72" s="126">
        <f t="shared" si="6"/>
        <v>1862460</v>
      </c>
      <c r="M72" s="126">
        <f t="shared" si="7"/>
        <v>1862460</v>
      </c>
      <c r="N72" s="126">
        <f t="shared" si="8"/>
        <v>1862460</v>
      </c>
      <c r="O72" s="126">
        <f t="shared" si="9"/>
        <v>1862460</v>
      </c>
      <c r="P72" s="126">
        <f t="shared" si="10"/>
        <v>1862460</v>
      </c>
    </row>
    <row r="73" spans="11:16" x14ac:dyDescent="0.15">
      <c r="K73" s="23">
        <v>69</v>
      </c>
      <c r="L73" s="126">
        <f t="shared" si="6"/>
        <v>1981080</v>
      </c>
      <c r="M73" s="126">
        <f t="shared" si="7"/>
        <v>1981080</v>
      </c>
      <c r="N73" s="126">
        <f t="shared" si="8"/>
        <v>1981080</v>
      </c>
      <c r="O73" s="126">
        <f t="shared" si="9"/>
        <v>1981080</v>
      </c>
      <c r="P73" s="126">
        <f t="shared" si="10"/>
        <v>1981080</v>
      </c>
    </row>
    <row r="74" spans="11:16" x14ac:dyDescent="0.15">
      <c r="K74" s="23">
        <v>70</v>
      </c>
      <c r="L74" s="126">
        <f t="shared" si="6"/>
        <v>2099700</v>
      </c>
      <c r="M74" s="126">
        <f t="shared" si="7"/>
        <v>2099700</v>
      </c>
      <c r="N74" s="126">
        <f t="shared" si="8"/>
        <v>2099700</v>
      </c>
      <c r="O74" s="126">
        <f t="shared" si="9"/>
        <v>2099700</v>
      </c>
      <c r="P74" s="126">
        <f t="shared" si="10"/>
        <v>2099700</v>
      </c>
    </row>
    <row r="75" spans="11:16" x14ac:dyDescent="0.15">
      <c r="K75" s="23">
        <v>71</v>
      </c>
      <c r="L75" s="126">
        <f t="shared" si="6"/>
        <v>2415960</v>
      </c>
      <c r="M75" s="126">
        <f t="shared" si="7"/>
        <v>2415960</v>
      </c>
      <c r="N75" s="126">
        <f t="shared" si="8"/>
        <v>2415960</v>
      </c>
      <c r="O75" s="126">
        <f t="shared" si="9"/>
        <v>2415960</v>
      </c>
      <c r="P75" s="126">
        <f t="shared" si="10"/>
        <v>2415960</v>
      </c>
    </row>
    <row r="76" spans="11:16" x14ac:dyDescent="0.15">
      <c r="K76" s="23">
        <v>72</v>
      </c>
      <c r="L76" s="126">
        <f t="shared" si="6"/>
        <v>2732220</v>
      </c>
      <c r="M76" s="126">
        <f t="shared" si="7"/>
        <v>2732220</v>
      </c>
      <c r="N76" s="126">
        <f t="shared" si="8"/>
        <v>2732220</v>
      </c>
      <c r="O76" s="126">
        <f t="shared" si="9"/>
        <v>2732220</v>
      </c>
      <c r="P76" s="126">
        <f t="shared" si="10"/>
        <v>2732220</v>
      </c>
    </row>
    <row r="77" spans="11:16" x14ac:dyDescent="0.15">
      <c r="K77" s="23">
        <v>73</v>
      </c>
      <c r="L77" s="126">
        <f t="shared" si="6"/>
        <v>3048480</v>
      </c>
      <c r="M77" s="126">
        <f t="shared" si="7"/>
        <v>3048480</v>
      </c>
      <c r="N77" s="126">
        <f t="shared" si="8"/>
        <v>3048480</v>
      </c>
      <c r="O77" s="126">
        <f t="shared" si="9"/>
        <v>3048480</v>
      </c>
      <c r="P77" s="126">
        <f t="shared" si="10"/>
        <v>3048480</v>
      </c>
    </row>
    <row r="78" spans="11:16" x14ac:dyDescent="0.15">
      <c r="K78" s="23">
        <v>74</v>
      </c>
      <c r="L78" s="126">
        <f t="shared" si="6"/>
        <v>3364740</v>
      </c>
      <c r="M78" s="126">
        <f t="shared" si="7"/>
        <v>3364740</v>
      </c>
      <c r="N78" s="126">
        <f t="shared" si="8"/>
        <v>3364740</v>
      </c>
      <c r="O78" s="126">
        <f t="shared" si="9"/>
        <v>3364740</v>
      </c>
      <c r="P78" s="126">
        <f t="shared" si="10"/>
        <v>3364740</v>
      </c>
    </row>
    <row r="79" spans="11:16" x14ac:dyDescent="0.15">
      <c r="K79" s="23">
        <v>75</v>
      </c>
      <c r="L79" s="126">
        <f t="shared" si="6"/>
        <v>3681000</v>
      </c>
      <c r="M79" s="126">
        <f t="shared" si="7"/>
        <v>3681000</v>
      </c>
      <c r="N79" s="126">
        <f t="shared" si="8"/>
        <v>3681000</v>
      </c>
      <c r="O79" s="126">
        <f t="shared" si="9"/>
        <v>3681000</v>
      </c>
      <c r="P79" s="126">
        <f t="shared" si="10"/>
        <v>3681000</v>
      </c>
    </row>
    <row r="80" spans="11:16" x14ac:dyDescent="0.15">
      <c r="K80" s="23">
        <v>76</v>
      </c>
      <c r="L80" s="126">
        <f t="shared" si="6"/>
        <v>3997260</v>
      </c>
      <c r="M80" s="126">
        <f t="shared" si="7"/>
        <v>3997260</v>
      </c>
      <c r="N80" s="126">
        <f t="shared" si="8"/>
        <v>3997260</v>
      </c>
      <c r="O80" s="126">
        <f t="shared" si="9"/>
        <v>3997260</v>
      </c>
      <c r="P80" s="126">
        <f t="shared" si="10"/>
        <v>3997260</v>
      </c>
    </row>
    <row r="81" spans="11:16" x14ac:dyDescent="0.15">
      <c r="K81" s="23">
        <v>77</v>
      </c>
      <c r="L81" s="126">
        <f t="shared" si="6"/>
        <v>4313520</v>
      </c>
      <c r="M81" s="126">
        <f t="shared" si="7"/>
        <v>4313520</v>
      </c>
      <c r="N81" s="126">
        <f t="shared" si="8"/>
        <v>4313520</v>
      </c>
      <c r="O81" s="126">
        <f t="shared" si="9"/>
        <v>4313520</v>
      </c>
      <c r="P81" s="126">
        <f t="shared" si="10"/>
        <v>4313520</v>
      </c>
    </row>
    <row r="82" spans="11:16" x14ac:dyDescent="0.15">
      <c r="K82" s="23">
        <v>78</v>
      </c>
      <c r="L82" s="126">
        <f t="shared" si="6"/>
        <v>4629780</v>
      </c>
      <c r="M82" s="126">
        <f t="shared" si="7"/>
        <v>4629780</v>
      </c>
      <c r="N82" s="126">
        <f t="shared" si="8"/>
        <v>4629780</v>
      </c>
      <c r="O82" s="126">
        <f t="shared" si="9"/>
        <v>4629780</v>
      </c>
      <c r="P82" s="126">
        <f t="shared" si="10"/>
        <v>4629780</v>
      </c>
    </row>
    <row r="83" spans="11:16" x14ac:dyDescent="0.15">
      <c r="K83" s="23">
        <v>79</v>
      </c>
      <c r="L83" s="126">
        <f t="shared" si="6"/>
        <v>4946040</v>
      </c>
      <c r="M83" s="126">
        <f t="shared" si="7"/>
        <v>4946040</v>
      </c>
      <c r="N83" s="126">
        <f t="shared" si="8"/>
        <v>4946040</v>
      </c>
      <c r="O83" s="126">
        <f t="shared" si="9"/>
        <v>4946040</v>
      </c>
      <c r="P83" s="126">
        <f t="shared" si="10"/>
        <v>4946040</v>
      </c>
    </row>
    <row r="84" spans="11:16" x14ac:dyDescent="0.15">
      <c r="K84" s="23">
        <v>80</v>
      </c>
      <c r="L84" s="126">
        <f t="shared" si="6"/>
        <v>5262300</v>
      </c>
      <c r="M84" s="126">
        <f t="shared" si="7"/>
        <v>5262300</v>
      </c>
      <c r="N84" s="126">
        <f t="shared" si="8"/>
        <v>5262300</v>
      </c>
      <c r="O84" s="126">
        <f t="shared" si="9"/>
        <v>5262300</v>
      </c>
      <c r="P84" s="126">
        <f t="shared" si="10"/>
        <v>5262300</v>
      </c>
    </row>
    <row r="85" spans="11:16" x14ac:dyDescent="0.15">
      <c r="K85" s="23">
        <v>81</v>
      </c>
      <c r="L85" s="126">
        <f t="shared" si="6"/>
        <v>5953500</v>
      </c>
      <c r="M85" s="126">
        <f t="shared" si="7"/>
        <v>5953500</v>
      </c>
      <c r="N85" s="126">
        <f t="shared" si="8"/>
        <v>5953500</v>
      </c>
      <c r="O85" s="126">
        <f t="shared" si="9"/>
        <v>5953500</v>
      </c>
      <c r="P85" s="126">
        <f t="shared" si="10"/>
        <v>5953500</v>
      </c>
    </row>
    <row r="86" spans="11:16" x14ac:dyDescent="0.15">
      <c r="K86" s="23">
        <v>82</v>
      </c>
      <c r="L86" s="126">
        <f t="shared" si="6"/>
        <v>6644700</v>
      </c>
      <c r="M86" s="126">
        <f t="shared" si="7"/>
        <v>6644700</v>
      </c>
      <c r="N86" s="126">
        <f t="shared" si="8"/>
        <v>6644700</v>
      </c>
      <c r="O86" s="126">
        <f t="shared" si="9"/>
        <v>6644700</v>
      </c>
      <c r="P86" s="126">
        <f t="shared" si="10"/>
        <v>6644700</v>
      </c>
    </row>
    <row r="87" spans="11:16" x14ac:dyDescent="0.15">
      <c r="K87" s="23">
        <v>83</v>
      </c>
      <c r="L87" s="126">
        <f t="shared" si="6"/>
        <v>7335900</v>
      </c>
      <c r="M87" s="126">
        <f t="shared" si="7"/>
        <v>7335900</v>
      </c>
      <c r="N87" s="126">
        <f t="shared" si="8"/>
        <v>7335900</v>
      </c>
      <c r="O87" s="126">
        <f t="shared" si="9"/>
        <v>7335900</v>
      </c>
      <c r="P87" s="126">
        <f t="shared" si="10"/>
        <v>7335900</v>
      </c>
    </row>
    <row r="88" spans="11:16" x14ac:dyDescent="0.15">
      <c r="K88" s="23">
        <v>84</v>
      </c>
      <c r="L88" s="126">
        <f t="shared" si="6"/>
        <v>8027100</v>
      </c>
      <c r="M88" s="126">
        <f t="shared" si="7"/>
        <v>8027100</v>
      </c>
      <c r="N88" s="126">
        <f t="shared" si="8"/>
        <v>8027100</v>
      </c>
      <c r="O88" s="126">
        <f t="shared" si="9"/>
        <v>8027100</v>
      </c>
      <c r="P88" s="126">
        <f t="shared" si="10"/>
        <v>8027100</v>
      </c>
    </row>
    <row r="89" spans="11:16" x14ac:dyDescent="0.15">
      <c r="K89" s="23">
        <v>85</v>
      </c>
      <c r="L89" s="126">
        <f t="shared" si="6"/>
        <v>8718300</v>
      </c>
      <c r="M89" s="126">
        <f t="shared" si="7"/>
        <v>8718300</v>
      </c>
      <c r="N89" s="126">
        <f t="shared" si="8"/>
        <v>8718300</v>
      </c>
      <c r="O89" s="126">
        <f t="shared" si="9"/>
        <v>8718300</v>
      </c>
      <c r="P89" s="126">
        <f t="shared" si="10"/>
        <v>8718300</v>
      </c>
    </row>
    <row r="90" spans="11:16" x14ac:dyDescent="0.15">
      <c r="K90" s="23">
        <v>86</v>
      </c>
      <c r="L90" s="126">
        <f t="shared" si="6"/>
        <v>9409500</v>
      </c>
      <c r="M90" s="126">
        <f t="shared" si="7"/>
        <v>9409500</v>
      </c>
      <c r="N90" s="126">
        <f t="shared" si="8"/>
        <v>9409500</v>
      </c>
      <c r="O90" s="126">
        <f t="shared" si="9"/>
        <v>9409500</v>
      </c>
      <c r="P90" s="126">
        <f t="shared" si="10"/>
        <v>9409500</v>
      </c>
    </row>
    <row r="91" spans="11:16" x14ac:dyDescent="0.15">
      <c r="K91" s="23">
        <v>87</v>
      </c>
      <c r="L91" s="126">
        <f t="shared" si="6"/>
        <v>10100700</v>
      </c>
      <c r="M91" s="126">
        <f t="shared" si="7"/>
        <v>10100700</v>
      </c>
      <c r="N91" s="126">
        <f t="shared" si="8"/>
        <v>10100700</v>
      </c>
      <c r="O91" s="126">
        <f t="shared" si="9"/>
        <v>10100700</v>
      </c>
      <c r="P91" s="126">
        <f t="shared" si="10"/>
        <v>10100700</v>
      </c>
    </row>
    <row r="92" spans="11:16" x14ac:dyDescent="0.15">
      <c r="K92" s="23">
        <v>88</v>
      </c>
      <c r="L92" s="126">
        <f t="shared" si="6"/>
        <v>10791900</v>
      </c>
      <c r="M92" s="126">
        <f t="shared" si="7"/>
        <v>10791900</v>
      </c>
      <c r="N92" s="126">
        <f t="shared" si="8"/>
        <v>10791900</v>
      </c>
      <c r="O92" s="126">
        <f t="shared" si="9"/>
        <v>10791900</v>
      </c>
      <c r="P92" s="126">
        <f t="shared" si="10"/>
        <v>10791900</v>
      </c>
    </row>
    <row r="93" spans="11:16" x14ac:dyDescent="0.15">
      <c r="K93" s="23">
        <v>89</v>
      </c>
      <c r="L93" s="126">
        <f t="shared" si="6"/>
        <v>11483100</v>
      </c>
      <c r="M93" s="126">
        <f t="shared" si="7"/>
        <v>11483100</v>
      </c>
      <c r="N93" s="126">
        <f t="shared" si="8"/>
        <v>11483100</v>
      </c>
      <c r="O93" s="126">
        <f t="shared" si="9"/>
        <v>11483100</v>
      </c>
      <c r="P93" s="126">
        <f t="shared" si="10"/>
        <v>11483100</v>
      </c>
    </row>
    <row r="94" spans="11:16" x14ac:dyDescent="0.15">
      <c r="K94" s="23">
        <v>90</v>
      </c>
      <c r="L94" s="126">
        <f t="shared" si="6"/>
        <v>12174300</v>
      </c>
      <c r="M94" s="126">
        <f t="shared" si="7"/>
        <v>12174300</v>
      </c>
      <c r="N94" s="126">
        <f t="shared" si="8"/>
        <v>12174300</v>
      </c>
      <c r="O94" s="126">
        <f t="shared" si="9"/>
        <v>12174300</v>
      </c>
      <c r="P94" s="126">
        <f t="shared" si="10"/>
        <v>12174300</v>
      </c>
    </row>
    <row r="95" spans="11:16" x14ac:dyDescent="0.15">
      <c r="K95" s="23">
        <v>91</v>
      </c>
      <c r="L95" s="126">
        <f t="shared" si="6"/>
        <v>13751100</v>
      </c>
      <c r="M95" s="126">
        <f t="shared" si="7"/>
        <v>13751100</v>
      </c>
      <c r="N95" s="126">
        <f t="shared" si="8"/>
        <v>13751100</v>
      </c>
      <c r="O95" s="126">
        <f t="shared" si="9"/>
        <v>13751100</v>
      </c>
      <c r="P95" s="126">
        <f t="shared" si="10"/>
        <v>13751100</v>
      </c>
    </row>
    <row r="96" spans="11:16" x14ac:dyDescent="0.15">
      <c r="K96" s="23">
        <v>92</v>
      </c>
      <c r="L96" s="126">
        <f t="shared" si="6"/>
        <v>15327900</v>
      </c>
      <c r="M96" s="126">
        <f t="shared" si="7"/>
        <v>15327900</v>
      </c>
      <c r="N96" s="126">
        <f t="shared" si="8"/>
        <v>15327900</v>
      </c>
      <c r="O96" s="126">
        <f t="shared" si="9"/>
        <v>15327900</v>
      </c>
      <c r="P96" s="126">
        <f t="shared" si="10"/>
        <v>15327900</v>
      </c>
    </row>
    <row r="97" spans="11:16" x14ac:dyDescent="0.15">
      <c r="K97" s="23">
        <v>93</v>
      </c>
      <c r="L97" s="126">
        <f t="shared" si="6"/>
        <v>16904700</v>
      </c>
      <c r="M97" s="126">
        <f t="shared" si="7"/>
        <v>16904700</v>
      </c>
      <c r="N97" s="126">
        <f t="shared" si="8"/>
        <v>16904700</v>
      </c>
      <c r="O97" s="126">
        <f t="shared" si="9"/>
        <v>16904700</v>
      </c>
      <c r="P97" s="126">
        <f t="shared" si="10"/>
        <v>16904700</v>
      </c>
    </row>
    <row r="98" spans="11:16" x14ac:dyDescent="0.15">
      <c r="K98" s="23">
        <v>94</v>
      </c>
      <c r="L98" s="126">
        <f t="shared" si="6"/>
        <v>18481500</v>
      </c>
      <c r="M98" s="126">
        <f t="shared" si="7"/>
        <v>18481500</v>
      </c>
      <c r="N98" s="126">
        <f t="shared" si="8"/>
        <v>18481500</v>
      </c>
      <c r="O98" s="126">
        <f t="shared" si="9"/>
        <v>18481500</v>
      </c>
      <c r="P98" s="126">
        <f t="shared" si="10"/>
        <v>18481500</v>
      </c>
    </row>
    <row r="99" spans="11:16" x14ac:dyDescent="0.15">
      <c r="K99" s="23">
        <v>95</v>
      </c>
      <c r="L99" s="126">
        <f t="shared" si="6"/>
        <v>20058300</v>
      </c>
      <c r="M99" s="126">
        <f t="shared" si="7"/>
        <v>20058300</v>
      </c>
      <c r="N99" s="126">
        <f t="shared" si="8"/>
        <v>20058300</v>
      </c>
      <c r="O99" s="126">
        <f t="shared" si="9"/>
        <v>20058300</v>
      </c>
      <c r="P99" s="126">
        <f t="shared" si="10"/>
        <v>20058300</v>
      </c>
    </row>
    <row r="100" spans="11:16" x14ac:dyDescent="0.15">
      <c r="K100" s="23">
        <v>96</v>
      </c>
      <c r="L100" s="126">
        <f t="shared" si="6"/>
        <v>21635100</v>
      </c>
      <c r="M100" s="126">
        <f t="shared" si="7"/>
        <v>21635100</v>
      </c>
      <c r="N100" s="126">
        <f t="shared" si="8"/>
        <v>21635100</v>
      </c>
      <c r="O100" s="126">
        <f t="shared" si="9"/>
        <v>21635100</v>
      </c>
      <c r="P100" s="126">
        <f t="shared" si="10"/>
        <v>21635100</v>
      </c>
    </row>
    <row r="101" spans="11:16" x14ac:dyDescent="0.15">
      <c r="K101" s="23">
        <v>97</v>
      </c>
      <c r="L101" s="126">
        <f t="shared" si="6"/>
        <v>23211900</v>
      </c>
      <c r="M101" s="126">
        <f t="shared" si="7"/>
        <v>23211900</v>
      </c>
      <c r="N101" s="126">
        <f t="shared" si="8"/>
        <v>23211900</v>
      </c>
      <c r="O101" s="126">
        <f t="shared" si="9"/>
        <v>23211900</v>
      </c>
      <c r="P101" s="126">
        <f t="shared" si="10"/>
        <v>23211900</v>
      </c>
    </row>
    <row r="102" spans="11:16" x14ac:dyDescent="0.15">
      <c r="K102" s="23">
        <v>98</v>
      </c>
      <c r="L102" s="126">
        <f t="shared" si="6"/>
        <v>24788700</v>
      </c>
      <c r="M102" s="126">
        <f t="shared" si="7"/>
        <v>24788700</v>
      </c>
      <c r="N102" s="126">
        <f t="shared" si="8"/>
        <v>24788700</v>
      </c>
      <c r="O102" s="126">
        <f t="shared" si="9"/>
        <v>24788700</v>
      </c>
      <c r="P102" s="126">
        <f t="shared" si="10"/>
        <v>24788700</v>
      </c>
    </row>
    <row r="103" spans="11:16" x14ac:dyDescent="0.15">
      <c r="K103" s="23">
        <v>99</v>
      </c>
      <c r="L103" s="126">
        <f t="shared" si="6"/>
        <v>26365500</v>
      </c>
      <c r="M103" s="126">
        <f t="shared" si="7"/>
        <v>26365500</v>
      </c>
      <c r="N103" s="126">
        <f t="shared" si="8"/>
        <v>26365500</v>
      </c>
      <c r="O103" s="126">
        <f t="shared" si="9"/>
        <v>26365500</v>
      </c>
      <c r="P103" s="126">
        <f t="shared" si="10"/>
        <v>26365500</v>
      </c>
    </row>
    <row r="104" spans="11:16" x14ac:dyDescent="0.15">
      <c r="K104" s="23">
        <v>100</v>
      </c>
      <c r="L104" s="126">
        <f t="shared" si="6"/>
        <v>27942300</v>
      </c>
      <c r="M104" s="126">
        <f t="shared" si="7"/>
        <v>27942300</v>
      </c>
      <c r="N104" s="126">
        <f t="shared" si="8"/>
        <v>27942300</v>
      </c>
      <c r="O104" s="126">
        <f t="shared" si="9"/>
        <v>27942300</v>
      </c>
      <c r="P104" s="126">
        <f t="shared" si="10"/>
        <v>27942300</v>
      </c>
    </row>
    <row r="105" spans="11:16" x14ac:dyDescent="0.15">
      <c r="K105" s="126">
        <v>101</v>
      </c>
      <c r="L105" s="126">
        <f t="shared" ref="L105:L144" si="11">求节点($B$5:$B$20,C$5:C$20,$K105)</f>
        <v>31344300</v>
      </c>
      <c r="M105" s="126">
        <f t="shared" ref="M105:M144" si="12">求节点($B$5:$B$20,D$5:D$20,$K105)</f>
        <v>31344300</v>
      </c>
      <c r="N105" s="126">
        <f t="shared" ref="N105:N144" si="13">求节点($B$5:$B$20,E$5:E$20,$K105)</f>
        <v>31344300</v>
      </c>
      <c r="O105" s="126">
        <f t="shared" ref="O105:O144" si="14">求节点($B$5:$B$20,F$5:F$20,$K105)</f>
        <v>31344300</v>
      </c>
      <c r="P105" s="126">
        <f t="shared" ref="P105:P144" si="15">求节点($B$5:$B$20,G$5:G$20,$K105)</f>
        <v>31344300</v>
      </c>
    </row>
    <row r="106" spans="11:16" x14ac:dyDescent="0.15">
      <c r="K106" s="126">
        <v>102</v>
      </c>
      <c r="L106" s="126">
        <f t="shared" si="11"/>
        <v>34746300</v>
      </c>
      <c r="M106" s="126">
        <f t="shared" si="12"/>
        <v>34746300</v>
      </c>
      <c r="N106" s="126">
        <f t="shared" si="13"/>
        <v>34746300</v>
      </c>
      <c r="O106" s="126">
        <f t="shared" si="14"/>
        <v>34746300</v>
      </c>
      <c r="P106" s="126">
        <f t="shared" si="15"/>
        <v>34746300</v>
      </c>
    </row>
    <row r="107" spans="11:16" x14ac:dyDescent="0.15">
      <c r="K107" s="126">
        <v>103</v>
      </c>
      <c r="L107" s="126">
        <f t="shared" si="11"/>
        <v>38148300</v>
      </c>
      <c r="M107" s="126">
        <f t="shared" si="12"/>
        <v>38148300</v>
      </c>
      <c r="N107" s="126">
        <f t="shared" si="13"/>
        <v>38148300</v>
      </c>
      <c r="O107" s="126">
        <f t="shared" si="14"/>
        <v>38148300</v>
      </c>
      <c r="P107" s="126">
        <f t="shared" si="15"/>
        <v>38148300</v>
      </c>
    </row>
    <row r="108" spans="11:16" x14ac:dyDescent="0.15">
      <c r="K108" s="126">
        <v>104</v>
      </c>
      <c r="L108" s="126">
        <f t="shared" si="11"/>
        <v>41550300</v>
      </c>
      <c r="M108" s="126">
        <f t="shared" si="12"/>
        <v>41550300</v>
      </c>
      <c r="N108" s="126">
        <f t="shared" si="13"/>
        <v>41550300</v>
      </c>
      <c r="O108" s="126">
        <f t="shared" si="14"/>
        <v>41550300</v>
      </c>
      <c r="P108" s="126">
        <f t="shared" si="15"/>
        <v>41550300</v>
      </c>
    </row>
    <row r="109" spans="11:16" x14ac:dyDescent="0.15">
      <c r="K109" s="126">
        <v>105</v>
      </c>
      <c r="L109" s="126">
        <f t="shared" si="11"/>
        <v>44952300</v>
      </c>
      <c r="M109" s="126">
        <f t="shared" si="12"/>
        <v>44952300</v>
      </c>
      <c r="N109" s="126">
        <f t="shared" si="13"/>
        <v>44952300</v>
      </c>
      <c r="O109" s="126">
        <f t="shared" si="14"/>
        <v>44952300</v>
      </c>
      <c r="P109" s="126">
        <f t="shared" si="15"/>
        <v>44952300</v>
      </c>
    </row>
    <row r="110" spans="11:16" x14ac:dyDescent="0.15">
      <c r="K110" s="126">
        <v>106</v>
      </c>
      <c r="L110" s="126">
        <f t="shared" si="11"/>
        <v>48354300</v>
      </c>
      <c r="M110" s="126">
        <f t="shared" si="12"/>
        <v>48354300</v>
      </c>
      <c r="N110" s="126">
        <f t="shared" si="13"/>
        <v>48354300</v>
      </c>
      <c r="O110" s="126">
        <f t="shared" si="14"/>
        <v>48354300</v>
      </c>
      <c r="P110" s="126">
        <f t="shared" si="15"/>
        <v>48354300</v>
      </c>
    </row>
    <row r="111" spans="11:16" x14ac:dyDescent="0.15">
      <c r="K111" s="126">
        <v>107</v>
      </c>
      <c r="L111" s="126">
        <f t="shared" si="11"/>
        <v>51756300</v>
      </c>
      <c r="M111" s="126">
        <f t="shared" si="12"/>
        <v>51756300</v>
      </c>
      <c r="N111" s="126">
        <f t="shared" si="13"/>
        <v>51756300</v>
      </c>
      <c r="O111" s="126">
        <f t="shared" si="14"/>
        <v>51756300</v>
      </c>
      <c r="P111" s="126">
        <f t="shared" si="15"/>
        <v>51756300</v>
      </c>
    </row>
    <row r="112" spans="11:16" x14ac:dyDescent="0.15">
      <c r="K112" s="126">
        <v>108</v>
      </c>
      <c r="L112" s="126">
        <f t="shared" si="11"/>
        <v>55158300</v>
      </c>
      <c r="M112" s="126">
        <f t="shared" si="12"/>
        <v>55158300</v>
      </c>
      <c r="N112" s="126">
        <f t="shared" si="13"/>
        <v>55158300</v>
      </c>
      <c r="O112" s="126">
        <f t="shared" si="14"/>
        <v>55158300</v>
      </c>
      <c r="P112" s="126">
        <f t="shared" si="15"/>
        <v>55158300</v>
      </c>
    </row>
    <row r="113" spans="11:16" x14ac:dyDescent="0.15">
      <c r="K113" s="126">
        <v>109</v>
      </c>
      <c r="L113" s="126">
        <f t="shared" si="11"/>
        <v>58560300</v>
      </c>
      <c r="M113" s="126">
        <f t="shared" si="12"/>
        <v>58560300</v>
      </c>
      <c r="N113" s="126">
        <f t="shared" si="13"/>
        <v>58560300</v>
      </c>
      <c r="O113" s="126">
        <f t="shared" si="14"/>
        <v>58560300</v>
      </c>
      <c r="P113" s="126">
        <f t="shared" si="15"/>
        <v>58560300</v>
      </c>
    </row>
    <row r="114" spans="11:16" x14ac:dyDescent="0.15">
      <c r="K114" s="126">
        <v>110</v>
      </c>
      <c r="L114" s="126">
        <f t="shared" si="11"/>
        <v>61962300</v>
      </c>
      <c r="M114" s="126">
        <f t="shared" si="12"/>
        <v>61962300</v>
      </c>
      <c r="N114" s="126">
        <f t="shared" si="13"/>
        <v>61962300</v>
      </c>
      <c r="O114" s="126">
        <f t="shared" si="14"/>
        <v>61962300</v>
      </c>
      <c r="P114" s="126">
        <f t="shared" si="15"/>
        <v>61962300</v>
      </c>
    </row>
    <row r="115" spans="11:16" x14ac:dyDescent="0.15">
      <c r="K115" s="126">
        <v>111</v>
      </c>
      <c r="L115" s="126">
        <f t="shared" si="11"/>
        <v>69770700</v>
      </c>
      <c r="M115" s="126">
        <f t="shared" si="12"/>
        <v>69770700</v>
      </c>
      <c r="N115" s="126">
        <f t="shared" si="13"/>
        <v>69770700</v>
      </c>
      <c r="O115" s="126">
        <f t="shared" si="14"/>
        <v>69770700</v>
      </c>
      <c r="P115" s="126">
        <f t="shared" si="15"/>
        <v>69770700</v>
      </c>
    </row>
    <row r="116" spans="11:16" x14ac:dyDescent="0.15">
      <c r="K116" s="126">
        <v>112</v>
      </c>
      <c r="L116" s="126">
        <f t="shared" si="11"/>
        <v>77579100</v>
      </c>
      <c r="M116" s="126">
        <f t="shared" si="12"/>
        <v>77579100</v>
      </c>
      <c r="N116" s="126">
        <f t="shared" si="13"/>
        <v>77579100</v>
      </c>
      <c r="O116" s="126">
        <f t="shared" si="14"/>
        <v>77579100</v>
      </c>
      <c r="P116" s="126">
        <f t="shared" si="15"/>
        <v>77579100</v>
      </c>
    </row>
    <row r="117" spans="11:16" x14ac:dyDescent="0.15">
      <c r="K117" s="126">
        <v>113</v>
      </c>
      <c r="L117" s="126">
        <f t="shared" si="11"/>
        <v>85387500</v>
      </c>
      <c r="M117" s="126">
        <f t="shared" si="12"/>
        <v>85387500</v>
      </c>
      <c r="N117" s="126">
        <f t="shared" si="13"/>
        <v>85387500</v>
      </c>
      <c r="O117" s="126">
        <f t="shared" si="14"/>
        <v>85387500</v>
      </c>
      <c r="P117" s="126">
        <f t="shared" si="15"/>
        <v>85387500</v>
      </c>
    </row>
    <row r="118" spans="11:16" x14ac:dyDescent="0.15">
      <c r="K118" s="126">
        <v>114</v>
      </c>
      <c r="L118" s="126">
        <f t="shared" si="11"/>
        <v>93195900</v>
      </c>
      <c r="M118" s="126">
        <f t="shared" si="12"/>
        <v>93195900</v>
      </c>
      <c r="N118" s="126">
        <f t="shared" si="13"/>
        <v>93195900</v>
      </c>
      <c r="O118" s="126">
        <f t="shared" si="14"/>
        <v>93195900</v>
      </c>
      <c r="P118" s="126">
        <f t="shared" si="15"/>
        <v>93195900</v>
      </c>
    </row>
    <row r="119" spans="11:16" x14ac:dyDescent="0.15">
      <c r="K119" s="126">
        <v>115</v>
      </c>
      <c r="L119" s="126">
        <f t="shared" si="11"/>
        <v>101004300</v>
      </c>
      <c r="M119" s="126">
        <f t="shared" si="12"/>
        <v>101004300</v>
      </c>
      <c r="N119" s="126">
        <f t="shared" si="13"/>
        <v>101004300</v>
      </c>
      <c r="O119" s="126">
        <f t="shared" si="14"/>
        <v>101004300</v>
      </c>
      <c r="P119" s="126">
        <f t="shared" si="15"/>
        <v>101004300</v>
      </c>
    </row>
    <row r="120" spans="11:16" x14ac:dyDescent="0.15">
      <c r="K120" s="126">
        <v>116</v>
      </c>
      <c r="L120" s="126">
        <f t="shared" si="11"/>
        <v>108812700</v>
      </c>
      <c r="M120" s="126">
        <f t="shared" si="12"/>
        <v>108812700</v>
      </c>
      <c r="N120" s="126">
        <f t="shared" si="13"/>
        <v>108812700</v>
      </c>
      <c r="O120" s="126">
        <f t="shared" si="14"/>
        <v>108812700</v>
      </c>
      <c r="P120" s="126">
        <f t="shared" si="15"/>
        <v>108812700</v>
      </c>
    </row>
    <row r="121" spans="11:16" x14ac:dyDescent="0.15">
      <c r="K121" s="126">
        <v>117</v>
      </c>
      <c r="L121" s="126">
        <f t="shared" si="11"/>
        <v>116621100</v>
      </c>
      <c r="M121" s="126">
        <f t="shared" si="12"/>
        <v>116621100</v>
      </c>
      <c r="N121" s="126">
        <f t="shared" si="13"/>
        <v>116621100</v>
      </c>
      <c r="O121" s="126">
        <f t="shared" si="14"/>
        <v>116621100</v>
      </c>
      <c r="P121" s="126">
        <f t="shared" si="15"/>
        <v>116621100</v>
      </c>
    </row>
    <row r="122" spans="11:16" x14ac:dyDescent="0.15">
      <c r="K122" s="126">
        <v>118</v>
      </c>
      <c r="L122" s="126">
        <f t="shared" si="11"/>
        <v>124429500</v>
      </c>
      <c r="M122" s="126">
        <f t="shared" si="12"/>
        <v>124429500</v>
      </c>
      <c r="N122" s="126">
        <f t="shared" si="13"/>
        <v>124429500</v>
      </c>
      <c r="O122" s="126">
        <f t="shared" si="14"/>
        <v>124429500</v>
      </c>
      <c r="P122" s="126">
        <f t="shared" si="15"/>
        <v>124429500</v>
      </c>
    </row>
    <row r="123" spans="11:16" x14ac:dyDescent="0.15">
      <c r="K123" s="126">
        <v>119</v>
      </c>
      <c r="L123" s="126">
        <f t="shared" si="11"/>
        <v>132237900</v>
      </c>
      <c r="M123" s="126">
        <f t="shared" si="12"/>
        <v>132237900</v>
      </c>
      <c r="N123" s="126">
        <f t="shared" si="13"/>
        <v>132237900</v>
      </c>
      <c r="O123" s="126">
        <f t="shared" si="14"/>
        <v>132237900</v>
      </c>
      <c r="P123" s="126">
        <f t="shared" si="15"/>
        <v>132237900</v>
      </c>
    </row>
    <row r="124" spans="11:16" x14ac:dyDescent="0.15">
      <c r="K124" s="126">
        <v>120</v>
      </c>
      <c r="L124" s="126">
        <f t="shared" si="11"/>
        <v>140046300</v>
      </c>
      <c r="M124" s="126">
        <f t="shared" si="12"/>
        <v>140046300</v>
      </c>
      <c r="N124" s="126">
        <f t="shared" si="13"/>
        <v>140046300</v>
      </c>
      <c r="O124" s="126">
        <f t="shared" si="14"/>
        <v>140046300</v>
      </c>
      <c r="P124" s="126">
        <f t="shared" si="15"/>
        <v>140046300</v>
      </c>
    </row>
    <row r="125" spans="11:16" x14ac:dyDescent="0.15">
      <c r="K125" s="126">
        <v>121</v>
      </c>
      <c r="L125" s="126">
        <f t="shared" si="11"/>
        <v>158082300</v>
      </c>
      <c r="M125" s="126">
        <f t="shared" si="12"/>
        <v>158082300</v>
      </c>
      <c r="N125" s="126">
        <f t="shared" si="13"/>
        <v>158082300</v>
      </c>
      <c r="O125" s="126">
        <f t="shared" si="14"/>
        <v>158082300</v>
      </c>
      <c r="P125" s="126">
        <f t="shared" si="15"/>
        <v>158082300</v>
      </c>
    </row>
    <row r="126" spans="11:16" x14ac:dyDescent="0.15">
      <c r="K126" s="126">
        <v>122</v>
      </c>
      <c r="L126" s="126">
        <f t="shared" si="11"/>
        <v>176118300</v>
      </c>
      <c r="M126" s="126">
        <f t="shared" si="12"/>
        <v>176118300</v>
      </c>
      <c r="N126" s="126">
        <f t="shared" si="13"/>
        <v>176118300</v>
      </c>
      <c r="O126" s="126">
        <f t="shared" si="14"/>
        <v>176118300</v>
      </c>
      <c r="P126" s="126">
        <f t="shared" si="15"/>
        <v>176118300</v>
      </c>
    </row>
    <row r="127" spans="11:16" x14ac:dyDescent="0.15">
      <c r="K127" s="126">
        <v>123</v>
      </c>
      <c r="L127" s="126">
        <f t="shared" si="11"/>
        <v>194154300</v>
      </c>
      <c r="M127" s="126">
        <f t="shared" si="12"/>
        <v>194154300</v>
      </c>
      <c r="N127" s="126">
        <f t="shared" si="13"/>
        <v>194154300</v>
      </c>
      <c r="O127" s="126">
        <f t="shared" si="14"/>
        <v>194154300</v>
      </c>
      <c r="P127" s="126">
        <f t="shared" si="15"/>
        <v>194154300</v>
      </c>
    </row>
    <row r="128" spans="11:16" x14ac:dyDescent="0.15">
      <c r="K128" s="126">
        <v>124</v>
      </c>
      <c r="L128" s="126">
        <f t="shared" si="11"/>
        <v>212190300</v>
      </c>
      <c r="M128" s="126">
        <f t="shared" si="12"/>
        <v>212190300</v>
      </c>
      <c r="N128" s="126">
        <f t="shared" si="13"/>
        <v>212190300</v>
      </c>
      <c r="O128" s="126">
        <f t="shared" si="14"/>
        <v>212190300</v>
      </c>
      <c r="P128" s="126">
        <f t="shared" si="15"/>
        <v>212190300</v>
      </c>
    </row>
    <row r="129" spans="11:16" x14ac:dyDescent="0.15">
      <c r="K129" s="126">
        <v>125</v>
      </c>
      <c r="L129" s="126">
        <f t="shared" si="11"/>
        <v>230226300</v>
      </c>
      <c r="M129" s="126">
        <f t="shared" si="12"/>
        <v>230226300</v>
      </c>
      <c r="N129" s="126">
        <f t="shared" si="13"/>
        <v>230226300</v>
      </c>
      <c r="O129" s="126">
        <f t="shared" si="14"/>
        <v>230226300</v>
      </c>
      <c r="P129" s="126">
        <f t="shared" si="15"/>
        <v>230226300</v>
      </c>
    </row>
    <row r="130" spans="11:16" x14ac:dyDescent="0.15">
      <c r="K130" s="126">
        <v>126</v>
      </c>
      <c r="L130" s="126">
        <f t="shared" si="11"/>
        <v>248262300</v>
      </c>
      <c r="M130" s="126">
        <f t="shared" si="12"/>
        <v>248262300</v>
      </c>
      <c r="N130" s="126">
        <f t="shared" si="13"/>
        <v>248262300</v>
      </c>
      <c r="O130" s="126">
        <f t="shared" si="14"/>
        <v>248262300</v>
      </c>
      <c r="P130" s="126">
        <f t="shared" si="15"/>
        <v>248262300</v>
      </c>
    </row>
    <row r="131" spans="11:16" x14ac:dyDescent="0.15">
      <c r="K131" s="126">
        <v>127</v>
      </c>
      <c r="L131" s="126">
        <f t="shared" si="11"/>
        <v>266298300</v>
      </c>
      <c r="M131" s="126">
        <f t="shared" si="12"/>
        <v>266298300</v>
      </c>
      <c r="N131" s="126">
        <f t="shared" si="13"/>
        <v>266298300</v>
      </c>
      <c r="O131" s="126">
        <f t="shared" si="14"/>
        <v>266298300</v>
      </c>
      <c r="P131" s="126">
        <f t="shared" si="15"/>
        <v>266298300</v>
      </c>
    </row>
    <row r="132" spans="11:16" x14ac:dyDescent="0.15">
      <c r="K132" s="126">
        <v>128</v>
      </c>
      <c r="L132" s="126">
        <f t="shared" si="11"/>
        <v>284334300</v>
      </c>
      <c r="M132" s="126">
        <f t="shared" si="12"/>
        <v>284334300</v>
      </c>
      <c r="N132" s="126">
        <f t="shared" si="13"/>
        <v>284334300</v>
      </c>
      <c r="O132" s="126">
        <f t="shared" si="14"/>
        <v>284334300</v>
      </c>
      <c r="P132" s="126">
        <f t="shared" si="15"/>
        <v>284334300</v>
      </c>
    </row>
    <row r="133" spans="11:16" x14ac:dyDescent="0.15">
      <c r="K133" s="126">
        <v>129</v>
      </c>
      <c r="L133" s="126">
        <f t="shared" si="11"/>
        <v>302370300</v>
      </c>
      <c r="M133" s="126">
        <f t="shared" si="12"/>
        <v>302370300</v>
      </c>
      <c r="N133" s="126">
        <f t="shared" si="13"/>
        <v>302370300</v>
      </c>
      <c r="O133" s="126">
        <f t="shared" si="14"/>
        <v>302370300</v>
      </c>
      <c r="P133" s="126">
        <f t="shared" si="15"/>
        <v>302370300</v>
      </c>
    </row>
    <row r="134" spans="11:16" x14ac:dyDescent="0.15">
      <c r="K134" s="126">
        <v>130</v>
      </c>
      <c r="L134" s="126">
        <f t="shared" si="11"/>
        <v>320406300</v>
      </c>
      <c r="M134" s="126">
        <f t="shared" si="12"/>
        <v>320406300</v>
      </c>
      <c r="N134" s="126">
        <f t="shared" si="13"/>
        <v>320406300</v>
      </c>
      <c r="O134" s="126">
        <f t="shared" si="14"/>
        <v>320406300</v>
      </c>
      <c r="P134" s="126">
        <f t="shared" si="15"/>
        <v>320406300</v>
      </c>
    </row>
    <row r="135" spans="11:16" x14ac:dyDescent="0.15">
      <c r="K135" s="126">
        <v>131</v>
      </c>
      <c r="L135" s="126">
        <f t="shared" si="11"/>
        <v>366306300</v>
      </c>
      <c r="M135" s="126">
        <f t="shared" si="12"/>
        <v>366306300</v>
      </c>
      <c r="N135" s="126">
        <f t="shared" si="13"/>
        <v>366306300</v>
      </c>
      <c r="O135" s="126">
        <f t="shared" si="14"/>
        <v>366306300</v>
      </c>
      <c r="P135" s="126">
        <f t="shared" si="15"/>
        <v>366306300</v>
      </c>
    </row>
    <row r="136" spans="11:16" x14ac:dyDescent="0.15">
      <c r="K136" s="126">
        <v>132</v>
      </c>
      <c r="L136" s="126">
        <f t="shared" si="11"/>
        <v>412206300</v>
      </c>
      <c r="M136" s="126">
        <f t="shared" si="12"/>
        <v>412206300</v>
      </c>
      <c r="N136" s="126">
        <f t="shared" si="13"/>
        <v>412206300</v>
      </c>
      <c r="O136" s="126">
        <f t="shared" si="14"/>
        <v>412206300</v>
      </c>
      <c r="P136" s="126">
        <f t="shared" si="15"/>
        <v>412206300</v>
      </c>
    </row>
    <row r="137" spans="11:16" x14ac:dyDescent="0.15">
      <c r="K137" s="126">
        <v>133</v>
      </c>
      <c r="L137" s="126">
        <f t="shared" si="11"/>
        <v>458106300</v>
      </c>
      <c r="M137" s="126">
        <f t="shared" si="12"/>
        <v>458106300</v>
      </c>
      <c r="N137" s="126">
        <f t="shared" si="13"/>
        <v>458106300</v>
      </c>
      <c r="O137" s="126">
        <f t="shared" si="14"/>
        <v>458106300</v>
      </c>
      <c r="P137" s="126">
        <f t="shared" si="15"/>
        <v>458106300</v>
      </c>
    </row>
    <row r="138" spans="11:16" x14ac:dyDescent="0.15">
      <c r="K138" s="126">
        <v>134</v>
      </c>
      <c r="L138" s="126">
        <f t="shared" si="11"/>
        <v>504006300</v>
      </c>
      <c r="M138" s="126">
        <f t="shared" si="12"/>
        <v>504006300</v>
      </c>
      <c r="N138" s="126">
        <f t="shared" si="13"/>
        <v>504006300</v>
      </c>
      <c r="O138" s="126">
        <f t="shared" si="14"/>
        <v>504006300</v>
      </c>
      <c r="P138" s="126">
        <f t="shared" si="15"/>
        <v>504006300</v>
      </c>
    </row>
    <row r="139" spans="11:16" x14ac:dyDescent="0.15">
      <c r="K139" s="126">
        <v>135</v>
      </c>
      <c r="L139" s="126">
        <f t="shared" si="11"/>
        <v>549906300</v>
      </c>
      <c r="M139" s="126">
        <f t="shared" si="12"/>
        <v>549906300</v>
      </c>
      <c r="N139" s="126">
        <f t="shared" si="13"/>
        <v>549906300</v>
      </c>
      <c r="O139" s="126">
        <f t="shared" si="14"/>
        <v>549906300</v>
      </c>
      <c r="P139" s="126">
        <f t="shared" si="15"/>
        <v>549906300</v>
      </c>
    </row>
    <row r="140" spans="11:16" x14ac:dyDescent="0.15">
      <c r="K140" s="126">
        <v>136</v>
      </c>
      <c r="L140" s="126">
        <f t="shared" si="11"/>
        <v>595806300</v>
      </c>
      <c r="M140" s="126">
        <f t="shared" si="12"/>
        <v>595806300</v>
      </c>
      <c r="N140" s="126">
        <f t="shared" si="13"/>
        <v>595806300</v>
      </c>
      <c r="O140" s="126">
        <f t="shared" si="14"/>
        <v>595806300</v>
      </c>
      <c r="P140" s="126">
        <f t="shared" si="15"/>
        <v>595806300</v>
      </c>
    </row>
    <row r="141" spans="11:16" x14ac:dyDescent="0.15">
      <c r="K141" s="126">
        <v>137</v>
      </c>
      <c r="L141" s="126">
        <f t="shared" si="11"/>
        <v>641706300</v>
      </c>
      <c r="M141" s="126">
        <f t="shared" si="12"/>
        <v>641706300</v>
      </c>
      <c r="N141" s="126">
        <f t="shared" si="13"/>
        <v>641706300</v>
      </c>
      <c r="O141" s="126">
        <f t="shared" si="14"/>
        <v>641706300</v>
      </c>
      <c r="P141" s="126">
        <f t="shared" si="15"/>
        <v>641706300</v>
      </c>
    </row>
    <row r="142" spans="11:16" x14ac:dyDescent="0.15">
      <c r="K142" s="126">
        <v>138</v>
      </c>
      <c r="L142" s="126">
        <f t="shared" si="11"/>
        <v>687606300</v>
      </c>
      <c r="M142" s="126">
        <f t="shared" si="12"/>
        <v>687606300</v>
      </c>
      <c r="N142" s="126">
        <f t="shared" si="13"/>
        <v>687606300</v>
      </c>
      <c r="O142" s="126">
        <f t="shared" si="14"/>
        <v>687606300</v>
      </c>
      <c r="P142" s="126">
        <f t="shared" si="15"/>
        <v>687606300</v>
      </c>
    </row>
    <row r="143" spans="11:16" x14ac:dyDescent="0.15">
      <c r="K143" s="126">
        <v>139</v>
      </c>
      <c r="L143" s="126">
        <f t="shared" si="11"/>
        <v>733506300</v>
      </c>
      <c r="M143" s="126">
        <f t="shared" si="12"/>
        <v>733506300</v>
      </c>
      <c r="N143" s="126">
        <f t="shared" si="13"/>
        <v>733506300</v>
      </c>
      <c r="O143" s="126">
        <f t="shared" si="14"/>
        <v>733506300</v>
      </c>
      <c r="P143" s="126">
        <f t="shared" si="15"/>
        <v>733506300</v>
      </c>
    </row>
    <row r="144" spans="11:16" x14ac:dyDescent="0.15">
      <c r="K144" s="126">
        <v>140</v>
      </c>
      <c r="L144" s="126">
        <f t="shared" si="11"/>
        <v>779406300</v>
      </c>
      <c r="M144" s="126">
        <f t="shared" si="12"/>
        <v>779406300</v>
      </c>
      <c r="N144" s="126">
        <f t="shared" si="13"/>
        <v>779406300</v>
      </c>
      <c r="O144" s="126">
        <f t="shared" si="14"/>
        <v>779406300</v>
      </c>
      <c r="P144" s="126">
        <f t="shared" si="15"/>
        <v>779406300</v>
      </c>
    </row>
    <row r="145" spans="11:16" x14ac:dyDescent="0.15">
      <c r="K145" s="126">
        <v>141</v>
      </c>
      <c r="L145" s="126">
        <f t="shared" ref="L145:L164" si="16">求节点($B$5:$B$20,C$5:C$20,$K145)</f>
        <v>889566300</v>
      </c>
      <c r="M145" s="126">
        <f t="shared" ref="M145:M164" si="17">求节点($B$5:$B$20,D$5:D$20,$K145)</f>
        <v>889566300</v>
      </c>
      <c r="N145" s="126">
        <f t="shared" ref="N145:N164" si="18">求节点($B$5:$B$20,E$5:E$20,$K145)</f>
        <v>889566300</v>
      </c>
      <c r="O145" s="126">
        <f t="shared" ref="O145:O164" si="19">求节点($B$5:$B$20,F$5:F$20,$K145)</f>
        <v>889566300</v>
      </c>
      <c r="P145" s="126">
        <f t="shared" ref="P145:P164" si="20">求节点($B$5:$B$20,G$5:G$20,$K145)</f>
        <v>889566300</v>
      </c>
    </row>
    <row r="146" spans="11:16" x14ac:dyDescent="0.15">
      <c r="K146" s="126">
        <v>142</v>
      </c>
      <c r="L146" s="126">
        <f t="shared" si="16"/>
        <v>999726300</v>
      </c>
      <c r="M146" s="126">
        <f t="shared" si="17"/>
        <v>999726300</v>
      </c>
      <c r="N146" s="126">
        <f t="shared" si="18"/>
        <v>999726300</v>
      </c>
      <c r="O146" s="126">
        <f t="shared" si="19"/>
        <v>999726300</v>
      </c>
      <c r="P146" s="126">
        <f t="shared" si="20"/>
        <v>999726300</v>
      </c>
    </row>
    <row r="147" spans="11:16" x14ac:dyDescent="0.15">
      <c r="K147" s="126">
        <v>143</v>
      </c>
      <c r="L147" s="126">
        <f t="shared" si="16"/>
        <v>1109886300</v>
      </c>
      <c r="M147" s="126">
        <f t="shared" si="17"/>
        <v>1109886300</v>
      </c>
      <c r="N147" s="126">
        <f t="shared" si="18"/>
        <v>1109886300</v>
      </c>
      <c r="O147" s="126">
        <f t="shared" si="19"/>
        <v>1109886300</v>
      </c>
      <c r="P147" s="126">
        <f t="shared" si="20"/>
        <v>1109886300</v>
      </c>
    </row>
    <row r="148" spans="11:16" x14ac:dyDescent="0.15">
      <c r="K148" s="126">
        <v>144</v>
      </c>
      <c r="L148" s="126">
        <f t="shared" si="16"/>
        <v>1220046300</v>
      </c>
      <c r="M148" s="126">
        <f t="shared" si="17"/>
        <v>1220046300</v>
      </c>
      <c r="N148" s="126">
        <f t="shared" si="18"/>
        <v>1220046300</v>
      </c>
      <c r="O148" s="126">
        <f t="shared" si="19"/>
        <v>1220046300</v>
      </c>
      <c r="P148" s="126">
        <f t="shared" si="20"/>
        <v>1220046300</v>
      </c>
    </row>
    <row r="149" spans="11:16" x14ac:dyDescent="0.15">
      <c r="K149" s="126">
        <v>145</v>
      </c>
      <c r="L149" s="126">
        <f t="shared" si="16"/>
        <v>1330206300</v>
      </c>
      <c r="M149" s="126">
        <f t="shared" si="17"/>
        <v>1330206300</v>
      </c>
      <c r="N149" s="126">
        <f t="shared" si="18"/>
        <v>1330206300</v>
      </c>
      <c r="O149" s="126">
        <f t="shared" si="19"/>
        <v>1330206300</v>
      </c>
      <c r="P149" s="126">
        <f t="shared" si="20"/>
        <v>1330206300</v>
      </c>
    </row>
    <row r="150" spans="11:16" x14ac:dyDescent="0.15">
      <c r="K150" s="126">
        <v>146</v>
      </c>
      <c r="L150" s="126">
        <f t="shared" si="16"/>
        <v>1440366300</v>
      </c>
      <c r="M150" s="126">
        <f t="shared" si="17"/>
        <v>1440366300</v>
      </c>
      <c r="N150" s="126">
        <f t="shared" si="18"/>
        <v>1440366300</v>
      </c>
      <c r="O150" s="126">
        <f t="shared" si="19"/>
        <v>1440366300</v>
      </c>
      <c r="P150" s="126">
        <f t="shared" si="20"/>
        <v>1440366300</v>
      </c>
    </row>
    <row r="151" spans="11:16" x14ac:dyDescent="0.15">
      <c r="K151" s="126">
        <v>147</v>
      </c>
      <c r="L151" s="126">
        <f t="shared" si="16"/>
        <v>1550526300</v>
      </c>
      <c r="M151" s="126">
        <f t="shared" si="17"/>
        <v>1550526300</v>
      </c>
      <c r="N151" s="126">
        <f t="shared" si="18"/>
        <v>1550526300</v>
      </c>
      <c r="O151" s="126">
        <f t="shared" si="19"/>
        <v>1550526300</v>
      </c>
      <c r="P151" s="126">
        <f t="shared" si="20"/>
        <v>1550526300</v>
      </c>
    </row>
    <row r="152" spans="11:16" x14ac:dyDescent="0.15">
      <c r="K152" s="126">
        <v>148</v>
      </c>
      <c r="L152" s="126">
        <f t="shared" si="16"/>
        <v>1660686300</v>
      </c>
      <c r="M152" s="126">
        <f t="shared" si="17"/>
        <v>1660686300</v>
      </c>
      <c r="N152" s="126">
        <f t="shared" si="18"/>
        <v>1660686300</v>
      </c>
      <c r="O152" s="126">
        <f t="shared" si="19"/>
        <v>1660686300</v>
      </c>
      <c r="P152" s="126">
        <f t="shared" si="20"/>
        <v>1660686300</v>
      </c>
    </row>
    <row r="153" spans="11:16" x14ac:dyDescent="0.15">
      <c r="K153" s="126">
        <v>149</v>
      </c>
      <c r="L153" s="126">
        <f t="shared" si="16"/>
        <v>1770846300</v>
      </c>
      <c r="M153" s="126">
        <f t="shared" si="17"/>
        <v>1770846300</v>
      </c>
      <c r="N153" s="126">
        <f t="shared" si="18"/>
        <v>1770846300</v>
      </c>
      <c r="O153" s="126">
        <f t="shared" si="19"/>
        <v>1770846300</v>
      </c>
      <c r="P153" s="126">
        <f t="shared" si="20"/>
        <v>1770846300</v>
      </c>
    </row>
    <row r="154" spans="11:16" x14ac:dyDescent="0.15">
      <c r="K154" s="126">
        <v>150</v>
      </c>
      <c r="L154" s="126">
        <f t="shared" si="16"/>
        <v>1881006300</v>
      </c>
      <c r="M154" s="126">
        <f t="shared" si="17"/>
        <v>1881006300</v>
      </c>
      <c r="N154" s="126">
        <f t="shared" si="18"/>
        <v>1881006300</v>
      </c>
      <c r="O154" s="126">
        <f t="shared" si="19"/>
        <v>1881006300</v>
      </c>
      <c r="P154" s="126">
        <f t="shared" si="20"/>
        <v>1881006300</v>
      </c>
    </row>
    <row r="155" spans="11:16" x14ac:dyDescent="0.15">
      <c r="K155" s="126">
        <v>151</v>
      </c>
      <c r="L155" s="126">
        <f t="shared" si="16"/>
        <v>1881006300</v>
      </c>
      <c r="M155" s="126">
        <f t="shared" si="17"/>
        <v>1881006300</v>
      </c>
      <c r="N155" s="126">
        <f t="shared" si="18"/>
        <v>1881006300</v>
      </c>
      <c r="O155" s="126">
        <f t="shared" si="19"/>
        <v>1881006300</v>
      </c>
      <c r="P155" s="126">
        <f t="shared" si="20"/>
        <v>1881006300</v>
      </c>
    </row>
    <row r="156" spans="11:16" x14ac:dyDescent="0.15">
      <c r="K156" s="126">
        <v>152</v>
      </c>
      <c r="L156" s="126">
        <f t="shared" si="16"/>
        <v>1881006300</v>
      </c>
      <c r="M156" s="126">
        <f t="shared" si="17"/>
        <v>1881006300</v>
      </c>
      <c r="N156" s="126">
        <f t="shared" si="18"/>
        <v>1881006300</v>
      </c>
      <c r="O156" s="126">
        <f t="shared" si="19"/>
        <v>1881006300</v>
      </c>
      <c r="P156" s="126">
        <f t="shared" si="20"/>
        <v>1881006300</v>
      </c>
    </row>
    <row r="157" spans="11:16" x14ac:dyDescent="0.15">
      <c r="K157" s="126">
        <v>153</v>
      </c>
      <c r="L157" s="126">
        <f t="shared" si="16"/>
        <v>1881006300</v>
      </c>
      <c r="M157" s="126">
        <f t="shared" si="17"/>
        <v>1881006300</v>
      </c>
      <c r="N157" s="126">
        <f t="shared" si="18"/>
        <v>1881006300</v>
      </c>
      <c r="O157" s="126">
        <f t="shared" si="19"/>
        <v>1881006300</v>
      </c>
      <c r="P157" s="126">
        <f t="shared" si="20"/>
        <v>1881006300</v>
      </c>
    </row>
    <row r="158" spans="11:16" x14ac:dyDescent="0.15">
      <c r="K158" s="126">
        <v>154</v>
      </c>
      <c r="L158" s="126">
        <f t="shared" si="16"/>
        <v>1881006300</v>
      </c>
      <c r="M158" s="126">
        <f t="shared" si="17"/>
        <v>1881006300</v>
      </c>
      <c r="N158" s="126">
        <f t="shared" si="18"/>
        <v>1881006300</v>
      </c>
      <c r="O158" s="126">
        <f t="shared" si="19"/>
        <v>1881006300</v>
      </c>
      <c r="P158" s="126">
        <f t="shared" si="20"/>
        <v>1881006300</v>
      </c>
    </row>
    <row r="159" spans="11:16" x14ac:dyDescent="0.15">
      <c r="K159" s="126">
        <v>155</v>
      </c>
      <c r="L159" s="126">
        <f t="shared" si="16"/>
        <v>1881006300</v>
      </c>
      <c r="M159" s="126">
        <f t="shared" si="17"/>
        <v>1881006300</v>
      </c>
      <c r="N159" s="126">
        <f t="shared" si="18"/>
        <v>1881006300</v>
      </c>
      <c r="O159" s="126">
        <f t="shared" si="19"/>
        <v>1881006300</v>
      </c>
      <c r="P159" s="126">
        <f t="shared" si="20"/>
        <v>1881006300</v>
      </c>
    </row>
    <row r="160" spans="11:16" x14ac:dyDescent="0.15">
      <c r="K160" s="126">
        <v>156</v>
      </c>
      <c r="L160" s="126">
        <f t="shared" si="16"/>
        <v>1881006300</v>
      </c>
      <c r="M160" s="126">
        <f t="shared" si="17"/>
        <v>1881006300</v>
      </c>
      <c r="N160" s="126">
        <f t="shared" si="18"/>
        <v>1881006300</v>
      </c>
      <c r="O160" s="126">
        <f t="shared" si="19"/>
        <v>1881006300</v>
      </c>
      <c r="P160" s="126">
        <f t="shared" si="20"/>
        <v>1881006300</v>
      </c>
    </row>
    <row r="161" spans="11:16" x14ac:dyDescent="0.15">
      <c r="K161" s="126">
        <v>157</v>
      </c>
      <c r="L161" s="126">
        <f t="shared" si="16"/>
        <v>1881006300</v>
      </c>
      <c r="M161" s="126">
        <f t="shared" si="17"/>
        <v>1881006300</v>
      </c>
      <c r="N161" s="126">
        <f t="shared" si="18"/>
        <v>1881006300</v>
      </c>
      <c r="O161" s="126">
        <f t="shared" si="19"/>
        <v>1881006300</v>
      </c>
      <c r="P161" s="126">
        <f t="shared" si="20"/>
        <v>1881006300</v>
      </c>
    </row>
    <row r="162" spans="11:16" x14ac:dyDescent="0.15">
      <c r="K162" s="126">
        <v>158</v>
      </c>
      <c r="L162" s="126">
        <f t="shared" si="16"/>
        <v>1881006300</v>
      </c>
      <c r="M162" s="126">
        <f t="shared" si="17"/>
        <v>1881006300</v>
      </c>
      <c r="N162" s="126">
        <f t="shared" si="18"/>
        <v>1881006300</v>
      </c>
      <c r="O162" s="126">
        <f t="shared" si="19"/>
        <v>1881006300</v>
      </c>
      <c r="P162" s="126">
        <f t="shared" si="20"/>
        <v>1881006300</v>
      </c>
    </row>
    <row r="163" spans="11:16" x14ac:dyDescent="0.15">
      <c r="K163" s="126">
        <v>159</v>
      </c>
      <c r="L163" s="126">
        <f t="shared" si="16"/>
        <v>1881006300</v>
      </c>
      <c r="M163" s="126">
        <f t="shared" si="17"/>
        <v>1881006300</v>
      </c>
      <c r="N163" s="126">
        <f t="shared" si="18"/>
        <v>1881006300</v>
      </c>
      <c r="O163" s="126">
        <f t="shared" si="19"/>
        <v>1881006300</v>
      </c>
      <c r="P163" s="126">
        <f t="shared" si="20"/>
        <v>1881006300</v>
      </c>
    </row>
    <row r="164" spans="11:16" x14ac:dyDescent="0.15">
      <c r="K164" s="126">
        <v>160</v>
      </c>
      <c r="L164" s="126">
        <f t="shared" si="16"/>
        <v>1881006300</v>
      </c>
      <c r="M164" s="126">
        <f t="shared" si="17"/>
        <v>1881006300</v>
      </c>
      <c r="N164" s="126">
        <f t="shared" si="18"/>
        <v>1881006300</v>
      </c>
      <c r="O164" s="126">
        <f t="shared" si="19"/>
        <v>1881006300</v>
      </c>
      <c r="P164" s="126">
        <f t="shared" si="20"/>
        <v>1881006300</v>
      </c>
    </row>
  </sheetData>
  <mergeCells count="2">
    <mergeCell ref="K3:P3"/>
    <mergeCell ref="B3:G3"/>
  </mergeCells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1"/>
  <dimension ref="B3:AD167"/>
  <sheetViews>
    <sheetView workbookViewId="0">
      <selection activeCell="K28" sqref="K28"/>
    </sheetView>
  </sheetViews>
  <sheetFormatPr defaultColWidth="6.625" defaultRowHeight="11.25" x14ac:dyDescent="0.15"/>
  <cols>
    <col min="1" max="1" width="6.625" style="18"/>
    <col min="2" max="9" width="6.625" style="24"/>
    <col min="10" max="10" width="6.625" style="151"/>
    <col min="11" max="11" width="7.5" style="18" bestFit="1" customWidth="1"/>
    <col min="12" max="12" width="6.625" style="18"/>
    <col min="13" max="18" width="6.625" style="24"/>
    <col min="19" max="16384" width="6.625" style="18"/>
  </cols>
  <sheetData>
    <row r="3" spans="2:30" ht="13.5" customHeight="1" x14ac:dyDescent="0.15">
      <c r="B3" s="184" t="s">
        <v>171</v>
      </c>
      <c r="C3" s="204"/>
      <c r="D3" s="204"/>
      <c r="E3" s="204"/>
      <c r="F3" s="204"/>
      <c r="G3" s="185"/>
      <c r="I3" s="183" t="s">
        <v>153</v>
      </c>
      <c r="J3" s="183"/>
      <c r="K3" s="183"/>
      <c r="M3" s="184" t="s">
        <v>213</v>
      </c>
      <c r="N3" s="204"/>
      <c r="O3" s="204"/>
      <c r="P3" s="204"/>
      <c r="Q3" s="204"/>
      <c r="R3" s="185"/>
    </row>
    <row r="4" spans="2:30" x14ac:dyDescent="0.15">
      <c r="B4" s="22" t="s">
        <v>398</v>
      </c>
      <c r="C4" s="22" t="s">
        <v>133</v>
      </c>
      <c r="D4" s="22" t="s">
        <v>136</v>
      </c>
      <c r="E4" s="22" t="s">
        <v>137</v>
      </c>
      <c r="F4" s="22" t="s">
        <v>138</v>
      </c>
      <c r="G4" s="22" t="s">
        <v>135</v>
      </c>
      <c r="I4" s="23" t="s">
        <v>173</v>
      </c>
      <c r="J4" s="146" t="s">
        <v>174</v>
      </c>
      <c r="K4" s="23" t="s">
        <v>412</v>
      </c>
      <c r="L4" s="24"/>
      <c r="M4" s="22" t="s">
        <v>398</v>
      </c>
      <c r="N4" s="22" t="s">
        <v>133</v>
      </c>
      <c r="O4" s="22" t="s">
        <v>136</v>
      </c>
      <c r="P4" s="22" t="s">
        <v>137</v>
      </c>
      <c r="Q4" s="22" t="s">
        <v>138</v>
      </c>
      <c r="R4" s="22" t="s">
        <v>135</v>
      </c>
      <c r="S4" s="24"/>
    </row>
    <row r="5" spans="2:30" x14ac:dyDescent="0.15">
      <c r="B5" s="22">
        <f>节奏预期!B6</f>
        <v>10</v>
      </c>
      <c r="C5" s="10">
        <f>装备强化!AV6+装备突破!W6+装备熔炼!BS6</f>
        <v>48000</v>
      </c>
      <c r="D5" s="23">
        <f>装备强化!AV35+装备突破!W51+装备熔炼!BS51</f>
        <v>48000</v>
      </c>
      <c r="E5" s="23">
        <f>装备强化!AV64+装备突破!W96+装备熔炼!BS96</f>
        <v>48000</v>
      </c>
      <c r="F5" s="23">
        <f>装备强化!AV93+装备突破!W141+装备熔炼!BS141</f>
        <v>48000</v>
      </c>
      <c r="G5" s="23">
        <f>装备强化!AV122+装备突破!W186+装备熔炼!BS186</f>
        <v>48000</v>
      </c>
      <c r="I5" s="29">
        <f>装备强化!AV6/C5</f>
        <v>1</v>
      </c>
      <c r="J5" s="29">
        <f>装备突破!W6/C5</f>
        <v>0</v>
      </c>
      <c r="K5" s="29">
        <f>装备熔炼!BS6/C5</f>
        <v>0</v>
      </c>
      <c r="L5" s="99"/>
      <c r="M5" s="23">
        <v>1</v>
      </c>
      <c r="N5" s="23">
        <f t="shared" ref="N5:N36" si="0">求节点($B$5:$B$20,C$5:C$20,$M5)</f>
        <v>4800</v>
      </c>
      <c r="O5" s="23">
        <f t="shared" ref="O5:O36" si="1">求节点($B$5:$B$20,D$5:D$20,$M5)</f>
        <v>4800</v>
      </c>
      <c r="P5" s="23">
        <f t="shared" ref="P5:P36" si="2">求节点($B$5:$B$20,E$5:E$20,$M5)</f>
        <v>4800</v>
      </c>
      <c r="Q5" s="23">
        <f t="shared" ref="Q5:Q36" si="3">求节点($B$5:$B$20,F$5:F$20,$M5)</f>
        <v>4800</v>
      </c>
      <c r="R5" s="23">
        <f t="shared" ref="R5:R36" si="4">求节点($B$5:$B$20,G$5:G$20,$M5)</f>
        <v>4800</v>
      </c>
      <c r="S5" s="24"/>
      <c r="AA5" s="46"/>
      <c r="AB5" s="46"/>
      <c r="AC5" s="46"/>
      <c r="AD5" s="46"/>
    </row>
    <row r="6" spans="2:30" x14ac:dyDescent="0.15">
      <c r="B6" s="22">
        <f>节奏预期!B7</f>
        <v>20</v>
      </c>
      <c r="C6" s="149">
        <f>装备强化!AV7+装备突破!W7+装备熔炼!BS7</f>
        <v>341000</v>
      </c>
      <c r="D6" s="146">
        <f>装备强化!AV36+装备突破!W52+装备熔炼!BS52</f>
        <v>341000</v>
      </c>
      <c r="E6" s="146">
        <f>装备强化!AV65+装备突破!W97+装备熔炼!BS97</f>
        <v>341000</v>
      </c>
      <c r="F6" s="146">
        <f>装备强化!AV94+装备突破!W142+装备熔炼!BS142</f>
        <v>341000</v>
      </c>
      <c r="G6" s="146">
        <f>装备强化!AV123+装备突破!W187+装备熔炼!BS187</f>
        <v>341000</v>
      </c>
      <c r="I6" s="29">
        <f>装备强化!AV7/C6</f>
        <v>0.80938416422287385</v>
      </c>
      <c r="J6" s="29">
        <f>装备突破!W7/C6</f>
        <v>0.1906158357771261</v>
      </c>
      <c r="K6" s="29">
        <f>装备熔炼!BS7/C6</f>
        <v>0</v>
      </c>
      <c r="L6" s="99"/>
      <c r="M6" s="23">
        <v>2</v>
      </c>
      <c r="N6" s="126">
        <f t="shared" si="0"/>
        <v>9600</v>
      </c>
      <c r="O6" s="126">
        <f t="shared" si="1"/>
        <v>9600</v>
      </c>
      <c r="P6" s="126">
        <f t="shared" si="2"/>
        <v>9600</v>
      </c>
      <c r="Q6" s="126">
        <f t="shared" si="3"/>
        <v>9600</v>
      </c>
      <c r="R6" s="126">
        <f t="shared" si="4"/>
        <v>9600</v>
      </c>
      <c r="S6" s="46"/>
      <c r="T6" s="46"/>
      <c r="U6" s="161"/>
      <c r="V6" s="161"/>
      <c r="Z6" s="46"/>
      <c r="AA6" s="46"/>
      <c r="AB6" s="46"/>
      <c r="AC6" s="46"/>
      <c r="AD6" s="46"/>
    </row>
    <row r="7" spans="2:30" x14ac:dyDescent="0.15">
      <c r="B7" s="22">
        <f>节奏预期!B8</f>
        <v>30</v>
      </c>
      <c r="C7" s="149">
        <f>装备强化!AV8+装备突破!W8+装备熔炼!BS8</f>
        <v>1352800</v>
      </c>
      <c r="D7" s="146">
        <f>装备强化!AV37+装备突破!W53+装备熔炼!BS53</f>
        <v>1352800</v>
      </c>
      <c r="E7" s="146">
        <f>装备强化!AV66+装备突破!W98+装备熔炼!BS98</f>
        <v>1352800</v>
      </c>
      <c r="F7" s="146">
        <f>装备强化!AV95+装备突破!W143+装备熔炼!BS143</f>
        <v>1352800</v>
      </c>
      <c r="G7" s="146">
        <f>装备强化!AV124+装备突破!W188+装备熔炼!BS188</f>
        <v>1352800</v>
      </c>
      <c r="I7" s="29">
        <f>装备强化!AV8/C7</f>
        <v>0.88172678888231815</v>
      </c>
      <c r="J7" s="29">
        <f>装备突破!W8/C7</f>
        <v>0.11827321111768184</v>
      </c>
      <c r="K7" s="29">
        <f>装备熔炼!BS8/C7</f>
        <v>0</v>
      </c>
      <c r="L7" s="99"/>
      <c r="M7" s="23">
        <v>3</v>
      </c>
      <c r="N7" s="126">
        <f t="shared" si="0"/>
        <v>14400</v>
      </c>
      <c r="O7" s="126">
        <f t="shared" si="1"/>
        <v>14400</v>
      </c>
      <c r="P7" s="126">
        <f t="shared" si="2"/>
        <v>14400</v>
      </c>
      <c r="Q7" s="126">
        <f t="shared" si="3"/>
        <v>14400</v>
      </c>
      <c r="R7" s="126">
        <f t="shared" si="4"/>
        <v>14400</v>
      </c>
      <c r="S7" s="46"/>
      <c r="T7" s="46"/>
      <c r="U7" s="161"/>
      <c r="V7" s="161"/>
      <c r="Z7" s="46"/>
      <c r="AA7" s="46"/>
      <c r="AB7" s="46"/>
      <c r="AC7" s="46"/>
      <c r="AD7" s="46"/>
    </row>
    <row r="8" spans="2:30" x14ac:dyDescent="0.15">
      <c r="B8" s="22">
        <f>节奏预期!B9</f>
        <v>40</v>
      </c>
      <c r="C8" s="149">
        <f>装备强化!AV9+装备突破!W9+装备熔炼!BS9</f>
        <v>4800000</v>
      </c>
      <c r="D8" s="146">
        <f>装备强化!AV38+装备突破!W54+装备熔炼!BS54</f>
        <v>4800000</v>
      </c>
      <c r="E8" s="146">
        <f>装备强化!AV67+装备突破!W99+装备熔炼!BS99</f>
        <v>4800000</v>
      </c>
      <c r="F8" s="146">
        <f>装备强化!AV96+装备突破!W144+装备熔炼!BS144</f>
        <v>4800000</v>
      </c>
      <c r="G8" s="146">
        <f>装备强化!AV125+装备突破!W189+装备熔炼!BS189</f>
        <v>4800000</v>
      </c>
      <c r="I8" s="29">
        <f>装备强化!AV9/C8</f>
        <v>0.9</v>
      </c>
      <c r="J8" s="29">
        <f>装备突破!W9/C8</f>
        <v>0.1</v>
      </c>
      <c r="K8" s="29">
        <f>装备熔炼!BS9/C8</f>
        <v>0</v>
      </c>
      <c r="L8" s="99"/>
      <c r="M8" s="23">
        <v>4</v>
      </c>
      <c r="N8" s="126">
        <f t="shared" si="0"/>
        <v>19200</v>
      </c>
      <c r="O8" s="126">
        <f t="shared" si="1"/>
        <v>19200</v>
      </c>
      <c r="P8" s="126">
        <f t="shared" si="2"/>
        <v>19200</v>
      </c>
      <c r="Q8" s="126">
        <f t="shared" si="3"/>
        <v>19200</v>
      </c>
      <c r="R8" s="126">
        <f t="shared" si="4"/>
        <v>19200</v>
      </c>
      <c r="S8" s="46"/>
      <c r="T8" s="46"/>
      <c r="U8" s="161"/>
      <c r="V8" s="161"/>
      <c r="Z8" s="46"/>
      <c r="AA8" s="46"/>
      <c r="AB8" s="46"/>
      <c r="AC8" s="46"/>
      <c r="AD8" s="46"/>
    </row>
    <row r="9" spans="2:30" x14ac:dyDescent="0.15">
      <c r="B9" s="22">
        <f>节奏预期!B10</f>
        <v>50</v>
      </c>
      <c r="C9" s="149">
        <f>装备强化!AV10+装备突破!W10+装备熔炼!BS10</f>
        <v>12660000</v>
      </c>
      <c r="D9" s="146">
        <f>装备强化!AV39+装备突破!W55+装备熔炼!BS55</f>
        <v>12660000</v>
      </c>
      <c r="E9" s="146">
        <f>装备强化!AV68+装备突破!W100+装备熔炼!BS100</f>
        <v>12660000</v>
      </c>
      <c r="F9" s="146">
        <f>装备强化!AV97+装备突破!W145+装备熔炼!BS145</f>
        <v>12660000</v>
      </c>
      <c r="G9" s="146">
        <f>装备强化!AV126+装备突破!W190+装备熔炼!BS190</f>
        <v>12660000</v>
      </c>
      <c r="I9" s="29">
        <f>装备强化!AV10/C9</f>
        <v>0.90047393364928907</v>
      </c>
      <c r="J9" s="29">
        <f>装备突破!W10/C9</f>
        <v>9.9526066350710901E-2</v>
      </c>
      <c r="K9" s="29">
        <f>装备熔炼!BS10/C9</f>
        <v>0</v>
      </c>
      <c r="L9" s="99"/>
      <c r="M9" s="23">
        <v>5</v>
      </c>
      <c r="N9" s="126">
        <f t="shared" si="0"/>
        <v>24000</v>
      </c>
      <c r="O9" s="126">
        <f t="shared" si="1"/>
        <v>24000</v>
      </c>
      <c r="P9" s="126">
        <f t="shared" si="2"/>
        <v>24000</v>
      </c>
      <c r="Q9" s="126">
        <f t="shared" si="3"/>
        <v>24000</v>
      </c>
      <c r="R9" s="126">
        <f t="shared" si="4"/>
        <v>24000</v>
      </c>
      <c r="S9" s="46"/>
      <c r="T9" s="46"/>
      <c r="U9" s="161"/>
      <c r="V9" s="161"/>
      <c r="Z9" s="46"/>
      <c r="AA9" s="46"/>
      <c r="AB9" s="46"/>
      <c r="AC9" s="46"/>
      <c r="AD9" s="46"/>
    </row>
    <row r="10" spans="2:30" x14ac:dyDescent="0.15">
      <c r="B10" s="22">
        <f>节奏预期!B11</f>
        <v>60</v>
      </c>
      <c r="C10" s="149">
        <f>装备强化!AV11+装备突破!W11+装备熔炼!BS11</f>
        <v>39780000</v>
      </c>
      <c r="D10" s="146">
        <f>装备强化!AV40+装备突破!W56+装备熔炼!BS56</f>
        <v>39780000</v>
      </c>
      <c r="E10" s="146">
        <f>装备强化!AV69+装备突破!W101+装备熔炼!BS101</f>
        <v>39780000</v>
      </c>
      <c r="F10" s="146">
        <f>装备强化!AV98+装备突破!W146+装备熔炼!BS146</f>
        <v>39780000</v>
      </c>
      <c r="G10" s="146">
        <f>装备强化!AV127+装备突破!W191+装备熔炼!BS191</f>
        <v>39780000</v>
      </c>
      <c r="I10" s="29">
        <f>装备强化!AV11/C10</f>
        <v>0.91855203619909498</v>
      </c>
      <c r="J10" s="29">
        <f>装备突破!W11/C10</f>
        <v>8.1447963800904979E-2</v>
      </c>
      <c r="K10" s="29">
        <f>装备熔炼!BS11/C10</f>
        <v>0</v>
      </c>
      <c r="L10" s="99"/>
      <c r="M10" s="23">
        <v>6</v>
      </c>
      <c r="N10" s="126">
        <f t="shared" si="0"/>
        <v>28800</v>
      </c>
      <c r="O10" s="126">
        <f t="shared" si="1"/>
        <v>28800</v>
      </c>
      <c r="P10" s="126">
        <f t="shared" si="2"/>
        <v>28800</v>
      </c>
      <c r="Q10" s="126">
        <f t="shared" si="3"/>
        <v>28800</v>
      </c>
      <c r="R10" s="126">
        <f t="shared" si="4"/>
        <v>28800</v>
      </c>
      <c r="S10" s="46"/>
      <c r="T10" s="46"/>
      <c r="U10" s="161"/>
      <c r="V10" s="161"/>
      <c r="Z10" s="46"/>
      <c r="AA10" s="46"/>
      <c r="AB10" s="46"/>
      <c r="AC10" s="46"/>
      <c r="AD10" s="46"/>
    </row>
    <row r="11" spans="2:30" x14ac:dyDescent="0.15">
      <c r="B11" s="22">
        <f>节奏预期!B12</f>
        <v>70</v>
      </c>
      <c r="C11" s="149">
        <f>装备强化!AV12+装备突破!W12+装备熔炼!BS12</f>
        <v>98568000</v>
      </c>
      <c r="D11" s="146">
        <f>装备强化!AV41+装备突破!W57+装备熔炼!BS57</f>
        <v>100818000</v>
      </c>
      <c r="E11" s="146">
        <f>装备强化!AV70+装备突破!W102+装备熔炼!BS102</f>
        <v>105318000</v>
      </c>
      <c r="F11" s="146">
        <f>装备强化!AV99+装备突破!W147+装备熔炼!BS147</f>
        <v>109818000</v>
      </c>
      <c r="G11" s="146">
        <f>装备强化!AV128+装备突破!W192+装备熔炼!BS192</f>
        <v>112068000</v>
      </c>
      <c r="I11" s="29">
        <f>装备强化!AV12/C11</f>
        <v>0.85208181154127105</v>
      </c>
      <c r="J11" s="29">
        <f>装备突破!W12/C11</f>
        <v>5.6610664718772824E-2</v>
      </c>
      <c r="K11" s="29">
        <f>装备熔炼!BS12/C11</f>
        <v>9.1307523739956167E-2</v>
      </c>
      <c r="L11" s="99"/>
      <c r="M11" s="23">
        <v>7</v>
      </c>
      <c r="N11" s="126">
        <f t="shared" si="0"/>
        <v>33600</v>
      </c>
      <c r="O11" s="126">
        <f t="shared" si="1"/>
        <v>33600</v>
      </c>
      <c r="P11" s="126">
        <f t="shared" si="2"/>
        <v>33600</v>
      </c>
      <c r="Q11" s="126">
        <f t="shared" si="3"/>
        <v>33600</v>
      </c>
      <c r="R11" s="126">
        <f t="shared" si="4"/>
        <v>33600</v>
      </c>
      <c r="S11" s="46"/>
      <c r="T11" s="46"/>
      <c r="U11" s="161"/>
      <c r="V11" s="161"/>
      <c r="W11" s="161"/>
      <c r="Z11" s="46"/>
      <c r="AA11" s="46"/>
      <c r="AB11" s="46"/>
      <c r="AC11" s="46"/>
      <c r="AD11" s="46"/>
    </row>
    <row r="12" spans="2:30" x14ac:dyDescent="0.15">
      <c r="B12" s="22">
        <f>节奏预期!B13</f>
        <v>80</v>
      </c>
      <c r="C12" s="149">
        <f>装备强化!AV13+装备突破!W13+装备熔炼!BS13</f>
        <v>243612000</v>
      </c>
      <c r="D12" s="146">
        <f>装备强化!AV42+装备突破!W58+装备熔炼!BS58</f>
        <v>248112000</v>
      </c>
      <c r="E12" s="146">
        <f>装备强化!AV71+装备突破!W103+装备熔炼!BS103</f>
        <v>266112000</v>
      </c>
      <c r="F12" s="146">
        <f>装备强化!AV100+装备突破!W148+装备熔炼!BS148</f>
        <v>284112000</v>
      </c>
      <c r="G12" s="146">
        <f>装备强化!AV129+装备突破!W193+装备熔炼!BS193</f>
        <v>293112000</v>
      </c>
      <c r="I12" s="29">
        <f>装备强化!AV13/C12</f>
        <v>0.86404610610314758</v>
      </c>
      <c r="J12" s="29">
        <f>装备突破!W13/C12</f>
        <v>6.2065908083345646E-2</v>
      </c>
      <c r="K12" s="29">
        <f>装备熔炼!BS13/C12</f>
        <v>7.3887985813506724E-2</v>
      </c>
      <c r="L12" s="99"/>
      <c r="M12" s="23">
        <v>8</v>
      </c>
      <c r="N12" s="126">
        <f t="shared" si="0"/>
        <v>38400</v>
      </c>
      <c r="O12" s="126">
        <f t="shared" si="1"/>
        <v>38400</v>
      </c>
      <c r="P12" s="126">
        <f t="shared" si="2"/>
        <v>38400</v>
      </c>
      <c r="Q12" s="126">
        <f t="shared" si="3"/>
        <v>38400</v>
      </c>
      <c r="R12" s="126">
        <f t="shared" si="4"/>
        <v>38400</v>
      </c>
      <c r="S12" s="46"/>
      <c r="T12" s="46"/>
      <c r="U12" s="161"/>
      <c r="V12" s="161"/>
      <c r="W12" s="161"/>
      <c r="Z12" s="46"/>
      <c r="AA12" s="46"/>
      <c r="AB12" s="46"/>
      <c r="AC12" s="46"/>
      <c r="AD12" s="46"/>
    </row>
    <row r="13" spans="2:30" x14ac:dyDescent="0.15">
      <c r="B13" s="22">
        <f>节奏预期!B14</f>
        <v>90</v>
      </c>
      <c r="C13" s="149">
        <f>装备强化!AV14+装备突破!W14+装备熔炼!BS14</f>
        <v>568872000</v>
      </c>
      <c r="D13" s="146">
        <f>装备强化!AV43+装备突破!W59+装备熔炼!BS59</f>
        <v>586872000</v>
      </c>
      <c r="E13" s="146">
        <f>装备强化!AV72+装备突破!W104+装备熔炼!BS104</f>
        <v>658872000</v>
      </c>
      <c r="F13" s="146">
        <f>装备强化!AV101+装备突破!W149+装备熔炼!BS149</f>
        <v>784872000</v>
      </c>
      <c r="G13" s="146">
        <f>装备强化!AV130+装备突破!W194+装备熔炼!BS194</f>
        <v>856872000</v>
      </c>
      <c r="I13" s="29">
        <f>装备强化!AV14/C13</f>
        <v>0.85603088216681433</v>
      </c>
      <c r="J13" s="29">
        <f>装备突破!W14/C13</f>
        <v>5.6954815846095429E-2</v>
      </c>
      <c r="K13" s="29">
        <f>装备熔炼!BS14/C13</f>
        <v>8.7014301987090245E-2</v>
      </c>
      <c r="L13" s="99"/>
      <c r="M13" s="23">
        <v>9</v>
      </c>
      <c r="N13" s="126">
        <f t="shared" si="0"/>
        <v>43200</v>
      </c>
      <c r="O13" s="126">
        <f t="shared" si="1"/>
        <v>43200</v>
      </c>
      <c r="P13" s="126">
        <f t="shared" si="2"/>
        <v>43200</v>
      </c>
      <c r="Q13" s="126">
        <f t="shared" si="3"/>
        <v>43200</v>
      </c>
      <c r="R13" s="126">
        <f t="shared" si="4"/>
        <v>43200</v>
      </c>
      <c r="S13" s="46"/>
      <c r="T13" s="46"/>
      <c r="U13" s="161"/>
      <c r="V13" s="161"/>
      <c r="W13" s="161"/>
      <c r="Z13" s="46"/>
      <c r="AA13" s="46"/>
      <c r="AB13" s="46"/>
      <c r="AC13" s="46"/>
      <c r="AD13" s="46"/>
    </row>
    <row r="14" spans="2:30" x14ac:dyDescent="0.15">
      <c r="B14" s="128">
        <f>节奏预期!B15</f>
        <v>100</v>
      </c>
      <c r="C14" s="149">
        <f>装备强化!AV15+装备突破!W15+装备熔炼!BS15</f>
        <v>1324152000</v>
      </c>
      <c r="D14" s="146">
        <f>装备强化!AV44+装备突破!W60+装备熔炼!BS60</f>
        <v>1432152000</v>
      </c>
      <c r="E14" s="146">
        <f>装备强化!AV73+装备突破!W105+装备熔炼!BS105</f>
        <v>1846152000</v>
      </c>
      <c r="F14" s="146">
        <f>装备强化!AV102+装备突破!W150+装备熔炼!BS150</f>
        <v>1882152000</v>
      </c>
      <c r="G14" s="146">
        <f>装备强化!AV131+装备突破!W195+装备熔炼!BS195</f>
        <v>1882152000</v>
      </c>
      <c r="H14" s="46"/>
      <c r="I14" s="29">
        <f>装备强化!AV15/C14</f>
        <v>0.84408134413571856</v>
      </c>
      <c r="J14" s="29">
        <f>装备突破!W15/C14</f>
        <v>5.0568212712739924E-2</v>
      </c>
      <c r="K14" s="29">
        <f>装备熔炼!BS15/C14</f>
        <v>0.10535044315154152</v>
      </c>
      <c r="L14" s="99"/>
      <c r="M14" s="23">
        <v>10</v>
      </c>
      <c r="N14" s="126">
        <f t="shared" si="0"/>
        <v>48000</v>
      </c>
      <c r="O14" s="126">
        <f t="shared" si="1"/>
        <v>48000</v>
      </c>
      <c r="P14" s="126">
        <f t="shared" si="2"/>
        <v>48000</v>
      </c>
      <c r="Q14" s="126">
        <f t="shared" si="3"/>
        <v>48000</v>
      </c>
      <c r="R14" s="126">
        <f t="shared" si="4"/>
        <v>48000</v>
      </c>
      <c r="S14" s="46"/>
      <c r="T14" s="46"/>
      <c r="U14" s="161"/>
      <c r="V14" s="161"/>
      <c r="W14" s="161"/>
      <c r="Z14" s="46"/>
      <c r="AA14" s="46"/>
      <c r="AB14" s="46"/>
      <c r="AC14" s="46"/>
      <c r="AD14" s="46"/>
    </row>
    <row r="15" spans="2:30" x14ac:dyDescent="0.15">
      <c r="B15" s="128">
        <f>节奏预期!B16</f>
        <v>110</v>
      </c>
      <c r="C15" s="149">
        <f>装备强化!AV16+装备突破!W16+装备熔炼!BS16</f>
        <v>2952072000</v>
      </c>
      <c r="D15" s="146">
        <f>装备强化!AV45+装备突破!W61+装备熔炼!BS61</f>
        <v>3312072000</v>
      </c>
      <c r="E15" s="146">
        <f>装备强化!AV74+装备突破!W106+装备熔炼!BS106</f>
        <v>3312072000</v>
      </c>
      <c r="F15" s="146">
        <f>装备强化!AV103+装备突破!W151+装备熔炼!BS151</f>
        <v>3312072000</v>
      </c>
      <c r="G15" s="146">
        <f>装备强化!AV132+装备突破!W196+装备熔炼!BS196</f>
        <v>3312072000</v>
      </c>
      <c r="H15" s="46"/>
      <c r="I15" s="29">
        <f>装备强化!AV16/C15</f>
        <v>0.83957708348576865</v>
      </c>
      <c r="J15" s="29">
        <f>装备突破!W16/C15</f>
        <v>4.6096436672276288E-2</v>
      </c>
      <c r="K15" s="29">
        <f>装备熔炼!BS16/C15</f>
        <v>0.11432647984195507</v>
      </c>
      <c r="L15" s="24"/>
      <c r="M15" s="23">
        <v>11</v>
      </c>
      <c r="N15" s="126">
        <f t="shared" si="0"/>
        <v>77300</v>
      </c>
      <c r="O15" s="126">
        <f t="shared" si="1"/>
        <v>77300</v>
      </c>
      <c r="P15" s="126">
        <f t="shared" si="2"/>
        <v>77300</v>
      </c>
      <c r="Q15" s="126">
        <f t="shared" si="3"/>
        <v>77300</v>
      </c>
      <c r="R15" s="126">
        <f t="shared" si="4"/>
        <v>77300</v>
      </c>
      <c r="S15" s="46"/>
      <c r="T15" s="46"/>
      <c r="U15" s="161"/>
      <c r="V15" s="161"/>
      <c r="W15" s="161"/>
      <c r="Z15" s="46"/>
      <c r="AA15" s="46"/>
      <c r="AB15" s="46"/>
      <c r="AC15" s="46"/>
      <c r="AD15" s="46"/>
    </row>
    <row r="16" spans="2:30" x14ac:dyDescent="0.15">
      <c r="B16" s="128">
        <f>节奏预期!B17</f>
        <v>120</v>
      </c>
      <c r="C16" s="149">
        <f>装备强化!AV17+装备突破!W17+装备熔炼!BS17</f>
        <v>6573672000</v>
      </c>
      <c r="D16" s="146">
        <f>装备强化!AV46+装备突破!W62+装备熔炼!BS62</f>
        <v>6573672000</v>
      </c>
      <c r="E16" s="146">
        <f>装备强化!AV75+装备突破!W107+装备熔炼!BS107</f>
        <v>6573672000</v>
      </c>
      <c r="F16" s="146">
        <f>装备强化!AV104+装备突破!W152+装备熔炼!BS152</f>
        <v>6573672000</v>
      </c>
      <c r="G16" s="146">
        <f>装备强化!AV133+装备突破!W197+装备熔炼!BS197</f>
        <v>6573672000</v>
      </c>
      <c r="H16" s="46"/>
      <c r="I16" s="29">
        <f>装备强化!AV17/C16</f>
        <v>0.85216481747187878</v>
      </c>
      <c r="J16" s="29">
        <f>装备突破!W17/C16</f>
        <v>4.1730101532294277E-2</v>
      </c>
      <c r="K16" s="29">
        <f>装备熔炼!BS17/C16</f>
        <v>0.10610508099582699</v>
      </c>
      <c r="L16" s="24"/>
      <c r="M16" s="23">
        <v>12</v>
      </c>
      <c r="N16" s="126">
        <f t="shared" si="0"/>
        <v>106600</v>
      </c>
      <c r="O16" s="126">
        <f t="shared" si="1"/>
        <v>106600</v>
      </c>
      <c r="P16" s="126">
        <f t="shared" si="2"/>
        <v>106600</v>
      </c>
      <c r="Q16" s="126">
        <f t="shared" si="3"/>
        <v>106600</v>
      </c>
      <c r="R16" s="126">
        <f t="shared" si="4"/>
        <v>106600</v>
      </c>
      <c r="S16" s="46"/>
      <c r="T16" s="46"/>
      <c r="U16" s="161"/>
      <c r="V16" s="161"/>
      <c r="W16" s="161"/>
      <c r="Z16" s="46"/>
      <c r="AA16" s="46"/>
      <c r="AB16" s="46"/>
      <c r="AC16" s="46"/>
      <c r="AD16" s="46"/>
    </row>
    <row r="17" spans="2:30" x14ac:dyDescent="0.15">
      <c r="B17" s="128">
        <f>节奏预期!B18</f>
        <v>130</v>
      </c>
      <c r="C17" s="149">
        <f>装备强化!AV18+装备突破!W18+装备熔炼!BS18</f>
        <v>14064552000</v>
      </c>
      <c r="D17" s="146">
        <f>装备强化!AV47+装备突破!W63+装备熔炼!BS63</f>
        <v>14064552000</v>
      </c>
      <c r="E17" s="146">
        <f>装备强化!AV76+装备突破!W108+装备熔炼!BS108</f>
        <v>14064552000</v>
      </c>
      <c r="F17" s="146">
        <f>装备强化!AV105+装备突破!W153+装备熔炼!BS153</f>
        <v>14064552000</v>
      </c>
      <c r="G17" s="146">
        <f>装备强化!AV134+装备突破!W198+装备熔炼!BS198</f>
        <v>14064552000</v>
      </c>
      <c r="H17" s="46"/>
      <c r="I17" s="29">
        <f>装备强化!AV18/C17</f>
        <v>0.9112449511367301</v>
      </c>
      <c r="J17" s="29">
        <f>装备突破!W18/C17</f>
        <v>3.9162285439308699E-2</v>
      </c>
      <c r="K17" s="29">
        <f>装备熔炼!BS18/C17</f>
        <v>4.9592763423961177E-2</v>
      </c>
      <c r="L17" s="24"/>
      <c r="M17" s="23">
        <v>13</v>
      </c>
      <c r="N17" s="126">
        <f t="shared" si="0"/>
        <v>135900</v>
      </c>
      <c r="O17" s="126">
        <f t="shared" si="1"/>
        <v>135900</v>
      </c>
      <c r="P17" s="126">
        <f t="shared" si="2"/>
        <v>135900</v>
      </c>
      <c r="Q17" s="126">
        <f t="shared" si="3"/>
        <v>135900</v>
      </c>
      <c r="R17" s="126">
        <f t="shared" si="4"/>
        <v>135900</v>
      </c>
      <c r="S17" s="46"/>
      <c r="T17" s="46"/>
      <c r="U17" s="161"/>
      <c r="V17" s="161"/>
      <c r="W17" s="161"/>
      <c r="Z17" s="46"/>
      <c r="AA17" s="46"/>
      <c r="AB17" s="46"/>
      <c r="AC17" s="46"/>
      <c r="AD17" s="46"/>
    </row>
    <row r="18" spans="2:30" x14ac:dyDescent="0.15">
      <c r="B18" s="128">
        <f>节奏预期!B19</f>
        <v>140</v>
      </c>
      <c r="C18" s="149">
        <f>装备强化!AV19+装备突破!W19+装备熔炼!BS19</f>
        <v>32977512000</v>
      </c>
      <c r="D18" s="146">
        <f>装备强化!AV48+装备突破!W64+装备熔炼!BS64</f>
        <v>32977512000</v>
      </c>
      <c r="E18" s="146">
        <f>装备强化!AV77+装备突破!W109+装备熔炼!BS109</f>
        <v>32977512000</v>
      </c>
      <c r="F18" s="146">
        <f>装备强化!AV106+装备突破!W154+装备熔炼!BS154</f>
        <v>32977512000</v>
      </c>
      <c r="G18" s="146">
        <f>装备强化!AV135+装备突破!W199+装备熔炼!BS199</f>
        <v>32977512000</v>
      </c>
      <c r="H18" s="46"/>
      <c r="I18" s="29">
        <f>装备强化!AV19/C18</f>
        <v>0.94537914200440587</v>
      </c>
      <c r="J18" s="29">
        <f>装备突破!W19/C18</f>
        <v>3.3470081066151985E-2</v>
      </c>
      <c r="K18" s="29">
        <f>装备熔炼!BS19/C18</f>
        <v>2.1150776929442099E-2</v>
      </c>
      <c r="L18" s="24"/>
      <c r="M18" s="23">
        <v>14</v>
      </c>
      <c r="N18" s="126">
        <f t="shared" si="0"/>
        <v>165200</v>
      </c>
      <c r="O18" s="126">
        <f t="shared" si="1"/>
        <v>165200</v>
      </c>
      <c r="P18" s="126">
        <f t="shared" si="2"/>
        <v>165200</v>
      </c>
      <c r="Q18" s="126">
        <f t="shared" si="3"/>
        <v>165200</v>
      </c>
      <c r="R18" s="126">
        <f t="shared" si="4"/>
        <v>165200</v>
      </c>
      <c r="S18" s="46"/>
      <c r="T18" s="46"/>
      <c r="U18" s="161"/>
      <c r="V18" s="161"/>
      <c r="W18" s="161"/>
      <c r="Z18" s="46"/>
      <c r="AA18" s="46"/>
      <c r="AB18" s="46"/>
      <c r="AC18" s="46"/>
      <c r="AD18" s="46"/>
    </row>
    <row r="19" spans="2:30" x14ac:dyDescent="0.15">
      <c r="B19" s="128">
        <f>节奏预期!B20</f>
        <v>150</v>
      </c>
      <c r="C19" s="149">
        <f>装备强化!AV20+装备突破!W20+装备熔炼!BS20</f>
        <v>78147432000</v>
      </c>
      <c r="D19" s="146">
        <f>装备强化!AV49+装备突破!W65+装备熔炼!BS65</f>
        <v>78147432000</v>
      </c>
      <c r="E19" s="146">
        <f>装备强化!AV78+装备突破!W110+装备熔炼!BS110</f>
        <v>78147432000</v>
      </c>
      <c r="F19" s="146">
        <f>装备强化!AV107+装备突破!W155+装备熔炼!BS155</f>
        <v>78147432000</v>
      </c>
      <c r="G19" s="146">
        <f>装备强化!AV136+装备突破!W200+装备熔炼!BS200</f>
        <v>78147432000</v>
      </c>
      <c r="H19" s="46"/>
      <c r="I19" s="29">
        <f>装备强化!AV20/C19</f>
        <v>0.96279877757211518</v>
      </c>
      <c r="J19" s="29">
        <f>装备突破!W20/C19</f>
        <v>2.8275785185110112E-2</v>
      </c>
      <c r="K19" s="29">
        <f>装备熔炼!BS20/C19</f>
        <v>8.9254372427746576E-3</v>
      </c>
      <c r="L19" s="24"/>
      <c r="M19" s="23">
        <v>15</v>
      </c>
      <c r="N19" s="126">
        <f t="shared" si="0"/>
        <v>194500</v>
      </c>
      <c r="O19" s="126">
        <f t="shared" si="1"/>
        <v>194500</v>
      </c>
      <c r="P19" s="126">
        <f t="shared" si="2"/>
        <v>194500</v>
      </c>
      <c r="Q19" s="126">
        <f t="shared" si="3"/>
        <v>194500</v>
      </c>
      <c r="R19" s="126">
        <f t="shared" si="4"/>
        <v>194500</v>
      </c>
      <c r="S19" s="46"/>
      <c r="T19" s="46"/>
      <c r="U19" s="161"/>
      <c r="V19" s="161"/>
      <c r="W19" s="161"/>
      <c r="Z19" s="46"/>
      <c r="AA19" s="46"/>
      <c r="AB19" s="46"/>
      <c r="AC19" s="46"/>
      <c r="AD19" s="46"/>
    </row>
    <row r="20" spans="2:30" x14ac:dyDescent="0.15">
      <c r="B20" s="128">
        <f>节奏预期!B21</f>
        <v>160</v>
      </c>
      <c r="C20" s="149">
        <f>装备强化!AV21+装备突破!W21+装备熔炼!BS21</f>
        <v>80359272000</v>
      </c>
      <c r="D20" s="146">
        <f>装备强化!AV50+装备突破!W66+装备熔炼!BS66</f>
        <v>80359272000</v>
      </c>
      <c r="E20" s="146">
        <f>装备强化!AV79+装备突破!W111+装备熔炼!BS111</f>
        <v>80359272000</v>
      </c>
      <c r="F20" s="146">
        <f>装备强化!AV108+装备突破!W156+装备熔炼!BS156</f>
        <v>80359272000</v>
      </c>
      <c r="G20" s="146">
        <f>装备强化!AV137+装备突破!W201+装备熔炼!BS201</f>
        <v>80359272000</v>
      </c>
      <c r="H20" s="46"/>
      <c r="I20" s="29">
        <f>装备强化!AV21/C20</f>
        <v>0.93629832783950562</v>
      </c>
      <c r="J20" s="29">
        <f>装备突破!W21/C20</f>
        <v>5.502190213968091E-2</v>
      </c>
      <c r="K20" s="29">
        <f>装备熔炼!BS21/C20</f>
        <v>8.6797700208135278E-3</v>
      </c>
      <c r="L20" s="24"/>
      <c r="M20" s="23">
        <v>16</v>
      </c>
      <c r="N20" s="126">
        <f t="shared" si="0"/>
        <v>223800</v>
      </c>
      <c r="O20" s="126">
        <f t="shared" si="1"/>
        <v>223800</v>
      </c>
      <c r="P20" s="126">
        <f t="shared" si="2"/>
        <v>223800</v>
      </c>
      <c r="Q20" s="126">
        <f t="shared" si="3"/>
        <v>223800</v>
      </c>
      <c r="R20" s="126">
        <f t="shared" si="4"/>
        <v>223800</v>
      </c>
      <c r="S20" s="46"/>
      <c r="T20" s="46"/>
      <c r="U20" s="161"/>
      <c r="V20" s="161"/>
      <c r="W20" s="161"/>
      <c r="Z20" s="46"/>
      <c r="AA20" s="46"/>
      <c r="AB20" s="46"/>
      <c r="AC20" s="46"/>
      <c r="AD20" s="46"/>
    </row>
    <row r="21" spans="2:30" x14ac:dyDescent="0.15">
      <c r="K21" s="166"/>
      <c r="L21" s="24"/>
      <c r="M21" s="23">
        <v>17</v>
      </c>
      <c r="N21" s="126">
        <f t="shared" si="0"/>
        <v>253100</v>
      </c>
      <c r="O21" s="126">
        <f t="shared" si="1"/>
        <v>253100</v>
      </c>
      <c r="P21" s="126">
        <f t="shared" si="2"/>
        <v>253100</v>
      </c>
      <c r="Q21" s="126">
        <f t="shared" si="3"/>
        <v>253100</v>
      </c>
      <c r="R21" s="126">
        <f t="shared" si="4"/>
        <v>253100</v>
      </c>
      <c r="S21" s="46"/>
      <c r="T21" s="46"/>
      <c r="Z21" s="46"/>
      <c r="AA21" s="46"/>
      <c r="AB21" s="46"/>
      <c r="AC21" s="46"/>
      <c r="AD21" s="46"/>
    </row>
    <row r="22" spans="2:30" x14ac:dyDescent="0.15">
      <c r="K22" s="166"/>
      <c r="L22" s="24"/>
      <c r="M22" s="23">
        <v>18</v>
      </c>
      <c r="N22" s="126">
        <f t="shared" si="0"/>
        <v>282400</v>
      </c>
      <c r="O22" s="126">
        <f t="shared" si="1"/>
        <v>282400</v>
      </c>
      <c r="P22" s="126">
        <f t="shared" si="2"/>
        <v>282400</v>
      </c>
      <c r="Q22" s="126">
        <f t="shared" si="3"/>
        <v>282400</v>
      </c>
      <c r="R22" s="126">
        <f t="shared" si="4"/>
        <v>282400</v>
      </c>
      <c r="S22" s="46"/>
      <c r="T22" s="46"/>
      <c r="Z22" s="46"/>
      <c r="AA22" s="46"/>
      <c r="AB22" s="46"/>
      <c r="AC22" s="46"/>
      <c r="AD22" s="46"/>
    </row>
    <row r="23" spans="2:30" x14ac:dyDescent="0.15">
      <c r="H23" s="46"/>
      <c r="K23" s="166"/>
      <c r="L23" s="24"/>
      <c r="M23" s="23">
        <v>19</v>
      </c>
      <c r="N23" s="126">
        <f t="shared" si="0"/>
        <v>311700</v>
      </c>
      <c r="O23" s="126">
        <f t="shared" si="1"/>
        <v>311700</v>
      </c>
      <c r="P23" s="126">
        <f t="shared" si="2"/>
        <v>311700</v>
      </c>
      <c r="Q23" s="126">
        <f t="shared" si="3"/>
        <v>311700</v>
      </c>
      <c r="R23" s="126">
        <f t="shared" si="4"/>
        <v>311700</v>
      </c>
      <c r="S23" s="46"/>
      <c r="T23" s="46"/>
      <c r="Z23" s="46"/>
      <c r="AA23" s="46"/>
      <c r="AB23" s="46"/>
      <c r="AC23" s="46"/>
      <c r="AD23" s="46"/>
    </row>
    <row r="24" spans="2:30" x14ac:dyDescent="0.15">
      <c r="H24" s="46"/>
      <c r="K24" s="166"/>
      <c r="L24" s="24"/>
      <c r="M24" s="23">
        <v>20</v>
      </c>
      <c r="N24" s="126">
        <f t="shared" si="0"/>
        <v>341000</v>
      </c>
      <c r="O24" s="126">
        <f t="shared" si="1"/>
        <v>341000</v>
      </c>
      <c r="P24" s="126">
        <f t="shared" si="2"/>
        <v>341000</v>
      </c>
      <c r="Q24" s="126">
        <f t="shared" si="3"/>
        <v>341000</v>
      </c>
      <c r="R24" s="126">
        <f t="shared" si="4"/>
        <v>341000</v>
      </c>
      <c r="S24" s="46"/>
      <c r="T24" s="46"/>
      <c r="Z24" s="46"/>
      <c r="AA24" s="46"/>
      <c r="AB24" s="46"/>
      <c r="AC24" s="46"/>
      <c r="AD24" s="46"/>
    </row>
    <row r="25" spans="2:30" x14ac:dyDescent="0.15">
      <c r="H25" s="46"/>
      <c r="K25" s="166"/>
      <c r="M25" s="23">
        <v>21</v>
      </c>
      <c r="N25" s="126">
        <f t="shared" si="0"/>
        <v>442180</v>
      </c>
      <c r="O25" s="126">
        <f t="shared" si="1"/>
        <v>442180</v>
      </c>
      <c r="P25" s="126">
        <f t="shared" si="2"/>
        <v>442180</v>
      </c>
      <c r="Q25" s="126">
        <f t="shared" si="3"/>
        <v>442180</v>
      </c>
      <c r="R25" s="126">
        <f t="shared" si="4"/>
        <v>442180</v>
      </c>
      <c r="S25" s="46"/>
      <c r="T25" s="46"/>
      <c r="Z25" s="46"/>
      <c r="AA25" s="46"/>
      <c r="AB25" s="46"/>
      <c r="AC25" s="46"/>
      <c r="AD25" s="46"/>
    </row>
    <row r="26" spans="2:30" x14ac:dyDescent="0.15">
      <c r="H26" s="46"/>
      <c r="K26" s="166"/>
      <c r="M26" s="23">
        <v>22</v>
      </c>
      <c r="N26" s="126">
        <f t="shared" si="0"/>
        <v>543360</v>
      </c>
      <c r="O26" s="126">
        <f t="shared" si="1"/>
        <v>543360</v>
      </c>
      <c r="P26" s="126">
        <f t="shared" si="2"/>
        <v>543360</v>
      </c>
      <c r="Q26" s="126">
        <f t="shared" si="3"/>
        <v>543360</v>
      </c>
      <c r="R26" s="126">
        <f t="shared" si="4"/>
        <v>543360</v>
      </c>
      <c r="S26" s="46"/>
      <c r="T26" s="46"/>
      <c r="Z26" s="46"/>
      <c r="AA26" s="46"/>
      <c r="AB26" s="46"/>
      <c r="AC26" s="46"/>
      <c r="AD26" s="46"/>
    </row>
    <row r="27" spans="2:30" x14ac:dyDescent="0.15">
      <c r="H27" s="46"/>
      <c r="K27" s="166"/>
      <c r="M27" s="23">
        <v>23</v>
      </c>
      <c r="N27" s="126">
        <f t="shared" si="0"/>
        <v>644540</v>
      </c>
      <c r="O27" s="126">
        <f t="shared" si="1"/>
        <v>644540</v>
      </c>
      <c r="P27" s="126">
        <f t="shared" si="2"/>
        <v>644540</v>
      </c>
      <c r="Q27" s="126">
        <f t="shared" si="3"/>
        <v>644540</v>
      </c>
      <c r="R27" s="126">
        <f t="shared" si="4"/>
        <v>644540</v>
      </c>
      <c r="S27" s="46"/>
      <c r="T27" s="46"/>
      <c r="Z27" s="46"/>
      <c r="AA27" s="46"/>
      <c r="AB27" s="46"/>
      <c r="AC27" s="46"/>
      <c r="AD27" s="46"/>
    </row>
    <row r="28" spans="2:30" x14ac:dyDescent="0.15">
      <c r="H28" s="46"/>
      <c r="K28" s="166"/>
      <c r="M28" s="23">
        <v>24</v>
      </c>
      <c r="N28" s="126">
        <f t="shared" si="0"/>
        <v>745720</v>
      </c>
      <c r="O28" s="126">
        <f t="shared" si="1"/>
        <v>745720</v>
      </c>
      <c r="P28" s="126">
        <f t="shared" si="2"/>
        <v>745720</v>
      </c>
      <c r="Q28" s="126">
        <f t="shared" si="3"/>
        <v>745720</v>
      </c>
      <c r="R28" s="126">
        <f t="shared" si="4"/>
        <v>745720</v>
      </c>
      <c r="S28" s="46"/>
      <c r="T28" s="46"/>
      <c r="Z28" s="46"/>
      <c r="AA28" s="46"/>
      <c r="AB28" s="46"/>
      <c r="AC28" s="46"/>
      <c r="AD28" s="46"/>
    </row>
    <row r="29" spans="2:30" x14ac:dyDescent="0.15">
      <c r="H29" s="46"/>
      <c r="K29" s="166"/>
      <c r="M29" s="23">
        <v>25</v>
      </c>
      <c r="N29" s="126">
        <f t="shared" si="0"/>
        <v>846900</v>
      </c>
      <c r="O29" s="126">
        <f t="shared" si="1"/>
        <v>846900</v>
      </c>
      <c r="P29" s="126">
        <f t="shared" si="2"/>
        <v>846900</v>
      </c>
      <c r="Q29" s="126">
        <f t="shared" si="3"/>
        <v>846900</v>
      </c>
      <c r="R29" s="126">
        <f t="shared" si="4"/>
        <v>846900</v>
      </c>
      <c r="S29" s="46"/>
      <c r="T29" s="46"/>
      <c r="Z29" s="46"/>
      <c r="AA29" s="46"/>
      <c r="AB29" s="46"/>
      <c r="AC29" s="46"/>
      <c r="AD29" s="46"/>
    </row>
    <row r="30" spans="2:30" x14ac:dyDescent="0.15">
      <c r="H30" s="46"/>
      <c r="K30" s="166"/>
      <c r="M30" s="23">
        <v>26</v>
      </c>
      <c r="N30" s="126">
        <f t="shared" si="0"/>
        <v>948080</v>
      </c>
      <c r="O30" s="126">
        <f t="shared" si="1"/>
        <v>948080</v>
      </c>
      <c r="P30" s="126">
        <f t="shared" si="2"/>
        <v>948080</v>
      </c>
      <c r="Q30" s="126">
        <f t="shared" si="3"/>
        <v>948080</v>
      </c>
      <c r="R30" s="126">
        <f t="shared" si="4"/>
        <v>948080</v>
      </c>
      <c r="S30" s="46"/>
      <c r="T30" s="46"/>
      <c r="Z30" s="46"/>
      <c r="AA30" s="46"/>
      <c r="AB30" s="46"/>
      <c r="AC30" s="46"/>
      <c r="AD30" s="46"/>
    </row>
    <row r="31" spans="2:30" x14ac:dyDescent="0.15">
      <c r="H31" s="46"/>
      <c r="K31" s="166"/>
      <c r="M31" s="23">
        <v>27</v>
      </c>
      <c r="N31" s="126">
        <f t="shared" si="0"/>
        <v>1049260</v>
      </c>
      <c r="O31" s="126">
        <f t="shared" si="1"/>
        <v>1049260</v>
      </c>
      <c r="P31" s="126">
        <f t="shared" si="2"/>
        <v>1049260</v>
      </c>
      <c r="Q31" s="126">
        <f t="shared" si="3"/>
        <v>1049260</v>
      </c>
      <c r="R31" s="126">
        <f t="shared" si="4"/>
        <v>1049260</v>
      </c>
      <c r="S31" s="46"/>
      <c r="T31" s="46"/>
      <c r="Z31" s="46"/>
      <c r="AA31" s="46"/>
      <c r="AB31" s="46"/>
      <c r="AC31" s="46"/>
      <c r="AD31" s="46"/>
    </row>
    <row r="32" spans="2:30" x14ac:dyDescent="0.15">
      <c r="K32" s="166"/>
      <c r="M32" s="23">
        <v>28</v>
      </c>
      <c r="N32" s="126">
        <f t="shared" si="0"/>
        <v>1150440</v>
      </c>
      <c r="O32" s="126">
        <f t="shared" si="1"/>
        <v>1150440</v>
      </c>
      <c r="P32" s="126">
        <f t="shared" si="2"/>
        <v>1150440</v>
      </c>
      <c r="Q32" s="126">
        <f t="shared" si="3"/>
        <v>1150440</v>
      </c>
      <c r="R32" s="126">
        <f t="shared" si="4"/>
        <v>1150440</v>
      </c>
      <c r="S32" s="46"/>
      <c r="T32" s="46"/>
      <c r="Z32" s="46"/>
      <c r="AA32" s="46"/>
      <c r="AB32" s="46"/>
      <c r="AC32" s="46"/>
      <c r="AD32" s="46"/>
    </row>
    <row r="33" spans="13:30" x14ac:dyDescent="0.15">
      <c r="M33" s="23">
        <v>29</v>
      </c>
      <c r="N33" s="126">
        <f t="shared" si="0"/>
        <v>1251620</v>
      </c>
      <c r="O33" s="126">
        <f t="shared" si="1"/>
        <v>1251620</v>
      </c>
      <c r="P33" s="126">
        <f t="shared" si="2"/>
        <v>1251620</v>
      </c>
      <c r="Q33" s="126">
        <f t="shared" si="3"/>
        <v>1251620</v>
      </c>
      <c r="R33" s="126">
        <f t="shared" si="4"/>
        <v>1251620</v>
      </c>
      <c r="S33" s="46"/>
      <c r="T33" s="46"/>
      <c r="Z33" s="46"/>
      <c r="AA33" s="46"/>
      <c r="AB33" s="46"/>
      <c r="AC33" s="46"/>
      <c r="AD33" s="46"/>
    </row>
    <row r="34" spans="13:30" x14ac:dyDescent="0.15">
      <c r="M34" s="23">
        <v>30</v>
      </c>
      <c r="N34" s="126">
        <f t="shared" si="0"/>
        <v>1352800</v>
      </c>
      <c r="O34" s="126">
        <f t="shared" si="1"/>
        <v>1352800</v>
      </c>
      <c r="P34" s="126">
        <f t="shared" si="2"/>
        <v>1352800</v>
      </c>
      <c r="Q34" s="126">
        <f t="shared" si="3"/>
        <v>1352800</v>
      </c>
      <c r="R34" s="126">
        <f t="shared" si="4"/>
        <v>1352800</v>
      </c>
      <c r="S34" s="46"/>
      <c r="T34" s="46"/>
      <c r="Z34" s="46"/>
      <c r="AA34" s="46"/>
      <c r="AB34" s="46"/>
      <c r="AC34" s="46"/>
      <c r="AD34" s="46"/>
    </row>
    <row r="35" spans="13:30" x14ac:dyDescent="0.15">
      <c r="M35" s="23">
        <v>31</v>
      </c>
      <c r="N35" s="126">
        <f t="shared" si="0"/>
        <v>1697520</v>
      </c>
      <c r="O35" s="126">
        <f t="shared" si="1"/>
        <v>1697520</v>
      </c>
      <c r="P35" s="126">
        <f t="shared" si="2"/>
        <v>1697520</v>
      </c>
      <c r="Q35" s="126">
        <f t="shared" si="3"/>
        <v>1697520</v>
      </c>
      <c r="R35" s="126">
        <f t="shared" si="4"/>
        <v>1697520</v>
      </c>
      <c r="S35" s="46"/>
      <c r="T35" s="46"/>
      <c r="Z35" s="46"/>
      <c r="AA35" s="46"/>
      <c r="AB35" s="46"/>
      <c r="AC35" s="46"/>
      <c r="AD35" s="46"/>
    </row>
    <row r="36" spans="13:30" x14ac:dyDescent="0.15">
      <c r="M36" s="23">
        <v>32</v>
      </c>
      <c r="N36" s="126">
        <f t="shared" si="0"/>
        <v>2042240</v>
      </c>
      <c r="O36" s="126">
        <f t="shared" si="1"/>
        <v>2042240</v>
      </c>
      <c r="P36" s="126">
        <f t="shared" si="2"/>
        <v>2042240</v>
      </c>
      <c r="Q36" s="126">
        <f t="shared" si="3"/>
        <v>2042240</v>
      </c>
      <c r="R36" s="126">
        <f t="shared" si="4"/>
        <v>2042240</v>
      </c>
      <c r="S36" s="46"/>
      <c r="T36" s="46"/>
      <c r="Z36" s="46"/>
      <c r="AA36" s="46"/>
      <c r="AB36" s="46"/>
      <c r="AC36" s="46"/>
      <c r="AD36" s="46"/>
    </row>
    <row r="37" spans="13:30" x14ac:dyDescent="0.15">
      <c r="M37" s="23">
        <v>33</v>
      </c>
      <c r="N37" s="126">
        <f t="shared" ref="N37:N68" si="5">求节点($B$5:$B$20,C$5:C$20,$M37)</f>
        <v>2386960</v>
      </c>
      <c r="O37" s="126">
        <f t="shared" ref="O37:O68" si="6">求节点($B$5:$B$20,D$5:D$20,$M37)</f>
        <v>2386960</v>
      </c>
      <c r="P37" s="126">
        <f t="shared" ref="P37:P68" si="7">求节点($B$5:$B$20,E$5:E$20,$M37)</f>
        <v>2386960</v>
      </c>
      <c r="Q37" s="126">
        <f t="shared" ref="Q37:Q68" si="8">求节点($B$5:$B$20,F$5:F$20,$M37)</f>
        <v>2386960</v>
      </c>
      <c r="R37" s="126">
        <f t="shared" ref="R37:R68" si="9">求节点($B$5:$B$20,G$5:G$20,$M37)</f>
        <v>2386960</v>
      </c>
      <c r="S37" s="46"/>
      <c r="T37" s="46"/>
      <c r="Z37" s="46"/>
      <c r="AA37" s="46"/>
      <c r="AB37" s="46"/>
      <c r="AC37" s="46"/>
      <c r="AD37" s="46"/>
    </row>
    <row r="38" spans="13:30" x14ac:dyDescent="0.15">
      <c r="M38" s="23">
        <v>34</v>
      </c>
      <c r="N38" s="126">
        <f t="shared" si="5"/>
        <v>2731680</v>
      </c>
      <c r="O38" s="126">
        <f t="shared" si="6"/>
        <v>2731680</v>
      </c>
      <c r="P38" s="126">
        <f t="shared" si="7"/>
        <v>2731680</v>
      </c>
      <c r="Q38" s="126">
        <f t="shared" si="8"/>
        <v>2731680</v>
      </c>
      <c r="R38" s="126">
        <f t="shared" si="9"/>
        <v>2731680</v>
      </c>
      <c r="S38" s="46"/>
      <c r="T38" s="46"/>
      <c r="Z38" s="46"/>
      <c r="AA38" s="46"/>
      <c r="AB38" s="46"/>
      <c r="AC38" s="46"/>
      <c r="AD38" s="46"/>
    </row>
    <row r="39" spans="13:30" x14ac:dyDescent="0.15">
      <c r="M39" s="23">
        <v>35</v>
      </c>
      <c r="N39" s="126">
        <f t="shared" si="5"/>
        <v>3076400</v>
      </c>
      <c r="O39" s="126">
        <f t="shared" si="6"/>
        <v>3076400</v>
      </c>
      <c r="P39" s="126">
        <f t="shared" si="7"/>
        <v>3076400</v>
      </c>
      <c r="Q39" s="126">
        <f t="shared" si="8"/>
        <v>3076400</v>
      </c>
      <c r="R39" s="126">
        <f t="shared" si="9"/>
        <v>3076400</v>
      </c>
      <c r="S39" s="46"/>
      <c r="T39" s="46"/>
      <c r="Z39" s="46"/>
      <c r="AA39" s="46"/>
      <c r="AB39" s="46"/>
      <c r="AC39" s="46"/>
      <c r="AD39" s="46"/>
    </row>
    <row r="40" spans="13:30" x14ac:dyDescent="0.15">
      <c r="M40" s="23">
        <v>36</v>
      </c>
      <c r="N40" s="126">
        <f t="shared" si="5"/>
        <v>3421120</v>
      </c>
      <c r="O40" s="126">
        <f t="shared" si="6"/>
        <v>3421120</v>
      </c>
      <c r="P40" s="126">
        <f t="shared" si="7"/>
        <v>3421120</v>
      </c>
      <c r="Q40" s="126">
        <f t="shared" si="8"/>
        <v>3421120</v>
      </c>
      <c r="R40" s="126">
        <f t="shared" si="9"/>
        <v>3421120</v>
      </c>
      <c r="S40" s="46"/>
      <c r="T40" s="46"/>
      <c r="Z40" s="46"/>
      <c r="AA40" s="46"/>
      <c r="AB40" s="46"/>
      <c r="AC40" s="46"/>
      <c r="AD40" s="46"/>
    </row>
    <row r="41" spans="13:30" x14ac:dyDescent="0.15">
      <c r="M41" s="23">
        <v>37</v>
      </c>
      <c r="N41" s="126">
        <f t="shared" si="5"/>
        <v>3765840</v>
      </c>
      <c r="O41" s="126">
        <f t="shared" si="6"/>
        <v>3765840</v>
      </c>
      <c r="P41" s="126">
        <f t="shared" si="7"/>
        <v>3765840</v>
      </c>
      <c r="Q41" s="126">
        <f t="shared" si="8"/>
        <v>3765840</v>
      </c>
      <c r="R41" s="126">
        <f t="shared" si="9"/>
        <v>3765840</v>
      </c>
      <c r="S41" s="46"/>
      <c r="T41" s="46"/>
      <c r="Z41" s="46"/>
      <c r="AA41" s="46"/>
      <c r="AB41" s="46"/>
      <c r="AC41" s="46"/>
      <c r="AD41" s="46"/>
    </row>
    <row r="42" spans="13:30" x14ac:dyDescent="0.15">
      <c r="M42" s="23">
        <v>38</v>
      </c>
      <c r="N42" s="126">
        <f t="shared" si="5"/>
        <v>4110560</v>
      </c>
      <c r="O42" s="126">
        <f t="shared" si="6"/>
        <v>4110560</v>
      </c>
      <c r="P42" s="126">
        <f t="shared" si="7"/>
        <v>4110560</v>
      </c>
      <c r="Q42" s="126">
        <f t="shared" si="8"/>
        <v>4110560</v>
      </c>
      <c r="R42" s="126">
        <f t="shared" si="9"/>
        <v>4110560</v>
      </c>
      <c r="S42" s="46"/>
      <c r="T42" s="46"/>
      <c r="Z42" s="46"/>
      <c r="AA42" s="46"/>
      <c r="AB42" s="46"/>
      <c r="AC42" s="46"/>
      <c r="AD42" s="46"/>
    </row>
    <row r="43" spans="13:30" x14ac:dyDescent="0.15">
      <c r="M43" s="23">
        <v>39</v>
      </c>
      <c r="N43" s="126">
        <f t="shared" si="5"/>
        <v>4455280</v>
      </c>
      <c r="O43" s="126">
        <f t="shared" si="6"/>
        <v>4455280</v>
      </c>
      <c r="P43" s="126">
        <f t="shared" si="7"/>
        <v>4455280</v>
      </c>
      <c r="Q43" s="126">
        <f t="shared" si="8"/>
        <v>4455280</v>
      </c>
      <c r="R43" s="126">
        <f t="shared" si="9"/>
        <v>4455280</v>
      </c>
      <c r="S43" s="46"/>
      <c r="T43" s="46"/>
      <c r="Z43" s="46"/>
      <c r="AA43" s="46"/>
      <c r="AB43" s="46"/>
      <c r="AC43" s="46"/>
      <c r="AD43" s="46"/>
    </row>
    <row r="44" spans="13:30" x14ac:dyDescent="0.15">
      <c r="M44" s="23">
        <v>40</v>
      </c>
      <c r="N44" s="126">
        <f t="shared" si="5"/>
        <v>4800000</v>
      </c>
      <c r="O44" s="126">
        <f t="shared" si="6"/>
        <v>4800000</v>
      </c>
      <c r="P44" s="126">
        <f t="shared" si="7"/>
        <v>4800000</v>
      </c>
      <c r="Q44" s="126">
        <f t="shared" si="8"/>
        <v>4800000</v>
      </c>
      <c r="R44" s="126">
        <f t="shared" si="9"/>
        <v>4800000</v>
      </c>
      <c r="S44" s="46"/>
      <c r="T44" s="46"/>
      <c r="Z44" s="46"/>
      <c r="AA44" s="46"/>
      <c r="AB44" s="46"/>
      <c r="AC44" s="46"/>
      <c r="AD44" s="46"/>
    </row>
    <row r="45" spans="13:30" x14ac:dyDescent="0.15">
      <c r="M45" s="23">
        <v>41</v>
      </c>
      <c r="N45" s="126">
        <f t="shared" si="5"/>
        <v>5586000</v>
      </c>
      <c r="O45" s="126">
        <f t="shared" si="6"/>
        <v>5586000</v>
      </c>
      <c r="P45" s="126">
        <f t="shared" si="7"/>
        <v>5586000</v>
      </c>
      <c r="Q45" s="126">
        <f t="shared" si="8"/>
        <v>5586000</v>
      </c>
      <c r="R45" s="126">
        <f t="shared" si="9"/>
        <v>5586000</v>
      </c>
      <c r="S45" s="46"/>
      <c r="T45" s="46"/>
      <c r="Z45" s="46"/>
      <c r="AA45" s="46"/>
      <c r="AB45" s="46"/>
      <c r="AC45" s="46"/>
      <c r="AD45" s="46"/>
    </row>
    <row r="46" spans="13:30" x14ac:dyDescent="0.15">
      <c r="M46" s="23">
        <v>42</v>
      </c>
      <c r="N46" s="126">
        <f t="shared" si="5"/>
        <v>6372000</v>
      </c>
      <c r="O46" s="126">
        <f t="shared" si="6"/>
        <v>6372000</v>
      </c>
      <c r="P46" s="126">
        <f t="shared" si="7"/>
        <v>6372000</v>
      </c>
      <c r="Q46" s="126">
        <f t="shared" si="8"/>
        <v>6372000</v>
      </c>
      <c r="R46" s="126">
        <f t="shared" si="9"/>
        <v>6372000</v>
      </c>
      <c r="S46" s="46"/>
      <c r="T46" s="46"/>
      <c r="Z46" s="46"/>
      <c r="AA46" s="46"/>
      <c r="AB46" s="46"/>
      <c r="AC46" s="46"/>
      <c r="AD46" s="46"/>
    </row>
    <row r="47" spans="13:30" x14ac:dyDescent="0.15">
      <c r="M47" s="23">
        <v>43</v>
      </c>
      <c r="N47" s="126">
        <f t="shared" si="5"/>
        <v>7158000</v>
      </c>
      <c r="O47" s="126">
        <f t="shared" si="6"/>
        <v>7158000</v>
      </c>
      <c r="P47" s="126">
        <f t="shared" si="7"/>
        <v>7158000</v>
      </c>
      <c r="Q47" s="126">
        <f t="shared" si="8"/>
        <v>7158000</v>
      </c>
      <c r="R47" s="126">
        <f t="shared" si="9"/>
        <v>7158000</v>
      </c>
      <c r="S47" s="46"/>
      <c r="T47" s="46"/>
      <c r="Z47" s="46"/>
      <c r="AA47" s="46"/>
      <c r="AB47" s="46"/>
      <c r="AC47" s="46"/>
      <c r="AD47" s="46"/>
    </row>
    <row r="48" spans="13:30" x14ac:dyDescent="0.15">
      <c r="M48" s="23">
        <v>44</v>
      </c>
      <c r="N48" s="126">
        <f t="shared" si="5"/>
        <v>7944000</v>
      </c>
      <c r="O48" s="126">
        <f t="shared" si="6"/>
        <v>7944000</v>
      </c>
      <c r="P48" s="126">
        <f t="shared" si="7"/>
        <v>7944000</v>
      </c>
      <c r="Q48" s="126">
        <f t="shared" si="8"/>
        <v>7944000</v>
      </c>
      <c r="R48" s="126">
        <f t="shared" si="9"/>
        <v>7944000</v>
      </c>
      <c r="S48" s="46"/>
      <c r="T48" s="46"/>
      <c r="Z48" s="46"/>
      <c r="AA48" s="46"/>
      <c r="AB48" s="46"/>
      <c r="AC48" s="46"/>
      <c r="AD48" s="46"/>
    </row>
    <row r="49" spans="13:30" x14ac:dyDescent="0.15">
      <c r="M49" s="23">
        <v>45</v>
      </c>
      <c r="N49" s="126">
        <f t="shared" si="5"/>
        <v>8730000</v>
      </c>
      <c r="O49" s="126">
        <f t="shared" si="6"/>
        <v>8730000</v>
      </c>
      <c r="P49" s="126">
        <f t="shared" si="7"/>
        <v>8730000</v>
      </c>
      <c r="Q49" s="126">
        <f t="shared" si="8"/>
        <v>8730000</v>
      </c>
      <c r="R49" s="126">
        <f t="shared" si="9"/>
        <v>8730000</v>
      </c>
      <c r="S49" s="46"/>
      <c r="T49" s="46"/>
      <c r="Z49" s="46"/>
      <c r="AA49" s="46"/>
      <c r="AB49" s="46"/>
      <c r="AC49" s="46"/>
      <c r="AD49" s="46"/>
    </row>
    <row r="50" spans="13:30" x14ac:dyDescent="0.15">
      <c r="M50" s="23">
        <v>46</v>
      </c>
      <c r="N50" s="126">
        <f t="shared" si="5"/>
        <v>9516000</v>
      </c>
      <c r="O50" s="126">
        <f t="shared" si="6"/>
        <v>9516000</v>
      </c>
      <c r="P50" s="126">
        <f t="shared" si="7"/>
        <v>9516000</v>
      </c>
      <c r="Q50" s="126">
        <f t="shared" si="8"/>
        <v>9516000</v>
      </c>
      <c r="R50" s="126">
        <f t="shared" si="9"/>
        <v>9516000</v>
      </c>
      <c r="S50" s="46"/>
      <c r="T50" s="46"/>
      <c r="Z50" s="46"/>
      <c r="AA50" s="46"/>
      <c r="AB50" s="46"/>
      <c r="AC50" s="46"/>
      <c r="AD50" s="46"/>
    </row>
    <row r="51" spans="13:30" x14ac:dyDescent="0.15">
      <c r="M51" s="23">
        <v>47</v>
      </c>
      <c r="N51" s="126">
        <f t="shared" si="5"/>
        <v>10302000</v>
      </c>
      <c r="O51" s="126">
        <f t="shared" si="6"/>
        <v>10302000</v>
      </c>
      <c r="P51" s="126">
        <f t="shared" si="7"/>
        <v>10302000</v>
      </c>
      <c r="Q51" s="126">
        <f t="shared" si="8"/>
        <v>10302000</v>
      </c>
      <c r="R51" s="126">
        <f t="shared" si="9"/>
        <v>10302000</v>
      </c>
      <c r="S51" s="46"/>
      <c r="T51" s="46"/>
      <c r="Z51" s="46"/>
      <c r="AA51" s="46"/>
      <c r="AB51" s="46"/>
      <c r="AC51" s="46"/>
      <c r="AD51" s="46"/>
    </row>
    <row r="52" spans="13:30" x14ac:dyDescent="0.15">
      <c r="M52" s="23">
        <v>48</v>
      </c>
      <c r="N52" s="126">
        <f t="shared" si="5"/>
        <v>11088000</v>
      </c>
      <c r="O52" s="126">
        <f t="shared" si="6"/>
        <v>11088000</v>
      </c>
      <c r="P52" s="126">
        <f t="shared" si="7"/>
        <v>11088000</v>
      </c>
      <c r="Q52" s="126">
        <f t="shared" si="8"/>
        <v>11088000</v>
      </c>
      <c r="R52" s="126">
        <f t="shared" si="9"/>
        <v>11088000</v>
      </c>
      <c r="S52" s="46"/>
      <c r="T52" s="46"/>
      <c r="Z52" s="46"/>
      <c r="AA52" s="46"/>
      <c r="AB52" s="46"/>
      <c r="AC52" s="46"/>
      <c r="AD52" s="46"/>
    </row>
    <row r="53" spans="13:30" x14ac:dyDescent="0.15">
      <c r="M53" s="23">
        <v>49</v>
      </c>
      <c r="N53" s="126">
        <f t="shared" si="5"/>
        <v>11874000</v>
      </c>
      <c r="O53" s="126">
        <f t="shared" si="6"/>
        <v>11874000</v>
      </c>
      <c r="P53" s="126">
        <f t="shared" si="7"/>
        <v>11874000</v>
      </c>
      <c r="Q53" s="126">
        <f t="shared" si="8"/>
        <v>11874000</v>
      </c>
      <c r="R53" s="126">
        <f t="shared" si="9"/>
        <v>11874000</v>
      </c>
      <c r="S53" s="46"/>
      <c r="T53" s="46"/>
      <c r="Z53" s="46"/>
      <c r="AA53" s="46"/>
      <c r="AB53" s="46"/>
      <c r="AC53" s="46"/>
      <c r="AD53" s="46"/>
    </row>
    <row r="54" spans="13:30" x14ac:dyDescent="0.15">
      <c r="M54" s="23">
        <v>50</v>
      </c>
      <c r="N54" s="126">
        <f t="shared" si="5"/>
        <v>12660000</v>
      </c>
      <c r="O54" s="126">
        <f t="shared" si="6"/>
        <v>12660000</v>
      </c>
      <c r="P54" s="126">
        <f t="shared" si="7"/>
        <v>12660000</v>
      </c>
      <c r="Q54" s="126">
        <f t="shared" si="8"/>
        <v>12660000</v>
      </c>
      <c r="R54" s="126">
        <f t="shared" si="9"/>
        <v>12660000</v>
      </c>
      <c r="S54" s="46"/>
      <c r="T54" s="46"/>
      <c r="Z54" s="46"/>
      <c r="AA54" s="46"/>
      <c r="AB54" s="46"/>
      <c r="AC54" s="46"/>
      <c r="AD54" s="46"/>
    </row>
    <row r="55" spans="13:30" x14ac:dyDescent="0.15">
      <c r="M55" s="23">
        <v>51</v>
      </c>
      <c r="N55" s="126">
        <f t="shared" si="5"/>
        <v>15372000</v>
      </c>
      <c r="O55" s="126">
        <f t="shared" si="6"/>
        <v>15372000</v>
      </c>
      <c r="P55" s="126">
        <f t="shared" si="7"/>
        <v>15372000</v>
      </c>
      <c r="Q55" s="126">
        <f t="shared" si="8"/>
        <v>15372000</v>
      </c>
      <c r="R55" s="126">
        <f t="shared" si="9"/>
        <v>15372000</v>
      </c>
      <c r="S55" s="46"/>
      <c r="T55" s="46"/>
      <c r="Z55" s="46"/>
      <c r="AA55" s="46"/>
      <c r="AB55" s="46"/>
      <c r="AC55" s="46"/>
      <c r="AD55" s="46"/>
    </row>
    <row r="56" spans="13:30" x14ac:dyDescent="0.15">
      <c r="M56" s="23">
        <v>52</v>
      </c>
      <c r="N56" s="126">
        <f t="shared" si="5"/>
        <v>18084000</v>
      </c>
      <c r="O56" s="126">
        <f t="shared" si="6"/>
        <v>18084000</v>
      </c>
      <c r="P56" s="126">
        <f t="shared" si="7"/>
        <v>18084000</v>
      </c>
      <c r="Q56" s="126">
        <f t="shared" si="8"/>
        <v>18084000</v>
      </c>
      <c r="R56" s="126">
        <f t="shared" si="9"/>
        <v>18084000</v>
      </c>
      <c r="S56" s="46"/>
      <c r="T56" s="46"/>
      <c r="Z56" s="46"/>
      <c r="AA56" s="46"/>
      <c r="AB56" s="46"/>
      <c r="AC56" s="46"/>
      <c r="AD56" s="46"/>
    </row>
    <row r="57" spans="13:30" x14ac:dyDescent="0.15">
      <c r="M57" s="23">
        <v>53</v>
      </c>
      <c r="N57" s="126">
        <f t="shared" si="5"/>
        <v>20796000</v>
      </c>
      <c r="O57" s="126">
        <f t="shared" si="6"/>
        <v>20796000</v>
      </c>
      <c r="P57" s="126">
        <f t="shared" si="7"/>
        <v>20796000</v>
      </c>
      <c r="Q57" s="126">
        <f t="shared" si="8"/>
        <v>20796000</v>
      </c>
      <c r="R57" s="126">
        <f t="shared" si="9"/>
        <v>20796000</v>
      </c>
      <c r="S57" s="46"/>
      <c r="T57" s="46"/>
      <c r="Z57" s="46"/>
      <c r="AA57" s="46"/>
      <c r="AB57" s="46"/>
      <c r="AC57" s="46"/>
      <c r="AD57" s="46"/>
    </row>
    <row r="58" spans="13:30" x14ac:dyDescent="0.15">
      <c r="M58" s="23">
        <v>54</v>
      </c>
      <c r="N58" s="126">
        <f t="shared" si="5"/>
        <v>23508000</v>
      </c>
      <c r="O58" s="126">
        <f t="shared" si="6"/>
        <v>23508000</v>
      </c>
      <c r="P58" s="126">
        <f t="shared" si="7"/>
        <v>23508000</v>
      </c>
      <c r="Q58" s="126">
        <f t="shared" si="8"/>
        <v>23508000</v>
      </c>
      <c r="R58" s="126">
        <f t="shared" si="9"/>
        <v>23508000</v>
      </c>
      <c r="S58" s="46"/>
      <c r="T58" s="46"/>
      <c r="Z58" s="46"/>
      <c r="AA58" s="46"/>
      <c r="AB58" s="46"/>
      <c r="AC58" s="46"/>
      <c r="AD58" s="46"/>
    </row>
    <row r="59" spans="13:30" x14ac:dyDescent="0.15">
      <c r="M59" s="23">
        <v>55</v>
      </c>
      <c r="N59" s="126">
        <f t="shared" si="5"/>
        <v>26220000</v>
      </c>
      <c r="O59" s="126">
        <f t="shared" si="6"/>
        <v>26220000</v>
      </c>
      <c r="P59" s="126">
        <f t="shared" si="7"/>
        <v>26220000</v>
      </c>
      <c r="Q59" s="126">
        <f t="shared" si="8"/>
        <v>26220000</v>
      </c>
      <c r="R59" s="126">
        <f t="shared" si="9"/>
        <v>26220000</v>
      </c>
      <c r="S59" s="46"/>
      <c r="T59" s="46"/>
      <c r="Z59" s="46"/>
      <c r="AA59" s="46"/>
      <c r="AB59" s="46"/>
      <c r="AC59" s="46"/>
      <c r="AD59" s="46"/>
    </row>
    <row r="60" spans="13:30" x14ac:dyDescent="0.15">
      <c r="M60" s="23">
        <v>56</v>
      </c>
      <c r="N60" s="126">
        <f t="shared" si="5"/>
        <v>28932000</v>
      </c>
      <c r="O60" s="126">
        <f t="shared" si="6"/>
        <v>28932000</v>
      </c>
      <c r="P60" s="126">
        <f t="shared" si="7"/>
        <v>28932000</v>
      </c>
      <c r="Q60" s="126">
        <f t="shared" si="8"/>
        <v>28932000</v>
      </c>
      <c r="R60" s="126">
        <f t="shared" si="9"/>
        <v>28932000</v>
      </c>
      <c r="S60" s="46"/>
      <c r="T60" s="46"/>
      <c r="Z60" s="46"/>
      <c r="AA60" s="46"/>
      <c r="AB60" s="46"/>
      <c r="AC60" s="46"/>
      <c r="AD60" s="46"/>
    </row>
    <row r="61" spans="13:30" x14ac:dyDescent="0.15">
      <c r="M61" s="23">
        <v>57</v>
      </c>
      <c r="N61" s="126">
        <f t="shared" si="5"/>
        <v>31644000</v>
      </c>
      <c r="O61" s="126">
        <f t="shared" si="6"/>
        <v>31644000</v>
      </c>
      <c r="P61" s="126">
        <f t="shared" si="7"/>
        <v>31644000</v>
      </c>
      <c r="Q61" s="126">
        <f t="shared" si="8"/>
        <v>31644000</v>
      </c>
      <c r="R61" s="126">
        <f t="shared" si="9"/>
        <v>31644000</v>
      </c>
      <c r="S61" s="46"/>
      <c r="T61" s="46"/>
      <c r="Z61" s="46"/>
      <c r="AA61" s="46"/>
      <c r="AB61" s="46"/>
      <c r="AC61" s="46"/>
      <c r="AD61" s="46"/>
    </row>
    <row r="62" spans="13:30" x14ac:dyDescent="0.15">
      <c r="M62" s="23">
        <v>58</v>
      </c>
      <c r="N62" s="126">
        <f t="shared" si="5"/>
        <v>34356000</v>
      </c>
      <c r="O62" s="126">
        <f t="shared" si="6"/>
        <v>34356000</v>
      </c>
      <c r="P62" s="126">
        <f t="shared" si="7"/>
        <v>34356000</v>
      </c>
      <c r="Q62" s="126">
        <f t="shared" si="8"/>
        <v>34356000</v>
      </c>
      <c r="R62" s="126">
        <f t="shared" si="9"/>
        <v>34356000</v>
      </c>
      <c r="S62" s="46"/>
      <c r="T62" s="46"/>
      <c r="Z62" s="46"/>
      <c r="AA62" s="46"/>
      <c r="AB62" s="46"/>
      <c r="AC62" s="46"/>
      <c r="AD62" s="46"/>
    </row>
    <row r="63" spans="13:30" x14ac:dyDescent="0.15">
      <c r="M63" s="23">
        <v>59</v>
      </c>
      <c r="N63" s="126">
        <f t="shared" si="5"/>
        <v>37068000</v>
      </c>
      <c r="O63" s="126">
        <f t="shared" si="6"/>
        <v>37068000</v>
      </c>
      <c r="P63" s="126">
        <f t="shared" si="7"/>
        <v>37068000</v>
      </c>
      <c r="Q63" s="126">
        <f t="shared" si="8"/>
        <v>37068000</v>
      </c>
      <c r="R63" s="126">
        <f t="shared" si="9"/>
        <v>37068000</v>
      </c>
      <c r="S63" s="46"/>
      <c r="T63" s="46"/>
      <c r="Z63" s="46"/>
      <c r="AA63" s="46"/>
      <c r="AB63" s="46"/>
      <c r="AC63" s="46"/>
      <c r="AD63" s="46"/>
    </row>
    <row r="64" spans="13:30" x14ac:dyDescent="0.15">
      <c r="M64" s="23">
        <v>60</v>
      </c>
      <c r="N64" s="126">
        <f t="shared" si="5"/>
        <v>39780000</v>
      </c>
      <c r="O64" s="126">
        <f t="shared" si="6"/>
        <v>39780000</v>
      </c>
      <c r="P64" s="126">
        <f t="shared" si="7"/>
        <v>39780000</v>
      </c>
      <c r="Q64" s="126">
        <f t="shared" si="8"/>
        <v>39780000</v>
      </c>
      <c r="R64" s="126">
        <f t="shared" si="9"/>
        <v>39780000</v>
      </c>
      <c r="S64" s="46"/>
      <c r="T64" s="46"/>
      <c r="Z64" s="46"/>
      <c r="AA64" s="46"/>
      <c r="AB64" s="46"/>
      <c r="AC64" s="46"/>
      <c r="AD64" s="46"/>
    </row>
    <row r="65" spans="13:30" x14ac:dyDescent="0.15">
      <c r="M65" s="23">
        <v>61</v>
      </c>
      <c r="N65" s="126">
        <f t="shared" si="5"/>
        <v>45658800</v>
      </c>
      <c r="O65" s="126">
        <f t="shared" si="6"/>
        <v>45883800</v>
      </c>
      <c r="P65" s="126">
        <f t="shared" si="7"/>
        <v>46333800</v>
      </c>
      <c r="Q65" s="126">
        <f t="shared" si="8"/>
        <v>46783800</v>
      </c>
      <c r="R65" s="126">
        <f t="shared" si="9"/>
        <v>47008800</v>
      </c>
      <c r="S65" s="46"/>
      <c r="T65" s="46"/>
      <c r="Z65" s="46"/>
      <c r="AA65" s="46"/>
      <c r="AB65" s="46"/>
      <c r="AC65" s="46"/>
      <c r="AD65" s="46"/>
    </row>
    <row r="66" spans="13:30" x14ac:dyDescent="0.15">
      <c r="M66" s="23">
        <v>62</v>
      </c>
      <c r="N66" s="126">
        <f t="shared" si="5"/>
        <v>51537600</v>
      </c>
      <c r="O66" s="126">
        <f t="shared" si="6"/>
        <v>51987600</v>
      </c>
      <c r="P66" s="126">
        <f t="shared" si="7"/>
        <v>52887600</v>
      </c>
      <c r="Q66" s="126">
        <f t="shared" si="8"/>
        <v>53787600</v>
      </c>
      <c r="R66" s="126">
        <f t="shared" si="9"/>
        <v>54237600</v>
      </c>
      <c r="S66" s="46"/>
      <c r="T66" s="46"/>
      <c r="Z66" s="46"/>
      <c r="AA66" s="46"/>
      <c r="AB66" s="46"/>
      <c r="AC66" s="46"/>
      <c r="AD66" s="46"/>
    </row>
    <row r="67" spans="13:30" x14ac:dyDescent="0.15">
      <c r="M67" s="23">
        <v>63</v>
      </c>
      <c r="N67" s="126">
        <f t="shared" si="5"/>
        <v>57416400</v>
      </c>
      <c r="O67" s="126">
        <f t="shared" si="6"/>
        <v>58091400</v>
      </c>
      <c r="P67" s="126">
        <f t="shared" si="7"/>
        <v>59441400</v>
      </c>
      <c r="Q67" s="126">
        <f t="shared" si="8"/>
        <v>60791400</v>
      </c>
      <c r="R67" s="126">
        <f t="shared" si="9"/>
        <v>61466400</v>
      </c>
      <c r="S67" s="46"/>
      <c r="T67" s="46"/>
      <c r="Z67" s="46"/>
      <c r="AA67" s="46"/>
      <c r="AB67" s="46"/>
      <c r="AC67" s="46"/>
      <c r="AD67" s="46"/>
    </row>
    <row r="68" spans="13:30" x14ac:dyDescent="0.15">
      <c r="M68" s="23">
        <v>64</v>
      </c>
      <c r="N68" s="126">
        <f t="shared" si="5"/>
        <v>63295200</v>
      </c>
      <c r="O68" s="126">
        <f t="shared" si="6"/>
        <v>64195200</v>
      </c>
      <c r="P68" s="126">
        <f t="shared" si="7"/>
        <v>65995200</v>
      </c>
      <c r="Q68" s="126">
        <f t="shared" si="8"/>
        <v>67795200</v>
      </c>
      <c r="R68" s="126">
        <f t="shared" si="9"/>
        <v>68695200</v>
      </c>
      <c r="S68" s="46"/>
      <c r="T68" s="46"/>
      <c r="Z68" s="46"/>
      <c r="AA68" s="46"/>
      <c r="AB68" s="46"/>
      <c r="AC68" s="46"/>
      <c r="AD68" s="46"/>
    </row>
    <row r="69" spans="13:30" x14ac:dyDescent="0.15">
      <c r="M69" s="23">
        <v>65</v>
      </c>
      <c r="N69" s="126">
        <f t="shared" ref="N69:N100" si="10">求节点($B$5:$B$20,C$5:C$20,$M69)</f>
        <v>69174000</v>
      </c>
      <c r="O69" s="126">
        <f t="shared" ref="O69:O100" si="11">求节点($B$5:$B$20,D$5:D$20,$M69)</f>
        <v>70299000</v>
      </c>
      <c r="P69" s="126">
        <f t="shared" ref="P69:P100" si="12">求节点($B$5:$B$20,E$5:E$20,$M69)</f>
        <v>72549000</v>
      </c>
      <c r="Q69" s="126">
        <f t="shared" ref="Q69:Q100" si="13">求节点($B$5:$B$20,F$5:F$20,$M69)</f>
        <v>74799000</v>
      </c>
      <c r="R69" s="126">
        <f t="shared" ref="R69:R100" si="14">求节点($B$5:$B$20,G$5:G$20,$M69)</f>
        <v>75924000</v>
      </c>
      <c r="S69" s="46"/>
      <c r="T69" s="46"/>
      <c r="Z69" s="46"/>
      <c r="AA69" s="46"/>
      <c r="AB69" s="46"/>
      <c r="AC69" s="46"/>
      <c r="AD69" s="46"/>
    </row>
    <row r="70" spans="13:30" x14ac:dyDescent="0.15">
      <c r="M70" s="23">
        <v>66</v>
      </c>
      <c r="N70" s="126">
        <f t="shared" si="10"/>
        <v>75052800</v>
      </c>
      <c r="O70" s="126">
        <f t="shared" si="11"/>
        <v>76402800</v>
      </c>
      <c r="P70" s="126">
        <f t="shared" si="12"/>
        <v>79102800</v>
      </c>
      <c r="Q70" s="126">
        <f t="shared" si="13"/>
        <v>81802800</v>
      </c>
      <c r="R70" s="126">
        <f t="shared" si="14"/>
        <v>83152800</v>
      </c>
      <c r="S70" s="46"/>
      <c r="T70" s="46"/>
      <c r="Z70" s="46"/>
      <c r="AA70" s="46"/>
      <c r="AB70" s="46"/>
      <c r="AC70" s="46"/>
      <c r="AD70" s="46"/>
    </row>
    <row r="71" spans="13:30" x14ac:dyDescent="0.15">
      <c r="M71" s="23">
        <v>67</v>
      </c>
      <c r="N71" s="126">
        <f t="shared" si="10"/>
        <v>80931600</v>
      </c>
      <c r="O71" s="126">
        <f t="shared" si="11"/>
        <v>82506600</v>
      </c>
      <c r="P71" s="126">
        <f t="shared" si="12"/>
        <v>85656600</v>
      </c>
      <c r="Q71" s="126">
        <f t="shared" si="13"/>
        <v>88806600</v>
      </c>
      <c r="R71" s="126">
        <f t="shared" si="14"/>
        <v>90381600</v>
      </c>
      <c r="S71" s="46"/>
      <c r="T71" s="46"/>
      <c r="Z71" s="46"/>
      <c r="AA71" s="46"/>
      <c r="AB71" s="46"/>
      <c r="AC71" s="46"/>
      <c r="AD71" s="46"/>
    </row>
    <row r="72" spans="13:30" x14ac:dyDescent="0.15">
      <c r="M72" s="23">
        <v>68</v>
      </c>
      <c r="N72" s="126">
        <f t="shared" si="10"/>
        <v>86810400</v>
      </c>
      <c r="O72" s="126">
        <f t="shared" si="11"/>
        <v>88610400</v>
      </c>
      <c r="P72" s="126">
        <f t="shared" si="12"/>
        <v>92210400</v>
      </c>
      <c r="Q72" s="126">
        <f t="shared" si="13"/>
        <v>95810400</v>
      </c>
      <c r="R72" s="126">
        <f t="shared" si="14"/>
        <v>97610400</v>
      </c>
      <c r="S72" s="46"/>
      <c r="T72" s="46"/>
      <c r="Z72" s="46"/>
      <c r="AA72" s="46"/>
      <c r="AB72" s="46"/>
      <c r="AC72" s="46"/>
      <c r="AD72" s="46"/>
    </row>
    <row r="73" spans="13:30" x14ac:dyDescent="0.15">
      <c r="M73" s="23">
        <v>69</v>
      </c>
      <c r="N73" s="126">
        <f t="shared" si="10"/>
        <v>92689200</v>
      </c>
      <c r="O73" s="126">
        <f t="shared" si="11"/>
        <v>94714200</v>
      </c>
      <c r="P73" s="126">
        <f t="shared" si="12"/>
        <v>98764200</v>
      </c>
      <c r="Q73" s="126">
        <f t="shared" si="13"/>
        <v>102814200</v>
      </c>
      <c r="R73" s="126">
        <f t="shared" si="14"/>
        <v>104839200</v>
      </c>
      <c r="S73" s="46"/>
      <c r="T73" s="46"/>
      <c r="Z73" s="46"/>
      <c r="AA73" s="46"/>
      <c r="AB73" s="46"/>
      <c r="AC73" s="46"/>
      <c r="AD73" s="46"/>
    </row>
    <row r="74" spans="13:30" x14ac:dyDescent="0.15">
      <c r="M74" s="23">
        <v>70</v>
      </c>
      <c r="N74" s="126">
        <f t="shared" si="10"/>
        <v>98568000</v>
      </c>
      <c r="O74" s="126">
        <f t="shared" si="11"/>
        <v>100818000</v>
      </c>
      <c r="P74" s="126">
        <f t="shared" si="12"/>
        <v>105318000</v>
      </c>
      <c r="Q74" s="126">
        <f t="shared" si="13"/>
        <v>109818000</v>
      </c>
      <c r="R74" s="126">
        <f t="shared" si="14"/>
        <v>112068000</v>
      </c>
      <c r="S74" s="46"/>
      <c r="T74" s="46"/>
      <c r="Z74" s="46"/>
      <c r="AA74" s="46"/>
      <c r="AB74" s="46"/>
      <c r="AC74" s="46"/>
      <c r="AD74" s="46"/>
    </row>
    <row r="75" spans="13:30" x14ac:dyDescent="0.15">
      <c r="M75" s="23">
        <v>71</v>
      </c>
      <c r="N75" s="126">
        <f t="shared" si="10"/>
        <v>113072400</v>
      </c>
      <c r="O75" s="126">
        <f t="shared" si="11"/>
        <v>115547400</v>
      </c>
      <c r="P75" s="126">
        <f t="shared" si="12"/>
        <v>121397400</v>
      </c>
      <c r="Q75" s="126">
        <f t="shared" si="13"/>
        <v>127247400</v>
      </c>
      <c r="R75" s="126">
        <f t="shared" si="14"/>
        <v>130172400</v>
      </c>
      <c r="S75" s="46"/>
      <c r="T75" s="46"/>
      <c r="Z75" s="46"/>
      <c r="AA75" s="46"/>
      <c r="AB75" s="46"/>
      <c r="AC75" s="46"/>
      <c r="AD75" s="46"/>
    </row>
    <row r="76" spans="13:30" x14ac:dyDescent="0.15">
      <c r="M76" s="23">
        <v>72</v>
      </c>
      <c r="N76" s="126">
        <f t="shared" si="10"/>
        <v>127576800</v>
      </c>
      <c r="O76" s="126">
        <f t="shared" si="11"/>
        <v>130276800</v>
      </c>
      <c r="P76" s="126">
        <f t="shared" si="12"/>
        <v>137476800</v>
      </c>
      <c r="Q76" s="126">
        <f t="shared" si="13"/>
        <v>144676800</v>
      </c>
      <c r="R76" s="126">
        <f t="shared" si="14"/>
        <v>148276800</v>
      </c>
      <c r="S76" s="46"/>
      <c r="T76" s="46"/>
      <c r="Z76" s="46"/>
      <c r="AA76" s="46"/>
      <c r="AB76" s="46"/>
      <c r="AC76" s="46"/>
      <c r="AD76" s="46"/>
    </row>
    <row r="77" spans="13:30" x14ac:dyDescent="0.15">
      <c r="M77" s="23">
        <v>73</v>
      </c>
      <c r="N77" s="126">
        <f t="shared" si="10"/>
        <v>142081200</v>
      </c>
      <c r="O77" s="126">
        <f t="shared" si="11"/>
        <v>145006200</v>
      </c>
      <c r="P77" s="126">
        <f t="shared" si="12"/>
        <v>153556200</v>
      </c>
      <c r="Q77" s="126">
        <f t="shared" si="13"/>
        <v>162106200</v>
      </c>
      <c r="R77" s="126">
        <f t="shared" si="14"/>
        <v>166381200</v>
      </c>
      <c r="S77" s="46"/>
      <c r="T77" s="46"/>
      <c r="Z77" s="46"/>
      <c r="AA77" s="46"/>
      <c r="AB77" s="46"/>
      <c r="AC77" s="46"/>
      <c r="AD77" s="46"/>
    </row>
    <row r="78" spans="13:30" x14ac:dyDescent="0.15">
      <c r="M78" s="23">
        <v>74</v>
      </c>
      <c r="N78" s="126">
        <f t="shared" si="10"/>
        <v>156585600</v>
      </c>
      <c r="O78" s="126">
        <f t="shared" si="11"/>
        <v>159735600</v>
      </c>
      <c r="P78" s="126">
        <f t="shared" si="12"/>
        <v>169635600</v>
      </c>
      <c r="Q78" s="126">
        <f t="shared" si="13"/>
        <v>179535600</v>
      </c>
      <c r="R78" s="126">
        <f t="shared" si="14"/>
        <v>184485600</v>
      </c>
      <c r="S78" s="46"/>
      <c r="T78" s="46"/>
      <c r="Z78" s="46"/>
      <c r="AA78" s="46"/>
      <c r="AB78" s="46"/>
      <c r="AC78" s="46"/>
      <c r="AD78" s="46"/>
    </row>
    <row r="79" spans="13:30" x14ac:dyDescent="0.15">
      <c r="M79" s="23">
        <v>75</v>
      </c>
      <c r="N79" s="126">
        <f t="shared" si="10"/>
        <v>171090000</v>
      </c>
      <c r="O79" s="126">
        <f t="shared" si="11"/>
        <v>174465000</v>
      </c>
      <c r="P79" s="126">
        <f t="shared" si="12"/>
        <v>185715000</v>
      </c>
      <c r="Q79" s="126">
        <f t="shared" si="13"/>
        <v>196965000</v>
      </c>
      <c r="R79" s="126">
        <f t="shared" si="14"/>
        <v>202590000</v>
      </c>
      <c r="S79" s="46"/>
      <c r="T79" s="46"/>
      <c r="Z79" s="46"/>
      <c r="AA79" s="46"/>
      <c r="AB79" s="46"/>
      <c r="AC79" s="46"/>
      <c r="AD79" s="46"/>
    </row>
    <row r="80" spans="13:30" x14ac:dyDescent="0.15">
      <c r="M80" s="23">
        <v>76</v>
      </c>
      <c r="N80" s="126">
        <f t="shared" si="10"/>
        <v>185594400</v>
      </c>
      <c r="O80" s="126">
        <f t="shared" si="11"/>
        <v>189194400</v>
      </c>
      <c r="P80" s="126">
        <f t="shared" si="12"/>
        <v>201794400</v>
      </c>
      <c r="Q80" s="126">
        <f t="shared" si="13"/>
        <v>214394400</v>
      </c>
      <c r="R80" s="126">
        <f t="shared" si="14"/>
        <v>220694400</v>
      </c>
      <c r="S80" s="46"/>
      <c r="T80" s="46"/>
      <c r="Z80" s="46"/>
      <c r="AA80" s="46"/>
      <c r="AB80" s="46"/>
      <c r="AC80" s="46"/>
      <c r="AD80" s="46"/>
    </row>
    <row r="81" spans="13:30" x14ac:dyDescent="0.15">
      <c r="M81" s="23">
        <v>77</v>
      </c>
      <c r="N81" s="126">
        <f t="shared" si="10"/>
        <v>200098800</v>
      </c>
      <c r="O81" s="126">
        <f t="shared" si="11"/>
        <v>203923800</v>
      </c>
      <c r="P81" s="126">
        <f t="shared" si="12"/>
        <v>217873800</v>
      </c>
      <c r="Q81" s="126">
        <f t="shared" si="13"/>
        <v>231823800</v>
      </c>
      <c r="R81" s="126">
        <f t="shared" si="14"/>
        <v>238798800</v>
      </c>
      <c r="S81" s="46"/>
      <c r="T81" s="46"/>
      <c r="Z81" s="46"/>
      <c r="AA81" s="46"/>
      <c r="AB81" s="46"/>
      <c r="AC81" s="46"/>
      <c r="AD81" s="46"/>
    </row>
    <row r="82" spans="13:30" x14ac:dyDescent="0.15">
      <c r="M82" s="23">
        <v>78</v>
      </c>
      <c r="N82" s="126">
        <f t="shared" si="10"/>
        <v>214603200</v>
      </c>
      <c r="O82" s="126">
        <f t="shared" si="11"/>
        <v>218653200</v>
      </c>
      <c r="P82" s="126">
        <f t="shared" si="12"/>
        <v>233953200</v>
      </c>
      <c r="Q82" s="126">
        <f t="shared" si="13"/>
        <v>249253200</v>
      </c>
      <c r="R82" s="126">
        <f t="shared" si="14"/>
        <v>256903200</v>
      </c>
      <c r="S82" s="46"/>
      <c r="T82" s="46"/>
      <c r="Z82" s="46"/>
      <c r="AA82" s="46"/>
      <c r="AB82" s="46"/>
      <c r="AC82" s="46"/>
      <c r="AD82" s="46"/>
    </row>
    <row r="83" spans="13:30" x14ac:dyDescent="0.15">
      <c r="M83" s="23">
        <v>79</v>
      </c>
      <c r="N83" s="126">
        <f t="shared" si="10"/>
        <v>229107600</v>
      </c>
      <c r="O83" s="126">
        <f t="shared" si="11"/>
        <v>233382600</v>
      </c>
      <c r="P83" s="126">
        <f t="shared" si="12"/>
        <v>250032600</v>
      </c>
      <c r="Q83" s="126">
        <f t="shared" si="13"/>
        <v>266682600</v>
      </c>
      <c r="R83" s="126">
        <f t="shared" si="14"/>
        <v>275007600</v>
      </c>
      <c r="S83" s="46"/>
      <c r="T83" s="46"/>
      <c r="Z83" s="46"/>
      <c r="AA83" s="46"/>
      <c r="AB83" s="46"/>
      <c r="AC83" s="46"/>
      <c r="AD83" s="46"/>
    </row>
    <row r="84" spans="13:30" x14ac:dyDescent="0.15">
      <c r="M84" s="23">
        <v>80</v>
      </c>
      <c r="N84" s="126">
        <f t="shared" si="10"/>
        <v>243612000</v>
      </c>
      <c r="O84" s="126">
        <f t="shared" si="11"/>
        <v>248112000</v>
      </c>
      <c r="P84" s="126">
        <f t="shared" si="12"/>
        <v>266112000</v>
      </c>
      <c r="Q84" s="126">
        <f t="shared" si="13"/>
        <v>284112000</v>
      </c>
      <c r="R84" s="126">
        <f t="shared" si="14"/>
        <v>293112000</v>
      </c>
      <c r="S84" s="46"/>
      <c r="T84" s="46"/>
      <c r="Z84" s="46"/>
      <c r="AA84" s="46"/>
      <c r="AB84" s="46"/>
      <c r="AC84" s="46"/>
      <c r="AD84" s="46"/>
    </row>
    <row r="85" spans="13:30" x14ac:dyDescent="0.15">
      <c r="M85" s="23">
        <v>81</v>
      </c>
      <c r="N85" s="126">
        <f t="shared" si="10"/>
        <v>276138000</v>
      </c>
      <c r="O85" s="126">
        <f t="shared" si="11"/>
        <v>281988000</v>
      </c>
      <c r="P85" s="126">
        <f t="shared" si="12"/>
        <v>305388000</v>
      </c>
      <c r="Q85" s="126">
        <f t="shared" si="13"/>
        <v>334188000</v>
      </c>
      <c r="R85" s="126">
        <f t="shared" si="14"/>
        <v>349488000</v>
      </c>
      <c r="S85" s="46"/>
      <c r="T85" s="46"/>
      <c r="Z85" s="46"/>
      <c r="AA85" s="46"/>
      <c r="AB85" s="46"/>
      <c r="AC85" s="46"/>
      <c r="AD85" s="46"/>
    </row>
    <row r="86" spans="13:30" x14ac:dyDescent="0.15">
      <c r="M86" s="23">
        <v>82</v>
      </c>
      <c r="N86" s="126">
        <f t="shared" si="10"/>
        <v>308664000</v>
      </c>
      <c r="O86" s="126">
        <f t="shared" si="11"/>
        <v>315864000</v>
      </c>
      <c r="P86" s="126">
        <f t="shared" si="12"/>
        <v>344664000</v>
      </c>
      <c r="Q86" s="126">
        <f t="shared" si="13"/>
        <v>384264000</v>
      </c>
      <c r="R86" s="126">
        <f t="shared" si="14"/>
        <v>405864000</v>
      </c>
      <c r="S86" s="46"/>
      <c r="T86" s="46"/>
      <c r="Z86" s="46"/>
      <c r="AA86" s="46"/>
      <c r="AB86" s="46"/>
      <c r="AC86" s="46"/>
      <c r="AD86" s="46"/>
    </row>
    <row r="87" spans="13:30" x14ac:dyDescent="0.15">
      <c r="M87" s="23">
        <v>83</v>
      </c>
      <c r="N87" s="126">
        <f t="shared" si="10"/>
        <v>341190000</v>
      </c>
      <c r="O87" s="126">
        <f t="shared" si="11"/>
        <v>349740000</v>
      </c>
      <c r="P87" s="126">
        <f t="shared" si="12"/>
        <v>383940000</v>
      </c>
      <c r="Q87" s="126">
        <f t="shared" si="13"/>
        <v>434340000</v>
      </c>
      <c r="R87" s="126">
        <f t="shared" si="14"/>
        <v>462240000</v>
      </c>
      <c r="S87" s="46"/>
      <c r="T87" s="46"/>
      <c r="Z87" s="46"/>
      <c r="AA87" s="46"/>
      <c r="AB87" s="46"/>
      <c r="AC87" s="46"/>
      <c r="AD87" s="46"/>
    </row>
    <row r="88" spans="13:30" x14ac:dyDescent="0.15">
      <c r="M88" s="23">
        <v>84</v>
      </c>
      <c r="N88" s="126">
        <f t="shared" si="10"/>
        <v>373716000</v>
      </c>
      <c r="O88" s="126">
        <f t="shared" si="11"/>
        <v>383616000</v>
      </c>
      <c r="P88" s="126">
        <f t="shared" si="12"/>
        <v>423216000</v>
      </c>
      <c r="Q88" s="126">
        <f t="shared" si="13"/>
        <v>484416000</v>
      </c>
      <c r="R88" s="126">
        <f t="shared" si="14"/>
        <v>518616000</v>
      </c>
      <c r="S88" s="46"/>
      <c r="T88" s="46"/>
      <c r="Z88" s="46"/>
      <c r="AA88" s="46"/>
      <c r="AB88" s="46"/>
      <c r="AC88" s="46"/>
      <c r="AD88" s="46"/>
    </row>
    <row r="89" spans="13:30" x14ac:dyDescent="0.15">
      <c r="M89" s="23">
        <v>85</v>
      </c>
      <c r="N89" s="126">
        <f t="shared" si="10"/>
        <v>406242000</v>
      </c>
      <c r="O89" s="126">
        <f t="shared" si="11"/>
        <v>417492000</v>
      </c>
      <c r="P89" s="126">
        <f t="shared" si="12"/>
        <v>462492000</v>
      </c>
      <c r="Q89" s="126">
        <f t="shared" si="13"/>
        <v>534492000</v>
      </c>
      <c r="R89" s="126">
        <f t="shared" si="14"/>
        <v>574992000</v>
      </c>
      <c r="S89" s="46"/>
      <c r="T89" s="46"/>
      <c r="Z89" s="46"/>
      <c r="AA89" s="46"/>
      <c r="AB89" s="46"/>
      <c r="AC89" s="46"/>
      <c r="AD89" s="46"/>
    </row>
    <row r="90" spans="13:30" x14ac:dyDescent="0.15">
      <c r="M90" s="23">
        <v>86</v>
      </c>
      <c r="N90" s="126">
        <f t="shared" si="10"/>
        <v>438768000</v>
      </c>
      <c r="O90" s="126">
        <f t="shared" si="11"/>
        <v>451368000</v>
      </c>
      <c r="P90" s="126">
        <f t="shared" si="12"/>
        <v>501768000</v>
      </c>
      <c r="Q90" s="126">
        <f t="shared" si="13"/>
        <v>584568000</v>
      </c>
      <c r="R90" s="126">
        <f t="shared" si="14"/>
        <v>631368000</v>
      </c>
      <c r="S90" s="46"/>
      <c r="T90" s="46"/>
      <c r="Z90" s="46"/>
      <c r="AA90" s="46"/>
      <c r="AB90" s="46"/>
      <c r="AC90" s="46"/>
      <c r="AD90" s="46"/>
    </row>
    <row r="91" spans="13:30" x14ac:dyDescent="0.15">
      <c r="M91" s="23">
        <v>87</v>
      </c>
      <c r="N91" s="126">
        <f t="shared" si="10"/>
        <v>471294000</v>
      </c>
      <c r="O91" s="126">
        <f t="shared" si="11"/>
        <v>485244000</v>
      </c>
      <c r="P91" s="126">
        <f t="shared" si="12"/>
        <v>541044000</v>
      </c>
      <c r="Q91" s="126">
        <f t="shared" si="13"/>
        <v>634644000</v>
      </c>
      <c r="R91" s="126">
        <f t="shared" si="14"/>
        <v>687744000</v>
      </c>
      <c r="S91" s="46"/>
      <c r="T91" s="46"/>
      <c r="Z91" s="46"/>
      <c r="AA91" s="46"/>
      <c r="AB91" s="46"/>
      <c r="AC91" s="46"/>
      <c r="AD91" s="46"/>
    </row>
    <row r="92" spans="13:30" x14ac:dyDescent="0.15">
      <c r="M92" s="23">
        <v>88</v>
      </c>
      <c r="N92" s="126">
        <f t="shared" si="10"/>
        <v>503820000</v>
      </c>
      <c r="O92" s="126">
        <f t="shared" si="11"/>
        <v>519120000</v>
      </c>
      <c r="P92" s="126">
        <f t="shared" si="12"/>
        <v>580320000</v>
      </c>
      <c r="Q92" s="126">
        <f t="shared" si="13"/>
        <v>684720000</v>
      </c>
      <c r="R92" s="126">
        <f t="shared" si="14"/>
        <v>744120000</v>
      </c>
      <c r="S92" s="46"/>
      <c r="T92" s="46"/>
      <c r="Z92" s="46"/>
      <c r="AA92" s="46"/>
      <c r="AB92" s="46"/>
      <c r="AC92" s="46"/>
      <c r="AD92" s="46"/>
    </row>
    <row r="93" spans="13:30" x14ac:dyDescent="0.15">
      <c r="M93" s="23">
        <v>89</v>
      </c>
      <c r="N93" s="126">
        <f t="shared" si="10"/>
        <v>536346000</v>
      </c>
      <c r="O93" s="126">
        <f t="shared" si="11"/>
        <v>552996000</v>
      </c>
      <c r="P93" s="126">
        <f t="shared" si="12"/>
        <v>619596000</v>
      </c>
      <c r="Q93" s="126">
        <f t="shared" si="13"/>
        <v>734796000</v>
      </c>
      <c r="R93" s="126">
        <f t="shared" si="14"/>
        <v>800496000</v>
      </c>
      <c r="S93" s="46"/>
      <c r="T93" s="46"/>
      <c r="Z93" s="46"/>
      <c r="AA93" s="46"/>
      <c r="AB93" s="46"/>
      <c r="AC93" s="46"/>
      <c r="AD93" s="46"/>
    </row>
    <row r="94" spans="13:30" x14ac:dyDescent="0.15">
      <c r="M94" s="23">
        <v>90</v>
      </c>
      <c r="N94" s="126">
        <f t="shared" si="10"/>
        <v>568872000</v>
      </c>
      <c r="O94" s="126">
        <f t="shared" si="11"/>
        <v>586872000</v>
      </c>
      <c r="P94" s="126">
        <f t="shared" si="12"/>
        <v>658872000</v>
      </c>
      <c r="Q94" s="126">
        <f t="shared" si="13"/>
        <v>784872000</v>
      </c>
      <c r="R94" s="126">
        <f t="shared" si="14"/>
        <v>856872000</v>
      </c>
      <c r="S94" s="46"/>
      <c r="T94" s="46"/>
      <c r="Z94" s="46"/>
      <c r="AA94" s="46"/>
      <c r="AB94" s="46"/>
      <c r="AC94" s="46"/>
      <c r="AD94" s="46"/>
    </row>
    <row r="95" spans="13:30" x14ac:dyDescent="0.15">
      <c r="M95" s="23">
        <v>91</v>
      </c>
      <c r="N95" s="126">
        <f t="shared" si="10"/>
        <v>644400000</v>
      </c>
      <c r="O95" s="126">
        <f t="shared" si="11"/>
        <v>671400000</v>
      </c>
      <c r="P95" s="126">
        <f t="shared" si="12"/>
        <v>777600000</v>
      </c>
      <c r="Q95" s="126">
        <f t="shared" si="13"/>
        <v>894600000</v>
      </c>
      <c r="R95" s="126">
        <f t="shared" si="14"/>
        <v>959400000</v>
      </c>
      <c r="S95" s="46"/>
      <c r="T95" s="46"/>
      <c r="Z95" s="46"/>
      <c r="AA95" s="46"/>
      <c r="AB95" s="46"/>
      <c r="AC95" s="46"/>
      <c r="AD95" s="46"/>
    </row>
    <row r="96" spans="13:30" x14ac:dyDescent="0.15">
      <c r="M96" s="23">
        <v>92</v>
      </c>
      <c r="N96" s="126">
        <f t="shared" si="10"/>
        <v>719928000</v>
      </c>
      <c r="O96" s="126">
        <f t="shared" si="11"/>
        <v>755928000</v>
      </c>
      <c r="P96" s="126">
        <f t="shared" si="12"/>
        <v>896328000</v>
      </c>
      <c r="Q96" s="126">
        <f t="shared" si="13"/>
        <v>1004328000</v>
      </c>
      <c r="R96" s="126">
        <f t="shared" si="14"/>
        <v>1061928000</v>
      </c>
      <c r="S96" s="46"/>
      <c r="T96" s="46"/>
      <c r="Z96" s="46"/>
      <c r="AA96" s="46"/>
      <c r="AB96" s="46"/>
      <c r="AC96" s="46"/>
      <c r="AD96" s="46"/>
    </row>
    <row r="97" spans="13:30" x14ac:dyDescent="0.15">
      <c r="M97" s="23">
        <v>93</v>
      </c>
      <c r="N97" s="126">
        <f t="shared" si="10"/>
        <v>795456000</v>
      </c>
      <c r="O97" s="126">
        <f t="shared" si="11"/>
        <v>840456000</v>
      </c>
      <c r="P97" s="126">
        <f t="shared" si="12"/>
        <v>1015056000</v>
      </c>
      <c r="Q97" s="126">
        <f t="shared" si="13"/>
        <v>1114056000</v>
      </c>
      <c r="R97" s="126">
        <f t="shared" si="14"/>
        <v>1164456000</v>
      </c>
      <c r="S97" s="46"/>
      <c r="T97" s="46"/>
      <c r="Z97" s="46"/>
      <c r="AA97" s="46"/>
      <c r="AB97" s="46"/>
      <c r="AC97" s="46"/>
      <c r="AD97" s="46"/>
    </row>
    <row r="98" spans="13:30" x14ac:dyDescent="0.15">
      <c r="M98" s="23">
        <v>94</v>
      </c>
      <c r="N98" s="126">
        <f t="shared" si="10"/>
        <v>870984000</v>
      </c>
      <c r="O98" s="126">
        <f t="shared" si="11"/>
        <v>924984000</v>
      </c>
      <c r="P98" s="126">
        <f t="shared" si="12"/>
        <v>1133784000</v>
      </c>
      <c r="Q98" s="126">
        <f t="shared" si="13"/>
        <v>1223784000</v>
      </c>
      <c r="R98" s="126">
        <f t="shared" si="14"/>
        <v>1266984000</v>
      </c>
      <c r="S98" s="46"/>
      <c r="T98" s="46"/>
      <c r="Z98" s="46"/>
      <c r="AA98" s="46"/>
      <c r="AB98" s="46"/>
      <c r="AC98" s="46"/>
      <c r="AD98" s="46"/>
    </row>
    <row r="99" spans="13:30" x14ac:dyDescent="0.15">
      <c r="M99" s="23">
        <v>95</v>
      </c>
      <c r="N99" s="126">
        <f t="shared" si="10"/>
        <v>946512000</v>
      </c>
      <c r="O99" s="126">
        <f t="shared" si="11"/>
        <v>1009512000</v>
      </c>
      <c r="P99" s="126">
        <f t="shared" si="12"/>
        <v>1252512000</v>
      </c>
      <c r="Q99" s="126">
        <f t="shared" si="13"/>
        <v>1333512000</v>
      </c>
      <c r="R99" s="126">
        <f t="shared" si="14"/>
        <v>1369512000</v>
      </c>
      <c r="S99" s="46"/>
      <c r="T99" s="46"/>
      <c r="Z99" s="46"/>
      <c r="AA99" s="46"/>
      <c r="AB99" s="46"/>
      <c r="AC99" s="46"/>
      <c r="AD99" s="46"/>
    </row>
    <row r="100" spans="13:30" x14ac:dyDescent="0.15">
      <c r="M100" s="23">
        <v>96</v>
      </c>
      <c r="N100" s="126">
        <f t="shared" si="10"/>
        <v>1022040000</v>
      </c>
      <c r="O100" s="126">
        <f t="shared" si="11"/>
        <v>1094040000</v>
      </c>
      <c r="P100" s="126">
        <f t="shared" si="12"/>
        <v>1371240000</v>
      </c>
      <c r="Q100" s="126">
        <f t="shared" si="13"/>
        <v>1443240000</v>
      </c>
      <c r="R100" s="126">
        <f t="shared" si="14"/>
        <v>1472040000</v>
      </c>
      <c r="S100" s="46"/>
      <c r="T100" s="46"/>
      <c r="Z100" s="46"/>
      <c r="AA100" s="46"/>
      <c r="AB100" s="46"/>
      <c r="AC100" s="46"/>
      <c r="AD100" s="46"/>
    </row>
    <row r="101" spans="13:30" x14ac:dyDescent="0.15">
      <c r="M101" s="23">
        <v>97</v>
      </c>
      <c r="N101" s="126">
        <f t="shared" ref="N101:N132" si="15">求节点($B$5:$B$20,C$5:C$20,$M101)</f>
        <v>1097568000</v>
      </c>
      <c r="O101" s="126">
        <f t="shared" ref="O101:O132" si="16">求节点($B$5:$B$20,D$5:D$20,$M101)</f>
        <v>1178568000</v>
      </c>
      <c r="P101" s="126">
        <f t="shared" ref="P101:P132" si="17">求节点($B$5:$B$20,E$5:E$20,$M101)</f>
        <v>1489968000</v>
      </c>
      <c r="Q101" s="126">
        <f t="shared" ref="Q101:Q132" si="18">求节点($B$5:$B$20,F$5:F$20,$M101)</f>
        <v>1552968000</v>
      </c>
      <c r="R101" s="126">
        <f t="shared" ref="R101:R132" si="19">求节点($B$5:$B$20,G$5:G$20,$M101)</f>
        <v>1574568000</v>
      </c>
      <c r="S101" s="46"/>
      <c r="T101" s="46"/>
      <c r="Z101" s="46"/>
      <c r="AA101" s="46"/>
      <c r="AB101" s="46"/>
      <c r="AC101" s="46"/>
      <c r="AD101" s="46"/>
    </row>
    <row r="102" spans="13:30" x14ac:dyDescent="0.15">
      <c r="M102" s="23">
        <v>98</v>
      </c>
      <c r="N102" s="126">
        <f t="shared" si="15"/>
        <v>1173096000</v>
      </c>
      <c r="O102" s="126">
        <f t="shared" si="16"/>
        <v>1263096000</v>
      </c>
      <c r="P102" s="126">
        <f t="shared" si="17"/>
        <v>1608696000</v>
      </c>
      <c r="Q102" s="126">
        <f t="shared" si="18"/>
        <v>1662696000</v>
      </c>
      <c r="R102" s="126">
        <f t="shared" si="19"/>
        <v>1677096000</v>
      </c>
      <c r="S102" s="46"/>
      <c r="T102" s="46"/>
      <c r="Z102" s="46"/>
      <c r="AA102" s="46"/>
      <c r="AB102" s="46"/>
      <c r="AC102" s="46"/>
      <c r="AD102" s="46"/>
    </row>
    <row r="103" spans="13:30" x14ac:dyDescent="0.15">
      <c r="M103" s="23">
        <v>99</v>
      </c>
      <c r="N103" s="126">
        <f t="shared" si="15"/>
        <v>1248624000</v>
      </c>
      <c r="O103" s="126">
        <f t="shared" si="16"/>
        <v>1347624000</v>
      </c>
      <c r="P103" s="126">
        <f t="shared" si="17"/>
        <v>1727424000</v>
      </c>
      <c r="Q103" s="126">
        <f t="shared" si="18"/>
        <v>1772424000</v>
      </c>
      <c r="R103" s="126">
        <f t="shared" si="19"/>
        <v>1779624000</v>
      </c>
      <c r="S103" s="46"/>
      <c r="T103" s="46"/>
      <c r="Z103" s="46"/>
      <c r="AA103" s="46"/>
      <c r="AB103" s="46"/>
      <c r="AC103" s="46"/>
      <c r="AD103" s="46"/>
    </row>
    <row r="104" spans="13:30" x14ac:dyDescent="0.15">
      <c r="M104" s="23">
        <v>100</v>
      </c>
      <c r="N104" s="126">
        <f t="shared" si="15"/>
        <v>1324152000</v>
      </c>
      <c r="O104" s="126">
        <f t="shared" si="16"/>
        <v>1432152000</v>
      </c>
      <c r="P104" s="126">
        <f t="shared" si="17"/>
        <v>1846152000</v>
      </c>
      <c r="Q104" s="126">
        <f t="shared" si="18"/>
        <v>1882152000</v>
      </c>
      <c r="R104" s="126">
        <f t="shared" si="19"/>
        <v>1882152000</v>
      </c>
      <c r="S104" s="46"/>
      <c r="T104" s="46"/>
      <c r="Z104" s="46"/>
      <c r="AA104" s="46"/>
      <c r="AB104" s="46"/>
      <c r="AC104" s="46"/>
      <c r="AD104" s="46"/>
    </row>
    <row r="105" spans="13:30" x14ac:dyDescent="0.15">
      <c r="M105" s="126">
        <v>101</v>
      </c>
      <c r="N105" s="126">
        <f t="shared" si="15"/>
        <v>1486944000</v>
      </c>
      <c r="O105" s="126">
        <f t="shared" si="16"/>
        <v>1620144000</v>
      </c>
      <c r="P105" s="126">
        <f t="shared" si="17"/>
        <v>1992744000</v>
      </c>
      <c r="Q105" s="126">
        <f t="shared" si="18"/>
        <v>2025144000</v>
      </c>
      <c r="R105" s="126">
        <f t="shared" si="19"/>
        <v>2025144000</v>
      </c>
    </row>
    <row r="106" spans="13:30" x14ac:dyDescent="0.15">
      <c r="M106" s="126">
        <v>102</v>
      </c>
      <c r="N106" s="126">
        <f t="shared" si="15"/>
        <v>1649736000</v>
      </c>
      <c r="O106" s="126">
        <f t="shared" si="16"/>
        <v>1808136000</v>
      </c>
      <c r="P106" s="126">
        <f t="shared" si="17"/>
        <v>2139336000</v>
      </c>
      <c r="Q106" s="126">
        <f t="shared" si="18"/>
        <v>2168136000</v>
      </c>
      <c r="R106" s="126">
        <f t="shared" si="19"/>
        <v>2168136000</v>
      </c>
    </row>
    <row r="107" spans="13:30" x14ac:dyDescent="0.15">
      <c r="M107" s="126">
        <v>103</v>
      </c>
      <c r="N107" s="126">
        <f t="shared" si="15"/>
        <v>1812528000</v>
      </c>
      <c r="O107" s="126">
        <f t="shared" si="16"/>
        <v>1996128000</v>
      </c>
      <c r="P107" s="126">
        <f t="shared" si="17"/>
        <v>2285928000</v>
      </c>
      <c r="Q107" s="126">
        <f t="shared" si="18"/>
        <v>2311128000</v>
      </c>
      <c r="R107" s="126">
        <f t="shared" si="19"/>
        <v>2311128000</v>
      </c>
    </row>
    <row r="108" spans="13:30" x14ac:dyDescent="0.15">
      <c r="M108" s="126">
        <v>104</v>
      </c>
      <c r="N108" s="126">
        <f t="shared" si="15"/>
        <v>1975320000</v>
      </c>
      <c r="O108" s="126">
        <f t="shared" si="16"/>
        <v>2184120000</v>
      </c>
      <c r="P108" s="126">
        <f t="shared" si="17"/>
        <v>2432520000</v>
      </c>
      <c r="Q108" s="126">
        <f t="shared" si="18"/>
        <v>2454120000</v>
      </c>
      <c r="R108" s="126">
        <f t="shared" si="19"/>
        <v>2454120000</v>
      </c>
    </row>
    <row r="109" spans="13:30" x14ac:dyDescent="0.15">
      <c r="M109" s="126">
        <v>105</v>
      </c>
      <c r="N109" s="126">
        <f t="shared" si="15"/>
        <v>2138112000</v>
      </c>
      <c r="O109" s="126">
        <f t="shared" si="16"/>
        <v>2372112000</v>
      </c>
      <c r="P109" s="126">
        <f t="shared" si="17"/>
        <v>2579112000</v>
      </c>
      <c r="Q109" s="126">
        <f t="shared" si="18"/>
        <v>2597112000</v>
      </c>
      <c r="R109" s="126">
        <f t="shared" si="19"/>
        <v>2597112000</v>
      </c>
    </row>
    <row r="110" spans="13:30" x14ac:dyDescent="0.15">
      <c r="M110" s="126">
        <v>106</v>
      </c>
      <c r="N110" s="126">
        <f t="shared" si="15"/>
        <v>2300904000</v>
      </c>
      <c r="O110" s="126">
        <f t="shared" si="16"/>
        <v>2560104000</v>
      </c>
      <c r="P110" s="126">
        <f t="shared" si="17"/>
        <v>2725704000</v>
      </c>
      <c r="Q110" s="126">
        <f t="shared" si="18"/>
        <v>2740104000</v>
      </c>
      <c r="R110" s="126">
        <f t="shared" si="19"/>
        <v>2740104000</v>
      </c>
    </row>
    <row r="111" spans="13:30" x14ac:dyDescent="0.15">
      <c r="M111" s="126">
        <v>107</v>
      </c>
      <c r="N111" s="126">
        <f t="shared" si="15"/>
        <v>2463696000</v>
      </c>
      <c r="O111" s="126">
        <f t="shared" si="16"/>
        <v>2748096000</v>
      </c>
      <c r="P111" s="126">
        <f t="shared" si="17"/>
        <v>2872296000</v>
      </c>
      <c r="Q111" s="126">
        <f t="shared" si="18"/>
        <v>2883096000</v>
      </c>
      <c r="R111" s="126">
        <f t="shared" si="19"/>
        <v>2883096000</v>
      </c>
    </row>
    <row r="112" spans="13:30" x14ac:dyDescent="0.15">
      <c r="M112" s="126">
        <v>108</v>
      </c>
      <c r="N112" s="126">
        <f t="shared" si="15"/>
        <v>2626488000</v>
      </c>
      <c r="O112" s="126">
        <f t="shared" si="16"/>
        <v>2936088000</v>
      </c>
      <c r="P112" s="126">
        <f t="shared" si="17"/>
        <v>3018888000</v>
      </c>
      <c r="Q112" s="126">
        <f t="shared" si="18"/>
        <v>3026088000</v>
      </c>
      <c r="R112" s="126">
        <f t="shared" si="19"/>
        <v>3026088000</v>
      </c>
    </row>
    <row r="113" spans="13:18" x14ac:dyDescent="0.15">
      <c r="M113" s="126">
        <v>109</v>
      </c>
      <c r="N113" s="126">
        <f t="shared" si="15"/>
        <v>2789280000</v>
      </c>
      <c r="O113" s="126">
        <f t="shared" si="16"/>
        <v>3124080000</v>
      </c>
      <c r="P113" s="126">
        <f t="shared" si="17"/>
        <v>3165480000</v>
      </c>
      <c r="Q113" s="126">
        <f t="shared" si="18"/>
        <v>3169080000</v>
      </c>
      <c r="R113" s="126">
        <f t="shared" si="19"/>
        <v>3169080000</v>
      </c>
    </row>
    <row r="114" spans="13:18" x14ac:dyDescent="0.15">
      <c r="M114" s="126">
        <v>110</v>
      </c>
      <c r="N114" s="126">
        <f t="shared" si="15"/>
        <v>2952072000</v>
      </c>
      <c r="O114" s="126">
        <f t="shared" si="16"/>
        <v>3312072000</v>
      </c>
      <c r="P114" s="126">
        <f t="shared" si="17"/>
        <v>3312072000</v>
      </c>
      <c r="Q114" s="126">
        <f t="shared" si="18"/>
        <v>3312072000</v>
      </c>
      <c r="R114" s="126">
        <f t="shared" si="19"/>
        <v>3312072000</v>
      </c>
    </row>
    <row r="115" spans="13:18" x14ac:dyDescent="0.15">
      <c r="M115" s="126">
        <v>111</v>
      </c>
      <c r="N115" s="126">
        <f t="shared" si="15"/>
        <v>3314232000</v>
      </c>
      <c r="O115" s="126">
        <f t="shared" si="16"/>
        <v>3638232000</v>
      </c>
      <c r="P115" s="126">
        <f t="shared" si="17"/>
        <v>3638232000</v>
      </c>
      <c r="Q115" s="126">
        <f t="shared" si="18"/>
        <v>3638232000</v>
      </c>
      <c r="R115" s="126">
        <f t="shared" si="19"/>
        <v>3638232000</v>
      </c>
    </row>
    <row r="116" spans="13:18" x14ac:dyDescent="0.15">
      <c r="M116" s="126">
        <v>112</v>
      </c>
      <c r="N116" s="126">
        <f t="shared" si="15"/>
        <v>3676392000</v>
      </c>
      <c r="O116" s="126">
        <f t="shared" si="16"/>
        <v>3964392000</v>
      </c>
      <c r="P116" s="126">
        <f t="shared" si="17"/>
        <v>3964392000</v>
      </c>
      <c r="Q116" s="126">
        <f t="shared" si="18"/>
        <v>3964392000</v>
      </c>
      <c r="R116" s="126">
        <f t="shared" si="19"/>
        <v>3964392000</v>
      </c>
    </row>
    <row r="117" spans="13:18" x14ac:dyDescent="0.15">
      <c r="M117" s="126">
        <v>113</v>
      </c>
      <c r="N117" s="126">
        <f t="shared" si="15"/>
        <v>4038552000</v>
      </c>
      <c r="O117" s="126">
        <f t="shared" si="16"/>
        <v>4290552000</v>
      </c>
      <c r="P117" s="126">
        <f t="shared" si="17"/>
        <v>4290552000</v>
      </c>
      <c r="Q117" s="126">
        <f t="shared" si="18"/>
        <v>4290552000</v>
      </c>
      <c r="R117" s="126">
        <f t="shared" si="19"/>
        <v>4290552000</v>
      </c>
    </row>
    <row r="118" spans="13:18" x14ac:dyDescent="0.15">
      <c r="M118" s="126">
        <v>114</v>
      </c>
      <c r="N118" s="126">
        <f t="shared" si="15"/>
        <v>4400712000</v>
      </c>
      <c r="O118" s="126">
        <f t="shared" si="16"/>
        <v>4616712000</v>
      </c>
      <c r="P118" s="126">
        <f t="shared" si="17"/>
        <v>4616712000</v>
      </c>
      <c r="Q118" s="126">
        <f t="shared" si="18"/>
        <v>4616712000</v>
      </c>
      <c r="R118" s="126">
        <f t="shared" si="19"/>
        <v>4616712000</v>
      </c>
    </row>
    <row r="119" spans="13:18" x14ac:dyDescent="0.15">
      <c r="M119" s="126">
        <v>115</v>
      </c>
      <c r="N119" s="126">
        <f t="shared" si="15"/>
        <v>4762872000</v>
      </c>
      <c r="O119" s="126">
        <f t="shared" si="16"/>
        <v>4942872000</v>
      </c>
      <c r="P119" s="126">
        <f t="shared" si="17"/>
        <v>4942872000</v>
      </c>
      <c r="Q119" s="126">
        <f t="shared" si="18"/>
        <v>4942872000</v>
      </c>
      <c r="R119" s="126">
        <f t="shared" si="19"/>
        <v>4942872000</v>
      </c>
    </row>
    <row r="120" spans="13:18" x14ac:dyDescent="0.15">
      <c r="M120" s="126">
        <v>116</v>
      </c>
      <c r="N120" s="126">
        <f t="shared" si="15"/>
        <v>5125032000</v>
      </c>
      <c r="O120" s="126">
        <f t="shared" si="16"/>
        <v>5269032000</v>
      </c>
      <c r="P120" s="126">
        <f t="shared" si="17"/>
        <v>5269032000</v>
      </c>
      <c r="Q120" s="126">
        <f t="shared" si="18"/>
        <v>5269032000</v>
      </c>
      <c r="R120" s="126">
        <f t="shared" si="19"/>
        <v>5269032000</v>
      </c>
    </row>
    <row r="121" spans="13:18" x14ac:dyDescent="0.15">
      <c r="M121" s="126">
        <v>117</v>
      </c>
      <c r="N121" s="126">
        <f t="shared" si="15"/>
        <v>5487192000</v>
      </c>
      <c r="O121" s="126">
        <f t="shared" si="16"/>
        <v>5595192000</v>
      </c>
      <c r="P121" s="126">
        <f t="shared" si="17"/>
        <v>5595192000</v>
      </c>
      <c r="Q121" s="126">
        <f t="shared" si="18"/>
        <v>5595192000</v>
      </c>
      <c r="R121" s="126">
        <f t="shared" si="19"/>
        <v>5595192000</v>
      </c>
    </row>
    <row r="122" spans="13:18" x14ac:dyDescent="0.15">
      <c r="M122" s="126">
        <v>118</v>
      </c>
      <c r="N122" s="126">
        <f t="shared" si="15"/>
        <v>5849352000</v>
      </c>
      <c r="O122" s="126">
        <f t="shared" si="16"/>
        <v>5921352000</v>
      </c>
      <c r="P122" s="126">
        <f t="shared" si="17"/>
        <v>5921352000</v>
      </c>
      <c r="Q122" s="126">
        <f t="shared" si="18"/>
        <v>5921352000</v>
      </c>
      <c r="R122" s="126">
        <f t="shared" si="19"/>
        <v>5921352000</v>
      </c>
    </row>
    <row r="123" spans="13:18" x14ac:dyDescent="0.15">
      <c r="M123" s="126">
        <v>119</v>
      </c>
      <c r="N123" s="126">
        <f t="shared" si="15"/>
        <v>6211512000</v>
      </c>
      <c r="O123" s="126">
        <f t="shared" si="16"/>
        <v>6247512000</v>
      </c>
      <c r="P123" s="126">
        <f t="shared" si="17"/>
        <v>6247512000</v>
      </c>
      <c r="Q123" s="126">
        <f t="shared" si="18"/>
        <v>6247512000</v>
      </c>
      <c r="R123" s="126">
        <f t="shared" si="19"/>
        <v>6247512000</v>
      </c>
    </row>
    <row r="124" spans="13:18" x14ac:dyDescent="0.15">
      <c r="M124" s="126">
        <v>120</v>
      </c>
      <c r="N124" s="126">
        <f t="shared" si="15"/>
        <v>6573672000</v>
      </c>
      <c r="O124" s="126">
        <f t="shared" si="16"/>
        <v>6573672000</v>
      </c>
      <c r="P124" s="126">
        <f t="shared" si="17"/>
        <v>6573672000</v>
      </c>
      <c r="Q124" s="126">
        <f t="shared" si="18"/>
        <v>6573672000</v>
      </c>
      <c r="R124" s="126">
        <f t="shared" si="19"/>
        <v>6573672000</v>
      </c>
    </row>
    <row r="125" spans="13:18" x14ac:dyDescent="0.15">
      <c r="M125" s="126">
        <v>121</v>
      </c>
      <c r="N125" s="126">
        <f t="shared" si="15"/>
        <v>7322760000</v>
      </c>
      <c r="O125" s="126">
        <f t="shared" si="16"/>
        <v>7322760000</v>
      </c>
      <c r="P125" s="126">
        <f t="shared" si="17"/>
        <v>7322760000</v>
      </c>
      <c r="Q125" s="126">
        <f t="shared" si="18"/>
        <v>7322760000</v>
      </c>
      <c r="R125" s="126">
        <f t="shared" si="19"/>
        <v>7322760000</v>
      </c>
    </row>
    <row r="126" spans="13:18" x14ac:dyDescent="0.15">
      <c r="M126" s="126">
        <v>122</v>
      </c>
      <c r="N126" s="126">
        <f t="shared" si="15"/>
        <v>8071848000</v>
      </c>
      <c r="O126" s="126">
        <f t="shared" si="16"/>
        <v>8071848000</v>
      </c>
      <c r="P126" s="126">
        <f t="shared" si="17"/>
        <v>8071848000</v>
      </c>
      <c r="Q126" s="126">
        <f t="shared" si="18"/>
        <v>8071848000</v>
      </c>
      <c r="R126" s="126">
        <f t="shared" si="19"/>
        <v>8071848000</v>
      </c>
    </row>
    <row r="127" spans="13:18" x14ac:dyDescent="0.15">
      <c r="M127" s="126">
        <v>123</v>
      </c>
      <c r="N127" s="126">
        <f t="shared" si="15"/>
        <v>8820936000</v>
      </c>
      <c r="O127" s="126">
        <f t="shared" si="16"/>
        <v>8820936000</v>
      </c>
      <c r="P127" s="126">
        <f t="shared" si="17"/>
        <v>8820936000</v>
      </c>
      <c r="Q127" s="126">
        <f t="shared" si="18"/>
        <v>8820936000</v>
      </c>
      <c r="R127" s="126">
        <f t="shared" si="19"/>
        <v>8820936000</v>
      </c>
    </row>
    <row r="128" spans="13:18" x14ac:dyDescent="0.15">
      <c r="M128" s="126">
        <v>124</v>
      </c>
      <c r="N128" s="126">
        <f t="shared" si="15"/>
        <v>9570024000</v>
      </c>
      <c r="O128" s="126">
        <f t="shared" si="16"/>
        <v>9570024000</v>
      </c>
      <c r="P128" s="126">
        <f t="shared" si="17"/>
        <v>9570024000</v>
      </c>
      <c r="Q128" s="126">
        <f t="shared" si="18"/>
        <v>9570024000</v>
      </c>
      <c r="R128" s="126">
        <f t="shared" si="19"/>
        <v>9570024000</v>
      </c>
    </row>
    <row r="129" spans="13:18" x14ac:dyDescent="0.15">
      <c r="M129" s="126">
        <v>125</v>
      </c>
      <c r="N129" s="126">
        <f t="shared" si="15"/>
        <v>10319112000</v>
      </c>
      <c r="O129" s="126">
        <f t="shared" si="16"/>
        <v>10319112000</v>
      </c>
      <c r="P129" s="126">
        <f t="shared" si="17"/>
        <v>10319112000</v>
      </c>
      <c r="Q129" s="126">
        <f t="shared" si="18"/>
        <v>10319112000</v>
      </c>
      <c r="R129" s="126">
        <f t="shared" si="19"/>
        <v>10319112000</v>
      </c>
    </row>
    <row r="130" spans="13:18" x14ac:dyDescent="0.15">
      <c r="M130" s="126">
        <v>126</v>
      </c>
      <c r="N130" s="126">
        <f t="shared" si="15"/>
        <v>11068200000</v>
      </c>
      <c r="O130" s="126">
        <f t="shared" si="16"/>
        <v>11068200000</v>
      </c>
      <c r="P130" s="126">
        <f t="shared" si="17"/>
        <v>11068200000</v>
      </c>
      <c r="Q130" s="126">
        <f t="shared" si="18"/>
        <v>11068200000</v>
      </c>
      <c r="R130" s="126">
        <f t="shared" si="19"/>
        <v>11068200000</v>
      </c>
    </row>
    <row r="131" spans="13:18" x14ac:dyDescent="0.15">
      <c r="M131" s="126">
        <v>127</v>
      </c>
      <c r="N131" s="126">
        <f t="shared" si="15"/>
        <v>11817288000</v>
      </c>
      <c r="O131" s="126">
        <f t="shared" si="16"/>
        <v>11817288000</v>
      </c>
      <c r="P131" s="126">
        <f t="shared" si="17"/>
        <v>11817288000</v>
      </c>
      <c r="Q131" s="126">
        <f t="shared" si="18"/>
        <v>11817288000</v>
      </c>
      <c r="R131" s="126">
        <f t="shared" si="19"/>
        <v>11817288000</v>
      </c>
    </row>
    <row r="132" spans="13:18" x14ac:dyDescent="0.15">
      <c r="M132" s="126">
        <v>128</v>
      </c>
      <c r="N132" s="126">
        <f t="shared" si="15"/>
        <v>12566376000</v>
      </c>
      <c r="O132" s="126">
        <f t="shared" si="16"/>
        <v>12566376000</v>
      </c>
      <c r="P132" s="126">
        <f t="shared" si="17"/>
        <v>12566376000</v>
      </c>
      <c r="Q132" s="126">
        <f t="shared" si="18"/>
        <v>12566376000</v>
      </c>
      <c r="R132" s="126">
        <f t="shared" si="19"/>
        <v>12566376000</v>
      </c>
    </row>
    <row r="133" spans="13:18" x14ac:dyDescent="0.15">
      <c r="M133" s="126">
        <v>129</v>
      </c>
      <c r="N133" s="126">
        <f t="shared" ref="N133:N164" si="20">求节点($B$5:$B$20,C$5:C$20,$M133)</f>
        <v>13315464000</v>
      </c>
      <c r="O133" s="126">
        <f t="shared" ref="O133:O164" si="21">求节点($B$5:$B$20,D$5:D$20,$M133)</f>
        <v>13315464000</v>
      </c>
      <c r="P133" s="126">
        <f t="shared" ref="P133:P164" si="22">求节点($B$5:$B$20,E$5:E$20,$M133)</f>
        <v>13315464000</v>
      </c>
      <c r="Q133" s="126">
        <f t="shared" ref="Q133:Q164" si="23">求节点($B$5:$B$20,F$5:F$20,$M133)</f>
        <v>13315464000</v>
      </c>
      <c r="R133" s="126">
        <f t="shared" ref="R133:R164" si="24">求节点($B$5:$B$20,G$5:G$20,$M133)</f>
        <v>13315464000</v>
      </c>
    </row>
    <row r="134" spans="13:18" x14ac:dyDescent="0.15">
      <c r="M134" s="126">
        <v>130</v>
      </c>
      <c r="N134" s="126">
        <f t="shared" si="20"/>
        <v>14064552000</v>
      </c>
      <c r="O134" s="126">
        <f t="shared" si="21"/>
        <v>14064552000</v>
      </c>
      <c r="P134" s="126">
        <f t="shared" si="22"/>
        <v>14064552000</v>
      </c>
      <c r="Q134" s="126">
        <f t="shared" si="23"/>
        <v>14064552000</v>
      </c>
      <c r="R134" s="126">
        <f t="shared" si="24"/>
        <v>14064552000</v>
      </c>
    </row>
    <row r="135" spans="13:18" x14ac:dyDescent="0.15">
      <c r="M135" s="126">
        <v>131</v>
      </c>
      <c r="N135" s="126">
        <f t="shared" si="20"/>
        <v>15955848000</v>
      </c>
      <c r="O135" s="126">
        <f t="shared" si="21"/>
        <v>15955848000</v>
      </c>
      <c r="P135" s="126">
        <f t="shared" si="22"/>
        <v>15955848000</v>
      </c>
      <c r="Q135" s="126">
        <f t="shared" si="23"/>
        <v>15955848000</v>
      </c>
      <c r="R135" s="126">
        <f t="shared" si="24"/>
        <v>15955848000</v>
      </c>
    </row>
    <row r="136" spans="13:18" x14ac:dyDescent="0.15">
      <c r="M136" s="126">
        <v>132</v>
      </c>
      <c r="N136" s="126">
        <f t="shared" si="20"/>
        <v>17847144000</v>
      </c>
      <c r="O136" s="126">
        <f t="shared" si="21"/>
        <v>17847144000</v>
      </c>
      <c r="P136" s="126">
        <f t="shared" si="22"/>
        <v>17847144000</v>
      </c>
      <c r="Q136" s="126">
        <f t="shared" si="23"/>
        <v>17847144000</v>
      </c>
      <c r="R136" s="126">
        <f t="shared" si="24"/>
        <v>17847144000</v>
      </c>
    </row>
    <row r="137" spans="13:18" x14ac:dyDescent="0.15">
      <c r="M137" s="126">
        <v>133</v>
      </c>
      <c r="N137" s="126">
        <f t="shared" si="20"/>
        <v>19738440000</v>
      </c>
      <c r="O137" s="126">
        <f t="shared" si="21"/>
        <v>19738440000</v>
      </c>
      <c r="P137" s="126">
        <f t="shared" si="22"/>
        <v>19738440000</v>
      </c>
      <c r="Q137" s="126">
        <f t="shared" si="23"/>
        <v>19738440000</v>
      </c>
      <c r="R137" s="126">
        <f t="shared" si="24"/>
        <v>19738440000</v>
      </c>
    </row>
    <row r="138" spans="13:18" x14ac:dyDescent="0.15">
      <c r="M138" s="126">
        <v>134</v>
      </c>
      <c r="N138" s="126">
        <f t="shared" si="20"/>
        <v>21629736000</v>
      </c>
      <c r="O138" s="126">
        <f t="shared" si="21"/>
        <v>21629736000</v>
      </c>
      <c r="P138" s="126">
        <f t="shared" si="22"/>
        <v>21629736000</v>
      </c>
      <c r="Q138" s="126">
        <f t="shared" si="23"/>
        <v>21629736000</v>
      </c>
      <c r="R138" s="126">
        <f t="shared" si="24"/>
        <v>21629736000</v>
      </c>
    </row>
    <row r="139" spans="13:18" x14ac:dyDescent="0.15">
      <c r="M139" s="126">
        <v>135</v>
      </c>
      <c r="N139" s="126">
        <f t="shared" si="20"/>
        <v>23521032000</v>
      </c>
      <c r="O139" s="126">
        <f t="shared" si="21"/>
        <v>23521032000</v>
      </c>
      <c r="P139" s="126">
        <f t="shared" si="22"/>
        <v>23521032000</v>
      </c>
      <c r="Q139" s="126">
        <f t="shared" si="23"/>
        <v>23521032000</v>
      </c>
      <c r="R139" s="126">
        <f t="shared" si="24"/>
        <v>23521032000</v>
      </c>
    </row>
    <row r="140" spans="13:18" x14ac:dyDescent="0.15">
      <c r="M140" s="126">
        <v>136</v>
      </c>
      <c r="N140" s="126">
        <f t="shared" si="20"/>
        <v>25412328000</v>
      </c>
      <c r="O140" s="126">
        <f t="shared" si="21"/>
        <v>25412328000</v>
      </c>
      <c r="P140" s="126">
        <f t="shared" si="22"/>
        <v>25412328000</v>
      </c>
      <c r="Q140" s="126">
        <f t="shared" si="23"/>
        <v>25412328000</v>
      </c>
      <c r="R140" s="126">
        <f t="shared" si="24"/>
        <v>25412328000</v>
      </c>
    </row>
    <row r="141" spans="13:18" x14ac:dyDescent="0.15">
      <c r="M141" s="126">
        <v>137</v>
      </c>
      <c r="N141" s="126">
        <f t="shared" si="20"/>
        <v>27303624000</v>
      </c>
      <c r="O141" s="126">
        <f t="shared" si="21"/>
        <v>27303624000</v>
      </c>
      <c r="P141" s="126">
        <f t="shared" si="22"/>
        <v>27303624000</v>
      </c>
      <c r="Q141" s="126">
        <f t="shared" si="23"/>
        <v>27303624000</v>
      </c>
      <c r="R141" s="126">
        <f t="shared" si="24"/>
        <v>27303624000</v>
      </c>
    </row>
    <row r="142" spans="13:18" x14ac:dyDescent="0.15">
      <c r="M142" s="126">
        <v>138</v>
      </c>
      <c r="N142" s="126">
        <f t="shared" si="20"/>
        <v>29194920000</v>
      </c>
      <c r="O142" s="126">
        <f t="shared" si="21"/>
        <v>29194920000</v>
      </c>
      <c r="P142" s="126">
        <f t="shared" si="22"/>
        <v>29194920000</v>
      </c>
      <c r="Q142" s="126">
        <f t="shared" si="23"/>
        <v>29194920000</v>
      </c>
      <c r="R142" s="126">
        <f t="shared" si="24"/>
        <v>29194920000</v>
      </c>
    </row>
    <row r="143" spans="13:18" x14ac:dyDescent="0.15">
      <c r="M143" s="126">
        <v>139</v>
      </c>
      <c r="N143" s="126">
        <f t="shared" si="20"/>
        <v>31086216000</v>
      </c>
      <c r="O143" s="126">
        <f t="shared" si="21"/>
        <v>31086216000</v>
      </c>
      <c r="P143" s="126">
        <f t="shared" si="22"/>
        <v>31086216000</v>
      </c>
      <c r="Q143" s="126">
        <f t="shared" si="23"/>
        <v>31086216000</v>
      </c>
      <c r="R143" s="126">
        <f t="shared" si="24"/>
        <v>31086216000</v>
      </c>
    </row>
    <row r="144" spans="13:18" x14ac:dyDescent="0.15">
      <c r="M144" s="126">
        <v>140</v>
      </c>
      <c r="N144" s="126">
        <f t="shared" si="20"/>
        <v>32977512000</v>
      </c>
      <c r="O144" s="126">
        <f t="shared" si="21"/>
        <v>32977512000</v>
      </c>
      <c r="P144" s="126">
        <f t="shared" si="22"/>
        <v>32977512000</v>
      </c>
      <c r="Q144" s="126">
        <f t="shared" si="23"/>
        <v>32977512000</v>
      </c>
      <c r="R144" s="126">
        <f t="shared" si="24"/>
        <v>32977512000</v>
      </c>
    </row>
    <row r="145" spans="13:18" x14ac:dyDescent="0.15">
      <c r="M145" s="126">
        <v>141</v>
      </c>
      <c r="N145" s="126">
        <f t="shared" si="20"/>
        <v>37494504000</v>
      </c>
      <c r="O145" s="126">
        <f t="shared" si="21"/>
        <v>37494504000</v>
      </c>
      <c r="P145" s="126">
        <f t="shared" si="22"/>
        <v>37494504000</v>
      </c>
      <c r="Q145" s="126">
        <f t="shared" si="23"/>
        <v>37494504000</v>
      </c>
      <c r="R145" s="126">
        <f t="shared" si="24"/>
        <v>37494504000</v>
      </c>
    </row>
    <row r="146" spans="13:18" x14ac:dyDescent="0.15">
      <c r="M146" s="126">
        <v>142</v>
      </c>
      <c r="N146" s="126">
        <f t="shared" si="20"/>
        <v>42011496000</v>
      </c>
      <c r="O146" s="126">
        <f t="shared" si="21"/>
        <v>42011496000</v>
      </c>
      <c r="P146" s="126">
        <f t="shared" si="22"/>
        <v>42011496000</v>
      </c>
      <c r="Q146" s="126">
        <f t="shared" si="23"/>
        <v>42011496000</v>
      </c>
      <c r="R146" s="126">
        <f t="shared" si="24"/>
        <v>42011496000</v>
      </c>
    </row>
    <row r="147" spans="13:18" x14ac:dyDescent="0.15">
      <c r="M147" s="126">
        <v>143</v>
      </c>
      <c r="N147" s="126">
        <f t="shared" si="20"/>
        <v>46528488000</v>
      </c>
      <c r="O147" s="126">
        <f t="shared" si="21"/>
        <v>46528488000</v>
      </c>
      <c r="P147" s="126">
        <f t="shared" si="22"/>
        <v>46528488000</v>
      </c>
      <c r="Q147" s="126">
        <f t="shared" si="23"/>
        <v>46528488000</v>
      </c>
      <c r="R147" s="126">
        <f t="shared" si="24"/>
        <v>46528488000</v>
      </c>
    </row>
    <row r="148" spans="13:18" x14ac:dyDescent="0.15">
      <c r="M148" s="126">
        <v>144</v>
      </c>
      <c r="N148" s="126">
        <f t="shared" si="20"/>
        <v>51045480000</v>
      </c>
      <c r="O148" s="126">
        <f t="shared" si="21"/>
        <v>51045480000</v>
      </c>
      <c r="P148" s="126">
        <f t="shared" si="22"/>
        <v>51045480000</v>
      </c>
      <c r="Q148" s="126">
        <f t="shared" si="23"/>
        <v>51045480000</v>
      </c>
      <c r="R148" s="126">
        <f t="shared" si="24"/>
        <v>51045480000</v>
      </c>
    </row>
    <row r="149" spans="13:18" x14ac:dyDescent="0.15">
      <c r="M149" s="126">
        <v>145</v>
      </c>
      <c r="N149" s="126">
        <f t="shared" si="20"/>
        <v>55562472000</v>
      </c>
      <c r="O149" s="126">
        <f t="shared" si="21"/>
        <v>55562472000</v>
      </c>
      <c r="P149" s="126">
        <f t="shared" si="22"/>
        <v>55562472000</v>
      </c>
      <c r="Q149" s="126">
        <f t="shared" si="23"/>
        <v>55562472000</v>
      </c>
      <c r="R149" s="126">
        <f t="shared" si="24"/>
        <v>55562472000</v>
      </c>
    </row>
    <row r="150" spans="13:18" x14ac:dyDescent="0.15">
      <c r="M150" s="126">
        <v>146</v>
      </c>
      <c r="N150" s="126">
        <f t="shared" si="20"/>
        <v>60079464000</v>
      </c>
      <c r="O150" s="126">
        <f t="shared" si="21"/>
        <v>60079464000</v>
      </c>
      <c r="P150" s="126">
        <f t="shared" si="22"/>
        <v>60079464000</v>
      </c>
      <c r="Q150" s="126">
        <f t="shared" si="23"/>
        <v>60079464000</v>
      </c>
      <c r="R150" s="126">
        <f t="shared" si="24"/>
        <v>60079464000</v>
      </c>
    </row>
    <row r="151" spans="13:18" x14ac:dyDescent="0.15">
      <c r="M151" s="126">
        <v>147</v>
      </c>
      <c r="N151" s="126">
        <f t="shared" si="20"/>
        <v>64596456000</v>
      </c>
      <c r="O151" s="126">
        <f t="shared" si="21"/>
        <v>64596456000</v>
      </c>
      <c r="P151" s="126">
        <f t="shared" si="22"/>
        <v>64596456000</v>
      </c>
      <c r="Q151" s="126">
        <f t="shared" si="23"/>
        <v>64596456000</v>
      </c>
      <c r="R151" s="126">
        <f t="shared" si="24"/>
        <v>64596456000</v>
      </c>
    </row>
    <row r="152" spans="13:18" x14ac:dyDescent="0.15">
      <c r="M152" s="126">
        <v>148</v>
      </c>
      <c r="N152" s="126">
        <f t="shared" si="20"/>
        <v>69113448000</v>
      </c>
      <c r="O152" s="126">
        <f t="shared" si="21"/>
        <v>69113448000</v>
      </c>
      <c r="P152" s="126">
        <f t="shared" si="22"/>
        <v>69113448000</v>
      </c>
      <c r="Q152" s="126">
        <f t="shared" si="23"/>
        <v>69113448000</v>
      </c>
      <c r="R152" s="126">
        <f t="shared" si="24"/>
        <v>69113448000</v>
      </c>
    </row>
    <row r="153" spans="13:18" x14ac:dyDescent="0.15">
      <c r="M153" s="126">
        <v>149</v>
      </c>
      <c r="N153" s="126">
        <f t="shared" si="20"/>
        <v>73630440000</v>
      </c>
      <c r="O153" s="126">
        <f t="shared" si="21"/>
        <v>73630440000</v>
      </c>
      <c r="P153" s="126">
        <f t="shared" si="22"/>
        <v>73630440000</v>
      </c>
      <c r="Q153" s="126">
        <f t="shared" si="23"/>
        <v>73630440000</v>
      </c>
      <c r="R153" s="126">
        <f t="shared" si="24"/>
        <v>73630440000</v>
      </c>
    </row>
    <row r="154" spans="13:18" x14ac:dyDescent="0.15">
      <c r="M154" s="126">
        <v>150</v>
      </c>
      <c r="N154" s="126">
        <f t="shared" si="20"/>
        <v>78147432000</v>
      </c>
      <c r="O154" s="126">
        <f t="shared" si="21"/>
        <v>78147432000</v>
      </c>
      <c r="P154" s="126">
        <f t="shared" si="22"/>
        <v>78147432000</v>
      </c>
      <c r="Q154" s="126">
        <f t="shared" si="23"/>
        <v>78147432000</v>
      </c>
      <c r="R154" s="126">
        <f t="shared" si="24"/>
        <v>78147432000</v>
      </c>
    </row>
    <row r="155" spans="13:18" x14ac:dyDescent="0.15">
      <c r="M155" s="126">
        <v>151</v>
      </c>
      <c r="N155" s="126">
        <f t="shared" si="20"/>
        <v>78368616000</v>
      </c>
      <c r="O155" s="126">
        <f t="shared" si="21"/>
        <v>78368616000</v>
      </c>
      <c r="P155" s="126">
        <f t="shared" si="22"/>
        <v>78368616000</v>
      </c>
      <c r="Q155" s="126">
        <f t="shared" si="23"/>
        <v>78368616000</v>
      </c>
      <c r="R155" s="126">
        <f t="shared" si="24"/>
        <v>78368616000</v>
      </c>
    </row>
    <row r="156" spans="13:18" x14ac:dyDescent="0.15">
      <c r="M156" s="126">
        <v>152</v>
      </c>
      <c r="N156" s="126">
        <f t="shared" si="20"/>
        <v>78589800000</v>
      </c>
      <c r="O156" s="126">
        <f t="shared" si="21"/>
        <v>78589800000</v>
      </c>
      <c r="P156" s="126">
        <f t="shared" si="22"/>
        <v>78589800000</v>
      </c>
      <c r="Q156" s="126">
        <f t="shared" si="23"/>
        <v>78589800000</v>
      </c>
      <c r="R156" s="126">
        <f t="shared" si="24"/>
        <v>78589800000</v>
      </c>
    </row>
    <row r="157" spans="13:18" x14ac:dyDescent="0.15">
      <c r="M157" s="126">
        <v>153</v>
      </c>
      <c r="N157" s="126">
        <f t="shared" si="20"/>
        <v>78810984000</v>
      </c>
      <c r="O157" s="126">
        <f t="shared" si="21"/>
        <v>78810984000</v>
      </c>
      <c r="P157" s="126">
        <f t="shared" si="22"/>
        <v>78810984000</v>
      </c>
      <c r="Q157" s="126">
        <f t="shared" si="23"/>
        <v>78810984000</v>
      </c>
      <c r="R157" s="126">
        <f t="shared" si="24"/>
        <v>78810984000</v>
      </c>
    </row>
    <row r="158" spans="13:18" x14ac:dyDescent="0.15">
      <c r="M158" s="126">
        <v>154</v>
      </c>
      <c r="N158" s="126">
        <f t="shared" si="20"/>
        <v>79032168000</v>
      </c>
      <c r="O158" s="126">
        <f t="shared" si="21"/>
        <v>79032168000</v>
      </c>
      <c r="P158" s="126">
        <f t="shared" si="22"/>
        <v>79032168000</v>
      </c>
      <c r="Q158" s="126">
        <f t="shared" si="23"/>
        <v>79032168000</v>
      </c>
      <c r="R158" s="126">
        <f t="shared" si="24"/>
        <v>79032168000</v>
      </c>
    </row>
    <row r="159" spans="13:18" x14ac:dyDescent="0.15">
      <c r="M159" s="126">
        <v>155</v>
      </c>
      <c r="N159" s="126">
        <f t="shared" si="20"/>
        <v>79253352000</v>
      </c>
      <c r="O159" s="126">
        <f t="shared" si="21"/>
        <v>79253352000</v>
      </c>
      <c r="P159" s="126">
        <f t="shared" si="22"/>
        <v>79253352000</v>
      </c>
      <c r="Q159" s="126">
        <f t="shared" si="23"/>
        <v>79253352000</v>
      </c>
      <c r="R159" s="126">
        <f t="shared" si="24"/>
        <v>79253352000</v>
      </c>
    </row>
    <row r="160" spans="13:18" x14ac:dyDescent="0.15">
      <c r="M160" s="126">
        <v>156</v>
      </c>
      <c r="N160" s="126">
        <f t="shared" si="20"/>
        <v>79474536000</v>
      </c>
      <c r="O160" s="126">
        <f t="shared" si="21"/>
        <v>79474536000</v>
      </c>
      <c r="P160" s="126">
        <f t="shared" si="22"/>
        <v>79474536000</v>
      </c>
      <c r="Q160" s="126">
        <f t="shared" si="23"/>
        <v>79474536000</v>
      </c>
      <c r="R160" s="126">
        <f t="shared" si="24"/>
        <v>79474536000</v>
      </c>
    </row>
    <row r="161" spans="13:22" x14ac:dyDescent="0.15">
      <c r="M161" s="126">
        <v>157</v>
      </c>
      <c r="N161" s="126">
        <f t="shared" si="20"/>
        <v>79695720000</v>
      </c>
      <c r="O161" s="126">
        <f t="shared" si="21"/>
        <v>79695720000</v>
      </c>
      <c r="P161" s="126">
        <f t="shared" si="22"/>
        <v>79695720000</v>
      </c>
      <c r="Q161" s="126">
        <f t="shared" si="23"/>
        <v>79695720000</v>
      </c>
      <c r="R161" s="126">
        <f t="shared" si="24"/>
        <v>79695720000</v>
      </c>
    </row>
    <row r="162" spans="13:22" x14ac:dyDescent="0.15">
      <c r="M162" s="126">
        <v>158</v>
      </c>
      <c r="N162" s="126">
        <f t="shared" si="20"/>
        <v>79916904000</v>
      </c>
      <c r="O162" s="126">
        <f t="shared" si="21"/>
        <v>79916904000</v>
      </c>
      <c r="P162" s="126">
        <f t="shared" si="22"/>
        <v>79916904000</v>
      </c>
      <c r="Q162" s="126">
        <f t="shared" si="23"/>
        <v>79916904000</v>
      </c>
      <c r="R162" s="126">
        <f t="shared" si="24"/>
        <v>79916904000</v>
      </c>
    </row>
    <row r="163" spans="13:22" x14ac:dyDescent="0.15">
      <c r="M163" s="126">
        <v>159</v>
      </c>
      <c r="N163" s="126">
        <f t="shared" si="20"/>
        <v>80138088000</v>
      </c>
      <c r="O163" s="126">
        <f t="shared" si="21"/>
        <v>80138088000</v>
      </c>
      <c r="P163" s="126">
        <f t="shared" si="22"/>
        <v>80138088000</v>
      </c>
      <c r="Q163" s="126">
        <f t="shared" si="23"/>
        <v>80138088000</v>
      </c>
      <c r="R163" s="126">
        <f t="shared" si="24"/>
        <v>80138088000</v>
      </c>
    </row>
    <row r="164" spans="13:22" x14ac:dyDescent="0.15">
      <c r="M164" s="126">
        <v>160</v>
      </c>
      <c r="N164" s="126">
        <f t="shared" si="20"/>
        <v>80359272000</v>
      </c>
      <c r="O164" s="126">
        <f t="shared" si="21"/>
        <v>80359272000</v>
      </c>
      <c r="P164" s="126">
        <f t="shared" si="22"/>
        <v>80359272000</v>
      </c>
      <c r="Q164" s="126">
        <f t="shared" si="23"/>
        <v>80359272000</v>
      </c>
      <c r="R164" s="126">
        <f t="shared" si="24"/>
        <v>80359272000</v>
      </c>
    </row>
    <row r="165" spans="13:22" x14ac:dyDescent="0.15">
      <c r="M165" s="46"/>
      <c r="N165" s="46"/>
      <c r="O165" s="46"/>
      <c r="P165" s="46"/>
      <c r="Q165" s="46"/>
      <c r="R165" s="46"/>
      <c r="S165" s="46"/>
      <c r="T165" s="46"/>
      <c r="U165" s="46"/>
      <c r="V165" s="46"/>
    </row>
    <row r="166" spans="13:22" x14ac:dyDescent="0.15">
      <c r="M166" s="46"/>
      <c r="N166" s="46"/>
      <c r="O166" s="46"/>
      <c r="P166" s="46"/>
      <c r="Q166" s="46"/>
      <c r="R166" s="46"/>
      <c r="S166" s="46"/>
      <c r="T166" s="46"/>
      <c r="U166" s="46"/>
      <c r="V166" s="46"/>
    </row>
    <row r="167" spans="13:22" x14ac:dyDescent="0.15">
      <c r="M167" s="46"/>
      <c r="N167" s="46"/>
      <c r="O167" s="46"/>
      <c r="P167" s="46"/>
      <c r="Q167" s="46"/>
      <c r="R167" s="46"/>
      <c r="S167" s="46"/>
      <c r="T167" s="46"/>
      <c r="U167" s="46"/>
      <c r="V167" s="46"/>
    </row>
  </sheetData>
  <mergeCells count="3">
    <mergeCell ref="M3:R3"/>
    <mergeCell ref="B3:G3"/>
    <mergeCell ref="I3:K3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3"/>
  <dimension ref="A1:BB164"/>
  <sheetViews>
    <sheetView topLeftCell="P1" workbookViewId="0">
      <selection activeCell="AL28" sqref="AL28"/>
    </sheetView>
  </sheetViews>
  <sheetFormatPr defaultColWidth="6.625" defaultRowHeight="11.25" x14ac:dyDescent="0.15"/>
  <cols>
    <col min="1" max="7" width="6.625" style="21"/>
    <col min="8" max="14" width="6.625" style="34"/>
    <col min="15" max="15" width="6.625" style="21"/>
    <col min="16" max="16" width="6.625" style="32"/>
    <col min="17" max="23" width="6.625" style="21"/>
    <col min="24" max="24" width="6.625" style="34"/>
    <col min="25" max="27" width="6.625" style="151"/>
    <col min="28" max="33" width="6.625" style="34"/>
    <col min="34" max="34" width="6.75" style="21" customWidth="1"/>
    <col min="35" max="35" width="6.75" style="151" customWidth="1"/>
    <col min="36" max="36" width="6.75" style="46" customWidth="1"/>
    <col min="37" max="43" width="6.625" style="46"/>
    <col min="44" max="46" width="6.625" style="151"/>
    <col min="47" max="53" width="6.625" style="46"/>
    <col min="54" max="54" width="6.625" style="32"/>
    <col min="55" max="16384" width="6.625" style="21"/>
  </cols>
  <sheetData>
    <row r="1" spans="1:52" x14ac:dyDescent="0.15">
      <c r="A1" s="38" t="s">
        <v>150</v>
      </c>
      <c r="Q1" s="38" t="s">
        <v>223</v>
      </c>
      <c r="AJ1" s="38" t="s">
        <v>224</v>
      </c>
    </row>
    <row r="3" spans="1:52" ht="13.5" customHeight="1" x14ac:dyDescent="0.15">
      <c r="B3" s="183" t="s">
        <v>193</v>
      </c>
      <c r="C3" s="183"/>
      <c r="D3" s="183"/>
      <c r="E3" s="183"/>
      <c r="F3" s="183"/>
      <c r="G3" s="183"/>
      <c r="H3" s="35"/>
      <c r="I3" s="183" t="s">
        <v>196</v>
      </c>
      <c r="J3" s="183"/>
      <c r="K3" s="183"/>
      <c r="L3" s="183"/>
      <c r="M3" s="183"/>
      <c r="N3" s="183"/>
      <c r="R3" s="183" t="s">
        <v>227</v>
      </c>
      <c r="S3" s="183"/>
      <c r="T3" s="183"/>
      <c r="U3" s="183"/>
      <c r="V3" s="183"/>
      <c r="W3" s="183"/>
      <c r="X3" s="35"/>
      <c r="Y3" s="35" t="s">
        <v>446</v>
      </c>
      <c r="Z3" s="35"/>
      <c r="AA3" s="35"/>
      <c r="AB3" s="183" t="s">
        <v>226</v>
      </c>
      <c r="AC3" s="183"/>
      <c r="AD3" s="183"/>
      <c r="AE3" s="183"/>
      <c r="AF3" s="183"/>
      <c r="AG3" s="183"/>
      <c r="AK3" s="183" t="s">
        <v>228</v>
      </c>
      <c r="AL3" s="183"/>
      <c r="AM3" s="183"/>
      <c r="AN3" s="183"/>
      <c r="AO3" s="183"/>
      <c r="AP3" s="183"/>
      <c r="AQ3" s="35"/>
      <c r="AR3" s="35" t="s">
        <v>446</v>
      </c>
      <c r="AS3" s="35"/>
      <c r="AT3" s="35"/>
      <c r="AU3" s="183" t="s">
        <v>225</v>
      </c>
      <c r="AV3" s="183"/>
      <c r="AW3" s="183"/>
      <c r="AX3" s="183"/>
      <c r="AY3" s="183"/>
      <c r="AZ3" s="183"/>
    </row>
    <row r="4" spans="1:52" x14ac:dyDescent="0.15">
      <c r="B4" s="31" t="s">
        <v>398</v>
      </c>
      <c r="C4" s="31" t="s">
        <v>133</v>
      </c>
      <c r="D4" s="31" t="s">
        <v>136</v>
      </c>
      <c r="E4" s="31" t="s">
        <v>137</v>
      </c>
      <c r="F4" s="31" t="s">
        <v>138</v>
      </c>
      <c r="G4" s="31" t="s">
        <v>135</v>
      </c>
      <c r="H4" s="36"/>
      <c r="I4" s="39" t="s">
        <v>398</v>
      </c>
      <c r="J4" s="31" t="s">
        <v>133</v>
      </c>
      <c r="K4" s="31" t="s">
        <v>136</v>
      </c>
      <c r="L4" s="31" t="s">
        <v>137</v>
      </c>
      <c r="M4" s="31" t="s">
        <v>138</v>
      </c>
      <c r="N4" s="31" t="s">
        <v>135</v>
      </c>
      <c r="R4" s="31" t="s">
        <v>398</v>
      </c>
      <c r="S4" s="31" t="s">
        <v>133</v>
      </c>
      <c r="T4" s="31" t="s">
        <v>136</v>
      </c>
      <c r="U4" s="31" t="s">
        <v>137</v>
      </c>
      <c r="V4" s="31" t="s">
        <v>138</v>
      </c>
      <c r="W4" s="31" t="s">
        <v>135</v>
      </c>
      <c r="X4" s="36"/>
      <c r="Y4" s="36" t="s">
        <v>447</v>
      </c>
      <c r="Z4" s="36" t="s">
        <v>448</v>
      </c>
      <c r="AA4" s="36"/>
      <c r="AB4" s="39" t="s">
        <v>398</v>
      </c>
      <c r="AC4" s="31" t="s">
        <v>133</v>
      </c>
      <c r="AD4" s="31" t="s">
        <v>136</v>
      </c>
      <c r="AE4" s="31" t="s">
        <v>137</v>
      </c>
      <c r="AF4" s="31" t="s">
        <v>138</v>
      </c>
      <c r="AG4" s="31" t="s">
        <v>135</v>
      </c>
      <c r="AK4" s="47" t="s">
        <v>398</v>
      </c>
      <c r="AL4" s="47" t="s">
        <v>133</v>
      </c>
      <c r="AM4" s="47" t="s">
        <v>136</v>
      </c>
      <c r="AN4" s="47" t="s">
        <v>137</v>
      </c>
      <c r="AO4" s="47" t="s">
        <v>138</v>
      </c>
      <c r="AP4" s="47" t="s">
        <v>135</v>
      </c>
      <c r="AQ4" s="36"/>
      <c r="AR4" s="36" t="s">
        <v>447</v>
      </c>
      <c r="AS4" s="36" t="s">
        <v>448</v>
      </c>
      <c r="AT4" s="36"/>
      <c r="AU4" s="39" t="s">
        <v>398</v>
      </c>
      <c r="AV4" s="47" t="s">
        <v>133</v>
      </c>
      <c r="AW4" s="47" t="s">
        <v>136</v>
      </c>
      <c r="AX4" s="47" t="s">
        <v>137</v>
      </c>
      <c r="AY4" s="47" t="s">
        <v>138</v>
      </c>
      <c r="AZ4" s="47" t="s">
        <v>135</v>
      </c>
    </row>
    <row r="5" spans="1:52" x14ac:dyDescent="0.15">
      <c r="B5" s="31">
        <v>10</v>
      </c>
      <c r="C5" s="33">
        <f>装备强化!BT6</f>
        <v>4.2666666666666666</v>
      </c>
      <c r="D5" s="33">
        <f>装备强化!BT35</f>
        <v>4.2666666666666666</v>
      </c>
      <c r="E5" s="33">
        <f>装备强化!BT64</f>
        <v>4.2666666666666666</v>
      </c>
      <c r="F5" s="33">
        <f>装备强化!BT93</f>
        <v>4.2666666666666666</v>
      </c>
      <c r="G5" s="33">
        <f>装备强化!BT122</f>
        <v>4.2666666666666666</v>
      </c>
      <c r="H5" s="35"/>
      <c r="I5" s="33">
        <v>1</v>
      </c>
      <c r="J5" s="33">
        <f t="shared" ref="J5:J36" si="0">求节点($B$5:$B$20,C$5:C$20,$I5)</f>
        <v>0.42666666666666675</v>
      </c>
      <c r="K5" s="33">
        <f t="shared" ref="K5:K36" si="1">求节点($B$5:$B$20,D$5:D$20,$I5)</f>
        <v>0.42666666666666675</v>
      </c>
      <c r="L5" s="33">
        <f t="shared" ref="L5:L36" si="2">求节点($B$5:$B$20,E$5:E$20,$I5)</f>
        <v>0.42666666666666675</v>
      </c>
      <c r="M5" s="33">
        <f t="shared" ref="M5:M36" si="3">求节点($B$5:$B$20,F$5:F$20,$I5)</f>
        <v>0.42666666666666675</v>
      </c>
      <c r="N5" s="33">
        <f t="shared" ref="N5:N36" si="4">求节点($B$5:$B$20,G$5:G$20,$I5)</f>
        <v>0.42666666666666675</v>
      </c>
      <c r="Q5" s="21">
        <v>75</v>
      </c>
      <c r="R5" s="31">
        <v>10</v>
      </c>
      <c r="S5" s="33">
        <f>装备强化!BH6+装备熔炼!BE6</f>
        <v>140</v>
      </c>
      <c r="T5" s="33">
        <f>装备强化!BH35+装备熔炼!BE51</f>
        <v>140</v>
      </c>
      <c r="U5" s="33">
        <f>装备强化!BH64+装备熔炼!BE96</f>
        <v>140</v>
      </c>
      <c r="V5" s="33">
        <f>装备强化!BH93+装备熔炼!BE141</f>
        <v>140</v>
      </c>
      <c r="W5" s="33">
        <f>装备强化!BH122+装备熔炼!BE186</f>
        <v>140</v>
      </c>
      <c r="X5" s="35"/>
      <c r="Y5" s="165">
        <f>装备强化!BH6/S5</f>
        <v>1</v>
      </c>
      <c r="Z5" s="165">
        <f>装备熔炼!BE6/S5</f>
        <v>0</v>
      </c>
      <c r="AA5" s="35"/>
      <c r="AB5" s="33">
        <v>1</v>
      </c>
      <c r="AC5" s="33">
        <f t="shared" ref="AC5:AC36" si="5">求节点($R$5:$R$20,S$5:S$20,$AB5)</f>
        <v>14</v>
      </c>
      <c r="AD5" s="33">
        <f t="shared" ref="AD5:AD36" si="6">求节点($R$5:$R$20,T$5:T$20,$AB5)</f>
        <v>14</v>
      </c>
      <c r="AE5" s="33">
        <f t="shared" ref="AE5:AE36" si="7">求节点($R$5:$R$20,U$5:U$20,$AB5)</f>
        <v>14</v>
      </c>
      <c r="AF5" s="33">
        <f t="shared" ref="AF5:AF36" si="8">求节点($R$5:$R$20,V$5:V$20,$AB5)</f>
        <v>14</v>
      </c>
      <c r="AG5" s="33">
        <f t="shared" ref="AG5:AG36" si="9">求节点($R$5:$R$20,W$5:W$20,$AB5)</f>
        <v>14</v>
      </c>
      <c r="AK5" s="47">
        <v>10</v>
      </c>
      <c r="AL5" s="50">
        <f>装备强化!BN6+装备熔炼!BF6</f>
        <v>140</v>
      </c>
      <c r="AM5" s="50">
        <f>装备强化!BN35+装备熔炼!BF51</f>
        <v>140</v>
      </c>
      <c r="AN5" s="50">
        <f>装备强化!BN64+装备熔炼!BF96</f>
        <v>140</v>
      </c>
      <c r="AO5" s="50">
        <f>装备强化!BN93+装备熔炼!BF141</f>
        <v>140</v>
      </c>
      <c r="AP5" s="50">
        <f>装备强化!BN122+装备熔炼!BF186</f>
        <v>140</v>
      </c>
      <c r="AQ5" s="35"/>
      <c r="AR5" s="165">
        <f>装备强化!BN6/AL5</f>
        <v>1</v>
      </c>
      <c r="AS5" s="165">
        <f>装备熔炼!BF6/AL5</f>
        <v>0</v>
      </c>
      <c r="AT5" s="35"/>
      <c r="AU5" s="50">
        <v>1</v>
      </c>
      <c r="AV5" s="50">
        <f t="shared" ref="AV5:AV36" si="10">求节点($R$5:$R$20,AL$5:AL$20,$AB5)</f>
        <v>14</v>
      </c>
      <c r="AW5" s="50">
        <f t="shared" ref="AW5:AW36" si="11">求节点($R$5:$R$20,AM$5:AM$20,$AB5)</f>
        <v>14</v>
      </c>
      <c r="AX5" s="50">
        <f t="shared" ref="AX5:AX36" si="12">求节点($R$5:$R$20,AN$5:AN$20,$AB5)</f>
        <v>14</v>
      </c>
      <c r="AY5" s="50">
        <f t="shared" ref="AY5:AY36" si="13">求节点($R$5:$R$20,AO$5:AO$20,$AB5)</f>
        <v>14</v>
      </c>
      <c r="AZ5" s="50">
        <f t="shared" ref="AZ5:AZ36" si="14">求节点($R$5:$R$20,AP$5:AP$20,$AB5)</f>
        <v>14</v>
      </c>
    </row>
    <row r="6" spans="1:52" x14ac:dyDescent="0.15">
      <c r="B6" s="31">
        <v>20</v>
      </c>
      <c r="C6" s="33">
        <f>装备强化!BT7</f>
        <v>8.4111111111111097</v>
      </c>
      <c r="D6" s="33">
        <f>装备强化!BT36</f>
        <v>8.4111111111111097</v>
      </c>
      <c r="E6" s="33">
        <f>装备强化!BT65</f>
        <v>8.4111111111111097</v>
      </c>
      <c r="F6" s="33">
        <f>装备强化!BT94</f>
        <v>8.4111111111111097</v>
      </c>
      <c r="G6" s="33">
        <f>装备强化!BT123</f>
        <v>8.4111111111111097</v>
      </c>
      <c r="H6" s="35"/>
      <c r="I6" s="33">
        <v>2</v>
      </c>
      <c r="J6" s="33">
        <f t="shared" si="0"/>
        <v>0.8533333333333335</v>
      </c>
      <c r="K6" s="33">
        <f t="shared" si="1"/>
        <v>0.8533333333333335</v>
      </c>
      <c r="L6" s="33">
        <f t="shared" si="2"/>
        <v>0.8533333333333335</v>
      </c>
      <c r="M6" s="33">
        <f t="shared" si="3"/>
        <v>0.8533333333333335</v>
      </c>
      <c r="N6" s="33">
        <f t="shared" si="4"/>
        <v>0.8533333333333335</v>
      </c>
      <c r="R6" s="31">
        <v>20</v>
      </c>
      <c r="S6" s="146">
        <f>装备强化!BH7+装备熔炼!BE7</f>
        <v>403.33333333333331</v>
      </c>
      <c r="T6" s="146">
        <f>装备强化!BH36+装备熔炼!BE52</f>
        <v>403.33333333333331</v>
      </c>
      <c r="U6" s="146">
        <f>装备强化!BH65+装备熔炼!BE97</f>
        <v>403.33333333333331</v>
      </c>
      <c r="V6" s="146">
        <f>装备强化!BH94+装备熔炼!BE142</f>
        <v>403.33333333333331</v>
      </c>
      <c r="W6" s="146">
        <f>装备强化!BH123+装备熔炼!BE187</f>
        <v>403.33333333333331</v>
      </c>
      <c r="X6" s="35"/>
      <c r="Y6" s="165">
        <f>装备强化!BH7/S6</f>
        <v>1</v>
      </c>
      <c r="Z6" s="165">
        <f>装备熔炼!BE7/S6</f>
        <v>0</v>
      </c>
      <c r="AA6" s="35"/>
      <c r="AB6" s="33">
        <v>2</v>
      </c>
      <c r="AC6" s="33">
        <f t="shared" si="5"/>
        <v>28</v>
      </c>
      <c r="AD6" s="33">
        <f t="shared" si="6"/>
        <v>28</v>
      </c>
      <c r="AE6" s="33">
        <f t="shared" si="7"/>
        <v>28</v>
      </c>
      <c r="AF6" s="33">
        <f t="shared" si="8"/>
        <v>28</v>
      </c>
      <c r="AG6" s="33">
        <f t="shared" si="9"/>
        <v>28</v>
      </c>
      <c r="AK6" s="47">
        <v>20</v>
      </c>
      <c r="AL6" s="146">
        <f>装备强化!BN7+装备熔炼!BF7</f>
        <v>403.33333333333331</v>
      </c>
      <c r="AM6" s="146">
        <f>装备强化!BN36+装备熔炼!BF52</f>
        <v>403.33333333333331</v>
      </c>
      <c r="AN6" s="146">
        <f>装备强化!BN65+装备熔炼!BF97</f>
        <v>403.33333333333331</v>
      </c>
      <c r="AO6" s="146">
        <f>装备强化!BN94+装备熔炼!BF142</f>
        <v>403.33333333333331</v>
      </c>
      <c r="AP6" s="146">
        <f>装备强化!BN123+装备熔炼!BF187</f>
        <v>403.33333333333331</v>
      </c>
      <c r="AQ6" s="35"/>
      <c r="AR6" s="165">
        <f>装备强化!BN7/AL6</f>
        <v>1</v>
      </c>
      <c r="AS6" s="165">
        <f>装备熔炼!BF7/AL6</f>
        <v>0</v>
      </c>
      <c r="AT6" s="35"/>
      <c r="AU6" s="50">
        <v>2</v>
      </c>
      <c r="AV6" s="50">
        <f t="shared" si="10"/>
        <v>28</v>
      </c>
      <c r="AW6" s="50">
        <f t="shared" si="11"/>
        <v>28</v>
      </c>
      <c r="AX6" s="50">
        <f t="shared" si="12"/>
        <v>28</v>
      </c>
      <c r="AY6" s="50">
        <f t="shared" si="13"/>
        <v>28</v>
      </c>
      <c r="AZ6" s="50">
        <f t="shared" si="14"/>
        <v>28</v>
      </c>
    </row>
    <row r="7" spans="1:52" x14ac:dyDescent="0.15">
      <c r="B7" s="31">
        <v>30</v>
      </c>
      <c r="C7" s="33">
        <f>装备强化!BT8</f>
        <v>15.444444444444445</v>
      </c>
      <c r="D7" s="33">
        <f>装备强化!BT37</f>
        <v>15.444444444444445</v>
      </c>
      <c r="E7" s="33">
        <f>装备强化!BT66</f>
        <v>15.444444444444445</v>
      </c>
      <c r="F7" s="33">
        <f>装备强化!BT95</f>
        <v>15.444444444444445</v>
      </c>
      <c r="G7" s="33">
        <f>装备强化!BT124</f>
        <v>15.444444444444445</v>
      </c>
      <c r="H7" s="35"/>
      <c r="I7" s="33">
        <v>3</v>
      </c>
      <c r="J7" s="33">
        <f t="shared" si="0"/>
        <v>1.2800000000000002</v>
      </c>
      <c r="K7" s="33">
        <f t="shared" si="1"/>
        <v>1.2800000000000002</v>
      </c>
      <c r="L7" s="33">
        <f t="shared" si="2"/>
        <v>1.2800000000000002</v>
      </c>
      <c r="M7" s="33">
        <f t="shared" si="3"/>
        <v>1.2800000000000002</v>
      </c>
      <c r="N7" s="33">
        <f t="shared" si="4"/>
        <v>1.2800000000000002</v>
      </c>
      <c r="R7" s="31">
        <v>30</v>
      </c>
      <c r="S7" s="146">
        <f>装备强化!BH8+装备熔炼!BE8</f>
        <v>1066.6666666666667</v>
      </c>
      <c r="T7" s="146">
        <f>装备强化!BH37+装备熔炼!BE53</f>
        <v>1066.6666666666667</v>
      </c>
      <c r="U7" s="146">
        <f>装备强化!BH66+装备熔炼!BE98</f>
        <v>1066.6666666666667</v>
      </c>
      <c r="V7" s="146">
        <f>装备强化!BH95+装备熔炼!BE143</f>
        <v>1066.6666666666667</v>
      </c>
      <c r="W7" s="146">
        <f>装备强化!BH124+装备熔炼!BE188</f>
        <v>1066.6666666666667</v>
      </c>
      <c r="X7" s="35"/>
      <c r="Y7" s="165">
        <f>装备强化!BH8/S7</f>
        <v>1</v>
      </c>
      <c r="Z7" s="165">
        <f>装备熔炼!BE8/S7</f>
        <v>0</v>
      </c>
      <c r="AA7" s="35"/>
      <c r="AB7" s="33">
        <v>3</v>
      </c>
      <c r="AC7" s="33">
        <f t="shared" si="5"/>
        <v>42</v>
      </c>
      <c r="AD7" s="33">
        <f t="shared" si="6"/>
        <v>42</v>
      </c>
      <c r="AE7" s="33">
        <f t="shared" si="7"/>
        <v>42</v>
      </c>
      <c r="AF7" s="33">
        <f t="shared" si="8"/>
        <v>42</v>
      </c>
      <c r="AG7" s="33">
        <f t="shared" si="9"/>
        <v>42</v>
      </c>
      <c r="AK7" s="47">
        <v>30</v>
      </c>
      <c r="AL7" s="146">
        <f>装备强化!BN8+装备熔炼!BF8</f>
        <v>1066.6666666666667</v>
      </c>
      <c r="AM7" s="146">
        <f>装备强化!BN37+装备熔炼!BF53</f>
        <v>1066.6666666666667</v>
      </c>
      <c r="AN7" s="146">
        <f>装备强化!BN66+装备熔炼!BF98</f>
        <v>1066.6666666666667</v>
      </c>
      <c r="AO7" s="146">
        <f>装备强化!BN95+装备熔炼!BF143</f>
        <v>1066.6666666666667</v>
      </c>
      <c r="AP7" s="146">
        <f>装备强化!BN124+装备熔炼!BF188</f>
        <v>1066.6666666666667</v>
      </c>
      <c r="AQ7" s="35"/>
      <c r="AR7" s="165">
        <f>装备强化!BN8/AL7</f>
        <v>1</v>
      </c>
      <c r="AS7" s="165">
        <f>装备熔炼!BF8/AL7</f>
        <v>0</v>
      </c>
      <c r="AT7" s="35"/>
      <c r="AU7" s="50">
        <v>3</v>
      </c>
      <c r="AV7" s="50">
        <f t="shared" si="10"/>
        <v>42</v>
      </c>
      <c r="AW7" s="50">
        <f t="shared" si="11"/>
        <v>42</v>
      </c>
      <c r="AX7" s="50">
        <f t="shared" si="12"/>
        <v>42</v>
      </c>
      <c r="AY7" s="50">
        <f t="shared" si="13"/>
        <v>42</v>
      </c>
      <c r="AZ7" s="50">
        <f t="shared" si="14"/>
        <v>42</v>
      </c>
    </row>
    <row r="8" spans="1:52" x14ac:dyDescent="0.15">
      <c r="B8" s="31">
        <v>40</v>
      </c>
      <c r="C8" s="33">
        <f>装备强化!BT9</f>
        <v>26.35</v>
      </c>
      <c r="D8" s="33">
        <f>装备强化!BT38</f>
        <v>26.35</v>
      </c>
      <c r="E8" s="33">
        <f>装备强化!BT67</f>
        <v>26.35</v>
      </c>
      <c r="F8" s="33">
        <f>装备强化!BT96</f>
        <v>26.35</v>
      </c>
      <c r="G8" s="33">
        <f>装备强化!BT125</f>
        <v>26.35</v>
      </c>
      <c r="H8" s="35"/>
      <c r="I8" s="33">
        <v>4</v>
      </c>
      <c r="J8" s="33">
        <f t="shared" si="0"/>
        <v>1.706666666666667</v>
      </c>
      <c r="K8" s="33">
        <f t="shared" si="1"/>
        <v>1.706666666666667</v>
      </c>
      <c r="L8" s="33">
        <f t="shared" si="2"/>
        <v>1.706666666666667</v>
      </c>
      <c r="M8" s="33">
        <f t="shared" si="3"/>
        <v>1.706666666666667</v>
      </c>
      <c r="N8" s="33">
        <f t="shared" si="4"/>
        <v>1.706666666666667</v>
      </c>
      <c r="R8" s="31">
        <v>40</v>
      </c>
      <c r="S8" s="146">
        <f>装备强化!BH9+装备熔炼!BE9</f>
        <v>2180</v>
      </c>
      <c r="T8" s="146">
        <f>装备强化!BH38+装备熔炼!BE54</f>
        <v>2180</v>
      </c>
      <c r="U8" s="146">
        <f>装备强化!BH67+装备熔炼!BE99</f>
        <v>2180</v>
      </c>
      <c r="V8" s="146">
        <f>装备强化!BH96+装备熔炼!BE144</f>
        <v>2180</v>
      </c>
      <c r="W8" s="146">
        <f>装备强化!BH125+装备熔炼!BE189</f>
        <v>2180</v>
      </c>
      <c r="X8" s="35"/>
      <c r="Y8" s="165">
        <f>装备强化!BH9/S8</f>
        <v>1</v>
      </c>
      <c r="Z8" s="165">
        <f>装备熔炼!BE9/S8</f>
        <v>0</v>
      </c>
      <c r="AA8" s="35"/>
      <c r="AB8" s="33">
        <v>4</v>
      </c>
      <c r="AC8" s="33">
        <f t="shared" si="5"/>
        <v>56</v>
      </c>
      <c r="AD8" s="33">
        <f t="shared" si="6"/>
        <v>56</v>
      </c>
      <c r="AE8" s="33">
        <f t="shared" si="7"/>
        <v>56</v>
      </c>
      <c r="AF8" s="33">
        <f t="shared" si="8"/>
        <v>56</v>
      </c>
      <c r="AG8" s="33">
        <f t="shared" si="9"/>
        <v>56</v>
      </c>
      <c r="AK8" s="47">
        <v>40</v>
      </c>
      <c r="AL8" s="146">
        <f>装备强化!BN9+装备熔炼!BF9</f>
        <v>2180</v>
      </c>
      <c r="AM8" s="146">
        <f>装备强化!BN38+装备熔炼!BF54</f>
        <v>2180</v>
      </c>
      <c r="AN8" s="146">
        <f>装备强化!BN67+装备熔炼!BF99</f>
        <v>2180</v>
      </c>
      <c r="AO8" s="146">
        <f>装备强化!BN96+装备熔炼!BF144</f>
        <v>2180</v>
      </c>
      <c r="AP8" s="146">
        <f>装备强化!BN125+装备熔炼!BF189</f>
        <v>2180</v>
      </c>
      <c r="AQ8" s="35"/>
      <c r="AR8" s="165">
        <f>装备强化!BN9/AL8</f>
        <v>1</v>
      </c>
      <c r="AS8" s="165">
        <f>装备熔炼!BF9/AL8</f>
        <v>0</v>
      </c>
      <c r="AT8" s="35"/>
      <c r="AU8" s="50">
        <v>4</v>
      </c>
      <c r="AV8" s="50">
        <f t="shared" si="10"/>
        <v>56</v>
      </c>
      <c r="AW8" s="50">
        <f t="shared" si="11"/>
        <v>56</v>
      </c>
      <c r="AX8" s="50">
        <f t="shared" si="12"/>
        <v>56</v>
      </c>
      <c r="AY8" s="50">
        <f t="shared" si="13"/>
        <v>56</v>
      </c>
      <c r="AZ8" s="50">
        <f t="shared" si="14"/>
        <v>56</v>
      </c>
    </row>
    <row r="9" spans="1:52" x14ac:dyDescent="0.15">
      <c r="B9" s="31">
        <v>50</v>
      </c>
      <c r="C9" s="33">
        <f>装备强化!BT10</f>
        <v>31.392499999999998</v>
      </c>
      <c r="D9" s="33">
        <f>装备强化!BT39</f>
        <v>31.392499999999998</v>
      </c>
      <c r="E9" s="33">
        <f>装备强化!BT68</f>
        <v>31.392499999999998</v>
      </c>
      <c r="F9" s="33">
        <f>装备强化!BT97</f>
        <v>31.392499999999998</v>
      </c>
      <c r="G9" s="33">
        <f>装备强化!BT126</f>
        <v>31.392499999999998</v>
      </c>
      <c r="H9" s="35"/>
      <c r="I9" s="33">
        <v>5</v>
      </c>
      <c r="J9" s="33">
        <f t="shared" si="0"/>
        <v>2.1333333333333333</v>
      </c>
      <c r="K9" s="33">
        <f t="shared" si="1"/>
        <v>2.1333333333333333</v>
      </c>
      <c r="L9" s="33">
        <f t="shared" si="2"/>
        <v>2.1333333333333333</v>
      </c>
      <c r="M9" s="33">
        <f t="shared" si="3"/>
        <v>2.1333333333333333</v>
      </c>
      <c r="N9" s="33">
        <f t="shared" si="4"/>
        <v>2.1333333333333333</v>
      </c>
      <c r="R9" s="31">
        <v>50</v>
      </c>
      <c r="S9" s="146">
        <f>装备强化!BH10+装备熔炼!BE10</f>
        <v>2810</v>
      </c>
      <c r="T9" s="146">
        <f>装备强化!BH39+装备熔炼!BE55</f>
        <v>2810</v>
      </c>
      <c r="U9" s="146">
        <f>装备强化!BH68+装备熔炼!BE100</f>
        <v>2810</v>
      </c>
      <c r="V9" s="146">
        <f>装备强化!BH97+装备熔炼!BE145</f>
        <v>2810</v>
      </c>
      <c r="W9" s="146">
        <f>装备强化!BH126+装备熔炼!BE190</f>
        <v>2810</v>
      </c>
      <c r="X9" s="35"/>
      <c r="Y9" s="165">
        <f>装备强化!BH10/S9</f>
        <v>1</v>
      </c>
      <c r="Z9" s="165">
        <f>装备熔炼!BE10/S9</f>
        <v>0</v>
      </c>
      <c r="AA9" s="35"/>
      <c r="AB9" s="33">
        <v>5</v>
      </c>
      <c r="AC9" s="33">
        <f t="shared" si="5"/>
        <v>70</v>
      </c>
      <c r="AD9" s="33">
        <f t="shared" si="6"/>
        <v>70</v>
      </c>
      <c r="AE9" s="33">
        <f t="shared" si="7"/>
        <v>70</v>
      </c>
      <c r="AF9" s="33">
        <f t="shared" si="8"/>
        <v>70</v>
      </c>
      <c r="AG9" s="33">
        <f t="shared" si="9"/>
        <v>70</v>
      </c>
      <c r="AK9" s="47">
        <v>50</v>
      </c>
      <c r="AL9" s="146">
        <f>装备强化!BN10+装备熔炼!BF10</f>
        <v>2810</v>
      </c>
      <c r="AM9" s="146">
        <f>装备强化!BN39+装备熔炼!BF55</f>
        <v>2810</v>
      </c>
      <c r="AN9" s="146">
        <f>装备强化!BN68+装备熔炼!BF100</f>
        <v>2810</v>
      </c>
      <c r="AO9" s="146">
        <f>装备强化!BN97+装备熔炼!BF145</f>
        <v>2810</v>
      </c>
      <c r="AP9" s="146">
        <f>装备强化!BN126+装备熔炼!BF190</f>
        <v>2810</v>
      </c>
      <c r="AQ9" s="35"/>
      <c r="AR9" s="165">
        <f>装备强化!BN10/AL9</f>
        <v>1</v>
      </c>
      <c r="AS9" s="165">
        <f>装备熔炼!BF10/AL9</f>
        <v>0</v>
      </c>
      <c r="AT9" s="35"/>
      <c r="AU9" s="50">
        <v>5</v>
      </c>
      <c r="AV9" s="50">
        <f t="shared" si="10"/>
        <v>70</v>
      </c>
      <c r="AW9" s="50">
        <f t="shared" si="11"/>
        <v>70</v>
      </c>
      <c r="AX9" s="50">
        <f t="shared" si="12"/>
        <v>70</v>
      </c>
      <c r="AY9" s="50">
        <f t="shared" si="13"/>
        <v>70</v>
      </c>
      <c r="AZ9" s="50">
        <f t="shared" si="14"/>
        <v>70</v>
      </c>
    </row>
    <row r="10" spans="1:52" x14ac:dyDescent="0.15">
      <c r="B10" s="31">
        <v>60</v>
      </c>
      <c r="C10" s="33">
        <f>装备强化!BT11</f>
        <v>38.676666666666669</v>
      </c>
      <c r="D10" s="33">
        <f>装备强化!BT40</f>
        <v>38.676666666666669</v>
      </c>
      <c r="E10" s="33">
        <f>装备强化!BT69</f>
        <v>38.676666666666669</v>
      </c>
      <c r="F10" s="33">
        <f>装备强化!BT98</f>
        <v>38.676666666666669</v>
      </c>
      <c r="G10" s="33">
        <f>装备强化!BT127</f>
        <v>38.676666666666669</v>
      </c>
      <c r="H10" s="35"/>
      <c r="I10" s="33">
        <v>6</v>
      </c>
      <c r="J10" s="33">
        <f t="shared" si="0"/>
        <v>2.56</v>
      </c>
      <c r="K10" s="33">
        <f t="shared" si="1"/>
        <v>2.56</v>
      </c>
      <c r="L10" s="33">
        <f t="shared" si="2"/>
        <v>2.56</v>
      </c>
      <c r="M10" s="33">
        <f t="shared" si="3"/>
        <v>2.56</v>
      </c>
      <c r="N10" s="33">
        <f t="shared" si="4"/>
        <v>2.56</v>
      </c>
      <c r="R10" s="31">
        <v>60</v>
      </c>
      <c r="S10" s="146">
        <f>装备强化!BH11+装备熔炼!BE11</f>
        <v>3660</v>
      </c>
      <c r="T10" s="146">
        <f>装备强化!BH40+装备熔炼!BE56</f>
        <v>3660</v>
      </c>
      <c r="U10" s="146">
        <f>装备强化!BH69+装备熔炼!BE101</f>
        <v>3660</v>
      </c>
      <c r="V10" s="146">
        <f>装备强化!BH98+装备熔炼!BE146</f>
        <v>3660</v>
      </c>
      <c r="W10" s="146">
        <f>装备强化!BH127+装备熔炼!BE191</f>
        <v>3660</v>
      </c>
      <c r="X10" s="35"/>
      <c r="Y10" s="165">
        <f>装备强化!BH11/S10</f>
        <v>1</v>
      </c>
      <c r="Z10" s="165">
        <f>装备熔炼!BE11/S10</f>
        <v>0</v>
      </c>
      <c r="AA10" s="35"/>
      <c r="AB10" s="33">
        <v>6</v>
      </c>
      <c r="AC10" s="33">
        <f t="shared" si="5"/>
        <v>84</v>
      </c>
      <c r="AD10" s="33">
        <f t="shared" si="6"/>
        <v>84</v>
      </c>
      <c r="AE10" s="33">
        <f t="shared" si="7"/>
        <v>84</v>
      </c>
      <c r="AF10" s="33">
        <f t="shared" si="8"/>
        <v>84</v>
      </c>
      <c r="AG10" s="33">
        <f t="shared" si="9"/>
        <v>84</v>
      </c>
      <c r="AK10" s="47">
        <v>60</v>
      </c>
      <c r="AL10" s="146">
        <f>装备强化!BN11+装备熔炼!BF11</f>
        <v>3660</v>
      </c>
      <c r="AM10" s="146">
        <f>装备强化!BN40+装备熔炼!BF56</f>
        <v>3660</v>
      </c>
      <c r="AN10" s="146">
        <f>装备强化!BN69+装备熔炼!BF101</f>
        <v>3660</v>
      </c>
      <c r="AO10" s="146">
        <f>装备强化!BN98+装备熔炼!BF146</f>
        <v>3660</v>
      </c>
      <c r="AP10" s="146">
        <f>装备强化!BN127+装备熔炼!BF191</f>
        <v>3660</v>
      </c>
      <c r="AQ10" s="35"/>
      <c r="AR10" s="165">
        <f>装备强化!BN11/AL10</f>
        <v>1</v>
      </c>
      <c r="AS10" s="165">
        <f>装备熔炼!BF11/AL10</f>
        <v>0</v>
      </c>
      <c r="AT10" s="35"/>
      <c r="AU10" s="50">
        <v>6</v>
      </c>
      <c r="AV10" s="50">
        <f t="shared" si="10"/>
        <v>84</v>
      </c>
      <c r="AW10" s="50">
        <f t="shared" si="11"/>
        <v>84</v>
      </c>
      <c r="AX10" s="50">
        <f t="shared" si="12"/>
        <v>84</v>
      </c>
      <c r="AY10" s="50">
        <f t="shared" si="13"/>
        <v>84</v>
      </c>
      <c r="AZ10" s="50">
        <f t="shared" si="14"/>
        <v>84</v>
      </c>
    </row>
    <row r="11" spans="1:52" x14ac:dyDescent="0.15">
      <c r="B11" s="31">
        <v>70</v>
      </c>
      <c r="C11" s="33">
        <f>装备强化!BT12</f>
        <v>49.61333333333333</v>
      </c>
      <c r="D11" s="33">
        <f>装备强化!BT41</f>
        <v>49.61333333333333</v>
      </c>
      <c r="E11" s="33">
        <f>装备强化!BT70</f>
        <v>49.61333333333333</v>
      </c>
      <c r="F11" s="33">
        <f>装备强化!BT99</f>
        <v>49.61333333333333</v>
      </c>
      <c r="G11" s="33">
        <f>装备强化!BT128</f>
        <v>49.61333333333333</v>
      </c>
      <c r="H11" s="35"/>
      <c r="I11" s="33">
        <v>7</v>
      </c>
      <c r="J11" s="33">
        <f t="shared" si="0"/>
        <v>2.9866666666666668</v>
      </c>
      <c r="K11" s="33">
        <f t="shared" si="1"/>
        <v>2.9866666666666668</v>
      </c>
      <c r="L11" s="33">
        <f t="shared" si="2"/>
        <v>2.9866666666666668</v>
      </c>
      <c r="M11" s="33">
        <f t="shared" si="3"/>
        <v>2.9866666666666668</v>
      </c>
      <c r="N11" s="33">
        <f t="shared" si="4"/>
        <v>2.9866666666666668</v>
      </c>
      <c r="R11" s="31">
        <v>70</v>
      </c>
      <c r="S11" s="146">
        <f>装备强化!BH12+装备熔炼!BE12</f>
        <v>4980</v>
      </c>
      <c r="T11" s="146">
        <f>装备强化!BH41+装备熔炼!BE57</f>
        <v>5040</v>
      </c>
      <c r="U11" s="146">
        <f>装备强化!BH70+装备熔炼!BE102</f>
        <v>5160</v>
      </c>
      <c r="V11" s="146">
        <f>装备强化!BH99+装备熔炼!BE147</f>
        <v>5280</v>
      </c>
      <c r="W11" s="146">
        <f>装备强化!BH128+装备熔炼!BE192</f>
        <v>5340</v>
      </c>
      <c r="X11" s="35"/>
      <c r="Y11" s="165">
        <f>装备强化!BH12/S11</f>
        <v>0.95180722891566261</v>
      </c>
      <c r="Z11" s="165">
        <f>装备熔炼!BE12/S11</f>
        <v>4.8192771084337352E-2</v>
      </c>
      <c r="AA11" s="35"/>
      <c r="AB11" s="33">
        <v>7</v>
      </c>
      <c r="AC11" s="33">
        <f t="shared" si="5"/>
        <v>98</v>
      </c>
      <c r="AD11" s="33">
        <f t="shared" si="6"/>
        <v>98</v>
      </c>
      <c r="AE11" s="33">
        <f t="shared" si="7"/>
        <v>98</v>
      </c>
      <c r="AF11" s="33">
        <f t="shared" si="8"/>
        <v>98</v>
      </c>
      <c r="AG11" s="33">
        <f t="shared" si="9"/>
        <v>98</v>
      </c>
      <c r="AK11" s="47">
        <v>70</v>
      </c>
      <c r="AL11" s="146">
        <f>装备强化!BN12+装备熔炼!BF12</f>
        <v>4980</v>
      </c>
      <c r="AM11" s="146">
        <f>装备强化!BN41+装备熔炼!BF57</f>
        <v>5040</v>
      </c>
      <c r="AN11" s="146">
        <f>装备强化!BN70+装备熔炼!BF102</f>
        <v>5160</v>
      </c>
      <c r="AO11" s="146">
        <f>装备强化!BN99+装备熔炼!BF147</f>
        <v>5280</v>
      </c>
      <c r="AP11" s="146">
        <f>装备强化!BN128+装备熔炼!BF192</f>
        <v>5340</v>
      </c>
      <c r="AQ11" s="35"/>
      <c r="AR11" s="165">
        <f>装备强化!BN12/AL11</f>
        <v>0.95180722891566261</v>
      </c>
      <c r="AS11" s="165">
        <f>装备熔炼!BF12/AL11</f>
        <v>4.8192771084337352E-2</v>
      </c>
      <c r="AT11" s="35"/>
      <c r="AU11" s="50">
        <v>7</v>
      </c>
      <c r="AV11" s="50">
        <f t="shared" si="10"/>
        <v>98</v>
      </c>
      <c r="AW11" s="50">
        <f t="shared" si="11"/>
        <v>98</v>
      </c>
      <c r="AX11" s="50">
        <f t="shared" si="12"/>
        <v>98</v>
      </c>
      <c r="AY11" s="50">
        <f t="shared" si="13"/>
        <v>98</v>
      </c>
      <c r="AZ11" s="50">
        <f t="shared" si="14"/>
        <v>98</v>
      </c>
    </row>
    <row r="12" spans="1:52" x14ac:dyDescent="0.15">
      <c r="B12" s="31">
        <v>80</v>
      </c>
      <c r="C12" s="33">
        <f>装备强化!BT13</f>
        <v>61.71</v>
      </c>
      <c r="D12" s="33">
        <f>装备强化!BT42</f>
        <v>61.71</v>
      </c>
      <c r="E12" s="33">
        <f>装备强化!BT71</f>
        <v>61.71</v>
      </c>
      <c r="F12" s="33">
        <f>装备强化!BT100</f>
        <v>61.71</v>
      </c>
      <c r="G12" s="33">
        <f>装备强化!BT129</f>
        <v>61.71</v>
      </c>
      <c r="H12" s="35"/>
      <c r="I12" s="33">
        <v>8</v>
      </c>
      <c r="J12" s="33">
        <f t="shared" si="0"/>
        <v>3.4133333333333331</v>
      </c>
      <c r="K12" s="33">
        <f t="shared" si="1"/>
        <v>3.4133333333333331</v>
      </c>
      <c r="L12" s="33">
        <f t="shared" si="2"/>
        <v>3.4133333333333331</v>
      </c>
      <c r="M12" s="33">
        <f t="shared" si="3"/>
        <v>3.4133333333333331</v>
      </c>
      <c r="N12" s="33">
        <f t="shared" si="4"/>
        <v>3.4133333333333331</v>
      </c>
      <c r="R12" s="31">
        <v>80</v>
      </c>
      <c r="S12" s="146">
        <f>装备强化!BH13+装备熔炼!BE13</f>
        <v>6740</v>
      </c>
      <c r="T12" s="146">
        <f>装备强化!BH42+装备熔炼!BE58</f>
        <v>6860</v>
      </c>
      <c r="U12" s="146">
        <f>装备强化!BH71+装备熔炼!BE103</f>
        <v>7100</v>
      </c>
      <c r="V12" s="146">
        <f>装备强化!BH100+装备熔炼!BE148</f>
        <v>7340</v>
      </c>
      <c r="W12" s="146">
        <f>装备强化!BH129+装备熔炼!BE193</f>
        <v>7460</v>
      </c>
      <c r="X12" s="35"/>
      <c r="Y12" s="165">
        <f>装备强化!BH13/S12</f>
        <v>0.92878338278931749</v>
      </c>
      <c r="Z12" s="165">
        <f>装备熔炼!BE13/S12</f>
        <v>7.1216617210682495E-2</v>
      </c>
      <c r="AA12" s="35"/>
      <c r="AB12" s="33">
        <v>8</v>
      </c>
      <c r="AC12" s="33">
        <f t="shared" si="5"/>
        <v>112</v>
      </c>
      <c r="AD12" s="33">
        <f t="shared" si="6"/>
        <v>112</v>
      </c>
      <c r="AE12" s="33">
        <f t="shared" si="7"/>
        <v>112</v>
      </c>
      <c r="AF12" s="33">
        <f t="shared" si="8"/>
        <v>112</v>
      </c>
      <c r="AG12" s="33">
        <f t="shared" si="9"/>
        <v>112</v>
      </c>
      <c r="AK12" s="47">
        <v>80</v>
      </c>
      <c r="AL12" s="146">
        <f>装备强化!BN13+装备熔炼!BF13</f>
        <v>6740</v>
      </c>
      <c r="AM12" s="146">
        <f>装备强化!BN42+装备熔炼!BF58</f>
        <v>6860</v>
      </c>
      <c r="AN12" s="146">
        <f>装备强化!BN71+装备熔炼!BF103</f>
        <v>7100</v>
      </c>
      <c r="AO12" s="146">
        <f>装备强化!BN100+装备熔炼!BF148</f>
        <v>7340</v>
      </c>
      <c r="AP12" s="146">
        <f>装备强化!BN129+装备熔炼!BF193</f>
        <v>7460</v>
      </c>
      <c r="AQ12" s="35"/>
      <c r="AR12" s="165">
        <f>装备强化!BN13/AL12</f>
        <v>0.92878338278931749</v>
      </c>
      <c r="AS12" s="165">
        <f>装备熔炼!BF13/AL12</f>
        <v>7.1216617210682495E-2</v>
      </c>
      <c r="AT12" s="35"/>
      <c r="AU12" s="50">
        <v>8</v>
      </c>
      <c r="AV12" s="50">
        <f t="shared" si="10"/>
        <v>112</v>
      </c>
      <c r="AW12" s="50">
        <f t="shared" si="11"/>
        <v>112</v>
      </c>
      <c r="AX12" s="50">
        <f t="shared" si="12"/>
        <v>112</v>
      </c>
      <c r="AY12" s="50">
        <f t="shared" si="13"/>
        <v>112</v>
      </c>
      <c r="AZ12" s="50">
        <f t="shared" si="14"/>
        <v>112</v>
      </c>
    </row>
    <row r="13" spans="1:52" x14ac:dyDescent="0.15">
      <c r="B13" s="31">
        <v>90</v>
      </c>
      <c r="C13" s="33">
        <f>装备强化!BT14</f>
        <v>66</v>
      </c>
      <c r="D13" s="33">
        <f>装备强化!BT43</f>
        <v>66</v>
      </c>
      <c r="E13" s="33">
        <f>装备强化!BT72</f>
        <v>66</v>
      </c>
      <c r="F13" s="33">
        <f>装备强化!BT101</f>
        <v>66</v>
      </c>
      <c r="G13" s="33">
        <f>装备强化!BT130</f>
        <v>66</v>
      </c>
      <c r="H13" s="35"/>
      <c r="I13" s="33">
        <v>9</v>
      </c>
      <c r="J13" s="33">
        <f t="shared" si="0"/>
        <v>3.84</v>
      </c>
      <c r="K13" s="33">
        <f t="shared" si="1"/>
        <v>3.84</v>
      </c>
      <c r="L13" s="33">
        <f t="shared" si="2"/>
        <v>3.84</v>
      </c>
      <c r="M13" s="33">
        <f t="shared" si="3"/>
        <v>3.84</v>
      </c>
      <c r="N13" s="33">
        <f t="shared" si="4"/>
        <v>3.84</v>
      </c>
      <c r="R13" s="31">
        <v>90</v>
      </c>
      <c r="S13" s="146">
        <f>装备强化!BH14+装备熔炼!BE14</f>
        <v>7880</v>
      </c>
      <c r="T13" s="146">
        <f>装备强化!BH43+装备熔炼!BE59</f>
        <v>8120</v>
      </c>
      <c r="U13" s="146">
        <f>装备强化!BH72+装备熔炼!BE104</f>
        <v>8600</v>
      </c>
      <c r="V13" s="146">
        <f>装备强化!BH101+装备熔炼!BE149</f>
        <v>9080</v>
      </c>
      <c r="W13" s="146">
        <f>装备强化!BH130+装备熔炼!BE194</f>
        <v>9320</v>
      </c>
      <c r="X13" s="35"/>
      <c r="Y13" s="165">
        <f>装备强化!BH14/S13</f>
        <v>0.87817258883248728</v>
      </c>
      <c r="Z13" s="165">
        <f>装备熔炼!BE14/S13</f>
        <v>0.12182741116751269</v>
      </c>
      <c r="AA13" s="35"/>
      <c r="AB13" s="33">
        <v>9</v>
      </c>
      <c r="AC13" s="33">
        <f t="shared" si="5"/>
        <v>126</v>
      </c>
      <c r="AD13" s="33">
        <f t="shared" si="6"/>
        <v>126</v>
      </c>
      <c r="AE13" s="33">
        <f t="shared" si="7"/>
        <v>126</v>
      </c>
      <c r="AF13" s="33">
        <f t="shared" si="8"/>
        <v>126</v>
      </c>
      <c r="AG13" s="33">
        <f t="shared" si="9"/>
        <v>126</v>
      </c>
      <c r="AK13" s="47">
        <v>90</v>
      </c>
      <c r="AL13" s="146">
        <f>装备强化!BN14+装备熔炼!BF14</f>
        <v>7880</v>
      </c>
      <c r="AM13" s="146">
        <f>装备强化!BN43+装备熔炼!BF59</f>
        <v>8120</v>
      </c>
      <c r="AN13" s="146">
        <f>装备强化!BN72+装备熔炼!BF104</f>
        <v>8600</v>
      </c>
      <c r="AO13" s="146">
        <f>装备强化!BN101+装备熔炼!BF149</f>
        <v>9080</v>
      </c>
      <c r="AP13" s="146">
        <f>装备强化!BN130+装备熔炼!BF194</f>
        <v>9320</v>
      </c>
      <c r="AQ13" s="35"/>
      <c r="AR13" s="165">
        <f>装备强化!BN14/AL13</f>
        <v>0.87817258883248728</v>
      </c>
      <c r="AS13" s="165">
        <f>装备熔炼!BF14/AL13</f>
        <v>0.12182741116751269</v>
      </c>
      <c r="AT13" s="35"/>
      <c r="AU13" s="50">
        <v>9</v>
      </c>
      <c r="AV13" s="50">
        <f t="shared" si="10"/>
        <v>126</v>
      </c>
      <c r="AW13" s="50">
        <f t="shared" si="11"/>
        <v>126</v>
      </c>
      <c r="AX13" s="50">
        <f t="shared" si="12"/>
        <v>126</v>
      </c>
      <c r="AY13" s="50">
        <f t="shared" si="13"/>
        <v>126</v>
      </c>
      <c r="AZ13" s="50">
        <f t="shared" si="14"/>
        <v>126</v>
      </c>
    </row>
    <row r="14" spans="1:52" x14ac:dyDescent="0.15">
      <c r="B14" s="128">
        <v>100</v>
      </c>
      <c r="C14" s="126">
        <f>装备强化!BT15</f>
        <v>66</v>
      </c>
      <c r="D14" s="126">
        <f>装备强化!BT44</f>
        <v>66</v>
      </c>
      <c r="E14" s="126">
        <f>装备强化!BT73</f>
        <v>66</v>
      </c>
      <c r="F14" s="126">
        <f>装备强化!BT102</f>
        <v>66</v>
      </c>
      <c r="G14" s="126">
        <f>装备强化!BT131</f>
        <v>66</v>
      </c>
      <c r="H14" s="35"/>
      <c r="I14" s="33">
        <v>10</v>
      </c>
      <c r="J14" s="33">
        <f t="shared" si="0"/>
        <v>4.2666666666666666</v>
      </c>
      <c r="K14" s="33">
        <f t="shared" si="1"/>
        <v>4.2666666666666666</v>
      </c>
      <c r="L14" s="33">
        <f t="shared" si="2"/>
        <v>4.2666666666666666</v>
      </c>
      <c r="M14" s="33">
        <f t="shared" si="3"/>
        <v>4.2666666666666666</v>
      </c>
      <c r="N14" s="33">
        <f t="shared" si="4"/>
        <v>4.2666666666666666</v>
      </c>
      <c r="Q14" s="46"/>
      <c r="R14" s="128">
        <v>100</v>
      </c>
      <c r="S14" s="146">
        <f>装备强化!BH15+装备熔炼!BE15</f>
        <v>9260</v>
      </c>
      <c r="T14" s="146">
        <f>装备强化!BH44+装备熔炼!BE60</f>
        <v>9680</v>
      </c>
      <c r="U14" s="146">
        <f>装备强化!BH73+装备熔炼!BE105</f>
        <v>10520</v>
      </c>
      <c r="V14" s="146">
        <f>装备强化!BH102+装备熔炼!BE150</f>
        <v>10580</v>
      </c>
      <c r="W14" s="146">
        <f>装备强化!BH131+装备熔炼!BE195</f>
        <v>10580</v>
      </c>
      <c r="X14" s="35"/>
      <c r="Y14" s="165">
        <f>装备强化!BH15/S14</f>
        <v>0.81857451403887693</v>
      </c>
      <c r="Z14" s="165">
        <f>装备熔炼!BE15/S14</f>
        <v>0.18142548596112312</v>
      </c>
      <c r="AA14" s="35"/>
      <c r="AB14" s="33">
        <v>10</v>
      </c>
      <c r="AC14" s="33">
        <f t="shared" si="5"/>
        <v>140</v>
      </c>
      <c r="AD14" s="33">
        <f t="shared" si="6"/>
        <v>140</v>
      </c>
      <c r="AE14" s="33">
        <f t="shared" si="7"/>
        <v>140</v>
      </c>
      <c r="AF14" s="33">
        <f t="shared" si="8"/>
        <v>140</v>
      </c>
      <c r="AG14" s="33">
        <f t="shared" si="9"/>
        <v>140</v>
      </c>
      <c r="AK14" s="128">
        <v>100</v>
      </c>
      <c r="AL14" s="146">
        <f>装备强化!BN15+装备熔炼!BF15</f>
        <v>9260</v>
      </c>
      <c r="AM14" s="146">
        <f>装备强化!BN44+装备熔炼!BF60</f>
        <v>9680</v>
      </c>
      <c r="AN14" s="146">
        <f>装备强化!BN73+装备熔炼!BF105</f>
        <v>10520</v>
      </c>
      <c r="AO14" s="146">
        <f>装备强化!BN102+装备熔炼!BF150</f>
        <v>10580</v>
      </c>
      <c r="AP14" s="146">
        <f>装备强化!BN131+装备熔炼!BF195</f>
        <v>10580</v>
      </c>
      <c r="AQ14" s="35"/>
      <c r="AR14" s="165">
        <f>装备强化!BN15/AL14</f>
        <v>0.81857451403887693</v>
      </c>
      <c r="AS14" s="165">
        <f>装备熔炼!BF15/AL14</f>
        <v>0.18142548596112312</v>
      </c>
      <c r="AT14" s="35"/>
      <c r="AU14" s="50">
        <v>10</v>
      </c>
      <c r="AV14" s="50">
        <f t="shared" si="10"/>
        <v>140</v>
      </c>
      <c r="AW14" s="50">
        <f t="shared" si="11"/>
        <v>140</v>
      </c>
      <c r="AX14" s="50">
        <f t="shared" si="12"/>
        <v>140</v>
      </c>
      <c r="AY14" s="50">
        <f t="shared" si="13"/>
        <v>140</v>
      </c>
      <c r="AZ14" s="50">
        <f t="shared" si="14"/>
        <v>140</v>
      </c>
    </row>
    <row r="15" spans="1:52" x14ac:dyDescent="0.15">
      <c r="B15" s="128">
        <v>110</v>
      </c>
      <c r="C15" s="126">
        <f>装备强化!BT16</f>
        <v>66</v>
      </c>
      <c r="D15" s="126">
        <f>装备强化!BT45</f>
        <v>66</v>
      </c>
      <c r="E15" s="126">
        <f>装备强化!BT74</f>
        <v>66</v>
      </c>
      <c r="F15" s="126">
        <f>装备强化!BT103</f>
        <v>66</v>
      </c>
      <c r="G15" s="126">
        <f>装备强化!BT132</f>
        <v>66</v>
      </c>
      <c r="I15" s="33">
        <v>11</v>
      </c>
      <c r="J15" s="33">
        <f t="shared" si="0"/>
        <v>4.681111111111111</v>
      </c>
      <c r="K15" s="33">
        <f t="shared" si="1"/>
        <v>4.681111111111111</v>
      </c>
      <c r="L15" s="33">
        <f t="shared" si="2"/>
        <v>4.681111111111111</v>
      </c>
      <c r="M15" s="33">
        <f t="shared" si="3"/>
        <v>4.681111111111111</v>
      </c>
      <c r="N15" s="33">
        <f t="shared" si="4"/>
        <v>4.681111111111111</v>
      </c>
      <c r="Q15" s="46"/>
      <c r="R15" s="128">
        <v>110</v>
      </c>
      <c r="S15" s="146">
        <f>装备强化!BH16+装备熔炼!BE16</f>
        <v>10640</v>
      </c>
      <c r="T15" s="146">
        <f>装备强化!BH45+装备熔炼!BE61</f>
        <v>11240</v>
      </c>
      <c r="U15" s="146">
        <f>装备强化!BH74+装备熔炼!BE106</f>
        <v>11240</v>
      </c>
      <c r="V15" s="146">
        <f>装备强化!BH103+装备熔炼!BE151</f>
        <v>11240</v>
      </c>
      <c r="W15" s="146">
        <f>装备强化!BH132+装备熔炼!BE196</f>
        <v>11240</v>
      </c>
      <c r="Y15" s="165">
        <f>装备强化!BH16/S15</f>
        <v>0.77443609022556392</v>
      </c>
      <c r="Z15" s="165">
        <f>装备熔炼!BE16/S15</f>
        <v>0.22556390977443608</v>
      </c>
      <c r="AB15" s="33">
        <v>11</v>
      </c>
      <c r="AC15" s="33">
        <f t="shared" si="5"/>
        <v>166.33333333333334</v>
      </c>
      <c r="AD15" s="33">
        <f t="shared" si="6"/>
        <v>166.33333333333334</v>
      </c>
      <c r="AE15" s="33">
        <f t="shared" si="7"/>
        <v>166.33333333333334</v>
      </c>
      <c r="AF15" s="33">
        <f t="shared" si="8"/>
        <v>166.33333333333334</v>
      </c>
      <c r="AG15" s="33">
        <f t="shared" si="9"/>
        <v>166.33333333333334</v>
      </c>
      <c r="AK15" s="128">
        <v>110</v>
      </c>
      <c r="AL15" s="146">
        <f>装备强化!BN16+装备熔炼!BF16</f>
        <v>10640</v>
      </c>
      <c r="AM15" s="146">
        <f>装备强化!BN45+装备熔炼!BF61</f>
        <v>11240</v>
      </c>
      <c r="AN15" s="146">
        <f>装备强化!BN74+装备熔炼!BF106</f>
        <v>11240</v>
      </c>
      <c r="AO15" s="146">
        <f>装备强化!BN103+装备熔炼!BF151</f>
        <v>11240</v>
      </c>
      <c r="AP15" s="146">
        <f>装备强化!BN132+装备熔炼!BF196</f>
        <v>11240</v>
      </c>
      <c r="AR15" s="165">
        <f>装备强化!BN16/AL15</f>
        <v>0.77443609022556392</v>
      </c>
      <c r="AS15" s="165">
        <f>装备熔炼!BF16/AL15</f>
        <v>0.22556390977443608</v>
      </c>
      <c r="AU15" s="50">
        <v>11</v>
      </c>
      <c r="AV15" s="50">
        <f t="shared" si="10"/>
        <v>166.33333333333334</v>
      </c>
      <c r="AW15" s="50">
        <f t="shared" si="11"/>
        <v>166.33333333333334</v>
      </c>
      <c r="AX15" s="50">
        <f t="shared" si="12"/>
        <v>166.33333333333334</v>
      </c>
      <c r="AY15" s="50">
        <f t="shared" si="13"/>
        <v>166.33333333333334</v>
      </c>
      <c r="AZ15" s="50">
        <f t="shared" si="14"/>
        <v>166.33333333333334</v>
      </c>
    </row>
    <row r="16" spans="1:52" x14ac:dyDescent="0.15">
      <c r="B16" s="128">
        <v>120</v>
      </c>
      <c r="C16" s="126">
        <f>装备强化!BT17</f>
        <v>66</v>
      </c>
      <c r="D16" s="126">
        <f>装备强化!BT46</f>
        <v>66</v>
      </c>
      <c r="E16" s="126">
        <f>装备强化!BT75</f>
        <v>66</v>
      </c>
      <c r="F16" s="126">
        <f>装备强化!BT104</f>
        <v>66</v>
      </c>
      <c r="G16" s="126">
        <f>装备强化!BT133</f>
        <v>66</v>
      </c>
      <c r="I16" s="33">
        <v>12</v>
      </c>
      <c r="J16" s="33">
        <f t="shared" si="0"/>
        <v>5.0955555555555554</v>
      </c>
      <c r="K16" s="33">
        <f t="shared" si="1"/>
        <v>5.0955555555555554</v>
      </c>
      <c r="L16" s="33">
        <f t="shared" si="2"/>
        <v>5.0955555555555554</v>
      </c>
      <c r="M16" s="33">
        <f t="shared" si="3"/>
        <v>5.0955555555555554</v>
      </c>
      <c r="N16" s="33">
        <f t="shared" si="4"/>
        <v>5.0955555555555554</v>
      </c>
      <c r="Q16" s="46"/>
      <c r="R16" s="128">
        <v>120</v>
      </c>
      <c r="S16" s="146">
        <f>装备强化!BH17+装备熔炼!BE17</f>
        <v>11900</v>
      </c>
      <c r="T16" s="146">
        <f>装备强化!BH46+装备熔炼!BE62</f>
        <v>11900</v>
      </c>
      <c r="U16" s="146">
        <f>装备强化!BH75+装备熔炼!BE107</f>
        <v>11900</v>
      </c>
      <c r="V16" s="146">
        <f>装备强化!BH104+装备熔炼!BE152</f>
        <v>11900</v>
      </c>
      <c r="W16" s="146">
        <f>装备强化!BH133+装备熔炼!BE197</f>
        <v>11900</v>
      </c>
      <c r="Y16" s="165">
        <f>装备强化!BH17/S16</f>
        <v>0.74789915966386555</v>
      </c>
      <c r="Z16" s="165">
        <f>装备熔炼!BE17/S16</f>
        <v>0.25210084033613445</v>
      </c>
      <c r="AB16" s="33">
        <v>12</v>
      </c>
      <c r="AC16" s="33">
        <f t="shared" si="5"/>
        <v>192.66666666666666</v>
      </c>
      <c r="AD16" s="33">
        <f t="shared" si="6"/>
        <v>192.66666666666666</v>
      </c>
      <c r="AE16" s="33">
        <f t="shared" si="7"/>
        <v>192.66666666666666</v>
      </c>
      <c r="AF16" s="33">
        <f t="shared" si="8"/>
        <v>192.66666666666666</v>
      </c>
      <c r="AG16" s="33">
        <f t="shared" si="9"/>
        <v>192.66666666666666</v>
      </c>
      <c r="AK16" s="128">
        <v>120</v>
      </c>
      <c r="AL16" s="146">
        <f>装备强化!BN17+装备熔炼!BF17</f>
        <v>11900</v>
      </c>
      <c r="AM16" s="146">
        <f>装备强化!BN46+装备熔炼!BF62</f>
        <v>11900</v>
      </c>
      <c r="AN16" s="146">
        <f>装备强化!BN75+装备熔炼!BF107</f>
        <v>11900</v>
      </c>
      <c r="AO16" s="146">
        <f>装备强化!BN104+装备熔炼!BF152</f>
        <v>11900</v>
      </c>
      <c r="AP16" s="146">
        <f>装备强化!BN133+装备熔炼!BF197</f>
        <v>11900</v>
      </c>
      <c r="AR16" s="165">
        <f>装备强化!BN17/AL16</f>
        <v>0.74789915966386555</v>
      </c>
      <c r="AS16" s="165">
        <f>装备熔炼!BF17/AL16</f>
        <v>0.25210084033613445</v>
      </c>
      <c r="AU16" s="50">
        <v>12</v>
      </c>
      <c r="AV16" s="50">
        <f t="shared" si="10"/>
        <v>192.66666666666666</v>
      </c>
      <c r="AW16" s="50">
        <f t="shared" si="11"/>
        <v>192.66666666666666</v>
      </c>
      <c r="AX16" s="50">
        <f t="shared" si="12"/>
        <v>192.66666666666666</v>
      </c>
      <c r="AY16" s="50">
        <f t="shared" si="13"/>
        <v>192.66666666666666</v>
      </c>
      <c r="AZ16" s="50">
        <f t="shared" si="14"/>
        <v>192.66666666666666</v>
      </c>
    </row>
    <row r="17" spans="2:52" x14ac:dyDescent="0.15">
      <c r="B17" s="128">
        <v>130</v>
      </c>
      <c r="C17" s="126">
        <f>装备强化!BT18</f>
        <v>66</v>
      </c>
      <c r="D17" s="126">
        <f>装备强化!BT47</f>
        <v>66</v>
      </c>
      <c r="E17" s="126">
        <f>装备强化!BT76</f>
        <v>66</v>
      </c>
      <c r="F17" s="126">
        <f>装备强化!BT105</f>
        <v>66</v>
      </c>
      <c r="G17" s="126">
        <f>装备强化!BT134</f>
        <v>66</v>
      </c>
      <c r="I17" s="33">
        <v>13</v>
      </c>
      <c r="J17" s="33">
        <f t="shared" si="0"/>
        <v>5.51</v>
      </c>
      <c r="K17" s="33">
        <f t="shared" si="1"/>
        <v>5.51</v>
      </c>
      <c r="L17" s="33">
        <f t="shared" si="2"/>
        <v>5.51</v>
      </c>
      <c r="M17" s="33">
        <f t="shared" si="3"/>
        <v>5.51</v>
      </c>
      <c r="N17" s="33">
        <f t="shared" si="4"/>
        <v>5.51</v>
      </c>
      <c r="Q17" s="46"/>
      <c r="R17" s="128">
        <v>130</v>
      </c>
      <c r="S17" s="146">
        <f>装备强化!BH18+装备熔炼!BE18</f>
        <v>12560</v>
      </c>
      <c r="T17" s="146">
        <f>装备强化!BH47+装备熔炼!BE63</f>
        <v>12560</v>
      </c>
      <c r="U17" s="146">
        <f>装备强化!BH76+装备熔炼!BE108</f>
        <v>12560</v>
      </c>
      <c r="V17" s="146">
        <f>装备强化!BH105+装备熔炼!BE153</f>
        <v>12560</v>
      </c>
      <c r="W17" s="146">
        <f>装备强化!BH134+装备熔炼!BE198</f>
        <v>12560</v>
      </c>
      <c r="Y17" s="165">
        <f>装备强化!BH18/S17</f>
        <v>0.76114649681528668</v>
      </c>
      <c r="Z17" s="165">
        <f>装备熔炼!BE18/S17</f>
        <v>0.23885350318471338</v>
      </c>
      <c r="AB17" s="33">
        <v>13</v>
      </c>
      <c r="AC17" s="33">
        <f t="shared" si="5"/>
        <v>219</v>
      </c>
      <c r="AD17" s="33">
        <f t="shared" si="6"/>
        <v>219</v>
      </c>
      <c r="AE17" s="33">
        <f t="shared" si="7"/>
        <v>219</v>
      </c>
      <c r="AF17" s="33">
        <f t="shared" si="8"/>
        <v>219</v>
      </c>
      <c r="AG17" s="33">
        <f t="shared" si="9"/>
        <v>219</v>
      </c>
      <c r="AK17" s="128">
        <v>130</v>
      </c>
      <c r="AL17" s="146">
        <f>装备强化!BN18+装备熔炼!BF18</f>
        <v>12560</v>
      </c>
      <c r="AM17" s="146">
        <f>装备强化!BN47+装备熔炼!BF63</f>
        <v>12560</v>
      </c>
      <c r="AN17" s="146">
        <f>装备强化!BN76+装备熔炼!BF108</f>
        <v>12560</v>
      </c>
      <c r="AO17" s="146">
        <f>装备强化!BN105+装备熔炼!BF153</f>
        <v>12560</v>
      </c>
      <c r="AP17" s="146">
        <f>装备强化!BN134+装备熔炼!BF198</f>
        <v>12560</v>
      </c>
      <c r="AR17" s="165">
        <f>装备强化!BN18/AL17</f>
        <v>0.76114649681528668</v>
      </c>
      <c r="AS17" s="165">
        <f>装备熔炼!BF18/AL17</f>
        <v>0.23885350318471338</v>
      </c>
      <c r="AU17" s="50">
        <v>13</v>
      </c>
      <c r="AV17" s="50">
        <f t="shared" si="10"/>
        <v>219</v>
      </c>
      <c r="AW17" s="50">
        <f t="shared" si="11"/>
        <v>219</v>
      </c>
      <c r="AX17" s="50">
        <f t="shared" si="12"/>
        <v>219</v>
      </c>
      <c r="AY17" s="50">
        <f t="shared" si="13"/>
        <v>219</v>
      </c>
      <c r="AZ17" s="50">
        <f t="shared" si="14"/>
        <v>219</v>
      </c>
    </row>
    <row r="18" spans="2:52" x14ac:dyDescent="0.15">
      <c r="B18" s="128">
        <v>140</v>
      </c>
      <c r="C18" s="126">
        <f>装备强化!BT19</f>
        <v>66</v>
      </c>
      <c r="D18" s="126">
        <f>装备强化!BT48</f>
        <v>66</v>
      </c>
      <c r="E18" s="126">
        <f>装备强化!BT77</f>
        <v>66</v>
      </c>
      <c r="F18" s="126">
        <f>装备强化!BT106</f>
        <v>66</v>
      </c>
      <c r="G18" s="126">
        <f>装备强化!BT135</f>
        <v>66</v>
      </c>
      <c r="I18" s="33">
        <v>14</v>
      </c>
      <c r="J18" s="33">
        <f t="shared" si="0"/>
        <v>5.9244444444444433</v>
      </c>
      <c r="K18" s="33">
        <f t="shared" si="1"/>
        <v>5.9244444444444433</v>
      </c>
      <c r="L18" s="33">
        <f t="shared" si="2"/>
        <v>5.9244444444444433</v>
      </c>
      <c r="M18" s="33">
        <f t="shared" si="3"/>
        <v>5.9244444444444433</v>
      </c>
      <c r="N18" s="33">
        <f t="shared" si="4"/>
        <v>5.9244444444444433</v>
      </c>
      <c r="Q18" s="46"/>
      <c r="R18" s="128">
        <v>140</v>
      </c>
      <c r="S18" s="146">
        <f>装备强化!BH19+装备熔炼!BE19</f>
        <v>13220</v>
      </c>
      <c r="T18" s="146">
        <f>装备强化!BH48+装备熔炼!BE64</f>
        <v>13220</v>
      </c>
      <c r="U18" s="146">
        <f>装备强化!BH77+装备熔炼!BE109</f>
        <v>13220</v>
      </c>
      <c r="V18" s="146">
        <f>装备强化!BH106+装备熔炼!BE154</f>
        <v>13220</v>
      </c>
      <c r="W18" s="146">
        <f>装备强化!BH135+装备熔炼!BE199</f>
        <v>13220</v>
      </c>
      <c r="Y18" s="165">
        <f>装备强化!BH19/S18</f>
        <v>0.77307110438729199</v>
      </c>
      <c r="Z18" s="165">
        <f>装备熔炼!BE19/S18</f>
        <v>0.22692889561270801</v>
      </c>
      <c r="AB18" s="33">
        <v>14</v>
      </c>
      <c r="AC18" s="33">
        <f t="shared" si="5"/>
        <v>245.33333333333331</v>
      </c>
      <c r="AD18" s="33">
        <f t="shared" si="6"/>
        <v>245.33333333333331</v>
      </c>
      <c r="AE18" s="33">
        <f t="shared" si="7"/>
        <v>245.33333333333331</v>
      </c>
      <c r="AF18" s="33">
        <f t="shared" si="8"/>
        <v>245.33333333333331</v>
      </c>
      <c r="AG18" s="33">
        <f t="shared" si="9"/>
        <v>245.33333333333331</v>
      </c>
      <c r="AK18" s="128">
        <v>140</v>
      </c>
      <c r="AL18" s="146">
        <f>装备强化!BN19+装备熔炼!BF19</f>
        <v>13220</v>
      </c>
      <c r="AM18" s="146">
        <f>装备强化!BN48+装备熔炼!BF64</f>
        <v>13220</v>
      </c>
      <c r="AN18" s="146">
        <f>装备强化!BN77+装备熔炼!BF109</f>
        <v>13220</v>
      </c>
      <c r="AO18" s="146">
        <f>装备强化!BN106+装备熔炼!BF154</f>
        <v>13220</v>
      </c>
      <c r="AP18" s="146">
        <f>装备强化!BN135+装备熔炼!BF199</f>
        <v>13220</v>
      </c>
      <c r="AR18" s="165">
        <f>装备强化!BN19/AL18</f>
        <v>0.77307110438729199</v>
      </c>
      <c r="AS18" s="165">
        <f>装备熔炼!BF19/AL18</f>
        <v>0.22692889561270801</v>
      </c>
      <c r="AU18" s="50">
        <v>14</v>
      </c>
      <c r="AV18" s="50">
        <f t="shared" si="10"/>
        <v>245.33333333333331</v>
      </c>
      <c r="AW18" s="50">
        <f t="shared" si="11"/>
        <v>245.33333333333331</v>
      </c>
      <c r="AX18" s="50">
        <f t="shared" si="12"/>
        <v>245.33333333333331</v>
      </c>
      <c r="AY18" s="50">
        <f t="shared" si="13"/>
        <v>245.33333333333331</v>
      </c>
      <c r="AZ18" s="50">
        <f t="shared" si="14"/>
        <v>245.33333333333331</v>
      </c>
    </row>
    <row r="19" spans="2:52" x14ac:dyDescent="0.15">
      <c r="B19" s="128">
        <v>150</v>
      </c>
      <c r="C19" s="126">
        <f>装备强化!BT20</f>
        <v>66</v>
      </c>
      <c r="D19" s="126">
        <f>装备强化!BT49</f>
        <v>66</v>
      </c>
      <c r="E19" s="126">
        <f>装备强化!BT78</f>
        <v>66</v>
      </c>
      <c r="F19" s="126">
        <f>装备强化!BT107</f>
        <v>66</v>
      </c>
      <c r="G19" s="126">
        <f>装备强化!BT136</f>
        <v>66</v>
      </c>
      <c r="I19" s="33">
        <v>15</v>
      </c>
      <c r="J19" s="33">
        <f t="shared" si="0"/>
        <v>6.3388888888888886</v>
      </c>
      <c r="K19" s="33">
        <f t="shared" si="1"/>
        <v>6.3388888888888886</v>
      </c>
      <c r="L19" s="33">
        <f t="shared" si="2"/>
        <v>6.3388888888888886</v>
      </c>
      <c r="M19" s="33">
        <f t="shared" si="3"/>
        <v>6.3388888888888886</v>
      </c>
      <c r="N19" s="33">
        <f t="shared" si="4"/>
        <v>6.3388888888888886</v>
      </c>
      <c r="Q19" s="46"/>
      <c r="R19" s="128">
        <v>150</v>
      </c>
      <c r="S19" s="146">
        <f>装备强化!BH20+装备熔炼!BE20</f>
        <v>13880</v>
      </c>
      <c r="T19" s="146">
        <f>装备强化!BH49+装备熔炼!BE65</f>
        <v>13880</v>
      </c>
      <c r="U19" s="146">
        <f>装备强化!BH78+装备熔炼!BE110</f>
        <v>13880</v>
      </c>
      <c r="V19" s="146">
        <f>装备强化!BH107+装备熔炼!BE155</f>
        <v>13880</v>
      </c>
      <c r="W19" s="146">
        <f>装备强化!BH136+装备熔炼!BE200</f>
        <v>13880</v>
      </c>
      <c r="Y19" s="165">
        <f>装备强化!BH20/S19</f>
        <v>0.78386167146974062</v>
      </c>
      <c r="Z19" s="165">
        <f>装备熔炼!BE20/S19</f>
        <v>0.21613832853025935</v>
      </c>
      <c r="AB19" s="33">
        <v>15</v>
      </c>
      <c r="AC19" s="33">
        <f t="shared" si="5"/>
        <v>271.66666666666663</v>
      </c>
      <c r="AD19" s="33">
        <f t="shared" si="6"/>
        <v>271.66666666666663</v>
      </c>
      <c r="AE19" s="33">
        <f t="shared" si="7"/>
        <v>271.66666666666663</v>
      </c>
      <c r="AF19" s="33">
        <f t="shared" si="8"/>
        <v>271.66666666666663</v>
      </c>
      <c r="AG19" s="33">
        <f t="shared" si="9"/>
        <v>271.66666666666663</v>
      </c>
      <c r="AK19" s="128">
        <v>150</v>
      </c>
      <c r="AL19" s="146">
        <f>装备强化!BN20+装备熔炼!BF20</f>
        <v>13880</v>
      </c>
      <c r="AM19" s="146">
        <f>装备强化!BN49+装备熔炼!BF65</f>
        <v>13880</v>
      </c>
      <c r="AN19" s="146">
        <f>装备强化!BN78+装备熔炼!BF110</f>
        <v>13880</v>
      </c>
      <c r="AO19" s="146">
        <f>装备强化!BN107+装备熔炼!BF155</f>
        <v>13880</v>
      </c>
      <c r="AP19" s="146">
        <f>装备强化!BN136+装备熔炼!BF200</f>
        <v>13880</v>
      </c>
      <c r="AR19" s="165">
        <f>装备强化!BN20/AL19</f>
        <v>0.78386167146974062</v>
      </c>
      <c r="AS19" s="165">
        <f>装备熔炼!BF20/AL19</f>
        <v>0.21613832853025935</v>
      </c>
      <c r="AU19" s="50">
        <v>15</v>
      </c>
      <c r="AV19" s="50">
        <f t="shared" si="10"/>
        <v>271.66666666666663</v>
      </c>
      <c r="AW19" s="50">
        <f t="shared" si="11"/>
        <v>271.66666666666663</v>
      </c>
      <c r="AX19" s="50">
        <f t="shared" si="12"/>
        <v>271.66666666666663</v>
      </c>
      <c r="AY19" s="50">
        <f t="shared" si="13"/>
        <v>271.66666666666663</v>
      </c>
      <c r="AZ19" s="50">
        <f t="shared" si="14"/>
        <v>271.66666666666663</v>
      </c>
    </row>
    <row r="20" spans="2:52" x14ac:dyDescent="0.15">
      <c r="B20" s="128">
        <v>160</v>
      </c>
      <c r="C20" s="126">
        <f>装备强化!BT21</f>
        <v>66</v>
      </c>
      <c r="D20" s="126">
        <f>装备强化!BT50</f>
        <v>66</v>
      </c>
      <c r="E20" s="126">
        <f>装备强化!BT79</f>
        <v>66</v>
      </c>
      <c r="F20" s="126">
        <f>装备强化!BT108</f>
        <v>66</v>
      </c>
      <c r="G20" s="126">
        <f>装备强化!BT137</f>
        <v>66</v>
      </c>
      <c r="I20" s="33">
        <v>16</v>
      </c>
      <c r="J20" s="33">
        <f t="shared" si="0"/>
        <v>6.7533333333333321</v>
      </c>
      <c r="K20" s="33">
        <f t="shared" si="1"/>
        <v>6.7533333333333321</v>
      </c>
      <c r="L20" s="33">
        <f t="shared" si="2"/>
        <v>6.7533333333333321</v>
      </c>
      <c r="M20" s="33">
        <f t="shared" si="3"/>
        <v>6.7533333333333321</v>
      </c>
      <c r="N20" s="33">
        <f t="shared" si="4"/>
        <v>6.7533333333333321</v>
      </c>
      <c r="Q20" s="21">
        <v>4290</v>
      </c>
      <c r="R20" s="128">
        <v>160</v>
      </c>
      <c r="S20" s="146">
        <f>装备强化!BH21+装备熔炼!BE21</f>
        <v>14540</v>
      </c>
      <c r="T20" s="146">
        <f>装备强化!BH50+装备熔炼!BE66</f>
        <v>14540</v>
      </c>
      <c r="U20" s="146">
        <f>装备强化!BH79+装备熔炼!BE111</f>
        <v>14540</v>
      </c>
      <c r="V20" s="146">
        <f>装备强化!BH108+装备熔炼!BE156</f>
        <v>14540</v>
      </c>
      <c r="W20" s="146">
        <f>装备强化!BH137+装备熔炼!BE201</f>
        <v>14540</v>
      </c>
      <c r="Y20" s="165">
        <f>装备强化!BH21/S20</f>
        <v>0.79367262723521326</v>
      </c>
      <c r="Z20" s="165">
        <f>装备熔炼!BE21/S20</f>
        <v>0.2063273727647868</v>
      </c>
      <c r="AB20" s="33">
        <v>16</v>
      </c>
      <c r="AC20" s="33">
        <f t="shared" si="5"/>
        <v>298</v>
      </c>
      <c r="AD20" s="33">
        <f t="shared" si="6"/>
        <v>298</v>
      </c>
      <c r="AE20" s="33">
        <f t="shared" si="7"/>
        <v>298</v>
      </c>
      <c r="AF20" s="33">
        <f t="shared" si="8"/>
        <v>298</v>
      </c>
      <c r="AG20" s="33">
        <f t="shared" si="9"/>
        <v>298</v>
      </c>
      <c r="AK20" s="128">
        <v>160</v>
      </c>
      <c r="AL20" s="146">
        <f>装备强化!BN21+装备熔炼!BF21</f>
        <v>14540</v>
      </c>
      <c r="AM20" s="146">
        <f>装备强化!BN50+装备熔炼!BF66</f>
        <v>14540</v>
      </c>
      <c r="AN20" s="146">
        <f>装备强化!BN79+装备熔炼!BF111</f>
        <v>14540</v>
      </c>
      <c r="AO20" s="146">
        <f>装备强化!BN108+装备熔炼!BF156</f>
        <v>14540</v>
      </c>
      <c r="AP20" s="146">
        <f>装备强化!BN137+装备熔炼!BF201</f>
        <v>14540</v>
      </c>
      <c r="AR20" s="165">
        <f>装备强化!BN21/AL20</f>
        <v>0.79367262723521326</v>
      </c>
      <c r="AS20" s="165">
        <f>装备熔炼!BF21/AL20</f>
        <v>0.2063273727647868</v>
      </c>
      <c r="AU20" s="50">
        <v>16</v>
      </c>
      <c r="AV20" s="50">
        <f t="shared" si="10"/>
        <v>298</v>
      </c>
      <c r="AW20" s="50">
        <f t="shared" si="11"/>
        <v>298</v>
      </c>
      <c r="AX20" s="50">
        <f t="shared" si="12"/>
        <v>298</v>
      </c>
      <c r="AY20" s="50">
        <f t="shared" si="13"/>
        <v>298</v>
      </c>
      <c r="AZ20" s="50">
        <f t="shared" si="14"/>
        <v>298</v>
      </c>
    </row>
    <row r="21" spans="2:52" x14ac:dyDescent="0.15">
      <c r="I21" s="33">
        <v>17</v>
      </c>
      <c r="J21" s="33">
        <f t="shared" si="0"/>
        <v>7.1677777777777765</v>
      </c>
      <c r="K21" s="33">
        <f t="shared" si="1"/>
        <v>7.1677777777777765</v>
      </c>
      <c r="L21" s="33">
        <f t="shared" si="2"/>
        <v>7.1677777777777765</v>
      </c>
      <c r="M21" s="33">
        <f t="shared" si="3"/>
        <v>7.1677777777777765</v>
      </c>
      <c r="N21" s="33">
        <f t="shared" si="4"/>
        <v>7.1677777777777765</v>
      </c>
      <c r="AB21" s="33">
        <v>17</v>
      </c>
      <c r="AC21" s="33">
        <f t="shared" si="5"/>
        <v>324.33333333333331</v>
      </c>
      <c r="AD21" s="33">
        <f t="shared" si="6"/>
        <v>324.33333333333331</v>
      </c>
      <c r="AE21" s="33">
        <f t="shared" si="7"/>
        <v>324.33333333333331</v>
      </c>
      <c r="AF21" s="33">
        <f t="shared" si="8"/>
        <v>324.33333333333331</v>
      </c>
      <c r="AG21" s="33">
        <f t="shared" si="9"/>
        <v>324.33333333333331</v>
      </c>
      <c r="AU21" s="50">
        <v>17</v>
      </c>
      <c r="AV21" s="50">
        <f t="shared" si="10"/>
        <v>324.33333333333331</v>
      </c>
      <c r="AW21" s="50">
        <f t="shared" si="11"/>
        <v>324.33333333333331</v>
      </c>
      <c r="AX21" s="50">
        <f t="shared" si="12"/>
        <v>324.33333333333331</v>
      </c>
      <c r="AY21" s="50">
        <f t="shared" si="13"/>
        <v>324.33333333333331</v>
      </c>
      <c r="AZ21" s="50">
        <f t="shared" si="14"/>
        <v>324.33333333333331</v>
      </c>
    </row>
    <row r="22" spans="2:52" x14ac:dyDescent="0.15">
      <c r="I22" s="33">
        <v>18</v>
      </c>
      <c r="J22" s="33">
        <f t="shared" si="0"/>
        <v>7.5822222222222209</v>
      </c>
      <c r="K22" s="33">
        <f t="shared" si="1"/>
        <v>7.5822222222222209</v>
      </c>
      <c r="L22" s="33">
        <f t="shared" si="2"/>
        <v>7.5822222222222209</v>
      </c>
      <c r="M22" s="33">
        <f t="shared" si="3"/>
        <v>7.5822222222222209</v>
      </c>
      <c r="N22" s="33">
        <f t="shared" si="4"/>
        <v>7.5822222222222209</v>
      </c>
      <c r="AB22" s="33">
        <v>18</v>
      </c>
      <c r="AC22" s="33">
        <f t="shared" si="5"/>
        <v>350.66666666666663</v>
      </c>
      <c r="AD22" s="33">
        <f t="shared" si="6"/>
        <v>350.66666666666663</v>
      </c>
      <c r="AE22" s="33">
        <f t="shared" si="7"/>
        <v>350.66666666666663</v>
      </c>
      <c r="AF22" s="33">
        <f t="shared" si="8"/>
        <v>350.66666666666663</v>
      </c>
      <c r="AG22" s="33">
        <f t="shared" si="9"/>
        <v>350.66666666666663</v>
      </c>
      <c r="AU22" s="50">
        <v>18</v>
      </c>
      <c r="AV22" s="50">
        <f t="shared" si="10"/>
        <v>350.66666666666663</v>
      </c>
      <c r="AW22" s="50">
        <f t="shared" si="11"/>
        <v>350.66666666666663</v>
      </c>
      <c r="AX22" s="50">
        <f t="shared" si="12"/>
        <v>350.66666666666663</v>
      </c>
      <c r="AY22" s="50">
        <f t="shared" si="13"/>
        <v>350.66666666666663</v>
      </c>
      <c r="AZ22" s="50">
        <f t="shared" si="14"/>
        <v>350.66666666666663</v>
      </c>
    </row>
    <row r="23" spans="2:52" x14ac:dyDescent="0.15">
      <c r="I23" s="33">
        <v>19</v>
      </c>
      <c r="J23" s="33">
        <f t="shared" si="0"/>
        <v>7.9966666666666653</v>
      </c>
      <c r="K23" s="33">
        <f t="shared" si="1"/>
        <v>7.9966666666666653</v>
      </c>
      <c r="L23" s="33">
        <f t="shared" si="2"/>
        <v>7.9966666666666653</v>
      </c>
      <c r="M23" s="33">
        <f t="shared" si="3"/>
        <v>7.9966666666666653</v>
      </c>
      <c r="N23" s="33">
        <f t="shared" si="4"/>
        <v>7.9966666666666653</v>
      </c>
      <c r="AB23" s="33">
        <v>19</v>
      </c>
      <c r="AC23" s="33">
        <f t="shared" si="5"/>
        <v>377</v>
      </c>
      <c r="AD23" s="33">
        <f t="shared" si="6"/>
        <v>377</v>
      </c>
      <c r="AE23" s="33">
        <f t="shared" si="7"/>
        <v>377</v>
      </c>
      <c r="AF23" s="33">
        <f t="shared" si="8"/>
        <v>377</v>
      </c>
      <c r="AG23" s="33">
        <f t="shared" si="9"/>
        <v>377</v>
      </c>
      <c r="AU23" s="50">
        <v>19</v>
      </c>
      <c r="AV23" s="50">
        <f t="shared" si="10"/>
        <v>377</v>
      </c>
      <c r="AW23" s="50">
        <f t="shared" si="11"/>
        <v>377</v>
      </c>
      <c r="AX23" s="50">
        <f t="shared" si="12"/>
        <v>377</v>
      </c>
      <c r="AY23" s="50">
        <f t="shared" si="13"/>
        <v>377</v>
      </c>
      <c r="AZ23" s="50">
        <f t="shared" si="14"/>
        <v>377</v>
      </c>
    </row>
    <row r="24" spans="2:52" x14ac:dyDescent="0.15">
      <c r="I24" s="33">
        <v>20</v>
      </c>
      <c r="J24" s="33">
        <f t="shared" si="0"/>
        <v>8.4111111111111097</v>
      </c>
      <c r="K24" s="33">
        <f t="shared" si="1"/>
        <v>8.4111111111111097</v>
      </c>
      <c r="L24" s="33">
        <f t="shared" si="2"/>
        <v>8.4111111111111097</v>
      </c>
      <c r="M24" s="33">
        <f t="shared" si="3"/>
        <v>8.4111111111111097</v>
      </c>
      <c r="N24" s="33">
        <f t="shared" si="4"/>
        <v>8.4111111111111097</v>
      </c>
      <c r="AB24" s="33">
        <v>20</v>
      </c>
      <c r="AC24" s="33">
        <f t="shared" si="5"/>
        <v>403.33333333333331</v>
      </c>
      <c r="AD24" s="33">
        <f t="shared" si="6"/>
        <v>403.33333333333331</v>
      </c>
      <c r="AE24" s="33">
        <f t="shared" si="7"/>
        <v>403.33333333333331</v>
      </c>
      <c r="AF24" s="33">
        <f t="shared" si="8"/>
        <v>403.33333333333331</v>
      </c>
      <c r="AG24" s="33">
        <f t="shared" si="9"/>
        <v>403.33333333333331</v>
      </c>
      <c r="AU24" s="50">
        <v>20</v>
      </c>
      <c r="AV24" s="50">
        <f t="shared" si="10"/>
        <v>403.33333333333331</v>
      </c>
      <c r="AW24" s="50">
        <f t="shared" si="11"/>
        <v>403.33333333333331</v>
      </c>
      <c r="AX24" s="50">
        <f t="shared" si="12"/>
        <v>403.33333333333331</v>
      </c>
      <c r="AY24" s="50">
        <f t="shared" si="13"/>
        <v>403.33333333333331</v>
      </c>
      <c r="AZ24" s="50">
        <f t="shared" si="14"/>
        <v>403.33333333333331</v>
      </c>
    </row>
    <row r="25" spans="2:52" x14ac:dyDescent="0.15">
      <c r="I25" s="33">
        <v>21</v>
      </c>
      <c r="J25" s="33">
        <f t="shared" si="0"/>
        <v>9.1144444444444428</v>
      </c>
      <c r="K25" s="33">
        <f t="shared" si="1"/>
        <v>9.1144444444444428</v>
      </c>
      <c r="L25" s="33">
        <f t="shared" si="2"/>
        <v>9.1144444444444428</v>
      </c>
      <c r="M25" s="33">
        <f t="shared" si="3"/>
        <v>9.1144444444444428</v>
      </c>
      <c r="N25" s="33">
        <f t="shared" si="4"/>
        <v>9.1144444444444428</v>
      </c>
      <c r="AB25" s="33">
        <v>21</v>
      </c>
      <c r="AC25" s="33">
        <f t="shared" si="5"/>
        <v>469.66666666666663</v>
      </c>
      <c r="AD25" s="33">
        <f t="shared" si="6"/>
        <v>469.66666666666663</v>
      </c>
      <c r="AE25" s="33">
        <f t="shared" si="7"/>
        <v>469.66666666666663</v>
      </c>
      <c r="AF25" s="33">
        <f t="shared" si="8"/>
        <v>469.66666666666663</v>
      </c>
      <c r="AG25" s="33">
        <f t="shared" si="9"/>
        <v>469.66666666666663</v>
      </c>
      <c r="AU25" s="50">
        <v>21</v>
      </c>
      <c r="AV25" s="50">
        <f t="shared" si="10"/>
        <v>469.66666666666663</v>
      </c>
      <c r="AW25" s="50">
        <f t="shared" si="11"/>
        <v>469.66666666666663</v>
      </c>
      <c r="AX25" s="50">
        <f t="shared" si="12"/>
        <v>469.66666666666663</v>
      </c>
      <c r="AY25" s="50">
        <f t="shared" si="13"/>
        <v>469.66666666666663</v>
      </c>
      <c r="AZ25" s="50">
        <f t="shared" si="14"/>
        <v>469.66666666666663</v>
      </c>
    </row>
    <row r="26" spans="2:52" x14ac:dyDescent="0.15">
      <c r="I26" s="33">
        <v>22</v>
      </c>
      <c r="J26" s="33">
        <f t="shared" si="0"/>
        <v>9.8177777777777759</v>
      </c>
      <c r="K26" s="33">
        <f t="shared" si="1"/>
        <v>9.8177777777777759</v>
      </c>
      <c r="L26" s="33">
        <f t="shared" si="2"/>
        <v>9.8177777777777759</v>
      </c>
      <c r="M26" s="33">
        <f t="shared" si="3"/>
        <v>9.8177777777777759</v>
      </c>
      <c r="N26" s="33">
        <f t="shared" si="4"/>
        <v>9.8177777777777759</v>
      </c>
      <c r="AB26" s="33">
        <v>22</v>
      </c>
      <c r="AC26" s="33">
        <f t="shared" si="5"/>
        <v>536</v>
      </c>
      <c r="AD26" s="33">
        <f t="shared" si="6"/>
        <v>536</v>
      </c>
      <c r="AE26" s="33">
        <f t="shared" si="7"/>
        <v>536</v>
      </c>
      <c r="AF26" s="33">
        <f t="shared" si="8"/>
        <v>536</v>
      </c>
      <c r="AG26" s="33">
        <f t="shared" si="9"/>
        <v>536</v>
      </c>
      <c r="AU26" s="50">
        <v>22</v>
      </c>
      <c r="AV26" s="50">
        <f t="shared" si="10"/>
        <v>536</v>
      </c>
      <c r="AW26" s="50">
        <f t="shared" si="11"/>
        <v>536</v>
      </c>
      <c r="AX26" s="50">
        <f t="shared" si="12"/>
        <v>536</v>
      </c>
      <c r="AY26" s="50">
        <f t="shared" si="13"/>
        <v>536</v>
      </c>
      <c r="AZ26" s="50">
        <f t="shared" si="14"/>
        <v>536</v>
      </c>
    </row>
    <row r="27" spans="2:52" x14ac:dyDescent="0.15">
      <c r="I27" s="33">
        <v>23</v>
      </c>
      <c r="J27" s="33">
        <f t="shared" si="0"/>
        <v>10.521111111111111</v>
      </c>
      <c r="K27" s="33">
        <f t="shared" si="1"/>
        <v>10.521111111111111</v>
      </c>
      <c r="L27" s="33">
        <f t="shared" si="2"/>
        <v>10.521111111111111</v>
      </c>
      <c r="M27" s="33">
        <f t="shared" si="3"/>
        <v>10.521111111111111</v>
      </c>
      <c r="N27" s="33">
        <f t="shared" si="4"/>
        <v>10.521111111111111</v>
      </c>
      <c r="AB27" s="33">
        <v>23</v>
      </c>
      <c r="AC27" s="33">
        <f t="shared" si="5"/>
        <v>602.33333333333337</v>
      </c>
      <c r="AD27" s="33">
        <f t="shared" si="6"/>
        <v>602.33333333333337</v>
      </c>
      <c r="AE27" s="33">
        <f t="shared" si="7"/>
        <v>602.33333333333337</v>
      </c>
      <c r="AF27" s="33">
        <f t="shared" si="8"/>
        <v>602.33333333333337</v>
      </c>
      <c r="AG27" s="33">
        <f t="shared" si="9"/>
        <v>602.33333333333337</v>
      </c>
      <c r="AU27" s="50">
        <v>23</v>
      </c>
      <c r="AV27" s="50">
        <f t="shared" si="10"/>
        <v>602.33333333333337</v>
      </c>
      <c r="AW27" s="50">
        <f t="shared" si="11"/>
        <v>602.33333333333337</v>
      </c>
      <c r="AX27" s="50">
        <f t="shared" si="12"/>
        <v>602.33333333333337</v>
      </c>
      <c r="AY27" s="50">
        <f t="shared" si="13"/>
        <v>602.33333333333337</v>
      </c>
      <c r="AZ27" s="50">
        <f t="shared" si="14"/>
        <v>602.33333333333337</v>
      </c>
    </row>
    <row r="28" spans="2:52" x14ac:dyDescent="0.15">
      <c r="I28" s="33">
        <v>24</v>
      </c>
      <c r="J28" s="33">
        <f t="shared" si="0"/>
        <v>11.224444444444444</v>
      </c>
      <c r="K28" s="33">
        <f t="shared" si="1"/>
        <v>11.224444444444444</v>
      </c>
      <c r="L28" s="33">
        <f t="shared" si="2"/>
        <v>11.224444444444444</v>
      </c>
      <c r="M28" s="33">
        <f t="shared" si="3"/>
        <v>11.224444444444444</v>
      </c>
      <c r="N28" s="33">
        <f t="shared" si="4"/>
        <v>11.224444444444444</v>
      </c>
      <c r="AB28" s="33">
        <v>24</v>
      </c>
      <c r="AC28" s="33">
        <f t="shared" si="5"/>
        <v>668.66666666666674</v>
      </c>
      <c r="AD28" s="33">
        <f t="shared" si="6"/>
        <v>668.66666666666674</v>
      </c>
      <c r="AE28" s="33">
        <f t="shared" si="7"/>
        <v>668.66666666666674</v>
      </c>
      <c r="AF28" s="33">
        <f t="shared" si="8"/>
        <v>668.66666666666674</v>
      </c>
      <c r="AG28" s="33">
        <f t="shared" si="9"/>
        <v>668.66666666666674</v>
      </c>
      <c r="AU28" s="50">
        <v>24</v>
      </c>
      <c r="AV28" s="50">
        <f t="shared" si="10"/>
        <v>668.66666666666674</v>
      </c>
      <c r="AW28" s="50">
        <f t="shared" si="11"/>
        <v>668.66666666666674</v>
      </c>
      <c r="AX28" s="50">
        <f t="shared" si="12"/>
        <v>668.66666666666674</v>
      </c>
      <c r="AY28" s="50">
        <f t="shared" si="13"/>
        <v>668.66666666666674</v>
      </c>
      <c r="AZ28" s="50">
        <f t="shared" si="14"/>
        <v>668.66666666666674</v>
      </c>
    </row>
    <row r="29" spans="2:52" x14ac:dyDescent="0.15">
      <c r="I29" s="33">
        <v>25</v>
      </c>
      <c r="J29" s="33">
        <f t="shared" si="0"/>
        <v>11.927777777777777</v>
      </c>
      <c r="K29" s="33">
        <f t="shared" si="1"/>
        <v>11.927777777777777</v>
      </c>
      <c r="L29" s="33">
        <f t="shared" si="2"/>
        <v>11.927777777777777</v>
      </c>
      <c r="M29" s="33">
        <f t="shared" si="3"/>
        <v>11.927777777777777</v>
      </c>
      <c r="N29" s="33">
        <f t="shared" si="4"/>
        <v>11.927777777777777</v>
      </c>
      <c r="AB29" s="33">
        <v>25</v>
      </c>
      <c r="AC29" s="33">
        <f t="shared" si="5"/>
        <v>735</v>
      </c>
      <c r="AD29" s="33">
        <f t="shared" si="6"/>
        <v>735</v>
      </c>
      <c r="AE29" s="33">
        <f t="shared" si="7"/>
        <v>735</v>
      </c>
      <c r="AF29" s="33">
        <f t="shared" si="8"/>
        <v>735</v>
      </c>
      <c r="AG29" s="33">
        <f t="shared" si="9"/>
        <v>735</v>
      </c>
      <c r="AU29" s="50">
        <v>25</v>
      </c>
      <c r="AV29" s="50">
        <f t="shared" si="10"/>
        <v>735</v>
      </c>
      <c r="AW29" s="50">
        <f t="shared" si="11"/>
        <v>735</v>
      </c>
      <c r="AX29" s="50">
        <f t="shared" si="12"/>
        <v>735</v>
      </c>
      <c r="AY29" s="50">
        <f t="shared" si="13"/>
        <v>735</v>
      </c>
      <c r="AZ29" s="50">
        <f t="shared" si="14"/>
        <v>735</v>
      </c>
    </row>
    <row r="30" spans="2:52" x14ac:dyDescent="0.15">
      <c r="I30" s="33">
        <v>26</v>
      </c>
      <c r="J30" s="33">
        <f t="shared" si="0"/>
        <v>12.63111111111111</v>
      </c>
      <c r="K30" s="33">
        <f t="shared" si="1"/>
        <v>12.63111111111111</v>
      </c>
      <c r="L30" s="33">
        <f t="shared" si="2"/>
        <v>12.63111111111111</v>
      </c>
      <c r="M30" s="33">
        <f t="shared" si="3"/>
        <v>12.63111111111111</v>
      </c>
      <c r="N30" s="33">
        <f t="shared" si="4"/>
        <v>12.63111111111111</v>
      </c>
      <c r="AB30" s="33">
        <v>26</v>
      </c>
      <c r="AC30" s="33">
        <f t="shared" si="5"/>
        <v>801.33333333333337</v>
      </c>
      <c r="AD30" s="33">
        <f t="shared" si="6"/>
        <v>801.33333333333337</v>
      </c>
      <c r="AE30" s="33">
        <f t="shared" si="7"/>
        <v>801.33333333333337</v>
      </c>
      <c r="AF30" s="33">
        <f t="shared" si="8"/>
        <v>801.33333333333337</v>
      </c>
      <c r="AG30" s="33">
        <f t="shared" si="9"/>
        <v>801.33333333333337</v>
      </c>
      <c r="AU30" s="50">
        <v>26</v>
      </c>
      <c r="AV30" s="50">
        <f t="shared" si="10"/>
        <v>801.33333333333337</v>
      </c>
      <c r="AW30" s="50">
        <f t="shared" si="11"/>
        <v>801.33333333333337</v>
      </c>
      <c r="AX30" s="50">
        <f t="shared" si="12"/>
        <v>801.33333333333337</v>
      </c>
      <c r="AY30" s="50">
        <f t="shared" si="13"/>
        <v>801.33333333333337</v>
      </c>
      <c r="AZ30" s="50">
        <f t="shared" si="14"/>
        <v>801.33333333333337</v>
      </c>
    </row>
    <row r="31" spans="2:52" x14ac:dyDescent="0.15">
      <c r="I31" s="33">
        <v>27</v>
      </c>
      <c r="J31" s="33">
        <f t="shared" si="0"/>
        <v>13.334444444444443</v>
      </c>
      <c r="K31" s="33">
        <f t="shared" si="1"/>
        <v>13.334444444444443</v>
      </c>
      <c r="L31" s="33">
        <f t="shared" si="2"/>
        <v>13.334444444444443</v>
      </c>
      <c r="M31" s="33">
        <f t="shared" si="3"/>
        <v>13.334444444444443</v>
      </c>
      <c r="N31" s="33">
        <f t="shared" si="4"/>
        <v>13.334444444444443</v>
      </c>
      <c r="AB31" s="33">
        <v>27</v>
      </c>
      <c r="AC31" s="33">
        <f t="shared" si="5"/>
        <v>867.66666666666674</v>
      </c>
      <c r="AD31" s="33">
        <f t="shared" si="6"/>
        <v>867.66666666666674</v>
      </c>
      <c r="AE31" s="33">
        <f t="shared" si="7"/>
        <v>867.66666666666674</v>
      </c>
      <c r="AF31" s="33">
        <f t="shared" si="8"/>
        <v>867.66666666666674</v>
      </c>
      <c r="AG31" s="33">
        <f t="shared" si="9"/>
        <v>867.66666666666674</v>
      </c>
      <c r="AU31" s="50">
        <v>27</v>
      </c>
      <c r="AV31" s="50">
        <f t="shared" si="10"/>
        <v>867.66666666666674</v>
      </c>
      <c r="AW31" s="50">
        <f t="shared" si="11"/>
        <v>867.66666666666674</v>
      </c>
      <c r="AX31" s="50">
        <f t="shared" si="12"/>
        <v>867.66666666666674</v>
      </c>
      <c r="AY31" s="50">
        <f t="shared" si="13"/>
        <v>867.66666666666674</v>
      </c>
      <c r="AZ31" s="50">
        <f t="shared" si="14"/>
        <v>867.66666666666674</v>
      </c>
    </row>
    <row r="32" spans="2:52" x14ac:dyDescent="0.15">
      <c r="I32" s="33">
        <v>28</v>
      </c>
      <c r="J32" s="33">
        <f t="shared" si="0"/>
        <v>14.037777777777777</v>
      </c>
      <c r="K32" s="33">
        <f t="shared" si="1"/>
        <v>14.037777777777777</v>
      </c>
      <c r="L32" s="33">
        <f t="shared" si="2"/>
        <v>14.037777777777777</v>
      </c>
      <c r="M32" s="33">
        <f t="shared" si="3"/>
        <v>14.037777777777777</v>
      </c>
      <c r="N32" s="33">
        <f t="shared" si="4"/>
        <v>14.037777777777777</v>
      </c>
      <c r="AB32" s="33">
        <v>28</v>
      </c>
      <c r="AC32" s="33">
        <f t="shared" si="5"/>
        <v>934</v>
      </c>
      <c r="AD32" s="33">
        <f t="shared" si="6"/>
        <v>934</v>
      </c>
      <c r="AE32" s="33">
        <f t="shared" si="7"/>
        <v>934</v>
      </c>
      <c r="AF32" s="33">
        <f t="shared" si="8"/>
        <v>934</v>
      </c>
      <c r="AG32" s="33">
        <f t="shared" si="9"/>
        <v>934</v>
      </c>
      <c r="AU32" s="50">
        <v>28</v>
      </c>
      <c r="AV32" s="50">
        <f t="shared" si="10"/>
        <v>934</v>
      </c>
      <c r="AW32" s="50">
        <f t="shared" si="11"/>
        <v>934</v>
      </c>
      <c r="AX32" s="50">
        <f t="shared" si="12"/>
        <v>934</v>
      </c>
      <c r="AY32" s="50">
        <f t="shared" si="13"/>
        <v>934</v>
      </c>
      <c r="AZ32" s="50">
        <f t="shared" si="14"/>
        <v>934</v>
      </c>
    </row>
    <row r="33" spans="9:52" x14ac:dyDescent="0.15">
      <c r="I33" s="33">
        <v>29</v>
      </c>
      <c r="J33" s="33">
        <f t="shared" si="0"/>
        <v>14.74111111111111</v>
      </c>
      <c r="K33" s="33">
        <f t="shared" si="1"/>
        <v>14.74111111111111</v>
      </c>
      <c r="L33" s="33">
        <f t="shared" si="2"/>
        <v>14.74111111111111</v>
      </c>
      <c r="M33" s="33">
        <f t="shared" si="3"/>
        <v>14.74111111111111</v>
      </c>
      <c r="N33" s="33">
        <f t="shared" si="4"/>
        <v>14.74111111111111</v>
      </c>
      <c r="AB33" s="33">
        <v>29</v>
      </c>
      <c r="AC33" s="33">
        <f t="shared" si="5"/>
        <v>1000.3333333333335</v>
      </c>
      <c r="AD33" s="33">
        <f t="shared" si="6"/>
        <v>1000.3333333333335</v>
      </c>
      <c r="AE33" s="33">
        <f t="shared" si="7"/>
        <v>1000.3333333333335</v>
      </c>
      <c r="AF33" s="33">
        <f t="shared" si="8"/>
        <v>1000.3333333333335</v>
      </c>
      <c r="AG33" s="33">
        <f t="shared" si="9"/>
        <v>1000.3333333333335</v>
      </c>
      <c r="AU33" s="50">
        <v>29</v>
      </c>
      <c r="AV33" s="50">
        <f t="shared" si="10"/>
        <v>1000.3333333333335</v>
      </c>
      <c r="AW33" s="50">
        <f t="shared" si="11"/>
        <v>1000.3333333333335</v>
      </c>
      <c r="AX33" s="50">
        <f t="shared" si="12"/>
        <v>1000.3333333333335</v>
      </c>
      <c r="AY33" s="50">
        <f t="shared" si="13"/>
        <v>1000.3333333333335</v>
      </c>
      <c r="AZ33" s="50">
        <f t="shared" si="14"/>
        <v>1000.3333333333335</v>
      </c>
    </row>
    <row r="34" spans="9:52" x14ac:dyDescent="0.15">
      <c r="I34" s="33">
        <v>30</v>
      </c>
      <c r="J34" s="33">
        <f t="shared" si="0"/>
        <v>15.444444444444445</v>
      </c>
      <c r="K34" s="33">
        <f t="shared" si="1"/>
        <v>15.444444444444445</v>
      </c>
      <c r="L34" s="33">
        <f t="shared" si="2"/>
        <v>15.444444444444445</v>
      </c>
      <c r="M34" s="33">
        <f t="shared" si="3"/>
        <v>15.444444444444445</v>
      </c>
      <c r="N34" s="33">
        <f t="shared" si="4"/>
        <v>15.444444444444445</v>
      </c>
      <c r="AB34" s="33">
        <v>30</v>
      </c>
      <c r="AC34" s="33">
        <f t="shared" si="5"/>
        <v>1066.6666666666667</v>
      </c>
      <c r="AD34" s="33">
        <f t="shared" si="6"/>
        <v>1066.6666666666667</v>
      </c>
      <c r="AE34" s="33">
        <f t="shared" si="7"/>
        <v>1066.6666666666667</v>
      </c>
      <c r="AF34" s="33">
        <f t="shared" si="8"/>
        <v>1066.6666666666667</v>
      </c>
      <c r="AG34" s="33">
        <f t="shared" si="9"/>
        <v>1066.6666666666667</v>
      </c>
      <c r="AU34" s="50">
        <v>30</v>
      </c>
      <c r="AV34" s="50">
        <f t="shared" si="10"/>
        <v>1066.6666666666667</v>
      </c>
      <c r="AW34" s="50">
        <f t="shared" si="11"/>
        <v>1066.6666666666667</v>
      </c>
      <c r="AX34" s="50">
        <f t="shared" si="12"/>
        <v>1066.6666666666667</v>
      </c>
      <c r="AY34" s="50">
        <f t="shared" si="13"/>
        <v>1066.6666666666667</v>
      </c>
      <c r="AZ34" s="50">
        <f t="shared" si="14"/>
        <v>1066.6666666666667</v>
      </c>
    </row>
    <row r="35" spans="9:52" x14ac:dyDescent="0.15">
      <c r="I35" s="33">
        <v>31</v>
      </c>
      <c r="J35" s="33">
        <f t="shared" si="0"/>
        <v>16.535</v>
      </c>
      <c r="K35" s="33">
        <f t="shared" si="1"/>
        <v>16.535</v>
      </c>
      <c r="L35" s="33">
        <f t="shared" si="2"/>
        <v>16.535</v>
      </c>
      <c r="M35" s="33">
        <f t="shared" si="3"/>
        <v>16.535</v>
      </c>
      <c r="N35" s="33">
        <f t="shared" si="4"/>
        <v>16.535</v>
      </c>
      <c r="AB35" s="33">
        <v>31</v>
      </c>
      <c r="AC35" s="33">
        <f t="shared" si="5"/>
        <v>1178</v>
      </c>
      <c r="AD35" s="33">
        <f t="shared" si="6"/>
        <v>1178</v>
      </c>
      <c r="AE35" s="33">
        <f t="shared" si="7"/>
        <v>1178</v>
      </c>
      <c r="AF35" s="33">
        <f t="shared" si="8"/>
        <v>1178</v>
      </c>
      <c r="AG35" s="33">
        <f t="shared" si="9"/>
        <v>1178</v>
      </c>
      <c r="AU35" s="50">
        <v>31</v>
      </c>
      <c r="AV35" s="50">
        <f t="shared" si="10"/>
        <v>1178</v>
      </c>
      <c r="AW35" s="50">
        <f t="shared" si="11"/>
        <v>1178</v>
      </c>
      <c r="AX35" s="50">
        <f t="shared" si="12"/>
        <v>1178</v>
      </c>
      <c r="AY35" s="50">
        <f t="shared" si="13"/>
        <v>1178</v>
      </c>
      <c r="AZ35" s="50">
        <f t="shared" si="14"/>
        <v>1178</v>
      </c>
    </row>
    <row r="36" spans="9:52" x14ac:dyDescent="0.15">
      <c r="I36" s="33">
        <v>32</v>
      </c>
      <c r="J36" s="33">
        <f t="shared" si="0"/>
        <v>17.625555555555557</v>
      </c>
      <c r="K36" s="33">
        <f t="shared" si="1"/>
        <v>17.625555555555557</v>
      </c>
      <c r="L36" s="33">
        <f t="shared" si="2"/>
        <v>17.625555555555557</v>
      </c>
      <c r="M36" s="33">
        <f t="shared" si="3"/>
        <v>17.625555555555557</v>
      </c>
      <c r="N36" s="33">
        <f t="shared" si="4"/>
        <v>17.625555555555557</v>
      </c>
      <c r="AB36" s="33">
        <v>32</v>
      </c>
      <c r="AC36" s="33">
        <f t="shared" si="5"/>
        <v>1289.3333333333335</v>
      </c>
      <c r="AD36" s="33">
        <f t="shared" si="6"/>
        <v>1289.3333333333335</v>
      </c>
      <c r="AE36" s="33">
        <f t="shared" si="7"/>
        <v>1289.3333333333335</v>
      </c>
      <c r="AF36" s="33">
        <f t="shared" si="8"/>
        <v>1289.3333333333335</v>
      </c>
      <c r="AG36" s="33">
        <f t="shared" si="9"/>
        <v>1289.3333333333335</v>
      </c>
      <c r="AU36" s="50">
        <v>32</v>
      </c>
      <c r="AV36" s="50">
        <f t="shared" si="10"/>
        <v>1289.3333333333335</v>
      </c>
      <c r="AW36" s="50">
        <f t="shared" si="11"/>
        <v>1289.3333333333335</v>
      </c>
      <c r="AX36" s="50">
        <f t="shared" si="12"/>
        <v>1289.3333333333335</v>
      </c>
      <c r="AY36" s="50">
        <f t="shared" si="13"/>
        <v>1289.3333333333335</v>
      </c>
      <c r="AZ36" s="50">
        <f t="shared" si="14"/>
        <v>1289.3333333333335</v>
      </c>
    </row>
    <row r="37" spans="9:52" x14ac:dyDescent="0.15">
      <c r="I37" s="33">
        <v>33</v>
      </c>
      <c r="J37" s="33">
        <f t="shared" ref="J37:J68" si="15">求节点($B$5:$B$20,C$5:C$20,$I37)</f>
        <v>18.716111111111111</v>
      </c>
      <c r="K37" s="33">
        <f t="shared" ref="K37:K68" si="16">求节点($B$5:$B$20,D$5:D$20,$I37)</f>
        <v>18.716111111111111</v>
      </c>
      <c r="L37" s="33">
        <f t="shared" ref="L37:L68" si="17">求节点($B$5:$B$20,E$5:E$20,$I37)</f>
        <v>18.716111111111111</v>
      </c>
      <c r="M37" s="33">
        <f t="shared" ref="M37:M68" si="18">求节点($B$5:$B$20,F$5:F$20,$I37)</f>
        <v>18.716111111111111</v>
      </c>
      <c r="N37" s="33">
        <f t="shared" ref="N37:N68" si="19">求节点($B$5:$B$20,G$5:G$20,$I37)</f>
        <v>18.716111111111111</v>
      </c>
      <c r="AB37" s="33">
        <v>33</v>
      </c>
      <c r="AC37" s="33">
        <f t="shared" ref="AC37:AC68" si="20">求节点($R$5:$R$20,S$5:S$20,$AB37)</f>
        <v>1400.6666666666667</v>
      </c>
      <c r="AD37" s="33">
        <f t="shared" ref="AD37:AD68" si="21">求节点($R$5:$R$20,T$5:T$20,$AB37)</f>
        <v>1400.6666666666667</v>
      </c>
      <c r="AE37" s="33">
        <f t="shared" ref="AE37:AE68" si="22">求节点($R$5:$R$20,U$5:U$20,$AB37)</f>
        <v>1400.6666666666667</v>
      </c>
      <c r="AF37" s="33">
        <f t="shared" ref="AF37:AF68" si="23">求节点($R$5:$R$20,V$5:V$20,$AB37)</f>
        <v>1400.6666666666667</v>
      </c>
      <c r="AG37" s="33">
        <f t="shared" ref="AG37:AG68" si="24">求节点($R$5:$R$20,W$5:W$20,$AB37)</f>
        <v>1400.6666666666667</v>
      </c>
      <c r="AU37" s="50">
        <v>33</v>
      </c>
      <c r="AV37" s="50">
        <f t="shared" ref="AV37:AV68" si="25">求节点($R$5:$R$20,AL$5:AL$20,$AB37)</f>
        <v>1400.6666666666667</v>
      </c>
      <c r="AW37" s="50">
        <f t="shared" ref="AW37:AW68" si="26">求节点($R$5:$R$20,AM$5:AM$20,$AB37)</f>
        <v>1400.6666666666667</v>
      </c>
      <c r="AX37" s="50">
        <f t="shared" ref="AX37:AX68" si="27">求节点($R$5:$R$20,AN$5:AN$20,$AB37)</f>
        <v>1400.6666666666667</v>
      </c>
      <c r="AY37" s="50">
        <f t="shared" ref="AY37:AY68" si="28">求节点($R$5:$R$20,AO$5:AO$20,$AB37)</f>
        <v>1400.6666666666667</v>
      </c>
      <c r="AZ37" s="50">
        <f t="shared" ref="AZ37:AZ68" si="29">求节点($R$5:$R$20,AP$5:AP$20,$AB37)</f>
        <v>1400.6666666666667</v>
      </c>
    </row>
    <row r="38" spans="9:52" x14ac:dyDescent="0.15">
      <c r="I38" s="33">
        <v>34</v>
      </c>
      <c r="J38" s="33">
        <f t="shared" si="15"/>
        <v>19.806666666666668</v>
      </c>
      <c r="K38" s="33">
        <f t="shared" si="16"/>
        <v>19.806666666666668</v>
      </c>
      <c r="L38" s="33">
        <f t="shared" si="17"/>
        <v>19.806666666666668</v>
      </c>
      <c r="M38" s="33">
        <f t="shared" si="18"/>
        <v>19.806666666666668</v>
      </c>
      <c r="N38" s="33">
        <f t="shared" si="19"/>
        <v>19.806666666666668</v>
      </c>
      <c r="AB38" s="33">
        <v>34</v>
      </c>
      <c r="AC38" s="33">
        <f t="shared" si="20"/>
        <v>1512</v>
      </c>
      <c r="AD38" s="33">
        <f t="shared" si="21"/>
        <v>1512</v>
      </c>
      <c r="AE38" s="33">
        <f t="shared" si="22"/>
        <v>1512</v>
      </c>
      <c r="AF38" s="33">
        <f t="shared" si="23"/>
        <v>1512</v>
      </c>
      <c r="AG38" s="33">
        <f t="shared" si="24"/>
        <v>1512</v>
      </c>
      <c r="AU38" s="50">
        <v>34</v>
      </c>
      <c r="AV38" s="50">
        <f t="shared" si="25"/>
        <v>1512</v>
      </c>
      <c r="AW38" s="50">
        <f t="shared" si="26"/>
        <v>1512</v>
      </c>
      <c r="AX38" s="50">
        <f t="shared" si="27"/>
        <v>1512</v>
      </c>
      <c r="AY38" s="50">
        <f t="shared" si="28"/>
        <v>1512</v>
      </c>
      <c r="AZ38" s="50">
        <f t="shared" si="29"/>
        <v>1512</v>
      </c>
    </row>
    <row r="39" spans="9:52" x14ac:dyDescent="0.15">
      <c r="I39" s="33">
        <v>35</v>
      </c>
      <c r="J39" s="33">
        <f t="shared" si="15"/>
        <v>20.897222222222222</v>
      </c>
      <c r="K39" s="33">
        <f t="shared" si="16"/>
        <v>20.897222222222222</v>
      </c>
      <c r="L39" s="33">
        <f t="shared" si="17"/>
        <v>20.897222222222222</v>
      </c>
      <c r="M39" s="33">
        <f t="shared" si="18"/>
        <v>20.897222222222222</v>
      </c>
      <c r="N39" s="33">
        <f t="shared" si="19"/>
        <v>20.897222222222222</v>
      </c>
      <c r="AB39" s="33">
        <v>35</v>
      </c>
      <c r="AC39" s="33">
        <f t="shared" si="20"/>
        <v>1623.3333333333335</v>
      </c>
      <c r="AD39" s="33">
        <f t="shared" si="21"/>
        <v>1623.3333333333335</v>
      </c>
      <c r="AE39" s="33">
        <f t="shared" si="22"/>
        <v>1623.3333333333335</v>
      </c>
      <c r="AF39" s="33">
        <f t="shared" si="23"/>
        <v>1623.3333333333335</v>
      </c>
      <c r="AG39" s="33">
        <f t="shared" si="24"/>
        <v>1623.3333333333335</v>
      </c>
      <c r="AU39" s="50">
        <v>35</v>
      </c>
      <c r="AV39" s="50">
        <f t="shared" si="25"/>
        <v>1623.3333333333335</v>
      </c>
      <c r="AW39" s="50">
        <f t="shared" si="26"/>
        <v>1623.3333333333335</v>
      </c>
      <c r="AX39" s="50">
        <f t="shared" si="27"/>
        <v>1623.3333333333335</v>
      </c>
      <c r="AY39" s="50">
        <f t="shared" si="28"/>
        <v>1623.3333333333335</v>
      </c>
      <c r="AZ39" s="50">
        <f t="shared" si="29"/>
        <v>1623.3333333333335</v>
      </c>
    </row>
    <row r="40" spans="9:52" x14ac:dyDescent="0.15">
      <c r="I40" s="33">
        <v>36</v>
      </c>
      <c r="J40" s="33">
        <f t="shared" si="15"/>
        <v>21.987777777777779</v>
      </c>
      <c r="K40" s="33">
        <f t="shared" si="16"/>
        <v>21.987777777777779</v>
      </c>
      <c r="L40" s="33">
        <f t="shared" si="17"/>
        <v>21.987777777777779</v>
      </c>
      <c r="M40" s="33">
        <f t="shared" si="18"/>
        <v>21.987777777777779</v>
      </c>
      <c r="N40" s="33">
        <f t="shared" si="19"/>
        <v>21.987777777777779</v>
      </c>
      <c r="AB40" s="33">
        <v>36</v>
      </c>
      <c r="AC40" s="33">
        <f t="shared" si="20"/>
        <v>1734.6666666666667</v>
      </c>
      <c r="AD40" s="33">
        <f t="shared" si="21"/>
        <v>1734.6666666666667</v>
      </c>
      <c r="AE40" s="33">
        <f t="shared" si="22"/>
        <v>1734.6666666666667</v>
      </c>
      <c r="AF40" s="33">
        <f t="shared" si="23"/>
        <v>1734.6666666666667</v>
      </c>
      <c r="AG40" s="33">
        <f t="shared" si="24"/>
        <v>1734.6666666666667</v>
      </c>
      <c r="AU40" s="50">
        <v>36</v>
      </c>
      <c r="AV40" s="50">
        <f t="shared" si="25"/>
        <v>1734.6666666666667</v>
      </c>
      <c r="AW40" s="50">
        <f t="shared" si="26"/>
        <v>1734.6666666666667</v>
      </c>
      <c r="AX40" s="50">
        <f t="shared" si="27"/>
        <v>1734.6666666666667</v>
      </c>
      <c r="AY40" s="50">
        <f t="shared" si="28"/>
        <v>1734.6666666666667</v>
      </c>
      <c r="AZ40" s="50">
        <f t="shared" si="29"/>
        <v>1734.6666666666667</v>
      </c>
    </row>
    <row r="41" spans="9:52" x14ac:dyDescent="0.15">
      <c r="I41" s="33">
        <v>37</v>
      </c>
      <c r="J41" s="33">
        <f t="shared" si="15"/>
        <v>23.078333333333333</v>
      </c>
      <c r="K41" s="33">
        <f t="shared" si="16"/>
        <v>23.078333333333333</v>
      </c>
      <c r="L41" s="33">
        <f t="shared" si="17"/>
        <v>23.078333333333333</v>
      </c>
      <c r="M41" s="33">
        <f t="shared" si="18"/>
        <v>23.078333333333333</v>
      </c>
      <c r="N41" s="33">
        <f t="shared" si="19"/>
        <v>23.078333333333333</v>
      </c>
      <c r="AB41" s="33">
        <v>37</v>
      </c>
      <c r="AC41" s="33">
        <f t="shared" si="20"/>
        <v>1846</v>
      </c>
      <c r="AD41" s="33">
        <f t="shared" si="21"/>
        <v>1846</v>
      </c>
      <c r="AE41" s="33">
        <f t="shared" si="22"/>
        <v>1846</v>
      </c>
      <c r="AF41" s="33">
        <f t="shared" si="23"/>
        <v>1846</v>
      </c>
      <c r="AG41" s="33">
        <f t="shared" si="24"/>
        <v>1846</v>
      </c>
      <c r="AU41" s="50">
        <v>37</v>
      </c>
      <c r="AV41" s="50">
        <f t="shared" si="25"/>
        <v>1846</v>
      </c>
      <c r="AW41" s="50">
        <f t="shared" si="26"/>
        <v>1846</v>
      </c>
      <c r="AX41" s="50">
        <f t="shared" si="27"/>
        <v>1846</v>
      </c>
      <c r="AY41" s="50">
        <f t="shared" si="28"/>
        <v>1846</v>
      </c>
      <c r="AZ41" s="50">
        <f t="shared" si="29"/>
        <v>1846</v>
      </c>
    </row>
    <row r="42" spans="9:52" x14ac:dyDescent="0.15">
      <c r="I42" s="33">
        <v>38</v>
      </c>
      <c r="J42" s="33">
        <f t="shared" si="15"/>
        <v>24.16888888888889</v>
      </c>
      <c r="K42" s="33">
        <f t="shared" si="16"/>
        <v>24.16888888888889</v>
      </c>
      <c r="L42" s="33">
        <f t="shared" si="17"/>
        <v>24.16888888888889</v>
      </c>
      <c r="M42" s="33">
        <f t="shared" si="18"/>
        <v>24.16888888888889</v>
      </c>
      <c r="N42" s="33">
        <f t="shared" si="19"/>
        <v>24.16888888888889</v>
      </c>
      <c r="AB42" s="33">
        <v>38</v>
      </c>
      <c r="AC42" s="33">
        <f t="shared" si="20"/>
        <v>1957.3333333333335</v>
      </c>
      <c r="AD42" s="33">
        <f t="shared" si="21"/>
        <v>1957.3333333333335</v>
      </c>
      <c r="AE42" s="33">
        <f t="shared" si="22"/>
        <v>1957.3333333333335</v>
      </c>
      <c r="AF42" s="33">
        <f t="shared" si="23"/>
        <v>1957.3333333333335</v>
      </c>
      <c r="AG42" s="33">
        <f t="shared" si="24"/>
        <v>1957.3333333333335</v>
      </c>
      <c r="AU42" s="50">
        <v>38</v>
      </c>
      <c r="AV42" s="50">
        <f t="shared" si="25"/>
        <v>1957.3333333333335</v>
      </c>
      <c r="AW42" s="50">
        <f t="shared" si="26"/>
        <v>1957.3333333333335</v>
      </c>
      <c r="AX42" s="50">
        <f t="shared" si="27"/>
        <v>1957.3333333333335</v>
      </c>
      <c r="AY42" s="50">
        <f t="shared" si="28"/>
        <v>1957.3333333333335</v>
      </c>
      <c r="AZ42" s="50">
        <f t="shared" si="29"/>
        <v>1957.3333333333335</v>
      </c>
    </row>
    <row r="43" spans="9:52" x14ac:dyDescent="0.15">
      <c r="I43" s="33">
        <v>39</v>
      </c>
      <c r="J43" s="33">
        <f t="shared" si="15"/>
        <v>25.259444444444448</v>
      </c>
      <c r="K43" s="33">
        <f t="shared" si="16"/>
        <v>25.259444444444448</v>
      </c>
      <c r="L43" s="33">
        <f t="shared" si="17"/>
        <v>25.259444444444448</v>
      </c>
      <c r="M43" s="33">
        <f t="shared" si="18"/>
        <v>25.259444444444448</v>
      </c>
      <c r="N43" s="33">
        <f t="shared" si="19"/>
        <v>25.259444444444448</v>
      </c>
      <c r="AB43" s="33">
        <v>39</v>
      </c>
      <c r="AC43" s="33">
        <f t="shared" si="20"/>
        <v>2068.666666666667</v>
      </c>
      <c r="AD43" s="33">
        <f t="shared" si="21"/>
        <v>2068.666666666667</v>
      </c>
      <c r="AE43" s="33">
        <f t="shared" si="22"/>
        <v>2068.666666666667</v>
      </c>
      <c r="AF43" s="33">
        <f t="shared" si="23"/>
        <v>2068.666666666667</v>
      </c>
      <c r="AG43" s="33">
        <f t="shared" si="24"/>
        <v>2068.666666666667</v>
      </c>
      <c r="AU43" s="50">
        <v>39</v>
      </c>
      <c r="AV43" s="50">
        <f t="shared" si="25"/>
        <v>2068.666666666667</v>
      </c>
      <c r="AW43" s="50">
        <f t="shared" si="26"/>
        <v>2068.666666666667</v>
      </c>
      <c r="AX43" s="50">
        <f t="shared" si="27"/>
        <v>2068.666666666667</v>
      </c>
      <c r="AY43" s="50">
        <f t="shared" si="28"/>
        <v>2068.666666666667</v>
      </c>
      <c r="AZ43" s="50">
        <f t="shared" si="29"/>
        <v>2068.666666666667</v>
      </c>
    </row>
    <row r="44" spans="9:52" x14ac:dyDescent="0.15">
      <c r="I44" s="33">
        <v>40</v>
      </c>
      <c r="J44" s="33">
        <f t="shared" si="15"/>
        <v>26.35</v>
      </c>
      <c r="K44" s="33">
        <f t="shared" si="16"/>
        <v>26.35</v>
      </c>
      <c r="L44" s="33">
        <f t="shared" si="17"/>
        <v>26.35</v>
      </c>
      <c r="M44" s="33">
        <f t="shared" si="18"/>
        <v>26.35</v>
      </c>
      <c r="N44" s="33">
        <f t="shared" si="19"/>
        <v>26.35</v>
      </c>
      <c r="AB44" s="33">
        <v>40</v>
      </c>
      <c r="AC44" s="33">
        <f t="shared" si="20"/>
        <v>2180</v>
      </c>
      <c r="AD44" s="33">
        <f t="shared" si="21"/>
        <v>2180</v>
      </c>
      <c r="AE44" s="33">
        <f t="shared" si="22"/>
        <v>2180</v>
      </c>
      <c r="AF44" s="33">
        <f t="shared" si="23"/>
        <v>2180</v>
      </c>
      <c r="AG44" s="33">
        <f t="shared" si="24"/>
        <v>2180</v>
      </c>
      <c r="AU44" s="50">
        <v>40</v>
      </c>
      <c r="AV44" s="50">
        <f t="shared" si="25"/>
        <v>2180</v>
      </c>
      <c r="AW44" s="50">
        <f t="shared" si="26"/>
        <v>2180</v>
      </c>
      <c r="AX44" s="50">
        <f t="shared" si="27"/>
        <v>2180</v>
      </c>
      <c r="AY44" s="50">
        <f t="shared" si="28"/>
        <v>2180</v>
      </c>
      <c r="AZ44" s="50">
        <f t="shared" si="29"/>
        <v>2180</v>
      </c>
    </row>
    <row r="45" spans="9:52" x14ac:dyDescent="0.15">
      <c r="I45" s="33">
        <v>41</v>
      </c>
      <c r="J45" s="33">
        <f t="shared" si="15"/>
        <v>26.85425</v>
      </c>
      <c r="K45" s="33">
        <f t="shared" si="16"/>
        <v>26.85425</v>
      </c>
      <c r="L45" s="33">
        <f t="shared" si="17"/>
        <v>26.85425</v>
      </c>
      <c r="M45" s="33">
        <f t="shared" si="18"/>
        <v>26.85425</v>
      </c>
      <c r="N45" s="33">
        <f t="shared" si="19"/>
        <v>26.85425</v>
      </c>
      <c r="AB45" s="33">
        <v>41</v>
      </c>
      <c r="AC45" s="33">
        <f t="shared" si="20"/>
        <v>2243</v>
      </c>
      <c r="AD45" s="33">
        <f t="shared" si="21"/>
        <v>2243</v>
      </c>
      <c r="AE45" s="33">
        <f t="shared" si="22"/>
        <v>2243</v>
      </c>
      <c r="AF45" s="33">
        <f t="shared" si="23"/>
        <v>2243</v>
      </c>
      <c r="AG45" s="33">
        <f t="shared" si="24"/>
        <v>2243</v>
      </c>
      <c r="AU45" s="50">
        <v>41</v>
      </c>
      <c r="AV45" s="50">
        <f t="shared" si="25"/>
        <v>2243</v>
      </c>
      <c r="AW45" s="50">
        <f t="shared" si="26"/>
        <v>2243</v>
      </c>
      <c r="AX45" s="50">
        <f t="shared" si="27"/>
        <v>2243</v>
      </c>
      <c r="AY45" s="50">
        <f t="shared" si="28"/>
        <v>2243</v>
      </c>
      <c r="AZ45" s="50">
        <f t="shared" si="29"/>
        <v>2243</v>
      </c>
    </row>
    <row r="46" spans="9:52" x14ac:dyDescent="0.15">
      <c r="I46" s="33">
        <v>42</v>
      </c>
      <c r="J46" s="33">
        <f t="shared" si="15"/>
        <v>27.358499999999999</v>
      </c>
      <c r="K46" s="33">
        <f t="shared" si="16"/>
        <v>27.358499999999999</v>
      </c>
      <c r="L46" s="33">
        <f t="shared" si="17"/>
        <v>27.358499999999999</v>
      </c>
      <c r="M46" s="33">
        <f t="shared" si="18"/>
        <v>27.358499999999999</v>
      </c>
      <c r="N46" s="33">
        <f t="shared" si="19"/>
        <v>27.358499999999999</v>
      </c>
      <c r="AB46" s="33">
        <v>42</v>
      </c>
      <c r="AC46" s="33">
        <f t="shared" si="20"/>
        <v>2306</v>
      </c>
      <c r="AD46" s="33">
        <f t="shared" si="21"/>
        <v>2306</v>
      </c>
      <c r="AE46" s="33">
        <f t="shared" si="22"/>
        <v>2306</v>
      </c>
      <c r="AF46" s="33">
        <f t="shared" si="23"/>
        <v>2306</v>
      </c>
      <c r="AG46" s="33">
        <f t="shared" si="24"/>
        <v>2306</v>
      </c>
      <c r="AU46" s="50">
        <v>42</v>
      </c>
      <c r="AV46" s="50">
        <f t="shared" si="25"/>
        <v>2306</v>
      </c>
      <c r="AW46" s="50">
        <f t="shared" si="26"/>
        <v>2306</v>
      </c>
      <c r="AX46" s="50">
        <f t="shared" si="27"/>
        <v>2306</v>
      </c>
      <c r="AY46" s="50">
        <f t="shared" si="28"/>
        <v>2306</v>
      </c>
      <c r="AZ46" s="50">
        <f t="shared" si="29"/>
        <v>2306</v>
      </c>
    </row>
    <row r="47" spans="9:52" x14ac:dyDescent="0.15">
      <c r="I47" s="33">
        <v>43</v>
      </c>
      <c r="J47" s="33">
        <f t="shared" si="15"/>
        <v>27.862750000000002</v>
      </c>
      <c r="K47" s="33">
        <f t="shared" si="16"/>
        <v>27.862750000000002</v>
      </c>
      <c r="L47" s="33">
        <f t="shared" si="17"/>
        <v>27.862750000000002</v>
      </c>
      <c r="M47" s="33">
        <f t="shared" si="18"/>
        <v>27.862750000000002</v>
      </c>
      <c r="N47" s="33">
        <f t="shared" si="19"/>
        <v>27.862750000000002</v>
      </c>
      <c r="AB47" s="33">
        <v>43</v>
      </c>
      <c r="AC47" s="33">
        <f t="shared" si="20"/>
        <v>2369</v>
      </c>
      <c r="AD47" s="33">
        <f t="shared" si="21"/>
        <v>2369</v>
      </c>
      <c r="AE47" s="33">
        <f t="shared" si="22"/>
        <v>2369</v>
      </c>
      <c r="AF47" s="33">
        <f t="shared" si="23"/>
        <v>2369</v>
      </c>
      <c r="AG47" s="33">
        <f t="shared" si="24"/>
        <v>2369</v>
      </c>
      <c r="AU47" s="50">
        <v>43</v>
      </c>
      <c r="AV47" s="50">
        <f t="shared" si="25"/>
        <v>2369</v>
      </c>
      <c r="AW47" s="50">
        <f t="shared" si="26"/>
        <v>2369</v>
      </c>
      <c r="AX47" s="50">
        <f t="shared" si="27"/>
        <v>2369</v>
      </c>
      <c r="AY47" s="50">
        <f t="shared" si="28"/>
        <v>2369</v>
      </c>
      <c r="AZ47" s="50">
        <f t="shared" si="29"/>
        <v>2369</v>
      </c>
    </row>
    <row r="48" spans="9:52" x14ac:dyDescent="0.15">
      <c r="I48" s="33">
        <v>44</v>
      </c>
      <c r="J48" s="33">
        <f t="shared" si="15"/>
        <v>28.367000000000001</v>
      </c>
      <c r="K48" s="33">
        <f t="shared" si="16"/>
        <v>28.367000000000001</v>
      </c>
      <c r="L48" s="33">
        <f t="shared" si="17"/>
        <v>28.367000000000001</v>
      </c>
      <c r="M48" s="33">
        <f t="shared" si="18"/>
        <v>28.367000000000001</v>
      </c>
      <c r="N48" s="33">
        <f t="shared" si="19"/>
        <v>28.367000000000001</v>
      </c>
      <c r="AB48" s="33">
        <v>44</v>
      </c>
      <c r="AC48" s="33">
        <f t="shared" si="20"/>
        <v>2432</v>
      </c>
      <c r="AD48" s="33">
        <f t="shared" si="21"/>
        <v>2432</v>
      </c>
      <c r="AE48" s="33">
        <f t="shared" si="22"/>
        <v>2432</v>
      </c>
      <c r="AF48" s="33">
        <f t="shared" si="23"/>
        <v>2432</v>
      </c>
      <c r="AG48" s="33">
        <f t="shared" si="24"/>
        <v>2432</v>
      </c>
      <c r="AU48" s="50">
        <v>44</v>
      </c>
      <c r="AV48" s="50">
        <f t="shared" si="25"/>
        <v>2432</v>
      </c>
      <c r="AW48" s="50">
        <f t="shared" si="26"/>
        <v>2432</v>
      </c>
      <c r="AX48" s="50">
        <f t="shared" si="27"/>
        <v>2432</v>
      </c>
      <c r="AY48" s="50">
        <f t="shared" si="28"/>
        <v>2432</v>
      </c>
      <c r="AZ48" s="50">
        <f t="shared" si="29"/>
        <v>2432</v>
      </c>
    </row>
    <row r="49" spans="9:52" x14ac:dyDescent="0.15">
      <c r="I49" s="33">
        <v>45</v>
      </c>
      <c r="J49" s="33">
        <f t="shared" si="15"/>
        <v>28.87125</v>
      </c>
      <c r="K49" s="33">
        <f t="shared" si="16"/>
        <v>28.87125</v>
      </c>
      <c r="L49" s="33">
        <f t="shared" si="17"/>
        <v>28.87125</v>
      </c>
      <c r="M49" s="33">
        <f t="shared" si="18"/>
        <v>28.87125</v>
      </c>
      <c r="N49" s="33">
        <f t="shared" si="19"/>
        <v>28.87125</v>
      </c>
      <c r="AB49" s="33">
        <v>45</v>
      </c>
      <c r="AC49" s="33">
        <f t="shared" si="20"/>
        <v>2495</v>
      </c>
      <c r="AD49" s="33">
        <f t="shared" si="21"/>
        <v>2495</v>
      </c>
      <c r="AE49" s="33">
        <f t="shared" si="22"/>
        <v>2495</v>
      </c>
      <c r="AF49" s="33">
        <f t="shared" si="23"/>
        <v>2495</v>
      </c>
      <c r="AG49" s="33">
        <f t="shared" si="24"/>
        <v>2495</v>
      </c>
      <c r="AU49" s="50">
        <v>45</v>
      </c>
      <c r="AV49" s="50">
        <f t="shared" si="25"/>
        <v>2495</v>
      </c>
      <c r="AW49" s="50">
        <f t="shared" si="26"/>
        <v>2495</v>
      </c>
      <c r="AX49" s="50">
        <f t="shared" si="27"/>
        <v>2495</v>
      </c>
      <c r="AY49" s="50">
        <f t="shared" si="28"/>
        <v>2495</v>
      </c>
      <c r="AZ49" s="50">
        <f t="shared" si="29"/>
        <v>2495</v>
      </c>
    </row>
    <row r="50" spans="9:52" x14ac:dyDescent="0.15">
      <c r="I50" s="33">
        <v>46</v>
      </c>
      <c r="J50" s="33">
        <f t="shared" si="15"/>
        <v>29.375499999999999</v>
      </c>
      <c r="K50" s="33">
        <f t="shared" si="16"/>
        <v>29.375499999999999</v>
      </c>
      <c r="L50" s="33">
        <f t="shared" si="17"/>
        <v>29.375499999999999</v>
      </c>
      <c r="M50" s="33">
        <f t="shared" si="18"/>
        <v>29.375499999999999</v>
      </c>
      <c r="N50" s="33">
        <f t="shared" si="19"/>
        <v>29.375499999999999</v>
      </c>
      <c r="AB50" s="33">
        <v>46</v>
      </c>
      <c r="AC50" s="33">
        <f t="shared" si="20"/>
        <v>2558</v>
      </c>
      <c r="AD50" s="33">
        <f t="shared" si="21"/>
        <v>2558</v>
      </c>
      <c r="AE50" s="33">
        <f t="shared" si="22"/>
        <v>2558</v>
      </c>
      <c r="AF50" s="33">
        <f t="shared" si="23"/>
        <v>2558</v>
      </c>
      <c r="AG50" s="33">
        <f t="shared" si="24"/>
        <v>2558</v>
      </c>
      <c r="AU50" s="50">
        <v>46</v>
      </c>
      <c r="AV50" s="50">
        <f t="shared" si="25"/>
        <v>2558</v>
      </c>
      <c r="AW50" s="50">
        <f t="shared" si="26"/>
        <v>2558</v>
      </c>
      <c r="AX50" s="50">
        <f t="shared" si="27"/>
        <v>2558</v>
      </c>
      <c r="AY50" s="50">
        <f t="shared" si="28"/>
        <v>2558</v>
      </c>
      <c r="AZ50" s="50">
        <f t="shared" si="29"/>
        <v>2558</v>
      </c>
    </row>
    <row r="51" spans="9:52" x14ac:dyDescent="0.15">
      <c r="I51" s="33">
        <v>47</v>
      </c>
      <c r="J51" s="33">
        <f t="shared" si="15"/>
        <v>29.879749999999998</v>
      </c>
      <c r="K51" s="33">
        <f t="shared" si="16"/>
        <v>29.879749999999998</v>
      </c>
      <c r="L51" s="33">
        <f t="shared" si="17"/>
        <v>29.879749999999998</v>
      </c>
      <c r="M51" s="33">
        <f t="shared" si="18"/>
        <v>29.879749999999998</v>
      </c>
      <c r="N51" s="33">
        <f t="shared" si="19"/>
        <v>29.879749999999998</v>
      </c>
      <c r="AB51" s="33">
        <v>47</v>
      </c>
      <c r="AC51" s="33">
        <f t="shared" si="20"/>
        <v>2621</v>
      </c>
      <c r="AD51" s="33">
        <f t="shared" si="21"/>
        <v>2621</v>
      </c>
      <c r="AE51" s="33">
        <f t="shared" si="22"/>
        <v>2621</v>
      </c>
      <c r="AF51" s="33">
        <f t="shared" si="23"/>
        <v>2621</v>
      </c>
      <c r="AG51" s="33">
        <f t="shared" si="24"/>
        <v>2621</v>
      </c>
      <c r="AU51" s="50">
        <v>47</v>
      </c>
      <c r="AV51" s="50">
        <f t="shared" si="25"/>
        <v>2621</v>
      </c>
      <c r="AW51" s="50">
        <f t="shared" si="26"/>
        <v>2621</v>
      </c>
      <c r="AX51" s="50">
        <f t="shared" si="27"/>
        <v>2621</v>
      </c>
      <c r="AY51" s="50">
        <f t="shared" si="28"/>
        <v>2621</v>
      </c>
      <c r="AZ51" s="50">
        <f t="shared" si="29"/>
        <v>2621</v>
      </c>
    </row>
    <row r="52" spans="9:52" x14ac:dyDescent="0.15">
      <c r="I52" s="33">
        <v>48</v>
      </c>
      <c r="J52" s="33">
        <f t="shared" si="15"/>
        <v>30.384</v>
      </c>
      <c r="K52" s="33">
        <f t="shared" si="16"/>
        <v>30.384</v>
      </c>
      <c r="L52" s="33">
        <f t="shared" si="17"/>
        <v>30.384</v>
      </c>
      <c r="M52" s="33">
        <f t="shared" si="18"/>
        <v>30.384</v>
      </c>
      <c r="N52" s="33">
        <f t="shared" si="19"/>
        <v>30.384</v>
      </c>
      <c r="AB52" s="33">
        <v>48</v>
      </c>
      <c r="AC52" s="33">
        <f t="shared" si="20"/>
        <v>2684</v>
      </c>
      <c r="AD52" s="33">
        <f t="shared" si="21"/>
        <v>2684</v>
      </c>
      <c r="AE52" s="33">
        <f t="shared" si="22"/>
        <v>2684</v>
      </c>
      <c r="AF52" s="33">
        <f t="shared" si="23"/>
        <v>2684</v>
      </c>
      <c r="AG52" s="33">
        <f t="shared" si="24"/>
        <v>2684</v>
      </c>
      <c r="AU52" s="50">
        <v>48</v>
      </c>
      <c r="AV52" s="50">
        <f t="shared" si="25"/>
        <v>2684</v>
      </c>
      <c r="AW52" s="50">
        <f t="shared" si="26"/>
        <v>2684</v>
      </c>
      <c r="AX52" s="50">
        <f t="shared" si="27"/>
        <v>2684</v>
      </c>
      <c r="AY52" s="50">
        <f t="shared" si="28"/>
        <v>2684</v>
      </c>
      <c r="AZ52" s="50">
        <f t="shared" si="29"/>
        <v>2684</v>
      </c>
    </row>
    <row r="53" spans="9:52" x14ac:dyDescent="0.15">
      <c r="I53" s="33">
        <v>49</v>
      </c>
      <c r="J53" s="33">
        <f t="shared" si="15"/>
        <v>30.888249999999999</v>
      </c>
      <c r="K53" s="33">
        <f t="shared" si="16"/>
        <v>30.888249999999999</v>
      </c>
      <c r="L53" s="33">
        <f t="shared" si="17"/>
        <v>30.888249999999999</v>
      </c>
      <c r="M53" s="33">
        <f t="shared" si="18"/>
        <v>30.888249999999999</v>
      </c>
      <c r="N53" s="33">
        <f t="shared" si="19"/>
        <v>30.888249999999999</v>
      </c>
      <c r="AB53" s="33">
        <v>49</v>
      </c>
      <c r="AC53" s="33">
        <f t="shared" si="20"/>
        <v>2747</v>
      </c>
      <c r="AD53" s="33">
        <f t="shared" si="21"/>
        <v>2747</v>
      </c>
      <c r="AE53" s="33">
        <f t="shared" si="22"/>
        <v>2747</v>
      </c>
      <c r="AF53" s="33">
        <f t="shared" si="23"/>
        <v>2747</v>
      </c>
      <c r="AG53" s="33">
        <f t="shared" si="24"/>
        <v>2747</v>
      </c>
      <c r="AU53" s="50">
        <v>49</v>
      </c>
      <c r="AV53" s="50">
        <f t="shared" si="25"/>
        <v>2747</v>
      </c>
      <c r="AW53" s="50">
        <f t="shared" si="26"/>
        <v>2747</v>
      </c>
      <c r="AX53" s="50">
        <f t="shared" si="27"/>
        <v>2747</v>
      </c>
      <c r="AY53" s="50">
        <f t="shared" si="28"/>
        <v>2747</v>
      </c>
      <c r="AZ53" s="50">
        <f t="shared" si="29"/>
        <v>2747</v>
      </c>
    </row>
    <row r="54" spans="9:52" x14ac:dyDescent="0.15">
      <c r="I54" s="33">
        <v>50</v>
      </c>
      <c r="J54" s="33">
        <f t="shared" si="15"/>
        <v>31.392499999999998</v>
      </c>
      <c r="K54" s="33">
        <f t="shared" si="16"/>
        <v>31.392499999999998</v>
      </c>
      <c r="L54" s="33">
        <f t="shared" si="17"/>
        <v>31.392499999999998</v>
      </c>
      <c r="M54" s="33">
        <f t="shared" si="18"/>
        <v>31.392499999999998</v>
      </c>
      <c r="N54" s="33">
        <f t="shared" si="19"/>
        <v>31.392499999999998</v>
      </c>
      <c r="AB54" s="33">
        <v>50</v>
      </c>
      <c r="AC54" s="33">
        <f t="shared" si="20"/>
        <v>2810</v>
      </c>
      <c r="AD54" s="33">
        <f t="shared" si="21"/>
        <v>2810</v>
      </c>
      <c r="AE54" s="33">
        <f t="shared" si="22"/>
        <v>2810</v>
      </c>
      <c r="AF54" s="33">
        <f t="shared" si="23"/>
        <v>2810</v>
      </c>
      <c r="AG54" s="33">
        <f t="shared" si="24"/>
        <v>2810</v>
      </c>
      <c r="AU54" s="50">
        <v>50</v>
      </c>
      <c r="AV54" s="50">
        <f t="shared" si="25"/>
        <v>2810</v>
      </c>
      <c r="AW54" s="50">
        <f t="shared" si="26"/>
        <v>2810</v>
      </c>
      <c r="AX54" s="50">
        <f t="shared" si="27"/>
        <v>2810</v>
      </c>
      <c r="AY54" s="50">
        <f t="shared" si="28"/>
        <v>2810</v>
      </c>
      <c r="AZ54" s="50">
        <f t="shared" si="29"/>
        <v>2810</v>
      </c>
    </row>
    <row r="55" spans="9:52" x14ac:dyDescent="0.15">
      <c r="I55" s="33">
        <v>51</v>
      </c>
      <c r="J55" s="33">
        <f t="shared" si="15"/>
        <v>32.120916666666666</v>
      </c>
      <c r="K55" s="33">
        <f t="shared" si="16"/>
        <v>32.120916666666666</v>
      </c>
      <c r="L55" s="33">
        <f t="shared" si="17"/>
        <v>32.120916666666666</v>
      </c>
      <c r="M55" s="33">
        <f t="shared" si="18"/>
        <v>32.120916666666666</v>
      </c>
      <c r="N55" s="33">
        <f t="shared" si="19"/>
        <v>32.120916666666666</v>
      </c>
      <c r="AB55" s="33">
        <v>51</v>
      </c>
      <c r="AC55" s="33">
        <f t="shared" si="20"/>
        <v>2895</v>
      </c>
      <c r="AD55" s="33">
        <f t="shared" si="21"/>
        <v>2895</v>
      </c>
      <c r="AE55" s="33">
        <f t="shared" si="22"/>
        <v>2895</v>
      </c>
      <c r="AF55" s="33">
        <f t="shared" si="23"/>
        <v>2895</v>
      </c>
      <c r="AG55" s="33">
        <f t="shared" si="24"/>
        <v>2895</v>
      </c>
      <c r="AU55" s="50">
        <v>51</v>
      </c>
      <c r="AV55" s="50">
        <f t="shared" si="25"/>
        <v>2895</v>
      </c>
      <c r="AW55" s="50">
        <f t="shared" si="26"/>
        <v>2895</v>
      </c>
      <c r="AX55" s="50">
        <f t="shared" si="27"/>
        <v>2895</v>
      </c>
      <c r="AY55" s="50">
        <f t="shared" si="28"/>
        <v>2895</v>
      </c>
      <c r="AZ55" s="50">
        <f t="shared" si="29"/>
        <v>2895</v>
      </c>
    </row>
    <row r="56" spans="9:52" x14ac:dyDescent="0.15">
      <c r="I56" s="33">
        <v>52</v>
      </c>
      <c r="J56" s="33">
        <f t="shared" si="15"/>
        <v>32.849333333333334</v>
      </c>
      <c r="K56" s="33">
        <f t="shared" si="16"/>
        <v>32.849333333333334</v>
      </c>
      <c r="L56" s="33">
        <f t="shared" si="17"/>
        <v>32.849333333333334</v>
      </c>
      <c r="M56" s="33">
        <f t="shared" si="18"/>
        <v>32.849333333333334</v>
      </c>
      <c r="N56" s="33">
        <f t="shared" si="19"/>
        <v>32.849333333333334</v>
      </c>
      <c r="AB56" s="33">
        <v>52</v>
      </c>
      <c r="AC56" s="33">
        <f t="shared" si="20"/>
        <v>2980</v>
      </c>
      <c r="AD56" s="33">
        <f t="shared" si="21"/>
        <v>2980</v>
      </c>
      <c r="AE56" s="33">
        <f t="shared" si="22"/>
        <v>2980</v>
      </c>
      <c r="AF56" s="33">
        <f t="shared" si="23"/>
        <v>2980</v>
      </c>
      <c r="AG56" s="33">
        <f t="shared" si="24"/>
        <v>2980</v>
      </c>
      <c r="AU56" s="50">
        <v>52</v>
      </c>
      <c r="AV56" s="50">
        <f t="shared" si="25"/>
        <v>2980</v>
      </c>
      <c r="AW56" s="50">
        <f t="shared" si="26"/>
        <v>2980</v>
      </c>
      <c r="AX56" s="50">
        <f t="shared" si="27"/>
        <v>2980</v>
      </c>
      <c r="AY56" s="50">
        <f t="shared" si="28"/>
        <v>2980</v>
      </c>
      <c r="AZ56" s="50">
        <f t="shared" si="29"/>
        <v>2980</v>
      </c>
    </row>
    <row r="57" spans="9:52" x14ac:dyDescent="0.15">
      <c r="I57" s="33">
        <v>53</v>
      </c>
      <c r="J57" s="33">
        <f t="shared" si="15"/>
        <v>33.577750000000002</v>
      </c>
      <c r="K57" s="33">
        <f t="shared" si="16"/>
        <v>33.577750000000002</v>
      </c>
      <c r="L57" s="33">
        <f t="shared" si="17"/>
        <v>33.577750000000002</v>
      </c>
      <c r="M57" s="33">
        <f t="shared" si="18"/>
        <v>33.577750000000002</v>
      </c>
      <c r="N57" s="33">
        <f t="shared" si="19"/>
        <v>33.577750000000002</v>
      </c>
      <c r="AB57" s="33">
        <v>53</v>
      </c>
      <c r="AC57" s="33">
        <f t="shared" si="20"/>
        <v>3065</v>
      </c>
      <c r="AD57" s="33">
        <f t="shared" si="21"/>
        <v>3065</v>
      </c>
      <c r="AE57" s="33">
        <f t="shared" si="22"/>
        <v>3065</v>
      </c>
      <c r="AF57" s="33">
        <f t="shared" si="23"/>
        <v>3065</v>
      </c>
      <c r="AG57" s="33">
        <f t="shared" si="24"/>
        <v>3065</v>
      </c>
      <c r="AU57" s="50">
        <v>53</v>
      </c>
      <c r="AV57" s="50">
        <f t="shared" si="25"/>
        <v>3065</v>
      </c>
      <c r="AW57" s="50">
        <f t="shared" si="26"/>
        <v>3065</v>
      </c>
      <c r="AX57" s="50">
        <f t="shared" si="27"/>
        <v>3065</v>
      </c>
      <c r="AY57" s="50">
        <f t="shared" si="28"/>
        <v>3065</v>
      </c>
      <c r="AZ57" s="50">
        <f t="shared" si="29"/>
        <v>3065</v>
      </c>
    </row>
    <row r="58" spans="9:52" x14ac:dyDescent="0.15">
      <c r="I58" s="33">
        <v>54</v>
      </c>
      <c r="J58" s="33">
        <f t="shared" si="15"/>
        <v>34.30616666666667</v>
      </c>
      <c r="K58" s="33">
        <f t="shared" si="16"/>
        <v>34.30616666666667</v>
      </c>
      <c r="L58" s="33">
        <f t="shared" si="17"/>
        <v>34.30616666666667</v>
      </c>
      <c r="M58" s="33">
        <f t="shared" si="18"/>
        <v>34.30616666666667</v>
      </c>
      <c r="N58" s="33">
        <f t="shared" si="19"/>
        <v>34.30616666666667</v>
      </c>
      <c r="AB58" s="33">
        <v>54</v>
      </c>
      <c r="AC58" s="33">
        <f t="shared" si="20"/>
        <v>3150</v>
      </c>
      <c r="AD58" s="33">
        <f t="shared" si="21"/>
        <v>3150</v>
      </c>
      <c r="AE58" s="33">
        <f t="shared" si="22"/>
        <v>3150</v>
      </c>
      <c r="AF58" s="33">
        <f t="shared" si="23"/>
        <v>3150</v>
      </c>
      <c r="AG58" s="33">
        <f t="shared" si="24"/>
        <v>3150</v>
      </c>
      <c r="AU58" s="50">
        <v>54</v>
      </c>
      <c r="AV58" s="50">
        <f t="shared" si="25"/>
        <v>3150</v>
      </c>
      <c r="AW58" s="50">
        <f t="shared" si="26"/>
        <v>3150</v>
      </c>
      <c r="AX58" s="50">
        <f t="shared" si="27"/>
        <v>3150</v>
      </c>
      <c r="AY58" s="50">
        <f t="shared" si="28"/>
        <v>3150</v>
      </c>
      <c r="AZ58" s="50">
        <f t="shared" si="29"/>
        <v>3150</v>
      </c>
    </row>
    <row r="59" spans="9:52" x14ac:dyDescent="0.15">
      <c r="I59" s="33">
        <v>55</v>
      </c>
      <c r="J59" s="33">
        <f t="shared" si="15"/>
        <v>35.03458333333333</v>
      </c>
      <c r="K59" s="33">
        <f t="shared" si="16"/>
        <v>35.03458333333333</v>
      </c>
      <c r="L59" s="33">
        <f t="shared" si="17"/>
        <v>35.03458333333333</v>
      </c>
      <c r="M59" s="33">
        <f t="shared" si="18"/>
        <v>35.03458333333333</v>
      </c>
      <c r="N59" s="33">
        <f t="shared" si="19"/>
        <v>35.03458333333333</v>
      </c>
      <c r="AB59" s="33">
        <v>55</v>
      </c>
      <c r="AC59" s="33">
        <f t="shared" si="20"/>
        <v>3235</v>
      </c>
      <c r="AD59" s="33">
        <f t="shared" si="21"/>
        <v>3235</v>
      </c>
      <c r="AE59" s="33">
        <f t="shared" si="22"/>
        <v>3235</v>
      </c>
      <c r="AF59" s="33">
        <f t="shared" si="23"/>
        <v>3235</v>
      </c>
      <c r="AG59" s="33">
        <f t="shared" si="24"/>
        <v>3235</v>
      </c>
      <c r="AU59" s="50">
        <v>55</v>
      </c>
      <c r="AV59" s="50">
        <f t="shared" si="25"/>
        <v>3235</v>
      </c>
      <c r="AW59" s="50">
        <f t="shared" si="26"/>
        <v>3235</v>
      </c>
      <c r="AX59" s="50">
        <f t="shared" si="27"/>
        <v>3235</v>
      </c>
      <c r="AY59" s="50">
        <f t="shared" si="28"/>
        <v>3235</v>
      </c>
      <c r="AZ59" s="50">
        <f t="shared" si="29"/>
        <v>3235</v>
      </c>
    </row>
    <row r="60" spans="9:52" x14ac:dyDescent="0.15">
      <c r="I60" s="33">
        <v>56</v>
      </c>
      <c r="J60" s="33">
        <f t="shared" si="15"/>
        <v>35.763000000000005</v>
      </c>
      <c r="K60" s="33">
        <f t="shared" si="16"/>
        <v>35.763000000000005</v>
      </c>
      <c r="L60" s="33">
        <f t="shared" si="17"/>
        <v>35.763000000000005</v>
      </c>
      <c r="M60" s="33">
        <f t="shared" si="18"/>
        <v>35.763000000000005</v>
      </c>
      <c r="N60" s="33">
        <f t="shared" si="19"/>
        <v>35.763000000000005</v>
      </c>
      <c r="AB60" s="33">
        <v>56</v>
      </c>
      <c r="AC60" s="33">
        <f t="shared" si="20"/>
        <v>3320</v>
      </c>
      <c r="AD60" s="33">
        <f t="shared" si="21"/>
        <v>3320</v>
      </c>
      <c r="AE60" s="33">
        <f t="shared" si="22"/>
        <v>3320</v>
      </c>
      <c r="AF60" s="33">
        <f t="shared" si="23"/>
        <v>3320</v>
      </c>
      <c r="AG60" s="33">
        <f t="shared" si="24"/>
        <v>3320</v>
      </c>
      <c r="AU60" s="50">
        <v>56</v>
      </c>
      <c r="AV60" s="50">
        <f t="shared" si="25"/>
        <v>3320</v>
      </c>
      <c r="AW60" s="50">
        <f t="shared" si="26"/>
        <v>3320</v>
      </c>
      <c r="AX60" s="50">
        <f t="shared" si="27"/>
        <v>3320</v>
      </c>
      <c r="AY60" s="50">
        <f t="shared" si="28"/>
        <v>3320</v>
      </c>
      <c r="AZ60" s="50">
        <f t="shared" si="29"/>
        <v>3320</v>
      </c>
    </row>
    <row r="61" spans="9:52" x14ac:dyDescent="0.15">
      <c r="I61" s="33">
        <v>57</v>
      </c>
      <c r="J61" s="33">
        <f t="shared" si="15"/>
        <v>36.491416666666666</v>
      </c>
      <c r="K61" s="33">
        <f t="shared" si="16"/>
        <v>36.491416666666666</v>
      </c>
      <c r="L61" s="33">
        <f t="shared" si="17"/>
        <v>36.491416666666666</v>
      </c>
      <c r="M61" s="33">
        <f t="shared" si="18"/>
        <v>36.491416666666666</v>
      </c>
      <c r="N61" s="33">
        <f t="shared" si="19"/>
        <v>36.491416666666666</v>
      </c>
      <c r="AB61" s="33">
        <v>57</v>
      </c>
      <c r="AC61" s="33">
        <f t="shared" si="20"/>
        <v>3405</v>
      </c>
      <c r="AD61" s="33">
        <f t="shared" si="21"/>
        <v>3405</v>
      </c>
      <c r="AE61" s="33">
        <f t="shared" si="22"/>
        <v>3405</v>
      </c>
      <c r="AF61" s="33">
        <f t="shared" si="23"/>
        <v>3405</v>
      </c>
      <c r="AG61" s="33">
        <f t="shared" si="24"/>
        <v>3405</v>
      </c>
      <c r="AU61" s="50">
        <v>57</v>
      </c>
      <c r="AV61" s="50">
        <f t="shared" si="25"/>
        <v>3405</v>
      </c>
      <c r="AW61" s="50">
        <f t="shared" si="26"/>
        <v>3405</v>
      </c>
      <c r="AX61" s="50">
        <f t="shared" si="27"/>
        <v>3405</v>
      </c>
      <c r="AY61" s="50">
        <f t="shared" si="28"/>
        <v>3405</v>
      </c>
      <c r="AZ61" s="50">
        <f t="shared" si="29"/>
        <v>3405</v>
      </c>
    </row>
    <row r="62" spans="9:52" x14ac:dyDescent="0.15">
      <c r="I62" s="33">
        <v>58</v>
      </c>
      <c r="J62" s="33">
        <f t="shared" si="15"/>
        <v>37.219833333333334</v>
      </c>
      <c r="K62" s="33">
        <f t="shared" si="16"/>
        <v>37.219833333333334</v>
      </c>
      <c r="L62" s="33">
        <f t="shared" si="17"/>
        <v>37.219833333333334</v>
      </c>
      <c r="M62" s="33">
        <f t="shared" si="18"/>
        <v>37.219833333333334</v>
      </c>
      <c r="N62" s="33">
        <f t="shared" si="19"/>
        <v>37.219833333333334</v>
      </c>
      <c r="AB62" s="33">
        <v>58</v>
      </c>
      <c r="AC62" s="33">
        <f t="shared" si="20"/>
        <v>3490</v>
      </c>
      <c r="AD62" s="33">
        <f t="shared" si="21"/>
        <v>3490</v>
      </c>
      <c r="AE62" s="33">
        <f t="shared" si="22"/>
        <v>3490</v>
      </c>
      <c r="AF62" s="33">
        <f t="shared" si="23"/>
        <v>3490</v>
      </c>
      <c r="AG62" s="33">
        <f t="shared" si="24"/>
        <v>3490</v>
      </c>
      <c r="AU62" s="50">
        <v>58</v>
      </c>
      <c r="AV62" s="50">
        <f t="shared" si="25"/>
        <v>3490</v>
      </c>
      <c r="AW62" s="50">
        <f t="shared" si="26"/>
        <v>3490</v>
      </c>
      <c r="AX62" s="50">
        <f t="shared" si="27"/>
        <v>3490</v>
      </c>
      <c r="AY62" s="50">
        <f t="shared" si="28"/>
        <v>3490</v>
      </c>
      <c r="AZ62" s="50">
        <f t="shared" si="29"/>
        <v>3490</v>
      </c>
    </row>
    <row r="63" spans="9:52" x14ac:dyDescent="0.15">
      <c r="I63" s="33">
        <v>59</v>
      </c>
      <c r="J63" s="33">
        <f t="shared" si="15"/>
        <v>37.948250000000002</v>
      </c>
      <c r="K63" s="33">
        <f t="shared" si="16"/>
        <v>37.948250000000002</v>
      </c>
      <c r="L63" s="33">
        <f t="shared" si="17"/>
        <v>37.948250000000002</v>
      </c>
      <c r="M63" s="33">
        <f t="shared" si="18"/>
        <v>37.948250000000002</v>
      </c>
      <c r="N63" s="33">
        <f t="shared" si="19"/>
        <v>37.948250000000002</v>
      </c>
      <c r="AB63" s="33">
        <v>59</v>
      </c>
      <c r="AC63" s="33">
        <f t="shared" si="20"/>
        <v>3575</v>
      </c>
      <c r="AD63" s="33">
        <f t="shared" si="21"/>
        <v>3575</v>
      </c>
      <c r="AE63" s="33">
        <f t="shared" si="22"/>
        <v>3575</v>
      </c>
      <c r="AF63" s="33">
        <f t="shared" si="23"/>
        <v>3575</v>
      </c>
      <c r="AG63" s="33">
        <f t="shared" si="24"/>
        <v>3575</v>
      </c>
      <c r="AU63" s="50">
        <v>59</v>
      </c>
      <c r="AV63" s="50">
        <f t="shared" si="25"/>
        <v>3575</v>
      </c>
      <c r="AW63" s="50">
        <f t="shared" si="26"/>
        <v>3575</v>
      </c>
      <c r="AX63" s="50">
        <f t="shared" si="27"/>
        <v>3575</v>
      </c>
      <c r="AY63" s="50">
        <f t="shared" si="28"/>
        <v>3575</v>
      </c>
      <c r="AZ63" s="50">
        <f t="shared" si="29"/>
        <v>3575</v>
      </c>
    </row>
    <row r="64" spans="9:52" x14ac:dyDescent="0.15">
      <c r="I64" s="33">
        <v>60</v>
      </c>
      <c r="J64" s="33">
        <f t="shared" si="15"/>
        <v>38.676666666666669</v>
      </c>
      <c r="K64" s="33">
        <f t="shared" si="16"/>
        <v>38.676666666666669</v>
      </c>
      <c r="L64" s="33">
        <f t="shared" si="17"/>
        <v>38.676666666666669</v>
      </c>
      <c r="M64" s="33">
        <f t="shared" si="18"/>
        <v>38.676666666666669</v>
      </c>
      <c r="N64" s="33">
        <f t="shared" si="19"/>
        <v>38.676666666666669</v>
      </c>
      <c r="AB64" s="33">
        <v>60</v>
      </c>
      <c r="AC64" s="33">
        <f t="shared" si="20"/>
        <v>3660</v>
      </c>
      <c r="AD64" s="33">
        <f t="shared" si="21"/>
        <v>3660</v>
      </c>
      <c r="AE64" s="33">
        <f t="shared" si="22"/>
        <v>3660</v>
      </c>
      <c r="AF64" s="33">
        <f t="shared" si="23"/>
        <v>3660</v>
      </c>
      <c r="AG64" s="33">
        <f t="shared" si="24"/>
        <v>3660</v>
      </c>
      <c r="AU64" s="50">
        <v>60</v>
      </c>
      <c r="AV64" s="50">
        <f t="shared" si="25"/>
        <v>3660</v>
      </c>
      <c r="AW64" s="50">
        <f t="shared" si="26"/>
        <v>3660</v>
      </c>
      <c r="AX64" s="50">
        <f t="shared" si="27"/>
        <v>3660</v>
      </c>
      <c r="AY64" s="50">
        <f t="shared" si="28"/>
        <v>3660</v>
      </c>
      <c r="AZ64" s="50">
        <f t="shared" si="29"/>
        <v>3660</v>
      </c>
    </row>
    <row r="65" spans="9:52" x14ac:dyDescent="0.15">
      <c r="I65" s="33">
        <v>61</v>
      </c>
      <c r="J65" s="33">
        <f t="shared" si="15"/>
        <v>39.770333333333333</v>
      </c>
      <c r="K65" s="33">
        <f t="shared" si="16"/>
        <v>39.770333333333333</v>
      </c>
      <c r="L65" s="33">
        <f t="shared" si="17"/>
        <v>39.770333333333333</v>
      </c>
      <c r="M65" s="33">
        <f t="shared" si="18"/>
        <v>39.770333333333333</v>
      </c>
      <c r="N65" s="33">
        <f t="shared" si="19"/>
        <v>39.770333333333333</v>
      </c>
      <c r="AB65" s="33">
        <v>61</v>
      </c>
      <c r="AC65" s="33">
        <f t="shared" si="20"/>
        <v>3792</v>
      </c>
      <c r="AD65" s="33">
        <f t="shared" si="21"/>
        <v>3798</v>
      </c>
      <c r="AE65" s="33">
        <f t="shared" si="22"/>
        <v>3810</v>
      </c>
      <c r="AF65" s="33">
        <f t="shared" si="23"/>
        <v>3822</v>
      </c>
      <c r="AG65" s="33">
        <f t="shared" si="24"/>
        <v>3828</v>
      </c>
      <c r="AU65" s="50">
        <v>61</v>
      </c>
      <c r="AV65" s="50">
        <f t="shared" si="25"/>
        <v>3792</v>
      </c>
      <c r="AW65" s="50">
        <f t="shared" si="26"/>
        <v>3798</v>
      </c>
      <c r="AX65" s="50">
        <f t="shared" si="27"/>
        <v>3810</v>
      </c>
      <c r="AY65" s="50">
        <f t="shared" si="28"/>
        <v>3822</v>
      </c>
      <c r="AZ65" s="50">
        <f t="shared" si="29"/>
        <v>3828</v>
      </c>
    </row>
    <row r="66" spans="9:52" x14ac:dyDescent="0.15">
      <c r="I66" s="33">
        <v>62</v>
      </c>
      <c r="J66" s="33">
        <f t="shared" si="15"/>
        <v>40.864000000000004</v>
      </c>
      <c r="K66" s="33">
        <f t="shared" si="16"/>
        <v>40.864000000000004</v>
      </c>
      <c r="L66" s="33">
        <f t="shared" si="17"/>
        <v>40.864000000000004</v>
      </c>
      <c r="M66" s="33">
        <f t="shared" si="18"/>
        <v>40.864000000000004</v>
      </c>
      <c r="N66" s="33">
        <f t="shared" si="19"/>
        <v>40.864000000000004</v>
      </c>
      <c r="AB66" s="33">
        <v>62</v>
      </c>
      <c r="AC66" s="33">
        <f t="shared" si="20"/>
        <v>3924</v>
      </c>
      <c r="AD66" s="33">
        <f t="shared" si="21"/>
        <v>3936</v>
      </c>
      <c r="AE66" s="33">
        <f t="shared" si="22"/>
        <v>3960</v>
      </c>
      <c r="AF66" s="33">
        <f t="shared" si="23"/>
        <v>3984</v>
      </c>
      <c r="AG66" s="33">
        <f t="shared" si="24"/>
        <v>3996</v>
      </c>
      <c r="AU66" s="50">
        <v>62</v>
      </c>
      <c r="AV66" s="50">
        <f t="shared" si="25"/>
        <v>3924</v>
      </c>
      <c r="AW66" s="50">
        <f t="shared" si="26"/>
        <v>3936</v>
      </c>
      <c r="AX66" s="50">
        <f t="shared" si="27"/>
        <v>3960</v>
      </c>
      <c r="AY66" s="50">
        <f t="shared" si="28"/>
        <v>3984</v>
      </c>
      <c r="AZ66" s="50">
        <f t="shared" si="29"/>
        <v>3996</v>
      </c>
    </row>
    <row r="67" spans="9:52" x14ac:dyDescent="0.15">
      <c r="I67" s="33">
        <v>63</v>
      </c>
      <c r="J67" s="33">
        <f t="shared" si="15"/>
        <v>41.957666666666668</v>
      </c>
      <c r="K67" s="33">
        <f t="shared" si="16"/>
        <v>41.957666666666668</v>
      </c>
      <c r="L67" s="33">
        <f t="shared" si="17"/>
        <v>41.957666666666668</v>
      </c>
      <c r="M67" s="33">
        <f t="shared" si="18"/>
        <v>41.957666666666668</v>
      </c>
      <c r="N67" s="33">
        <f t="shared" si="19"/>
        <v>41.957666666666668</v>
      </c>
      <c r="AB67" s="33">
        <v>63</v>
      </c>
      <c r="AC67" s="33">
        <f t="shared" si="20"/>
        <v>4056</v>
      </c>
      <c r="AD67" s="33">
        <f t="shared" si="21"/>
        <v>4074</v>
      </c>
      <c r="AE67" s="33">
        <f t="shared" si="22"/>
        <v>4110</v>
      </c>
      <c r="AF67" s="33">
        <f t="shared" si="23"/>
        <v>4146</v>
      </c>
      <c r="AG67" s="33">
        <f t="shared" si="24"/>
        <v>4164</v>
      </c>
      <c r="AU67" s="50">
        <v>63</v>
      </c>
      <c r="AV67" s="50">
        <f t="shared" si="25"/>
        <v>4056</v>
      </c>
      <c r="AW67" s="50">
        <f t="shared" si="26"/>
        <v>4074</v>
      </c>
      <c r="AX67" s="50">
        <f t="shared" si="27"/>
        <v>4110</v>
      </c>
      <c r="AY67" s="50">
        <f t="shared" si="28"/>
        <v>4146</v>
      </c>
      <c r="AZ67" s="50">
        <f t="shared" si="29"/>
        <v>4164</v>
      </c>
    </row>
    <row r="68" spans="9:52" x14ac:dyDescent="0.15">
      <c r="I68" s="33">
        <v>64</v>
      </c>
      <c r="J68" s="33">
        <f t="shared" si="15"/>
        <v>43.051333333333332</v>
      </c>
      <c r="K68" s="33">
        <f t="shared" si="16"/>
        <v>43.051333333333332</v>
      </c>
      <c r="L68" s="33">
        <f t="shared" si="17"/>
        <v>43.051333333333332</v>
      </c>
      <c r="M68" s="33">
        <f t="shared" si="18"/>
        <v>43.051333333333332</v>
      </c>
      <c r="N68" s="33">
        <f t="shared" si="19"/>
        <v>43.051333333333332</v>
      </c>
      <c r="AB68" s="33">
        <v>64</v>
      </c>
      <c r="AC68" s="33">
        <f t="shared" si="20"/>
        <v>4188</v>
      </c>
      <c r="AD68" s="33">
        <f t="shared" si="21"/>
        <v>4212</v>
      </c>
      <c r="AE68" s="33">
        <f t="shared" si="22"/>
        <v>4260</v>
      </c>
      <c r="AF68" s="33">
        <f t="shared" si="23"/>
        <v>4308</v>
      </c>
      <c r="AG68" s="33">
        <f t="shared" si="24"/>
        <v>4332</v>
      </c>
      <c r="AU68" s="50">
        <v>64</v>
      </c>
      <c r="AV68" s="50">
        <f t="shared" si="25"/>
        <v>4188</v>
      </c>
      <c r="AW68" s="50">
        <f t="shared" si="26"/>
        <v>4212</v>
      </c>
      <c r="AX68" s="50">
        <f t="shared" si="27"/>
        <v>4260</v>
      </c>
      <c r="AY68" s="50">
        <f t="shared" si="28"/>
        <v>4308</v>
      </c>
      <c r="AZ68" s="50">
        <f t="shared" si="29"/>
        <v>4332</v>
      </c>
    </row>
    <row r="69" spans="9:52" x14ac:dyDescent="0.15">
      <c r="I69" s="33">
        <v>65</v>
      </c>
      <c r="J69" s="33">
        <f t="shared" ref="J69:J104" si="30">求节点($B$5:$B$20,C$5:C$20,$I69)</f>
        <v>44.144999999999996</v>
      </c>
      <c r="K69" s="33">
        <f t="shared" ref="K69:K104" si="31">求节点($B$5:$B$20,D$5:D$20,$I69)</f>
        <v>44.144999999999996</v>
      </c>
      <c r="L69" s="33">
        <f t="shared" ref="L69:L104" si="32">求节点($B$5:$B$20,E$5:E$20,$I69)</f>
        <v>44.144999999999996</v>
      </c>
      <c r="M69" s="33">
        <f t="shared" ref="M69:M104" si="33">求节点($B$5:$B$20,F$5:F$20,$I69)</f>
        <v>44.144999999999996</v>
      </c>
      <c r="N69" s="33">
        <f t="shared" ref="N69:N104" si="34">求节点($B$5:$B$20,G$5:G$20,$I69)</f>
        <v>44.144999999999996</v>
      </c>
      <c r="AB69" s="33">
        <v>65</v>
      </c>
      <c r="AC69" s="33">
        <f t="shared" ref="AC69:AC100" si="35">求节点($R$5:$R$20,S$5:S$20,$AB69)</f>
        <v>4320</v>
      </c>
      <c r="AD69" s="33">
        <f t="shared" ref="AD69:AD100" si="36">求节点($R$5:$R$20,T$5:T$20,$AB69)</f>
        <v>4350</v>
      </c>
      <c r="AE69" s="33">
        <f t="shared" ref="AE69:AE100" si="37">求节点($R$5:$R$20,U$5:U$20,$AB69)</f>
        <v>4410</v>
      </c>
      <c r="AF69" s="33">
        <f t="shared" ref="AF69:AF100" si="38">求节点($R$5:$R$20,V$5:V$20,$AB69)</f>
        <v>4470</v>
      </c>
      <c r="AG69" s="33">
        <f t="shared" ref="AG69:AG100" si="39">求节点($R$5:$R$20,W$5:W$20,$AB69)</f>
        <v>4500</v>
      </c>
      <c r="AU69" s="50">
        <v>65</v>
      </c>
      <c r="AV69" s="50">
        <f t="shared" ref="AV69:AV100" si="40">求节点($R$5:$R$20,AL$5:AL$20,$AB69)</f>
        <v>4320</v>
      </c>
      <c r="AW69" s="50">
        <f t="shared" ref="AW69:AW100" si="41">求节点($R$5:$R$20,AM$5:AM$20,$AB69)</f>
        <v>4350</v>
      </c>
      <c r="AX69" s="50">
        <f t="shared" ref="AX69:AX100" si="42">求节点($R$5:$R$20,AN$5:AN$20,$AB69)</f>
        <v>4410</v>
      </c>
      <c r="AY69" s="50">
        <f t="shared" ref="AY69:AY100" si="43">求节点($R$5:$R$20,AO$5:AO$20,$AB69)</f>
        <v>4470</v>
      </c>
      <c r="AZ69" s="50">
        <f t="shared" ref="AZ69:AZ100" si="44">求节点($R$5:$R$20,AP$5:AP$20,$AB69)</f>
        <v>4500</v>
      </c>
    </row>
    <row r="70" spans="9:52" x14ac:dyDescent="0.15">
      <c r="I70" s="33">
        <v>66</v>
      </c>
      <c r="J70" s="33">
        <f t="shared" si="30"/>
        <v>45.238666666666667</v>
      </c>
      <c r="K70" s="33">
        <f t="shared" si="31"/>
        <v>45.238666666666667</v>
      </c>
      <c r="L70" s="33">
        <f t="shared" si="32"/>
        <v>45.238666666666667</v>
      </c>
      <c r="M70" s="33">
        <f t="shared" si="33"/>
        <v>45.238666666666667</v>
      </c>
      <c r="N70" s="33">
        <f t="shared" si="34"/>
        <v>45.238666666666667</v>
      </c>
      <c r="AB70" s="33">
        <v>66</v>
      </c>
      <c r="AC70" s="33">
        <f t="shared" si="35"/>
        <v>4452</v>
      </c>
      <c r="AD70" s="33">
        <f t="shared" si="36"/>
        <v>4488</v>
      </c>
      <c r="AE70" s="33">
        <f t="shared" si="37"/>
        <v>4560</v>
      </c>
      <c r="AF70" s="33">
        <f t="shared" si="38"/>
        <v>4632</v>
      </c>
      <c r="AG70" s="33">
        <f t="shared" si="39"/>
        <v>4668</v>
      </c>
      <c r="AU70" s="50">
        <v>66</v>
      </c>
      <c r="AV70" s="50">
        <f t="shared" si="40"/>
        <v>4452</v>
      </c>
      <c r="AW70" s="50">
        <f t="shared" si="41"/>
        <v>4488</v>
      </c>
      <c r="AX70" s="50">
        <f t="shared" si="42"/>
        <v>4560</v>
      </c>
      <c r="AY70" s="50">
        <f t="shared" si="43"/>
        <v>4632</v>
      </c>
      <c r="AZ70" s="50">
        <f t="shared" si="44"/>
        <v>4668</v>
      </c>
    </row>
    <row r="71" spans="9:52" x14ac:dyDescent="0.15">
      <c r="I71" s="33">
        <v>67</v>
      </c>
      <c r="J71" s="33">
        <f t="shared" si="30"/>
        <v>46.332333333333331</v>
      </c>
      <c r="K71" s="33">
        <f t="shared" si="31"/>
        <v>46.332333333333331</v>
      </c>
      <c r="L71" s="33">
        <f t="shared" si="32"/>
        <v>46.332333333333331</v>
      </c>
      <c r="M71" s="33">
        <f t="shared" si="33"/>
        <v>46.332333333333331</v>
      </c>
      <c r="N71" s="33">
        <f t="shared" si="34"/>
        <v>46.332333333333331</v>
      </c>
      <c r="AB71" s="33">
        <v>67</v>
      </c>
      <c r="AC71" s="33">
        <f t="shared" si="35"/>
        <v>4584</v>
      </c>
      <c r="AD71" s="33">
        <f t="shared" si="36"/>
        <v>4626</v>
      </c>
      <c r="AE71" s="33">
        <f t="shared" si="37"/>
        <v>4710</v>
      </c>
      <c r="AF71" s="33">
        <f t="shared" si="38"/>
        <v>4794</v>
      </c>
      <c r="AG71" s="33">
        <f t="shared" si="39"/>
        <v>4836</v>
      </c>
      <c r="AU71" s="50">
        <v>67</v>
      </c>
      <c r="AV71" s="50">
        <f t="shared" si="40"/>
        <v>4584</v>
      </c>
      <c r="AW71" s="50">
        <f t="shared" si="41"/>
        <v>4626</v>
      </c>
      <c r="AX71" s="50">
        <f t="shared" si="42"/>
        <v>4710</v>
      </c>
      <c r="AY71" s="50">
        <f t="shared" si="43"/>
        <v>4794</v>
      </c>
      <c r="AZ71" s="50">
        <f t="shared" si="44"/>
        <v>4836</v>
      </c>
    </row>
    <row r="72" spans="9:52" x14ac:dyDescent="0.15">
      <c r="I72" s="33">
        <v>68</v>
      </c>
      <c r="J72" s="33">
        <f t="shared" si="30"/>
        <v>47.426000000000002</v>
      </c>
      <c r="K72" s="33">
        <f t="shared" si="31"/>
        <v>47.426000000000002</v>
      </c>
      <c r="L72" s="33">
        <f t="shared" si="32"/>
        <v>47.426000000000002</v>
      </c>
      <c r="M72" s="33">
        <f t="shared" si="33"/>
        <v>47.426000000000002</v>
      </c>
      <c r="N72" s="33">
        <f t="shared" si="34"/>
        <v>47.426000000000002</v>
      </c>
      <c r="AB72" s="33">
        <v>68</v>
      </c>
      <c r="AC72" s="33">
        <f t="shared" si="35"/>
        <v>4716</v>
      </c>
      <c r="AD72" s="33">
        <f t="shared" si="36"/>
        <v>4764</v>
      </c>
      <c r="AE72" s="33">
        <f t="shared" si="37"/>
        <v>4860</v>
      </c>
      <c r="AF72" s="33">
        <f t="shared" si="38"/>
        <v>4956</v>
      </c>
      <c r="AG72" s="33">
        <f t="shared" si="39"/>
        <v>5004</v>
      </c>
      <c r="AU72" s="50">
        <v>68</v>
      </c>
      <c r="AV72" s="50">
        <f t="shared" si="40"/>
        <v>4716</v>
      </c>
      <c r="AW72" s="50">
        <f t="shared" si="41"/>
        <v>4764</v>
      </c>
      <c r="AX72" s="50">
        <f t="shared" si="42"/>
        <v>4860</v>
      </c>
      <c r="AY72" s="50">
        <f t="shared" si="43"/>
        <v>4956</v>
      </c>
      <c r="AZ72" s="50">
        <f t="shared" si="44"/>
        <v>5004</v>
      </c>
    </row>
    <row r="73" spans="9:52" x14ac:dyDescent="0.15">
      <c r="I73" s="33">
        <v>69</v>
      </c>
      <c r="J73" s="33">
        <f t="shared" si="30"/>
        <v>48.519666666666666</v>
      </c>
      <c r="K73" s="33">
        <f t="shared" si="31"/>
        <v>48.519666666666666</v>
      </c>
      <c r="L73" s="33">
        <f t="shared" si="32"/>
        <v>48.519666666666666</v>
      </c>
      <c r="M73" s="33">
        <f t="shared" si="33"/>
        <v>48.519666666666666</v>
      </c>
      <c r="N73" s="33">
        <f t="shared" si="34"/>
        <v>48.519666666666666</v>
      </c>
      <c r="AB73" s="33">
        <v>69</v>
      </c>
      <c r="AC73" s="33">
        <f t="shared" si="35"/>
        <v>4848</v>
      </c>
      <c r="AD73" s="33">
        <f t="shared" si="36"/>
        <v>4902</v>
      </c>
      <c r="AE73" s="33">
        <f t="shared" si="37"/>
        <v>5010</v>
      </c>
      <c r="AF73" s="33">
        <f t="shared" si="38"/>
        <v>5118</v>
      </c>
      <c r="AG73" s="33">
        <f t="shared" si="39"/>
        <v>5172</v>
      </c>
      <c r="AU73" s="50">
        <v>69</v>
      </c>
      <c r="AV73" s="50">
        <f t="shared" si="40"/>
        <v>4848</v>
      </c>
      <c r="AW73" s="50">
        <f t="shared" si="41"/>
        <v>4902</v>
      </c>
      <c r="AX73" s="50">
        <f t="shared" si="42"/>
        <v>5010</v>
      </c>
      <c r="AY73" s="50">
        <f t="shared" si="43"/>
        <v>5118</v>
      </c>
      <c r="AZ73" s="50">
        <f t="shared" si="44"/>
        <v>5172</v>
      </c>
    </row>
    <row r="74" spans="9:52" x14ac:dyDescent="0.15">
      <c r="I74" s="33">
        <v>70</v>
      </c>
      <c r="J74" s="33">
        <f t="shared" si="30"/>
        <v>49.61333333333333</v>
      </c>
      <c r="K74" s="33">
        <f t="shared" si="31"/>
        <v>49.61333333333333</v>
      </c>
      <c r="L74" s="33">
        <f t="shared" si="32"/>
        <v>49.61333333333333</v>
      </c>
      <c r="M74" s="33">
        <f t="shared" si="33"/>
        <v>49.61333333333333</v>
      </c>
      <c r="N74" s="33">
        <f t="shared" si="34"/>
        <v>49.61333333333333</v>
      </c>
      <c r="AB74" s="33">
        <v>70</v>
      </c>
      <c r="AC74" s="33">
        <f t="shared" si="35"/>
        <v>4980</v>
      </c>
      <c r="AD74" s="33">
        <f t="shared" si="36"/>
        <v>5040</v>
      </c>
      <c r="AE74" s="33">
        <f t="shared" si="37"/>
        <v>5160</v>
      </c>
      <c r="AF74" s="33">
        <f t="shared" si="38"/>
        <v>5280</v>
      </c>
      <c r="AG74" s="33">
        <f t="shared" si="39"/>
        <v>5340</v>
      </c>
      <c r="AU74" s="50">
        <v>70</v>
      </c>
      <c r="AV74" s="50">
        <f t="shared" si="40"/>
        <v>4980</v>
      </c>
      <c r="AW74" s="50">
        <f t="shared" si="41"/>
        <v>5040</v>
      </c>
      <c r="AX74" s="50">
        <f t="shared" si="42"/>
        <v>5160</v>
      </c>
      <c r="AY74" s="50">
        <f t="shared" si="43"/>
        <v>5280</v>
      </c>
      <c r="AZ74" s="50">
        <f t="shared" si="44"/>
        <v>5340</v>
      </c>
    </row>
    <row r="75" spans="9:52" x14ac:dyDescent="0.15">
      <c r="I75" s="33">
        <v>71</v>
      </c>
      <c r="J75" s="33">
        <f t="shared" si="30"/>
        <v>50.822999999999993</v>
      </c>
      <c r="K75" s="33">
        <f t="shared" si="31"/>
        <v>50.822999999999993</v>
      </c>
      <c r="L75" s="33">
        <f t="shared" si="32"/>
        <v>50.822999999999993</v>
      </c>
      <c r="M75" s="33">
        <f t="shared" si="33"/>
        <v>50.822999999999993</v>
      </c>
      <c r="N75" s="33">
        <f t="shared" si="34"/>
        <v>50.822999999999993</v>
      </c>
      <c r="AB75" s="33">
        <v>71</v>
      </c>
      <c r="AC75" s="33">
        <f t="shared" si="35"/>
        <v>5156</v>
      </c>
      <c r="AD75" s="33">
        <f t="shared" si="36"/>
        <v>5222</v>
      </c>
      <c r="AE75" s="33">
        <f t="shared" si="37"/>
        <v>5354</v>
      </c>
      <c r="AF75" s="33">
        <f t="shared" si="38"/>
        <v>5486</v>
      </c>
      <c r="AG75" s="33">
        <f t="shared" si="39"/>
        <v>5552</v>
      </c>
      <c r="AU75" s="50">
        <v>71</v>
      </c>
      <c r="AV75" s="50">
        <f t="shared" si="40"/>
        <v>5156</v>
      </c>
      <c r="AW75" s="50">
        <f t="shared" si="41"/>
        <v>5222</v>
      </c>
      <c r="AX75" s="50">
        <f t="shared" si="42"/>
        <v>5354</v>
      </c>
      <c r="AY75" s="50">
        <f t="shared" si="43"/>
        <v>5486</v>
      </c>
      <c r="AZ75" s="50">
        <f t="shared" si="44"/>
        <v>5552</v>
      </c>
    </row>
    <row r="76" spans="9:52" x14ac:dyDescent="0.15">
      <c r="I76" s="33">
        <v>72</v>
      </c>
      <c r="J76" s="33">
        <f t="shared" si="30"/>
        <v>52.032666666666664</v>
      </c>
      <c r="K76" s="33">
        <f t="shared" si="31"/>
        <v>52.032666666666664</v>
      </c>
      <c r="L76" s="33">
        <f t="shared" si="32"/>
        <v>52.032666666666664</v>
      </c>
      <c r="M76" s="33">
        <f t="shared" si="33"/>
        <v>52.032666666666664</v>
      </c>
      <c r="N76" s="33">
        <f t="shared" si="34"/>
        <v>52.032666666666664</v>
      </c>
      <c r="AB76" s="33">
        <v>72</v>
      </c>
      <c r="AC76" s="33">
        <f t="shared" si="35"/>
        <v>5332</v>
      </c>
      <c r="AD76" s="33">
        <f t="shared" si="36"/>
        <v>5404</v>
      </c>
      <c r="AE76" s="33">
        <f t="shared" si="37"/>
        <v>5548</v>
      </c>
      <c r="AF76" s="33">
        <f t="shared" si="38"/>
        <v>5692</v>
      </c>
      <c r="AG76" s="33">
        <f t="shared" si="39"/>
        <v>5764</v>
      </c>
      <c r="AU76" s="50">
        <v>72</v>
      </c>
      <c r="AV76" s="50">
        <f t="shared" si="40"/>
        <v>5332</v>
      </c>
      <c r="AW76" s="50">
        <f t="shared" si="41"/>
        <v>5404</v>
      </c>
      <c r="AX76" s="50">
        <f t="shared" si="42"/>
        <v>5548</v>
      </c>
      <c r="AY76" s="50">
        <f t="shared" si="43"/>
        <v>5692</v>
      </c>
      <c r="AZ76" s="50">
        <f t="shared" si="44"/>
        <v>5764</v>
      </c>
    </row>
    <row r="77" spans="9:52" x14ac:dyDescent="0.15">
      <c r="I77" s="33">
        <v>73</v>
      </c>
      <c r="J77" s="33">
        <f t="shared" si="30"/>
        <v>53.242333333333335</v>
      </c>
      <c r="K77" s="33">
        <f t="shared" si="31"/>
        <v>53.242333333333335</v>
      </c>
      <c r="L77" s="33">
        <f t="shared" si="32"/>
        <v>53.242333333333335</v>
      </c>
      <c r="M77" s="33">
        <f t="shared" si="33"/>
        <v>53.242333333333335</v>
      </c>
      <c r="N77" s="33">
        <f t="shared" si="34"/>
        <v>53.242333333333335</v>
      </c>
      <c r="AB77" s="33">
        <v>73</v>
      </c>
      <c r="AC77" s="33">
        <f t="shared" si="35"/>
        <v>5508</v>
      </c>
      <c r="AD77" s="33">
        <f t="shared" si="36"/>
        <v>5586</v>
      </c>
      <c r="AE77" s="33">
        <f t="shared" si="37"/>
        <v>5742</v>
      </c>
      <c r="AF77" s="33">
        <f t="shared" si="38"/>
        <v>5898</v>
      </c>
      <c r="AG77" s="33">
        <f t="shared" si="39"/>
        <v>5976</v>
      </c>
      <c r="AU77" s="50">
        <v>73</v>
      </c>
      <c r="AV77" s="50">
        <f t="shared" si="40"/>
        <v>5508</v>
      </c>
      <c r="AW77" s="50">
        <f t="shared" si="41"/>
        <v>5586</v>
      </c>
      <c r="AX77" s="50">
        <f t="shared" si="42"/>
        <v>5742</v>
      </c>
      <c r="AY77" s="50">
        <f t="shared" si="43"/>
        <v>5898</v>
      </c>
      <c r="AZ77" s="50">
        <f t="shared" si="44"/>
        <v>5976</v>
      </c>
    </row>
    <row r="78" spans="9:52" x14ac:dyDescent="0.15">
      <c r="I78" s="33">
        <v>74</v>
      </c>
      <c r="J78" s="33">
        <f t="shared" si="30"/>
        <v>54.451999999999998</v>
      </c>
      <c r="K78" s="33">
        <f t="shared" si="31"/>
        <v>54.451999999999998</v>
      </c>
      <c r="L78" s="33">
        <f t="shared" si="32"/>
        <v>54.451999999999998</v>
      </c>
      <c r="M78" s="33">
        <f t="shared" si="33"/>
        <v>54.451999999999998</v>
      </c>
      <c r="N78" s="33">
        <f t="shared" si="34"/>
        <v>54.451999999999998</v>
      </c>
      <c r="AB78" s="33">
        <v>74</v>
      </c>
      <c r="AC78" s="33">
        <f t="shared" si="35"/>
        <v>5684</v>
      </c>
      <c r="AD78" s="33">
        <f t="shared" si="36"/>
        <v>5768</v>
      </c>
      <c r="AE78" s="33">
        <f t="shared" si="37"/>
        <v>5936</v>
      </c>
      <c r="AF78" s="33">
        <f t="shared" si="38"/>
        <v>6104</v>
      </c>
      <c r="AG78" s="33">
        <f t="shared" si="39"/>
        <v>6188</v>
      </c>
      <c r="AU78" s="50">
        <v>74</v>
      </c>
      <c r="AV78" s="50">
        <f t="shared" si="40"/>
        <v>5684</v>
      </c>
      <c r="AW78" s="50">
        <f t="shared" si="41"/>
        <v>5768</v>
      </c>
      <c r="AX78" s="50">
        <f t="shared" si="42"/>
        <v>5936</v>
      </c>
      <c r="AY78" s="50">
        <f t="shared" si="43"/>
        <v>6104</v>
      </c>
      <c r="AZ78" s="50">
        <f t="shared" si="44"/>
        <v>6188</v>
      </c>
    </row>
    <row r="79" spans="9:52" x14ac:dyDescent="0.15">
      <c r="I79" s="33">
        <v>75</v>
      </c>
      <c r="J79" s="33">
        <f t="shared" si="30"/>
        <v>55.661666666666662</v>
      </c>
      <c r="K79" s="33">
        <f t="shared" si="31"/>
        <v>55.661666666666662</v>
      </c>
      <c r="L79" s="33">
        <f t="shared" si="32"/>
        <v>55.661666666666662</v>
      </c>
      <c r="M79" s="33">
        <f t="shared" si="33"/>
        <v>55.661666666666662</v>
      </c>
      <c r="N79" s="33">
        <f t="shared" si="34"/>
        <v>55.661666666666662</v>
      </c>
      <c r="AB79" s="33">
        <v>75</v>
      </c>
      <c r="AC79" s="33">
        <f t="shared" si="35"/>
        <v>5860</v>
      </c>
      <c r="AD79" s="33">
        <f t="shared" si="36"/>
        <v>5950</v>
      </c>
      <c r="AE79" s="33">
        <f t="shared" si="37"/>
        <v>6130</v>
      </c>
      <c r="AF79" s="33">
        <f t="shared" si="38"/>
        <v>6310</v>
      </c>
      <c r="AG79" s="33">
        <f t="shared" si="39"/>
        <v>6400</v>
      </c>
      <c r="AU79" s="50">
        <v>75</v>
      </c>
      <c r="AV79" s="50">
        <f t="shared" si="40"/>
        <v>5860</v>
      </c>
      <c r="AW79" s="50">
        <f t="shared" si="41"/>
        <v>5950</v>
      </c>
      <c r="AX79" s="50">
        <f t="shared" si="42"/>
        <v>6130</v>
      </c>
      <c r="AY79" s="50">
        <f t="shared" si="43"/>
        <v>6310</v>
      </c>
      <c r="AZ79" s="50">
        <f t="shared" si="44"/>
        <v>6400</v>
      </c>
    </row>
    <row r="80" spans="9:52" x14ac:dyDescent="0.15">
      <c r="I80" s="33">
        <v>76</v>
      </c>
      <c r="J80" s="33">
        <f t="shared" si="30"/>
        <v>56.871333333333332</v>
      </c>
      <c r="K80" s="33">
        <f t="shared" si="31"/>
        <v>56.871333333333332</v>
      </c>
      <c r="L80" s="33">
        <f t="shared" si="32"/>
        <v>56.871333333333332</v>
      </c>
      <c r="M80" s="33">
        <f t="shared" si="33"/>
        <v>56.871333333333332</v>
      </c>
      <c r="N80" s="33">
        <f t="shared" si="34"/>
        <v>56.871333333333332</v>
      </c>
      <c r="AB80" s="33">
        <v>76</v>
      </c>
      <c r="AC80" s="33">
        <f t="shared" si="35"/>
        <v>6036</v>
      </c>
      <c r="AD80" s="33">
        <f t="shared" si="36"/>
        <v>6132</v>
      </c>
      <c r="AE80" s="33">
        <f t="shared" si="37"/>
        <v>6324</v>
      </c>
      <c r="AF80" s="33">
        <f t="shared" si="38"/>
        <v>6516</v>
      </c>
      <c r="AG80" s="33">
        <f t="shared" si="39"/>
        <v>6612</v>
      </c>
      <c r="AU80" s="50">
        <v>76</v>
      </c>
      <c r="AV80" s="50">
        <f t="shared" si="40"/>
        <v>6036</v>
      </c>
      <c r="AW80" s="50">
        <f t="shared" si="41"/>
        <v>6132</v>
      </c>
      <c r="AX80" s="50">
        <f t="shared" si="42"/>
        <v>6324</v>
      </c>
      <c r="AY80" s="50">
        <f t="shared" si="43"/>
        <v>6516</v>
      </c>
      <c r="AZ80" s="50">
        <f t="shared" si="44"/>
        <v>6612</v>
      </c>
    </row>
    <row r="81" spans="9:52" x14ac:dyDescent="0.15">
      <c r="I81" s="33">
        <v>77</v>
      </c>
      <c r="J81" s="33">
        <f t="shared" si="30"/>
        <v>58.081000000000003</v>
      </c>
      <c r="K81" s="33">
        <f t="shared" si="31"/>
        <v>58.081000000000003</v>
      </c>
      <c r="L81" s="33">
        <f t="shared" si="32"/>
        <v>58.081000000000003</v>
      </c>
      <c r="M81" s="33">
        <f t="shared" si="33"/>
        <v>58.081000000000003</v>
      </c>
      <c r="N81" s="33">
        <f t="shared" si="34"/>
        <v>58.081000000000003</v>
      </c>
      <c r="AB81" s="33">
        <v>77</v>
      </c>
      <c r="AC81" s="33">
        <f t="shared" si="35"/>
        <v>6212</v>
      </c>
      <c r="AD81" s="33">
        <f t="shared" si="36"/>
        <v>6314</v>
      </c>
      <c r="AE81" s="33">
        <f t="shared" si="37"/>
        <v>6518</v>
      </c>
      <c r="AF81" s="33">
        <f t="shared" si="38"/>
        <v>6722</v>
      </c>
      <c r="AG81" s="33">
        <f t="shared" si="39"/>
        <v>6824</v>
      </c>
      <c r="AU81" s="50">
        <v>77</v>
      </c>
      <c r="AV81" s="50">
        <f t="shared" si="40"/>
        <v>6212</v>
      </c>
      <c r="AW81" s="50">
        <f t="shared" si="41"/>
        <v>6314</v>
      </c>
      <c r="AX81" s="50">
        <f t="shared" si="42"/>
        <v>6518</v>
      </c>
      <c r="AY81" s="50">
        <f t="shared" si="43"/>
        <v>6722</v>
      </c>
      <c r="AZ81" s="50">
        <f t="shared" si="44"/>
        <v>6824</v>
      </c>
    </row>
    <row r="82" spans="9:52" x14ac:dyDescent="0.15">
      <c r="I82" s="33">
        <v>78</v>
      </c>
      <c r="J82" s="33">
        <f t="shared" si="30"/>
        <v>59.290666666666667</v>
      </c>
      <c r="K82" s="33">
        <f t="shared" si="31"/>
        <v>59.290666666666667</v>
      </c>
      <c r="L82" s="33">
        <f t="shared" si="32"/>
        <v>59.290666666666667</v>
      </c>
      <c r="M82" s="33">
        <f t="shared" si="33"/>
        <v>59.290666666666667</v>
      </c>
      <c r="N82" s="33">
        <f t="shared" si="34"/>
        <v>59.290666666666667</v>
      </c>
      <c r="AB82" s="33">
        <v>78</v>
      </c>
      <c r="AC82" s="33">
        <f t="shared" si="35"/>
        <v>6388</v>
      </c>
      <c r="AD82" s="33">
        <f t="shared" si="36"/>
        <v>6496</v>
      </c>
      <c r="AE82" s="33">
        <f t="shared" si="37"/>
        <v>6712</v>
      </c>
      <c r="AF82" s="33">
        <f t="shared" si="38"/>
        <v>6928</v>
      </c>
      <c r="AG82" s="33">
        <f t="shared" si="39"/>
        <v>7036</v>
      </c>
      <c r="AU82" s="50">
        <v>78</v>
      </c>
      <c r="AV82" s="50">
        <f t="shared" si="40"/>
        <v>6388</v>
      </c>
      <c r="AW82" s="50">
        <f t="shared" si="41"/>
        <v>6496</v>
      </c>
      <c r="AX82" s="50">
        <f t="shared" si="42"/>
        <v>6712</v>
      </c>
      <c r="AY82" s="50">
        <f t="shared" si="43"/>
        <v>6928</v>
      </c>
      <c r="AZ82" s="50">
        <f t="shared" si="44"/>
        <v>7036</v>
      </c>
    </row>
    <row r="83" spans="9:52" x14ac:dyDescent="0.15">
      <c r="I83" s="33">
        <v>79</v>
      </c>
      <c r="J83" s="33">
        <f t="shared" si="30"/>
        <v>60.50033333333333</v>
      </c>
      <c r="K83" s="33">
        <f t="shared" si="31"/>
        <v>60.50033333333333</v>
      </c>
      <c r="L83" s="33">
        <f t="shared" si="32"/>
        <v>60.50033333333333</v>
      </c>
      <c r="M83" s="33">
        <f t="shared" si="33"/>
        <v>60.50033333333333</v>
      </c>
      <c r="N83" s="33">
        <f t="shared" si="34"/>
        <v>60.50033333333333</v>
      </c>
      <c r="AB83" s="33">
        <v>79</v>
      </c>
      <c r="AC83" s="33">
        <f t="shared" si="35"/>
        <v>6564</v>
      </c>
      <c r="AD83" s="33">
        <f t="shared" si="36"/>
        <v>6678</v>
      </c>
      <c r="AE83" s="33">
        <f t="shared" si="37"/>
        <v>6906</v>
      </c>
      <c r="AF83" s="33">
        <f t="shared" si="38"/>
        <v>7134</v>
      </c>
      <c r="AG83" s="33">
        <f t="shared" si="39"/>
        <v>7248</v>
      </c>
      <c r="AU83" s="50">
        <v>79</v>
      </c>
      <c r="AV83" s="50">
        <f t="shared" si="40"/>
        <v>6564</v>
      </c>
      <c r="AW83" s="50">
        <f t="shared" si="41"/>
        <v>6678</v>
      </c>
      <c r="AX83" s="50">
        <f t="shared" si="42"/>
        <v>6906</v>
      </c>
      <c r="AY83" s="50">
        <f t="shared" si="43"/>
        <v>7134</v>
      </c>
      <c r="AZ83" s="50">
        <f t="shared" si="44"/>
        <v>7248</v>
      </c>
    </row>
    <row r="84" spans="9:52" x14ac:dyDescent="0.15">
      <c r="I84" s="33">
        <v>80</v>
      </c>
      <c r="J84" s="33">
        <f t="shared" si="30"/>
        <v>61.71</v>
      </c>
      <c r="K84" s="33">
        <f t="shared" si="31"/>
        <v>61.71</v>
      </c>
      <c r="L84" s="33">
        <f t="shared" si="32"/>
        <v>61.71</v>
      </c>
      <c r="M84" s="33">
        <f t="shared" si="33"/>
        <v>61.71</v>
      </c>
      <c r="N84" s="33">
        <f t="shared" si="34"/>
        <v>61.71</v>
      </c>
      <c r="AB84" s="33">
        <v>80</v>
      </c>
      <c r="AC84" s="33">
        <f t="shared" si="35"/>
        <v>6740</v>
      </c>
      <c r="AD84" s="33">
        <f t="shared" si="36"/>
        <v>6860</v>
      </c>
      <c r="AE84" s="33">
        <f t="shared" si="37"/>
        <v>7100</v>
      </c>
      <c r="AF84" s="33">
        <f t="shared" si="38"/>
        <v>7340</v>
      </c>
      <c r="AG84" s="33">
        <f t="shared" si="39"/>
        <v>7460</v>
      </c>
      <c r="AU84" s="50">
        <v>80</v>
      </c>
      <c r="AV84" s="50">
        <f t="shared" si="40"/>
        <v>6740</v>
      </c>
      <c r="AW84" s="50">
        <f t="shared" si="41"/>
        <v>6860</v>
      </c>
      <c r="AX84" s="50">
        <f t="shared" si="42"/>
        <v>7100</v>
      </c>
      <c r="AY84" s="50">
        <f t="shared" si="43"/>
        <v>7340</v>
      </c>
      <c r="AZ84" s="50">
        <f t="shared" si="44"/>
        <v>7460</v>
      </c>
    </row>
    <row r="85" spans="9:52" x14ac:dyDescent="0.15">
      <c r="I85" s="33">
        <v>81</v>
      </c>
      <c r="J85" s="33">
        <f t="shared" si="30"/>
        <v>62.139000000000003</v>
      </c>
      <c r="K85" s="33">
        <f t="shared" si="31"/>
        <v>62.139000000000003</v>
      </c>
      <c r="L85" s="33">
        <f t="shared" si="32"/>
        <v>62.139000000000003</v>
      </c>
      <c r="M85" s="33">
        <f t="shared" si="33"/>
        <v>62.139000000000003</v>
      </c>
      <c r="N85" s="33">
        <f t="shared" si="34"/>
        <v>62.139000000000003</v>
      </c>
      <c r="AB85" s="33">
        <v>81</v>
      </c>
      <c r="AC85" s="33">
        <f t="shared" si="35"/>
        <v>6854</v>
      </c>
      <c r="AD85" s="33">
        <f t="shared" si="36"/>
        <v>6986</v>
      </c>
      <c r="AE85" s="33">
        <f t="shared" si="37"/>
        <v>7250</v>
      </c>
      <c r="AF85" s="33">
        <f t="shared" si="38"/>
        <v>7514</v>
      </c>
      <c r="AG85" s="33">
        <f t="shared" si="39"/>
        <v>7646</v>
      </c>
      <c r="AU85" s="50">
        <v>81</v>
      </c>
      <c r="AV85" s="50">
        <f t="shared" si="40"/>
        <v>6854</v>
      </c>
      <c r="AW85" s="50">
        <f t="shared" si="41"/>
        <v>6986</v>
      </c>
      <c r="AX85" s="50">
        <f t="shared" si="42"/>
        <v>7250</v>
      </c>
      <c r="AY85" s="50">
        <f t="shared" si="43"/>
        <v>7514</v>
      </c>
      <c r="AZ85" s="50">
        <f t="shared" si="44"/>
        <v>7646</v>
      </c>
    </row>
    <row r="86" spans="9:52" x14ac:dyDescent="0.15">
      <c r="I86" s="33">
        <v>82</v>
      </c>
      <c r="J86" s="33">
        <f t="shared" si="30"/>
        <v>62.567999999999998</v>
      </c>
      <c r="K86" s="33">
        <f t="shared" si="31"/>
        <v>62.567999999999998</v>
      </c>
      <c r="L86" s="33">
        <f t="shared" si="32"/>
        <v>62.567999999999998</v>
      </c>
      <c r="M86" s="33">
        <f t="shared" si="33"/>
        <v>62.567999999999998</v>
      </c>
      <c r="N86" s="33">
        <f t="shared" si="34"/>
        <v>62.567999999999998</v>
      </c>
      <c r="AB86" s="33">
        <v>82</v>
      </c>
      <c r="AC86" s="33">
        <f t="shared" si="35"/>
        <v>6968</v>
      </c>
      <c r="AD86" s="33">
        <f t="shared" si="36"/>
        <v>7112</v>
      </c>
      <c r="AE86" s="33">
        <f t="shared" si="37"/>
        <v>7400</v>
      </c>
      <c r="AF86" s="33">
        <f t="shared" si="38"/>
        <v>7688</v>
      </c>
      <c r="AG86" s="33">
        <f t="shared" si="39"/>
        <v>7832</v>
      </c>
      <c r="AU86" s="50">
        <v>82</v>
      </c>
      <c r="AV86" s="50">
        <f t="shared" si="40"/>
        <v>6968</v>
      </c>
      <c r="AW86" s="50">
        <f t="shared" si="41"/>
        <v>7112</v>
      </c>
      <c r="AX86" s="50">
        <f t="shared" si="42"/>
        <v>7400</v>
      </c>
      <c r="AY86" s="50">
        <f t="shared" si="43"/>
        <v>7688</v>
      </c>
      <c r="AZ86" s="50">
        <f t="shared" si="44"/>
        <v>7832</v>
      </c>
    </row>
    <row r="87" spans="9:52" x14ac:dyDescent="0.15">
      <c r="I87" s="33">
        <v>83</v>
      </c>
      <c r="J87" s="33">
        <f t="shared" si="30"/>
        <v>62.997</v>
      </c>
      <c r="K87" s="33">
        <f t="shared" si="31"/>
        <v>62.997</v>
      </c>
      <c r="L87" s="33">
        <f t="shared" si="32"/>
        <v>62.997</v>
      </c>
      <c r="M87" s="33">
        <f t="shared" si="33"/>
        <v>62.997</v>
      </c>
      <c r="N87" s="33">
        <f t="shared" si="34"/>
        <v>62.997</v>
      </c>
      <c r="AB87" s="33">
        <v>83</v>
      </c>
      <c r="AC87" s="33">
        <f t="shared" si="35"/>
        <v>7082</v>
      </c>
      <c r="AD87" s="33">
        <f t="shared" si="36"/>
        <v>7238</v>
      </c>
      <c r="AE87" s="33">
        <f t="shared" si="37"/>
        <v>7550</v>
      </c>
      <c r="AF87" s="33">
        <f t="shared" si="38"/>
        <v>7862</v>
      </c>
      <c r="AG87" s="33">
        <f t="shared" si="39"/>
        <v>8018</v>
      </c>
      <c r="AU87" s="50">
        <v>83</v>
      </c>
      <c r="AV87" s="50">
        <f t="shared" si="40"/>
        <v>7082</v>
      </c>
      <c r="AW87" s="50">
        <f t="shared" si="41"/>
        <v>7238</v>
      </c>
      <c r="AX87" s="50">
        <f t="shared" si="42"/>
        <v>7550</v>
      </c>
      <c r="AY87" s="50">
        <f t="shared" si="43"/>
        <v>7862</v>
      </c>
      <c r="AZ87" s="50">
        <f t="shared" si="44"/>
        <v>8018</v>
      </c>
    </row>
    <row r="88" spans="9:52" x14ac:dyDescent="0.15">
      <c r="I88" s="33">
        <v>84</v>
      </c>
      <c r="J88" s="33">
        <f t="shared" si="30"/>
        <v>63.426000000000002</v>
      </c>
      <c r="K88" s="33">
        <f t="shared" si="31"/>
        <v>63.426000000000002</v>
      </c>
      <c r="L88" s="33">
        <f t="shared" si="32"/>
        <v>63.426000000000002</v>
      </c>
      <c r="M88" s="33">
        <f t="shared" si="33"/>
        <v>63.426000000000002</v>
      </c>
      <c r="N88" s="33">
        <f t="shared" si="34"/>
        <v>63.426000000000002</v>
      </c>
      <c r="AB88" s="33">
        <v>84</v>
      </c>
      <c r="AC88" s="33">
        <f t="shared" si="35"/>
        <v>7196</v>
      </c>
      <c r="AD88" s="33">
        <f t="shared" si="36"/>
        <v>7364</v>
      </c>
      <c r="AE88" s="33">
        <f t="shared" si="37"/>
        <v>7700</v>
      </c>
      <c r="AF88" s="33">
        <f t="shared" si="38"/>
        <v>8036</v>
      </c>
      <c r="AG88" s="33">
        <f t="shared" si="39"/>
        <v>8204</v>
      </c>
      <c r="AU88" s="50">
        <v>84</v>
      </c>
      <c r="AV88" s="50">
        <f t="shared" si="40"/>
        <v>7196</v>
      </c>
      <c r="AW88" s="50">
        <f t="shared" si="41"/>
        <v>7364</v>
      </c>
      <c r="AX88" s="50">
        <f t="shared" si="42"/>
        <v>7700</v>
      </c>
      <c r="AY88" s="50">
        <f t="shared" si="43"/>
        <v>8036</v>
      </c>
      <c r="AZ88" s="50">
        <f t="shared" si="44"/>
        <v>8204</v>
      </c>
    </row>
    <row r="89" spans="9:52" x14ac:dyDescent="0.15">
      <c r="I89" s="33">
        <v>85</v>
      </c>
      <c r="J89" s="33">
        <f t="shared" si="30"/>
        <v>63.855000000000004</v>
      </c>
      <c r="K89" s="33">
        <f t="shared" si="31"/>
        <v>63.855000000000004</v>
      </c>
      <c r="L89" s="33">
        <f t="shared" si="32"/>
        <v>63.855000000000004</v>
      </c>
      <c r="M89" s="33">
        <f t="shared" si="33"/>
        <v>63.855000000000004</v>
      </c>
      <c r="N89" s="33">
        <f t="shared" si="34"/>
        <v>63.855000000000004</v>
      </c>
      <c r="AB89" s="33">
        <v>85</v>
      </c>
      <c r="AC89" s="33">
        <f t="shared" si="35"/>
        <v>7310</v>
      </c>
      <c r="AD89" s="33">
        <f t="shared" si="36"/>
        <v>7490</v>
      </c>
      <c r="AE89" s="33">
        <f t="shared" si="37"/>
        <v>7850</v>
      </c>
      <c r="AF89" s="33">
        <f t="shared" si="38"/>
        <v>8210</v>
      </c>
      <c r="AG89" s="33">
        <f t="shared" si="39"/>
        <v>8390</v>
      </c>
      <c r="AU89" s="50">
        <v>85</v>
      </c>
      <c r="AV89" s="50">
        <f t="shared" si="40"/>
        <v>7310</v>
      </c>
      <c r="AW89" s="50">
        <f t="shared" si="41"/>
        <v>7490</v>
      </c>
      <c r="AX89" s="50">
        <f t="shared" si="42"/>
        <v>7850</v>
      </c>
      <c r="AY89" s="50">
        <f t="shared" si="43"/>
        <v>8210</v>
      </c>
      <c r="AZ89" s="50">
        <f t="shared" si="44"/>
        <v>8390</v>
      </c>
    </row>
    <row r="90" spans="9:52" x14ac:dyDescent="0.15">
      <c r="I90" s="33">
        <v>86</v>
      </c>
      <c r="J90" s="33">
        <f t="shared" si="30"/>
        <v>64.284000000000006</v>
      </c>
      <c r="K90" s="33">
        <f t="shared" si="31"/>
        <v>64.284000000000006</v>
      </c>
      <c r="L90" s="33">
        <f t="shared" si="32"/>
        <v>64.284000000000006</v>
      </c>
      <c r="M90" s="33">
        <f t="shared" si="33"/>
        <v>64.284000000000006</v>
      </c>
      <c r="N90" s="33">
        <f t="shared" si="34"/>
        <v>64.284000000000006</v>
      </c>
      <c r="AB90" s="33">
        <v>86</v>
      </c>
      <c r="AC90" s="33">
        <f t="shared" si="35"/>
        <v>7424</v>
      </c>
      <c r="AD90" s="33">
        <f t="shared" si="36"/>
        <v>7616</v>
      </c>
      <c r="AE90" s="33">
        <f t="shared" si="37"/>
        <v>8000</v>
      </c>
      <c r="AF90" s="33">
        <f t="shared" si="38"/>
        <v>8384</v>
      </c>
      <c r="AG90" s="33">
        <f t="shared" si="39"/>
        <v>8576</v>
      </c>
      <c r="AU90" s="50">
        <v>86</v>
      </c>
      <c r="AV90" s="50">
        <f t="shared" si="40"/>
        <v>7424</v>
      </c>
      <c r="AW90" s="50">
        <f t="shared" si="41"/>
        <v>7616</v>
      </c>
      <c r="AX90" s="50">
        <f t="shared" si="42"/>
        <v>8000</v>
      </c>
      <c r="AY90" s="50">
        <f t="shared" si="43"/>
        <v>8384</v>
      </c>
      <c r="AZ90" s="50">
        <f t="shared" si="44"/>
        <v>8576</v>
      </c>
    </row>
    <row r="91" spans="9:52" x14ac:dyDescent="0.15">
      <c r="I91" s="33">
        <v>87</v>
      </c>
      <c r="J91" s="33">
        <f t="shared" si="30"/>
        <v>64.712999999999994</v>
      </c>
      <c r="K91" s="33">
        <f t="shared" si="31"/>
        <v>64.712999999999994</v>
      </c>
      <c r="L91" s="33">
        <f t="shared" si="32"/>
        <v>64.712999999999994</v>
      </c>
      <c r="M91" s="33">
        <f t="shared" si="33"/>
        <v>64.712999999999994</v>
      </c>
      <c r="N91" s="33">
        <f t="shared" si="34"/>
        <v>64.712999999999994</v>
      </c>
      <c r="AB91" s="33">
        <v>87</v>
      </c>
      <c r="AC91" s="33">
        <f t="shared" si="35"/>
        <v>7538</v>
      </c>
      <c r="AD91" s="33">
        <f t="shared" si="36"/>
        <v>7742</v>
      </c>
      <c r="AE91" s="33">
        <f t="shared" si="37"/>
        <v>8150</v>
      </c>
      <c r="AF91" s="33">
        <f t="shared" si="38"/>
        <v>8558</v>
      </c>
      <c r="AG91" s="33">
        <f t="shared" si="39"/>
        <v>8762</v>
      </c>
      <c r="AU91" s="50">
        <v>87</v>
      </c>
      <c r="AV91" s="50">
        <f t="shared" si="40"/>
        <v>7538</v>
      </c>
      <c r="AW91" s="50">
        <f t="shared" si="41"/>
        <v>7742</v>
      </c>
      <c r="AX91" s="50">
        <f t="shared" si="42"/>
        <v>8150</v>
      </c>
      <c r="AY91" s="50">
        <f t="shared" si="43"/>
        <v>8558</v>
      </c>
      <c r="AZ91" s="50">
        <f t="shared" si="44"/>
        <v>8762</v>
      </c>
    </row>
    <row r="92" spans="9:52" x14ac:dyDescent="0.15">
      <c r="I92" s="33">
        <v>88</v>
      </c>
      <c r="J92" s="33">
        <f t="shared" si="30"/>
        <v>65.141999999999996</v>
      </c>
      <c r="K92" s="33">
        <f t="shared" si="31"/>
        <v>65.141999999999996</v>
      </c>
      <c r="L92" s="33">
        <f t="shared" si="32"/>
        <v>65.141999999999996</v>
      </c>
      <c r="M92" s="33">
        <f t="shared" si="33"/>
        <v>65.141999999999996</v>
      </c>
      <c r="N92" s="33">
        <f t="shared" si="34"/>
        <v>65.141999999999996</v>
      </c>
      <c r="AB92" s="33">
        <v>88</v>
      </c>
      <c r="AC92" s="33">
        <f t="shared" si="35"/>
        <v>7652</v>
      </c>
      <c r="AD92" s="33">
        <f t="shared" si="36"/>
        <v>7868</v>
      </c>
      <c r="AE92" s="33">
        <f t="shared" si="37"/>
        <v>8300</v>
      </c>
      <c r="AF92" s="33">
        <f t="shared" si="38"/>
        <v>8732</v>
      </c>
      <c r="AG92" s="33">
        <f t="shared" si="39"/>
        <v>8948</v>
      </c>
      <c r="AU92" s="50">
        <v>88</v>
      </c>
      <c r="AV92" s="50">
        <f t="shared" si="40"/>
        <v>7652</v>
      </c>
      <c r="AW92" s="50">
        <f t="shared" si="41"/>
        <v>7868</v>
      </c>
      <c r="AX92" s="50">
        <f t="shared" si="42"/>
        <v>8300</v>
      </c>
      <c r="AY92" s="50">
        <f t="shared" si="43"/>
        <v>8732</v>
      </c>
      <c r="AZ92" s="50">
        <f t="shared" si="44"/>
        <v>8948</v>
      </c>
    </row>
    <row r="93" spans="9:52" x14ac:dyDescent="0.15">
      <c r="I93" s="33">
        <v>89</v>
      </c>
      <c r="J93" s="33">
        <f t="shared" si="30"/>
        <v>65.570999999999998</v>
      </c>
      <c r="K93" s="33">
        <f t="shared" si="31"/>
        <v>65.570999999999998</v>
      </c>
      <c r="L93" s="33">
        <f t="shared" si="32"/>
        <v>65.570999999999998</v>
      </c>
      <c r="M93" s="33">
        <f t="shared" si="33"/>
        <v>65.570999999999998</v>
      </c>
      <c r="N93" s="33">
        <f t="shared" si="34"/>
        <v>65.570999999999998</v>
      </c>
      <c r="AB93" s="33">
        <v>89</v>
      </c>
      <c r="AC93" s="33">
        <f t="shared" si="35"/>
        <v>7766</v>
      </c>
      <c r="AD93" s="33">
        <f t="shared" si="36"/>
        <v>7994</v>
      </c>
      <c r="AE93" s="33">
        <f t="shared" si="37"/>
        <v>8450</v>
      </c>
      <c r="AF93" s="33">
        <f t="shared" si="38"/>
        <v>8906</v>
      </c>
      <c r="AG93" s="33">
        <f t="shared" si="39"/>
        <v>9134</v>
      </c>
      <c r="AU93" s="50">
        <v>89</v>
      </c>
      <c r="AV93" s="50">
        <f t="shared" si="40"/>
        <v>7766</v>
      </c>
      <c r="AW93" s="50">
        <f t="shared" si="41"/>
        <v>7994</v>
      </c>
      <c r="AX93" s="50">
        <f t="shared" si="42"/>
        <v>8450</v>
      </c>
      <c r="AY93" s="50">
        <f t="shared" si="43"/>
        <v>8906</v>
      </c>
      <c r="AZ93" s="50">
        <f t="shared" si="44"/>
        <v>9134</v>
      </c>
    </row>
    <row r="94" spans="9:52" x14ac:dyDescent="0.15">
      <c r="I94" s="33">
        <v>90</v>
      </c>
      <c r="J94" s="33">
        <f t="shared" si="30"/>
        <v>66</v>
      </c>
      <c r="K94" s="33">
        <f t="shared" si="31"/>
        <v>66</v>
      </c>
      <c r="L94" s="33">
        <f t="shared" si="32"/>
        <v>66</v>
      </c>
      <c r="M94" s="33">
        <f t="shared" si="33"/>
        <v>66</v>
      </c>
      <c r="N94" s="33">
        <f t="shared" si="34"/>
        <v>66</v>
      </c>
      <c r="AB94" s="33">
        <v>90</v>
      </c>
      <c r="AC94" s="33">
        <f t="shared" si="35"/>
        <v>7880</v>
      </c>
      <c r="AD94" s="33">
        <f t="shared" si="36"/>
        <v>8120</v>
      </c>
      <c r="AE94" s="33">
        <f t="shared" si="37"/>
        <v>8600</v>
      </c>
      <c r="AF94" s="33">
        <f t="shared" si="38"/>
        <v>9080</v>
      </c>
      <c r="AG94" s="33">
        <f t="shared" si="39"/>
        <v>9320</v>
      </c>
      <c r="AU94" s="50">
        <v>90</v>
      </c>
      <c r="AV94" s="50">
        <f t="shared" si="40"/>
        <v>7880</v>
      </c>
      <c r="AW94" s="50">
        <f t="shared" si="41"/>
        <v>8120</v>
      </c>
      <c r="AX94" s="50">
        <f t="shared" si="42"/>
        <v>8600</v>
      </c>
      <c r="AY94" s="50">
        <f t="shared" si="43"/>
        <v>9080</v>
      </c>
      <c r="AZ94" s="50">
        <f t="shared" si="44"/>
        <v>9320</v>
      </c>
    </row>
    <row r="95" spans="9:52" x14ac:dyDescent="0.15">
      <c r="I95" s="33">
        <v>91</v>
      </c>
      <c r="J95" s="33">
        <f t="shared" si="30"/>
        <v>66</v>
      </c>
      <c r="K95" s="33">
        <f t="shared" si="31"/>
        <v>66</v>
      </c>
      <c r="L95" s="33">
        <f t="shared" si="32"/>
        <v>66</v>
      </c>
      <c r="M95" s="33">
        <f t="shared" si="33"/>
        <v>66</v>
      </c>
      <c r="N95" s="33">
        <f t="shared" si="34"/>
        <v>66</v>
      </c>
      <c r="AB95" s="33">
        <v>91</v>
      </c>
      <c r="AC95" s="33">
        <f t="shared" si="35"/>
        <v>8018</v>
      </c>
      <c r="AD95" s="33">
        <f t="shared" si="36"/>
        <v>8276</v>
      </c>
      <c r="AE95" s="33">
        <f t="shared" si="37"/>
        <v>8792</v>
      </c>
      <c r="AF95" s="33">
        <f t="shared" si="38"/>
        <v>9230</v>
      </c>
      <c r="AG95" s="33">
        <f t="shared" si="39"/>
        <v>9446</v>
      </c>
      <c r="AU95" s="50">
        <v>91</v>
      </c>
      <c r="AV95" s="50">
        <f t="shared" si="40"/>
        <v>8018</v>
      </c>
      <c r="AW95" s="50">
        <f t="shared" si="41"/>
        <v>8276</v>
      </c>
      <c r="AX95" s="50">
        <f t="shared" si="42"/>
        <v>8792</v>
      </c>
      <c r="AY95" s="50">
        <f t="shared" si="43"/>
        <v>9230</v>
      </c>
      <c r="AZ95" s="50">
        <f t="shared" si="44"/>
        <v>9446</v>
      </c>
    </row>
    <row r="96" spans="9:52" x14ac:dyDescent="0.15">
      <c r="I96" s="33">
        <v>92</v>
      </c>
      <c r="J96" s="33">
        <f t="shared" si="30"/>
        <v>66</v>
      </c>
      <c r="K96" s="33">
        <f t="shared" si="31"/>
        <v>66</v>
      </c>
      <c r="L96" s="33">
        <f t="shared" si="32"/>
        <v>66</v>
      </c>
      <c r="M96" s="33">
        <f t="shared" si="33"/>
        <v>66</v>
      </c>
      <c r="N96" s="33">
        <f t="shared" si="34"/>
        <v>66</v>
      </c>
      <c r="AB96" s="33">
        <v>92</v>
      </c>
      <c r="AC96" s="33">
        <f t="shared" si="35"/>
        <v>8156</v>
      </c>
      <c r="AD96" s="33">
        <f t="shared" si="36"/>
        <v>8432</v>
      </c>
      <c r="AE96" s="33">
        <f t="shared" si="37"/>
        <v>8984</v>
      </c>
      <c r="AF96" s="33">
        <f t="shared" si="38"/>
        <v>9380</v>
      </c>
      <c r="AG96" s="33">
        <f t="shared" si="39"/>
        <v>9572</v>
      </c>
      <c r="AU96" s="50">
        <v>92</v>
      </c>
      <c r="AV96" s="50">
        <f t="shared" si="40"/>
        <v>8156</v>
      </c>
      <c r="AW96" s="50">
        <f t="shared" si="41"/>
        <v>8432</v>
      </c>
      <c r="AX96" s="50">
        <f t="shared" si="42"/>
        <v>8984</v>
      </c>
      <c r="AY96" s="50">
        <f t="shared" si="43"/>
        <v>9380</v>
      </c>
      <c r="AZ96" s="50">
        <f t="shared" si="44"/>
        <v>9572</v>
      </c>
    </row>
    <row r="97" spans="9:54" x14ac:dyDescent="0.15">
      <c r="I97" s="33">
        <v>93</v>
      </c>
      <c r="J97" s="33">
        <f t="shared" si="30"/>
        <v>66</v>
      </c>
      <c r="K97" s="33">
        <f t="shared" si="31"/>
        <v>66</v>
      </c>
      <c r="L97" s="33">
        <f t="shared" si="32"/>
        <v>66</v>
      </c>
      <c r="M97" s="33">
        <f t="shared" si="33"/>
        <v>66</v>
      </c>
      <c r="N97" s="33">
        <f t="shared" si="34"/>
        <v>66</v>
      </c>
      <c r="AB97" s="33">
        <v>93</v>
      </c>
      <c r="AC97" s="33">
        <f t="shared" si="35"/>
        <v>8294</v>
      </c>
      <c r="AD97" s="33">
        <f t="shared" si="36"/>
        <v>8588</v>
      </c>
      <c r="AE97" s="33">
        <f t="shared" si="37"/>
        <v>9176</v>
      </c>
      <c r="AF97" s="33">
        <f t="shared" si="38"/>
        <v>9530</v>
      </c>
      <c r="AG97" s="33">
        <f t="shared" si="39"/>
        <v>9698</v>
      </c>
      <c r="AU97" s="50">
        <v>93</v>
      </c>
      <c r="AV97" s="50">
        <f t="shared" si="40"/>
        <v>8294</v>
      </c>
      <c r="AW97" s="50">
        <f t="shared" si="41"/>
        <v>8588</v>
      </c>
      <c r="AX97" s="50">
        <f t="shared" si="42"/>
        <v>9176</v>
      </c>
      <c r="AY97" s="50">
        <f t="shared" si="43"/>
        <v>9530</v>
      </c>
      <c r="AZ97" s="50">
        <f t="shared" si="44"/>
        <v>9698</v>
      </c>
    </row>
    <row r="98" spans="9:54" x14ac:dyDescent="0.15">
      <c r="I98" s="33">
        <v>94</v>
      </c>
      <c r="J98" s="33">
        <f t="shared" si="30"/>
        <v>66</v>
      </c>
      <c r="K98" s="33">
        <f t="shared" si="31"/>
        <v>66</v>
      </c>
      <c r="L98" s="33">
        <f t="shared" si="32"/>
        <v>66</v>
      </c>
      <c r="M98" s="33">
        <f t="shared" si="33"/>
        <v>66</v>
      </c>
      <c r="N98" s="33">
        <f t="shared" si="34"/>
        <v>66</v>
      </c>
      <c r="AB98" s="33">
        <v>94</v>
      </c>
      <c r="AC98" s="33">
        <f t="shared" si="35"/>
        <v>8432</v>
      </c>
      <c r="AD98" s="33">
        <f t="shared" si="36"/>
        <v>8744</v>
      </c>
      <c r="AE98" s="33">
        <f t="shared" si="37"/>
        <v>9368</v>
      </c>
      <c r="AF98" s="33">
        <f t="shared" si="38"/>
        <v>9680</v>
      </c>
      <c r="AG98" s="33">
        <f t="shared" si="39"/>
        <v>9824</v>
      </c>
      <c r="AU98" s="50">
        <v>94</v>
      </c>
      <c r="AV98" s="50">
        <f t="shared" si="40"/>
        <v>8432</v>
      </c>
      <c r="AW98" s="50">
        <f t="shared" si="41"/>
        <v>8744</v>
      </c>
      <c r="AX98" s="50">
        <f t="shared" si="42"/>
        <v>9368</v>
      </c>
      <c r="AY98" s="50">
        <f t="shared" si="43"/>
        <v>9680</v>
      </c>
      <c r="AZ98" s="50">
        <f t="shared" si="44"/>
        <v>9824</v>
      </c>
    </row>
    <row r="99" spans="9:54" x14ac:dyDescent="0.15">
      <c r="I99" s="33">
        <v>95</v>
      </c>
      <c r="J99" s="33">
        <f t="shared" si="30"/>
        <v>66</v>
      </c>
      <c r="K99" s="33">
        <f t="shared" si="31"/>
        <v>66</v>
      </c>
      <c r="L99" s="33">
        <f t="shared" si="32"/>
        <v>66</v>
      </c>
      <c r="M99" s="33">
        <f t="shared" si="33"/>
        <v>66</v>
      </c>
      <c r="N99" s="33">
        <f t="shared" si="34"/>
        <v>66</v>
      </c>
      <c r="AB99" s="33">
        <v>95</v>
      </c>
      <c r="AC99" s="33">
        <f t="shared" si="35"/>
        <v>8570</v>
      </c>
      <c r="AD99" s="33">
        <f t="shared" si="36"/>
        <v>8900</v>
      </c>
      <c r="AE99" s="33">
        <f t="shared" si="37"/>
        <v>9560</v>
      </c>
      <c r="AF99" s="33">
        <f t="shared" si="38"/>
        <v>9830</v>
      </c>
      <c r="AG99" s="33">
        <f t="shared" si="39"/>
        <v>9950</v>
      </c>
      <c r="AU99" s="50">
        <v>95</v>
      </c>
      <c r="AV99" s="50">
        <f t="shared" si="40"/>
        <v>8570</v>
      </c>
      <c r="AW99" s="50">
        <f t="shared" si="41"/>
        <v>8900</v>
      </c>
      <c r="AX99" s="50">
        <f t="shared" si="42"/>
        <v>9560</v>
      </c>
      <c r="AY99" s="50">
        <f t="shared" si="43"/>
        <v>9830</v>
      </c>
      <c r="AZ99" s="50">
        <f t="shared" si="44"/>
        <v>9950</v>
      </c>
    </row>
    <row r="100" spans="9:54" x14ac:dyDescent="0.15">
      <c r="I100" s="33">
        <v>96</v>
      </c>
      <c r="J100" s="33">
        <f t="shared" si="30"/>
        <v>66</v>
      </c>
      <c r="K100" s="33">
        <f t="shared" si="31"/>
        <v>66</v>
      </c>
      <c r="L100" s="33">
        <f t="shared" si="32"/>
        <v>66</v>
      </c>
      <c r="M100" s="33">
        <f t="shared" si="33"/>
        <v>66</v>
      </c>
      <c r="N100" s="33">
        <f t="shared" si="34"/>
        <v>66</v>
      </c>
      <c r="AB100" s="33">
        <v>96</v>
      </c>
      <c r="AC100" s="33">
        <f t="shared" si="35"/>
        <v>8708</v>
      </c>
      <c r="AD100" s="33">
        <f t="shared" si="36"/>
        <v>9056</v>
      </c>
      <c r="AE100" s="33">
        <f t="shared" si="37"/>
        <v>9752</v>
      </c>
      <c r="AF100" s="33">
        <f t="shared" si="38"/>
        <v>9980</v>
      </c>
      <c r="AG100" s="33">
        <f t="shared" si="39"/>
        <v>10076</v>
      </c>
      <c r="AU100" s="50">
        <v>96</v>
      </c>
      <c r="AV100" s="50">
        <f t="shared" si="40"/>
        <v>8708</v>
      </c>
      <c r="AW100" s="50">
        <f t="shared" si="41"/>
        <v>9056</v>
      </c>
      <c r="AX100" s="50">
        <f t="shared" si="42"/>
        <v>9752</v>
      </c>
      <c r="AY100" s="50">
        <f t="shared" si="43"/>
        <v>9980</v>
      </c>
      <c r="AZ100" s="50">
        <f t="shared" si="44"/>
        <v>10076</v>
      </c>
    </row>
    <row r="101" spans="9:54" x14ac:dyDescent="0.15">
      <c r="I101" s="33">
        <v>97</v>
      </c>
      <c r="J101" s="33">
        <f t="shared" si="30"/>
        <v>66</v>
      </c>
      <c r="K101" s="33">
        <f t="shared" si="31"/>
        <v>66</v>
      </c>
      <c r="L101" s="33">
        <f t="shared" si="32"/>
        <v>66</v>
      </c>
      <c r="M101" s="33">
        <f t="shared" si="33"/>
        <v>66</v>
      </c>
      <c r="N101" s="33">
        <f t="shared" si="34"/>
        <v>66</v>
      </c>
      <c r="AB101" s="33">
        <v>97</v>
      </c>
      <c r="AC101" s="33">
        <f t="shared" ref="AC101:AC132" si="45">求节点($R$5:$R$20,S$5:S$20,$AB101)</f>
        <v>8846</v>
      </c>
      <c r="AD101" s="33">
        <f t="shared" ref="AD101:AD132" si="46">求节点($R$5:$R$20,T$5:T$20,$AB101)</f>
        <v>9212</v>
      </c>
      <c r="AE101" s="33">
        <f t="shared" ref="AE101:AE132" si="47">求节点($R$5:$R$20,U$5:U$20,$AB101)</f>
        <v>9944</v>
      </c>
      <c r="AF101" s="33">
        <f t="shared" ref="AF101:AF132" si="48">求节点($R$5:$R$20,V$5:V$20,$AB101)</f>
        <v>10130</v>
      </c>
      <c r="AG101" s="33">
        <f t="shared" ref="AG101:AG132" si="49">求节点($R$5:$R$20,W$5:W$20,$AB101)</f>
        <v>10202</v>
      </c>
      <c r="AU101" s="50">
        <v>97</v>
      </c>
      <c r="AV101" s="50">
        <f t="shared" ref="AV101:AV132" si="50">求节点($R$5:$R$20,AL$5:AL$20,$AB101)</f>
        <v>8846</v>
      </c>
      <c r="AW101" s="50">
        <f t="shared" ref="AW101:AW132" si="51">求节点($R$5:$R$20,AM$5:AM$20,$AB101)</f>
        <v>9212</v>
      </c>
      <c r="AX101" s="50">
        <f t="shared" ref="AX101:AX132" si="52">求节点($R$5:$R$20,AN$5:AN$20,$AB101)</f>
        <v>9944</v>
      </c>
      <c r="AY101" s="50">
        <f t="shared" ref="AY101:AY132" si="53">求节点($R$5:$R$20,AO$5:AO$20,$AB101)</f>
        <v>10130</v>
      </c>
      <c r="AZ101" s="50">
        <f t="shared" ref="AZ101:AZ132" si="54">求节点($R$5:$R$20,AP$5:AP$20,$AB101)</f>
        <v>10202</v>
      </c>
    </row>
    <row r="102" spans="9:54" x14ac:dyDescent="0.15">
      <c r="I102" s="33">
        <v>98</v>
      </c>
      <c r="J102" s="33">
        <f t="shared" si="30"/>
        <v>66</v>
      </c>
      <c r="K102" s="33">
        <f t="shared" si="31"/>
        <v>66</v>
      </c>
      <c r="L102" s="33">
        <f t="shared" si="32"/>
        <v>66</v>
      </c>
      <c r="M102" s="33">
        <f t="shared" si="33"/>
        <v>66</v>
      </c>
      <c r="N102" s="33">
        <f t="shared" si="34"/>
        <v>66</v>
      </c>
      <c r="AB102" s="33">
        <v>98</v>
      </c>
      <c r="AC102" s="33">
        <f t="shared" si="45"/>
        <v>8984</v>
      </c>
      <c r="AD102" s="33">
        <f t="shared" si="46"/>
        <v>9368</v>
      </c>
      <c r="AE102" s="33">
        <f t="shared" si="47"/>
        <v>10136</v>
      </c>
      <c r="AF102" s="33">
        <f t="shared" si="48"/>
        <v>10280</v>
      </c>
      <c r="AG102" s="33">
        <f t="shared" si="49"/>
        <v>10328</v>
      </c>
      <c r="AU102" s="50">
        <v>98</v>
      </c>
      <c r="AV102" s="50">
        <f t="shared" si="50"/>
        <v>8984</v>
      </c>
      <c r="AW102" s="50">
        <f t="shared" si="51"/>
        <v>9368</v>
      </c>
      <c r="AX102" s="50">
        <f t="shared" si="52"/>
        <v>10136</v>
      </c>
      <c r="AY102" s="50">
        <f t="shared" si="53"/>
        <v>10280</v>
      </c>
      <c r="AZ102" s="50">
        <f t="shared" si="54"/>
        <v>10328</v>
      </c>
    </row>
    <row r="103" spans="9:54" x14ac:dyDescent="0.15">
      <c r="I103" s="33">
        <v>99</v>
      </c>
      <c r="J103" s="33">
        <f t="shared" si="30"/>
        <v>66</v>
      </c>
      <c r="K103" s="33">
        <f t="shared" si="31"/>
        <v>66</v>
      </c>
      <c r="L103" s="33">
        <f t="shared" si="32"/>
        <v>66</v>
      </c>
      <c r="M103" s="33">
        <f t="shared" si="33"/>
        <v>66</v>
      </c>
      <c r="N103" s="33">
        <f t="shared" si="34"/>
        <v>66</v>
      </c>
      <c r="AB103" s="33">
        <v>99</v>
      </c>
      <c r="AC103" s="33">
        <f t="shared" si="45"/>
        <v>9122</v>
      </c>
      <c r="AD103" s="33">
        <f t="shared" si="46"/>
        <v>9524</v>
      </c>
      <c r="AE103" s="33">
        <f t="shared" si="47"/>
        <v>10328</v>
      </c>
      <c r="AF103" s="33">
        <f t="shared" si="48"/>
        <v>10430</v>
      </c>
      <c r="AG103" s="33">
        <f t="shared" si="49"/>
        <v>10454</v>
      </c>
      <c r="AU103" s="50">
        <v>99</v>
      </c>
      <c r="AV103" s="50">
        <f t="shared" si="50"/>
        <v>9122</v>
      </c>
      <c r="AW103" s="50">
        <f t="shared" si="51"/>
        <v>9524</v>
      </c>
      <c r="AX103" s="50">
        <f t="shared" si="52"/>
        <v>10328</v>
      </c>
      <c r="AY103" s="50">
        <f t="shared" si="53"/>
        <v>10430</v>
      </c>
      <c r="AZ103" s="50">
        <f t="shared" si="54"/>
        <v>10454</v>
      </c>
    </row>
    <row r="104" spans="9:54" x14ac:dyDescent="0.15">
      <c r="I104" s="33">
        <v>100</v>
      </c>
      <c r="J104" s="33">
        <f t="shared" si="30"/>
        <v>66</v>
      </c>
      <c r="K104" s="33">
        <f t="shared" si="31"/>
        <v>66</v>
      </c>
      <c r="L104" s="33">
        <f t="shared" si="32"/>
        <v>66</v>
      </c>
      <c r="M104" s="33">
        <f t="shared" si="33"/>
        <v>66</v>
      </c>
      <c r="N104" s="33">
        <f t="shared" si="34"/>
        <v>66</v>
      </c>
      <c r="AB104" s="33">
        <v>100</v>
      </c>
      <c r="AC104" s="33">
        <f t="shared" si="45"/>
        <v>9260</v>
      </c>
      <c r="AD104" s="33">
        <f t="shared" si="46"/>
        <v>9680</v>
      </c>
      <c r="AE104" s="33">
        <f t="shared" si="47"/>
        <v>10520</v>
      </c>
      <c r="AF104" s="33">
        <f t="shared" si="48"/>
        <v>10580</v>
      </c>
      <c r="AG104" s="33">
        <f t="shared" si="49"/>
        <v>10580</v>
      </c>
      <c r="AU104" s="50">
        <v>100</v>
      </c>
      <c r="AV104" s="50">
        <f t="shared" si="50"/>
        <v>9260</v>
      </c>
      <c r="AW104" s="50">
        <f t="shared" si="51"/>
        <v>9680</v>
      </c>
      <c r="AX104" s="50">
        <f t="shared" si="52"/>
        <v>10520</v>
      </c>
      <c r="AY104" s="50">
        <f t="shared" si="53"/>
        <v>10580</v>
      </c>
      <c r="AZ104" s="50">
        <f t="shared" si="54"/>
        <v>10580</v>
      </c>
    </row>
    <row r="105" spans="9:54" s="46" customFormat="1" x14ac:dyDescent="0.15">
      <c r="I105" s="126">
        <v>101</v>
      </c>
      <c r="J105" s="126">
        <f t="shared" ref="J105:J128" si="55">求节点($B$5:$B$20,C$5:C$20,$I105)</f>
        <v>66</v>
      </c>
      <c r="K105" s="126">
        <f t="shared" ref="K105:K128" si="56">求节点($B$5:$B$20,D$5:D$20,$I105)</f>
        <v>66</v>
      </c>
      <c r="L105" s="126">
        <f t="shared" ref="L105:L128" si="57">求节点($B$5:$B$20,E$5:E$20,$I105)</f>
        <v>66</v>
      </c>
      <c r="M105" s="126">
        <f t="shared" ref="M105:M128" si="58">求节点($B$5:$B$20,F$5:F$20,$I105)</f>
        <v>66</v>
      </c>
      <c r="N105" s="126">
        <f t="shared" ref="N105:N128" si="59">求节点($B$5:$B$20,G$5:G$20,$I105)</f>
        <v>66</v>
      </c>
      <c r="P105" s="32"/>
      <c r="Y105" s="151"/>
      <c r="Z105" s="151"/>
      <c r="AA105" s="151"/>
      <c r="AB105" s="126">
        <v>101</v>
      </c>
      <c r="AC105" s="126">
        <f t="shared" si="45"/>
        <v>9398</v>
      </c>
      <c r="AD105" s="126">
        <f t="shared" si="46"/>
        <v>9836</v>
      </c>
      <c r="AE105" s="126">
        <f t="shared" si="47"/>
        <v>10592</v>
      </c>
      <c r="AF105" s="126">
        <f t="shared" si="48"/>
        <v>10646</v>
      </c>
      <c r="AG105" s="126">
        <f t="shared" si="49"/>
        <v>10646</v>
      </c>
      <c r="AI105" s="151"/>
      <c r="AR105" s="151"/>
      <c r="AS105" s="151"/>
      <c r="AT105" s="151"/>
      <c r="AU105" s="126">
        <v>101</v>
      </c>
      <c r="AV105" s="126">
        <f t="shared" si="50"/>
        <v>9398</v>
      </c>
      <c r="AW105" s="126">
        <f t="shared" si="51"/>
        <v>9836</v>
      </c>
      <c r="AX105" s="126">
        <f t="shared" si="52"/>
        <v>10592</v>
      </c>
      <c r="AY105" s="126">
        <f t="shared" si="53"/>
        <v>10646</v>
      </c>
      <c r="AZ105" s="126">
        <f t="shared" si="54"/>
        <v>10646</v>
      </c>
      <c r="BB105" s="32"/>
    </row>
    <row r="106" spans="9:54" s="46" customFormat="1" x14ac:dyDescent="0.15">
      <c r="I106" s="126">
        <v>102</v>
      </c>
      <c r="J106" s="126">
        <f t="shared" si="55"/>
        <v>66</v>
      </c>
      <c r="K106" s="126">
        <f t="shared" si="56"/>
        <v>66</v>
      </c>
      <c r="L106" s="126">
        <f t="shared" si="57"/>
        <v>66</v>
      </c>
      <c r="M106" s="126">
        <f t="shared" si="58"/>
        <v>66</v>
      </c>
      <c r="N106" s="126">
        <f t="shared" si="59"/>
        <v>66</v>
      </c>
      <c r="P106" s="32"/>
      <c r="Y106" s="151"/>
      <c r="Z106" s="151"/>
      <c r="AA106" s="151"/>
      <c r="AB106" s="126">
        <v>102</v>
      </c>
      <c r="AC106" s="126">
        <f t="shared" si="45"/>
        <v>9536</v>
      </c>
      <c r="AD106" s="126">
        <f t="shared" si="46"/>
        <v>9992</v>
      </c>
      <c r="AE106" s="126">
        <f t="shared" si="47"/>
        <v>10664</v>
      </c>
      <c r="AF106" s="126">
        <f t="shared" si="48"/>
        <v>10712</v>
      </c>
      <c r="AG106" s="126">
        <f t="shared" si="49"/>
        <v>10712</v>
      </c>
      <c r="AI106" s="151"/>
      <c r="AR106" s="151"/>
      <c r="AS106" s="151"/>
      <c r="AT106" s="151"/>
      <c r="AU106" s="126">
        <v>102</v>
      </c>
      <c r="AV106" s="126">
        <f t="shared" si="50"/>
        <v>9536</v>
      </c>
      <c r="AW106" s="126">
        <f t="shared" si="51"/>
        <v>9992</v>
      </c>
      <c r="AX106" s="126">
        <f t="shared" si="52"/>
        <v>10664</v>
      </c>
      <c r="AY106" s="126">
        <f t="shared" si="53"/>
        <v>10712</v>
      </c>
      <c r="AZ106" s="126">
        <f t="shared" si="54"/>
        <v>10712</v>
      </c>
      <c r="BB106" s="32"/>
    </row>
    <row r="107" spans="9:54" s="46" customFormat="1" x14ac:dyDescent="0.15">
      <c r="I107" s="126">
        <v>103</v>
      </c>
      <c r="J107" s="126">
        <f t="shared" si="55"/>
        <v>66</v>
      </c>
      <c r="K107" s="126">
        <f t="shared" si="56"/>
        <v>66</v>
      </c>
      <c r="L107" s="126">
        <f t="shared" si="57"/>
        <v>66</v>
      </c>
      <c r="M107" s="126">
        <f t="shared" si="58"/>
        <v>66</v>
      </c>
      <c r="N107" s="126">
        <f t="shared" si="59"/>
        <v>66</v>
      </c>
      <c r="P107" s="32"/>
      <c r="Y107" s="151"/>
      <c r="Z107" s="151"/>
      <c r="AA107" s="151"/>
      <c r="AB107" s="126">
        <v>103</v>
      </c>
      <c r="AC107" s="126">
        <f t="shared" si="45"/>
        <v>9674</v>
      </c>
      <c r="AD107" s="126">
        <f t="shared" si="46"/>
        <v>10148</v>
      </c>
      <c r="AE107" s="126">
        <f t="shared" si="47"/>
        <v>10736</v>
      </c>
      <c r="AF107" s="126">
        <f t="shared" si="48"/>
        <v>10778</v>
      </c>
      <c r="AG107" s="126">
        <f t="shared" si="49"/>
        <v>10778</v>
      </c>
      <c r="AI107" s="151"/>
      <c r="AR107" s="151"/>
      <c r="AS107" s="151"/>
      <c r="AT107" s="151"/>
      <c r="AU107" s="126">
        <v>103</v>
      </c>
      <c r="AV107" s="126">
        <f t="shared" si="50"/>
        <v>9674</v>
      </c>
      <c r="AW107" s="126">
        <f t="shared" si="51"/>
        <v>10148</v>
      </c>
      <c r="AX107" s="126">
        <f t="shared" si="52"/>
        <v>10736</v>
      </c>
      <c r="AY107" s="126">
        <f t="shared" si="53"/>
        <v>10778</v>
      </c>
      <c r="AZ107" s="126">
        <f t="shared" si="54"/>
        <v>10778</v>
      </c>
      <c r="BB107" s="32"/>
    </row>
    <row r="108" spans="9:54" s="46" customFormat="1" x14ac:dyDescent="0.15">
      <c r="I108" s="126">
        <v>104</v>
      </c>
      <c r="J108" s="126">
        <f t="shared" si="55"/>
        <v>66</v>
      </c>
      <c r="K108" s="126">
        <f t="shared" si="56"/>
        <v>66</v>
      </c>
      <c r="L108" s="126">
        <f t="shared" si="57"/>
        <v>66</v>
      </c>
      <c r="M108" s="126">
        <f t="shared" si="58"/>
        <v>66</v>
      </c>
      <c r="N108" s="126">
        <f t="shared" si="59"/>
        <v>66</v>
      </c>
      <c r="P108" s="32"/>
      <c r="Y108" s="151"/>
      <c r="Z108" s="151"/>
      <c r="AA108" s="151"/>
      <c r="AB108" s="126">
        <v>104</v>
      </c>
      <c r="AC108" s="126">
        <f t="shared" si="45"/>
        <v>9812</v>
      </c>
      <c r="AD108" s="126">
        <f t="shared" si="46"/>
        <v>10304</v>
      </c>
      <c r="AE108" s="126">
        <f t="shared" si="47"/>
        <v>10808</v>
      </c>
      <c r="AF108" s="126">
        <f t="shared" si="48"/>
        <v>10844</v>
      </c>
      <c r="AG108" s="126">
        <f t="shared" si="49"/>
        <v>10844</v>
      </c>
      <c r="AI108" s="151"/>
      <c r="AR108" s="151"/>
      <c r="AS108" s="151"/>
      <c r="AT108" s="151"/>
      <c r="AU108" s="126">
        <v>104</v>
      </c>
      <c r="AV108" s="126">
        <f t="shared" si="50"/>
        <v>9812</v>
      </c>
      <c r="AW108" s="126">
        <f t="shared" si="51"/>
        <v>10304</v>
      </c>
      <c r="AX108" s="126">
        <f t="shared" si="52"/>
        <v>10808</v>
      </c>
      <c r="AY108" s="126">
        <f t="shared" si="53"/>
        <v>10844</v>
      </c>
      <c r="AZ108" s="126">
        <f t="shared" si="54"/>
        <v>10844</v>
      </c>
      <c r="BB108" s="32"/>
    </row>
    <row r="109" spans="9:54" s="46" customFormat="1" x14ac:dyDescent="0.15">
      <c r="I109" s="126">
        <v>105</v>
      </c>
      <c r="J109" s="126">
        <f t="shared" si="55"/>
        <v>66</v>
      </c>
      <c r="K109" s="126">
        <f t="shared" si="56"/>
        <v>66</v>
      </c>
      <c r="L109" s="126">
        <f t="shared" si="57"/>
        <v>66</v>
      </c>
      <c r="M109" s="126">
        <f t="shared" si="58"/>
        <v>66</v>
      </c>
      <c r="N109" s="126">
        <f t="shared" si="59"/>
        <v>66</v>
      </c>
      <c r="P109" s="32"/>
      <c r="Y109" s="151"/>
      <c r="Z109" s="151"/>
      <c r="AA109" s="151"/>
      <c r="AB109" s="126">
        <v>105</v>
      </c>
      <c r="AC109" s="126">
        <f t="shared" si="45"/>
        <v>9950</v>
      </c>
      <c r="AD109" s="126">
        <f t="shared" si="46"/>
        <v>10460</v>
      </c>
      <c r="AE109" s="126">
        <f t="shared" si="47"/>
        <v>10880</v>
      </c>
      <c r="AF109" s="126">
        <f t="shared" si="48"/>
        <v>10910</v>
      </c>
      <c r="AG109" s="126">
        <f t="shared" si="49"/>
        <v>10910</v>
      </c>
      <c r="AI109" s="151"/>
      <c r="AR109" s="151"/>
      <c r="AS109" s="151"/>
      <c r="AT109" s="151"/>
      <c r="AU109" s="126">
        <v>105</v>
      </c>
      <c r="AV109" s="126">
        <f t="shared" si="50"/>
        <v>9950</v>
      </c>
      <c r="AW109" s="126">
        <f t="shared" si="51"/>
        <v>10460</v>
      </c>
      <c r="AX109" s="126">
        <f t="shared" si="52"/>
        <v>10880</v>
      </c>
      <c r="AY109" s="126">
        <f t="shared" si="53"/>
        <v>10910</v>
      </c>
      <c r="AZ109" s="126">
        <f t="shared" si="54"/>
        <v>10910</v>
      </c>
      <c r="BB109" s="32"/>
    </row>
    <row r="110" spans="9:54" s="46" customFormat="1" x14ac:dyDescent="0.15">
      <c r="I110" s="126">
        <v>106</v>
      </c>
      <c r="J110" s="126">
        <f t="shared" si="55"/>
        <v>66</v>
      </c>
      <c r="K110" s="126">
        <f t="shared" si="56"/>
        <v>66</v>
      </c>
      <c r="L110" s="126">
        <f t="shared" si="57"/>
        <v>66</v>
      </c>
      <c r="M110" s="126">
        <f t="shared" si="58"/>
        <v>66</v>
      </c>
      <c r="N110" s="126">
        <f t="shared" si="59"/>
        <v>66</v>
      </c>
      <c r="P110" s="32"/>
      <c r="Y110" s="151"/>
      <c r="Z110" s="151"/>
      <c r="AA110" s="151"/>
      <c r="AB110" s="126">
        <v>106</v>
      </c>
      <c r="AC110" s="126">
        <f t="shared" si="45"/>
        <v>10088</v>
      </c>
      <c r="AD110" s="126">
        <f t="shared" si="46"/>
        <v>10616</v>
      </c>
      <c r="AE110" s="126">
        <f t="shared" si="47"/>
        <v>10952</v>
      </c>
      <c r="AF110" s="126">
        <f t="shared" si="48"/>
        <v>10976</v>
      </c>
      <c r="AG110" s="126">
        <f t="shared" si="49"/>
        <v>10976</v>
      </c>
      <c r="AI110" s="151"/>
      <c r="AR110" s="151"/>
      <c r="AS110" s="151"/>
      <c r="AT110" s="151"/>
      <c r="AU110" s="126">
        <v>106</v>
      </c>
      <c r="AV110" s="126">
        <f t="shared" si="50"/>
        <v>10088</v>
      </c>
      <c r="AW110" s="126">
        <f t="shared" si="51"/>
        <v>10616</v>
      </c>
      <c r="AX110" s="126">
        <f t="shared" si="52"/>
        <v>10952</v>
      </c>
      <c r="AY110" s="126">
        <f t="shared" si="53"/>
        <v>10976</v>
      </c>
      <c r="AZ110" s="126">
        <f t="shared" si="54"/>
        <v>10976</v>
      </c>
      <c r="BB110" s="32"/>
    </row>
    <row r="111" spans="9:54" s="46" customFormat="1" x14ac:dyDescent="0.15">
      <c r="I111" s="126">
        <v>107</v>
      </c>
      <c r="J111" s="126">
        <f t="shared" si="55"/>
        <v>66</v>
      </c>
      <c r="K111" s="126">
        <f t="shared" si="56"/>
        <v>66</v>
      </c>
      <c r="L111" s="126">
        <f t="shared" si="57"/>
        <v>66</v>
      </c>
      <c r="M111" s="126">
        <f t="shared" si="58"/>
        <v>66</v>
      </c>
      <c r="N111" s="126">
        <f t="shared" si="59"/>
        <v>66</v>
      </c>
      <c r="P111" s="32"/>
      <c r="Y111" s="151"/>
      <c r="Z111" s="151"/>
      <c r="AA111" s="151"/>
      <c r="AB111" s="126">
        <v>107</v>
      </c>
      <c r="AC111" s="126">
        <f t="shared" si="45"/>
        <v>10226</v>
      </c>
      <c r="AD111" s="126">
        <f t="shared" si="46"/>
        <v>10772</v>
      </c>
      <c r="AE111" s="126">
        <f t="shared" si="47"/>
        <v>11024</v>
      </c>
      <c r="AF111" s="126">
        <f t="shared" si="48"/>
        <v>11042</v>
      </c>
      <c r="AG111" s="126">
        <f t="shared" si="49"/>
        <v>11042</v>
      </c>
      <c r="AI111" s="151"/>
      <c r="AR111" s="151"/>
      <c r="AS111" s="151"/>
      <c r="AT111" s="151"/>
      <c r="AU111" s="126">
        <v>107</v>
      </c>
      <c r="AV111" s="126">
        <f t="shared" si="50"/>
        <v>10226</v>
      </c>
      <c r="AW111" s="126">
        <f t="shared" si="51"/>
        <v>10772</v>
      </c>
      <c r="AX111" s="126">
        <f t="shared" si="52"/>
        <v>11024</v>
      </c>
      <c r="AY111" s="126">
        <f t="shared" si="53"/>
        <v>11042</v>
      </c>
      <c r="AZ111" s="126">
        <f t="shared" si="54"/>
        <v>11042</v>
      </c>
      <c r="BB111" s="32"/>
    </row>
    <row r="112" spans="9:54" s="46" customFormat="1" x14ac:dyDescent="0.15">
      <c r="I112" s="126">
        <v>108</v>
      </c>
      <c r="J112" s="126">
        <f t="shared" si="55"/>
        <v>66</v>
      </c>
      <c r="K112" s="126">
        <f t="shared" si="56"/>
        <v>66</v>
      </c>
      <c r="L112" s="126">
        <f t="shared" si="57"/>
        <v>66</v>
      </c>
      <c r="M112" s="126">
        <f t="shared" si="58"/>
        <v>66</v>
      </c>
      <c r="N112" s="126">
        <f t="shared" si="59"/>
        <v>66</v>
      </c>
      <c r="P112" s="32"/>
      <c r="Y112" s="151"/>
      <c r="Z112" s="151"/>
      <c r="AA112" s="151"/>
      <c r="AB112" s="126">
        <v>108</v>
      </c>
      <c r="AC112" s="126">
        <f t="shared" si="45"/>
        <v>10364</v>
      </c>
      <c r="AD112" s="126">
        <f t="shared" si="46"/>
        <v>10928</v>
      </c>
      <c r="AE112" s="126">
        <f t="shared" si="47"/>
        <v>11096</v>
      </c>
      <c r="AF112" s="126">
        <f t="shared" si="48"/>
        <v>11108</v>
      </c>
      <c r="AG112" s="126">
        <f t="shared" si="49"/>
        <v>11108</v>
      </c>
      <c r="AI112" s="151"/>
      <c r="AR112" s="151"/>
      <c r="AS112" s="151"/>
      <c r="AT112" s="151"/>
      <c r="AU112" s="126">
        <v>108</v>
      </c>
      <c r="AV112" s="126">
        <f t="shared" si="50"/>
        <v>10364</v>
      </c>
      <c r="AW112" s="126">
        <f t="shared" si="51"/>
        <v>10928</v>
      </c>
      <c r="AX112" s="126">
        <f t="shared" si="52"/>
        <v>11096</v>
      </c>
      <c r="AY112" s="126">
        <f t="shared" si="53"/>
        <v>11108</v>
      </c>
      <c r="AZ112" s="126">
        <f t="shared" si="54"/>
        <v>11108</v>
      </c>
      <c r="BB112" s="32"/>
    </row>
    <row r="113" spans="9:54" s="46" customFormat="1" x14ac:dyDescent="0.15">
      <c r="I113" s="126">
        <v>109</v>
      </c>
      <c r="J113" s="126">
        <f t="shared" si="55"/>
        <v>66</v>
      </c>
      <c r="K113" s="126">
        <f t="shared" si="56"/>
        <v>66</v>
      </c>
      <c r="L113" s="126">
        <f t="shared" si="57"/>
        <v>66</v>
      </c>
      <c r="M113" s="126">
        <f t="shared" si="58"/>
        <v>66</v>
      </c>
      <c r="N113" s="126">
        <f t="shared" si="59"/>
        <v>66</v>
      </c>
      <c r="P113" s="32"/>
      <c r="Y113" s="151"/>
      <c r="Z113" s="151"/>
      <c r="AA113" s="151"/>
      <c r="AB113" s="126">
        <v>109</v>
      </c>
      <c r="AC113" s="126">
        <f t="shared" si="45"/>
        <v>10502</v>
      </c>
      <c r="AD113" s="126">
        <f t="shared" si="46"/>
        <v>11084</v>
      </c>
      <c r="AE113" s="126">
        <f t="shared" si="47"/>
        <v>11168</v>
      </c>
      <c r="AF113" s="126">
        <f t="shared" si="48"/>
        <v>11174</v>
      </c>
      <c r="AG113" s="126">
        <f t="shared" si="49"/>
        <v>11174</v>
      </c>
      <c r="AI113" s="151"/>
      <c r="AR113" s="151"/>
      <c r="AS113" s="151"/>
      <c r="AT113" s="151"/>
      <c r="AU113" s="126">
        <v>109</v>
      </c>
      <c r="AV113" s="126">
        <f t="shared" si="50"/>
        <v>10502</v>
      </c>
      <c r="AW113" s="126">
        <f t="shared" si="51"/>
        <v>11084</v>
      </c>
      <c r="AX113" s="126">
        <f t="shared" si="52"/>
        <v>11168</v>
      </c>
      <c r="AY113" s="126">
        <f t="shared" si="53"/>
        <v>11174</v>
      </c>
      <c r="AZ113" s="126">
        <f t="shared" si="54"/>
        <v>11174</v>
      </c>
      <c r="BB113" s="32"/>
    </row>
    <row r="114" spans="9:54" s="46" customFormat="1" x14ac:dyDescent="0.15">
      <c r="I114" s="126">
        <v>110</v>
      </c>
      <c r="J114" s="126">
        <f t="shared" si="55"/>
        <v>66</v>
      </c>
      <c r="K114" s="126">
        <f t="shared" si="56"/>
        <v>66</v>
      </c>
      <c r="L114" s="126">
        <f t="shared" si="57"/>
        <v>66</v>
      </c>
      <c r="M114" s="126">
        <f t="shared" si="58"/>
        <v>66</v>
      </c>
      <c r="N114" s="126">
        <f t="shared" si="59"/>
        <v>66</v>
      </c>
      <c r="P114" s="32"/>
      <c r="Y114" s="151"/>
      <c r="Z114" s="151"/>
      <c r="AA114" s="151"/>
      <c r="AB114" s="126">
        <v>110</v>
      </c>
      <c r="AC114" s="126">
        <f t="shared" si="45"/>
        <v>10640</v>
      </c>
      <c r="AD114" s="126">
        <f t="shared" si="46"/>
        <v>11240</v>
      </c>
      <c r="AE114" s="126">
        <f t="shared" si="47"/>
        <v>11240</v>
      </c>
      <c r="AF114" s="126">
        <f t="shared" si="48"/>
        <v>11240</v>
      </c>
      <c r="AG114" s="126">
        <f t="shared" si="49"/>
        <v>11240</v>
      </c>
      <c r="AI114" s="151"/>
      <c r="AR114" s="151"/>
      <c r="AS114" s="151"/>
      <c r="AT114" s="151"/>
      <c r="AU114" s="126">
        <v>110</v>
      </c>
      <c r="AV114" s="126">
        <f t="shared" si="50"/>
        <v>10640</v>
      </c>
      <c r="AW114" s="126">
        <f t="shared" si="51"/>
        <v>11240</v>
      </c>
      <c r="AX114" s="126">
        <f t="shared" si="52"/>
        <v>11240</v>
      </c>
      <c r="AY114" s="126">
        <f t="shared" si="53"/>
        <v>11240</v>
      </c>
      <c r="AZ114" s="126">
        <f t="shared" si="54"/>
        <v>11240</v>
      </c>
      <c r="BB114" s="32"/>
    </row>
    <row r="115" spans="9:54" s="46" customFormat="1" x14ac:dyDescent="0.15">
      <c r="I115" s="126">
        <v>111</v>
      </c>
      <c r="J115" s="126">
        <f t="shared" si="55"/>
        <v>66</v>
      </c>
      <c r="K115" s="126">
        <f t="shared" si="56"/>
        <v>66</v>
      </c>
      <c r="L115" s="126">
        <f t="shared" si="57"/>
        <v>66</v>
      </c>
      <c r="M115" s="126">
        <f t="shared" si="58"/>
        <v>66</v>
      </c>
      <c r="N115" s="126">
        <f t="shared" si="59"/>
        <v>66</v>
      </c>
      <c r="P115" s="32"/>
      <c r="Y115" s="151"/>
      <c r="Z115" s="151"/>
      <c r="AA115" s="151"/>
      <c r="AB115" s="126">
        <v>111</v>
      </c>
      <c r="AC115" s="126">
        <f t="shared" si="45"/>
        <v>10766</v>
      </c>
      <c r="AD115" s="126">
        <f t="shared" si="46"/>
        <v>11306</v>
      </c>
      <c r="AE115" s="126">
        <f t="shared" si="47"/>
        <v>11306</v>
      </c>
      <c r="AF115" s="126">
        <f t="shared" si="48"/>
        <v>11306</v>
      </c>
      <c r="AG115" s="126">
        <f t="shared" si="49"/>
        <v>11306</v>
      </c>
      <c r="AI115" s="151"/>
      <c r="AR115" s="151"/>
      <c r="AS115" s="151"/>
      <c r="AT115" s="151"/>
      <c r="AU115" s="126">
        <v>111</v>
      </c>
      <c r="AV115" s="126">
        <f t="shared" si="50"/>
        <v>10766</v>
      </c>
      <c r="AW115" s="126">
        <f t="shared" si="51"/>
        <v>11306</v>
      </c>
      <c r="AX115" s="126">
        <f t="shared" si="52"/>
        <v>11306</v>
      </c>
      <c r="AY115" s="126">
        <f t="shared" si="53"/>
        <v>11306</v>
      </c>
      <c r="AZ115" s="126">
        <f t="shared" si="54"/>
        <v>11306</v>
      </c>
      <c r="BB115" s="32"/>
    </row>
    <row r="116" spans="9:54" s="46" customFormat="1" x14ac:dyDescent="0.15">
      <c r="I116" s="126">
        <v>112</v>
      </c>
      <c r="J116" s="126">
        <f t="shared" si="55"/>
        <v>66</v>
      </c>
      <c r="K116" s="126">
        <f t="shared" si="56"/>
        <v>66</v>
      </c>
      <c r="L116" s="126">
        <f t="shared" si="57"/>
        <v>66</v>
      </c>
      <c r="M116" s="126">
        <f t="shared" si="58"/>
        <v>66</v>
      </c>
      <c r="N116" s="126">
        <f t="shared" si="59"/>
        <v>66</v>
      </c>
      <c r="P116" s="32"/>
      <c r="Y116" s="151"/>
      <c r="Z116" s="151"/>
      <c r="AA116" s="151"/>
      <c r="AB116" s="126">
        <v>112</v>
      </c>
      <c r="AC116" s="126">
        <f t="shared" si="45"/>
        <v>10892</v>
      </c>
      <c r="AD116" s="126">
        <f t="shared" si="46"/>
        <v>11372</v>
      </c>
      <c r="AE116" s="126">
        <f t="shared" si="47"/>
        <v>11372</v>
      </c>
      <c r="AF116" s="126">
        <f t="shared" si="48"/>
        <v>11372</v>
      </c>
      <c r="AG116" s="126">
        <f t="shared" si="49"/>
        <v>11372</v>
      </c>
      <c r="AI116" s="151"/>
      <c r="AR116" s="151"/>
      <c r="AS116" s="151"/>
      <c r="AT116" s="151"/>
      <c r="AU116" s="126">
        <v>112</v>
      </c>
      <c r="AV116" s="126">
        <f t="shared" si="50"/>
        <v>10892</v>
      </c>
      <c r="AW116" s="126">
        <f t="shared" si="51"/>
        <v>11372</v>
      </c>
      <c r="AX116" s="126">
        <f t="shared" si="52"/>
        <v>11372</v>
      </c>
      <c r="AY116" s="126">
        <f t="shared" si="53"/>
        <v>11372</v>
      </c>
      <c r="AZ116" s="126">
        <f t="shared" si="54"/>
        <v>11372</v>
      </c>
      <c r="BB116" s="32"/>
    </row>
    <row r="117" spans="9:54" s="46" customFormat="1" x14ac:dyDescent="0.15">
      <c r="I117" s="126">
        <v>113</v>
      </c>
      <c r="J117" s="126">
        <f t="shared" si="55"/>
        <v>66</v>
      </c>
      <c r="K117" s="126">
        <f t="shared" si="56"/>
        <v>66</v>
      </c>
      <c r="L117" s="126">
        <f t="shared" si="57"/>
        <v>66</v>
      </c>
      <c r="M117" s="126">
        <f t="shared" si="58"/>
        <v>66</v>
      </c>
      <c r="N117" s="126">
        <f t="shared" si="59"/>
        <v>66</v>
      </c>
      <c r="P117" s="32"/>
      <c r="Y117" s="151"/>
      <c r="Z117" s="151"/>
      <c r="AA117" s="151"/>
      <c r="AB117" s="126">
        <v>113</v>
      </c>
      <c r="AC117" s="126">
        <f t="shared" si="45"/>
        <v>11018</v>
      </c>
      <c r="AD117" s="126">
        <f t="shared" si="46"/>
        <v>11438</v>
      </c>
      <c r="AE117" s="126">
        <f t="shared" si="47"/>
        <v>11438</v>
      </c>
      <c r="AF117" s="126">
        <f t="shared" si="48"/>
        <v>11438</v>
      </c>
      <c r="AG117" s="126">
        <f t="shared" si="49"/>
        <v>11438</v>
      </c>
      <c r="AI117" s="151"/>
      <c r="AR117" s="151"/>
      <c r="AS117" s="151"/>
      <c r="AT117" s="151"/>
      <c r="AU117" s="126">
        <v>113</v>
      </c>
      <c r="AV117" s="126">
        <f t="shared" si="50"/>
        <v>11018</v>
      </c>
      <c r="AW117" s="126">
        <f t="shared" si="51"/>
        <v>11438</v>
      </c>
      <c r="AX117" s="126">
        <f t="shared" si="52"/>
        <v>11438</v>
      </c>
      <c r="AY117" s="126">
        <f t="shared" si="53"/>
        <v>11438</v>
      </c>
      <c r="AZ117" s="126">
        <f t="shared" si="54"/>
        <v>11438</v>
      </c>
      <c r="BB117" s="32"/>
    </row>
    <row r="118" spans="9:54" s="46" customFormat="1" x14ac:dyDescent="0.15">
      <c r="I118" s="126">
        <v>114</v>
      </c>
      <c r="J118" s="126">
        <f t="shared" si="55"/>
        <v>66</v>
      </c>
      <c r="K118" s="126">
        <f t="shared" si="56"/>
        <v>66</v>
      </c>
      <c r="L118" s="126">
        <f t="shared" si="57"/>
        <v>66</v>
      </c>
      <c r="M118" s="126">
        <f t="shared" si="58"/>
        <v>66</v>
      </c>
      <c r="N118" s="126">
        <f t="shared" si="59"/>
        <v>66</v>
      </c>
      <c r="P118" s="32"/>
      <c r="Y118" s="151"/>
      <c r="Z118" s="151"/>
      <c r="AA118" s="151"/>
      <c r="AB118" s="126">
        <v>114</v>
      </c>
      <c r="AC118" s="126">
        <f t="shared" si="45"/>
        <v>11144</v>
      </c>
      <c r="AD118" s="126">
        <f t="shared" si="46"/>
        <v>11504</v>
      </c>
      <c r="AE118" s="126">
        <f t="shared" si="47"/>
        <v>11504</v>
      </c>
      <c r="AF118" s="126">
        <f t="shared" si="48"/>
        <v>11504</v>
      </c>
      <c r="AG118" s="126">
        <f t="shared" si="49"/>
        <v>11504</v>
      </c>
      <c r="AI118" s="151"/>
      <c r="AR118" s="151"/>
      <c r="AS118" s="151"/>
      <c r="AT118" s="151"/>
      <c r="AU118" s="126">
        <v>114</v>
      </c>
      <c r="AV118" s="126">
        <f t="shared" si="50"/>
        <v>11144</v>
      </c>
      <c r="AW118" s="126">
        <f t="shared" si="51"/>
        <v>11504</v>
      </c>
      <c r="AX118" s="126">
        <f t="shared" si="52"/>
        <v>11504</v>
      </c>
      <c r="AY118" s="126">
        <f t="shared" si="53"/>
        <v>11504</v>
      </c>
      <c r="AZ118" s="126">
        <f t="shared" si="54"/>
        <v>11504</v>
      </c>
      <c r="BB118" s="32"/>
    </row>
    <row r="119" spans="9:54" s="46" customFormat="1" x14ac:dyDescent="0.15">
      <c r="I119" s="126">
        <v>115</v>
      </c>
      <c r="J119" s="126">
        <f t="shared" si="55"/>
        <v>66</v>
      </c>
      <c r="K119" s="126">
        <f t="shared" si="56"/>
        <v>66</v>
      </c>
      <c r="L119" s="126">
        <f t="shared" si="57"/>
        <v>66</v>
      </c>
      <c r="M119" s="126">
        <f t="shared" si="58"/>
        <v>66</v>
      </c>
      <c r="N119" s="126">
        <f t="shared" si="59"/>
        <v>66</v>
      </c>
      <c r="P119" s="32"/>
      <c r="Y119" s="151"/>
      <c r="Z119" s="151"/>
      <c r="AA119" s="151"/>
      <c r="AB119" s="126">
        <v>115</v>
      </c>
      <c r="AC119" s="126">
        <f t="shared" si="45"/>
        <v>11270</v>
      </c>
      <c r="AD119" s="126">
        <f t="shared" si="46"/>
        <v>11570</v>
      </c>
      <c r="AE119" s="126">
        <f t="shared" si="47"/>
        <v>11570</v>
      </c>
      <c r="AF119" s="126">
        <f t="shared" si="48"/>
        <v>11570</v>
      </c>
      <c r="AG119" s="126">
        <f t="shared" si="49"/>
        <v>11570</v>
      </c>
      <c r="AI119" s="151"/>
      <c r="AR119" s="151"/>
      <c r="AS119" s="151"/>
      <c r="AT119" s="151"/>
      <c r="AU119" s="126">
        <v>115</v>
      </c>
      <c r="AV119" s="126">
        <f t="shared" si="50"/>
        <v>11270</v>
      </c>
      <c r="AW119" s="126">
        <f t="shared" si="51"/>
        <v>11570</v>
      </c>
      <c r="AX119" s="126">
        <f t="shared" si="52"/>
        <v>11570</v>
      </c>
      <c r="AY119" s="126">
        <f t="shared" si="53"/>
        <v>11570</v>
      </c>
      <c r="AZ119" s="126">
        <f t="shared" si="54"/>
        <v>11570</v>
      </c>
      <c r="BB119" s="32"/>
    </row>
    <row r="120" spans="9:54" s="46" customFormat="1" x14ac:dyDescent="0.15">
      <c r="I120" s="126">
        <v>116</v>
      </c>
      <c r="J120" s="126">
        <f t="shared" si="55"/>
        <v>66</v>
      </c>
      <c r="K120" s="126">
        <f t="shared" si="56"/>
        <v>66</v>
      </c>
      <c r="L120" s="126">
        <f t="shared" si="57"/>
        <v>66</v>
      </c>
      <c r="M120" s="126">
        <f t="shared" si="58"/>
        <v>66</v>
      </c>
      <c r="N120" s="126">
        <f t="shared" si="59"/>
        <v>66</v>
      </c>
      <c r="P120" s="32"/>
      <c r="Y120" s="151"/>
      <c r="Z120" s="151"/>
      <c r="AA120" s="151"/>
      <c r="AB120" s="126">
        <v>116</v>
      </c>
      <c r="AC120" s="126">
        <f t="shared" si="45"/>
        <v>11396</v>
      </c>
      <c r="AD120" s="126">
        <f t="shared" si="46"/>
        <v>11636</v>
      </c>
      <c r="AE120" s="126">
        <f t="shared" si="47"/>
        <v>11636</v>
      </c>
      <c r="AF120" s="126">
        <f t="shared" si="48"/>
        <v>11636</v>
      </c>
      <c r="AG120" s="126">
        <f t="shared" si="49"/>
        <v>11636</v>
      </c>
      <c r="AI120" s="151"/>
      <c r="AR120" s="151"/>
      <c r="AS120" s="151"/>
      <c r="AT120" s="151"/>
      <c r="AU120" s="126">
        <v>116</v>
      </c>
      <c r="AV120" s="126">
        <f t="shared" si="50"/>
        <v>11396</v>
      </c>
      <c r="AW120" s="126">
        <f t="shared" si="51"/>
        <v>11636</v>
      </c>
      <c r="AX120" s="126">
        <f t="shared" si="52"/>
        <v>11636</v>
      </c>
      <c r="AY120" s="126">
        <f t="shared" si="53"/>
        <v>11636</v>
      </c>
      <c r="AZ120" s="126">
        <f t="shared" si="54"/>
        <v>11636</v>
      </c>
      <c r="BB120" s="32"/>
    </row>
    <row r="121" spans="9:54" s="46" customFormat="1" x14ac:dyDescent="0.15">
      <c r="I121" s="126">
        <v>117</v>
      </c>
      <c r="J121" s="126">
        <f t="shared" si="55"/>
        <v>66</v>
      </c>
      <c r="K121" s="126">
        <f t="shared" si="56"/>
        <v>66</v>
      </c>
      <c r="L121" s="126">
        <f t="shared" si="57"/>
        <v>66</v>
      </c>
      <c r="M121" s="126">
        <f t="shared" si="58"/>
        <v>66</v>
      </c>
      <c r="N121" s="126">
        <f t="shared" si="59"/>
        <v>66</v>
      </c>
      <c r="P121" s="32"/>
      <c r="Y121" s="151"/>
      <c r="Z121" s="151"/>
      <c r="AA121" s="151"/>
      <c r="AB121" s="126">
        <v>117</v>
      </c>
      <c r="AC121" s="126">
        <f t="shared" si="45"/>
        <v>11522</v>
      </c>
      <c r="AD121" s="126">
        <f t="shared" si="46"/>
        <v>11702</v>
      </c>
      <c r="AE121" s="126">
        <f t="shared" si="47"/>
        <v>11702</v>
      </c>
      <c r="AF121" s="126">
        <f t="shared" si="48"/>
        <v>11702</v>
      </c>
      <c r="AG121" s="126">
        <f t="shared" si="49"/>
        <v>11702</v>
      </c>
      <c r="AI121" s="151"/>
      <c r="AR121" s="151"/>
      <c r="AS121" s="151"/>
      <c r="AT121" s="151"/>
      <c r="AU121" s="126">
        <v>117</v>
      </c>
      <c r="AV121" s="126">
        <f t="shared" si="50"/>
        <v>11522</v>
      </c>
      <c r="AW121" s="126">
        <f t="shared" si="51"/>
        <v>11702</v>
      </c>
      <c r="AX121" s="126">
        <f t="shared" si="52"/>
        <v>11702</v>
      </c>
      <c r="AY121" s="126">
        <f t="shared" si="53"/>
        <v>11702</v>
      </c>
      <c r="AZ121" s="126">
        <f t="shared" si="54"/>
        <v>11702</v>
      </c>
      <c r="BB121" s="32"/>
    </row>
    <row r="122" spans="9:54" s="46" customFormat="1" x14ac:dyDescent="0.15">
      <c r="I122" s="126">
        <v>118</v>
      </c>
      <c r="J122" s="126">
        <f t="shared" si="55"/>
        <v>66</v>
      </c>
      <c r="K122" s="126">
        <f t="shared" si="56"/>
        <v>66</v>
      </c>
      <c r="L122" s="126">
        <f t="shared" si="57"/>
        <v>66</v>
      </c>
      <c r="M122" s="126">
        <f t="shared" si="58"/>
        <v>66</v>
      </c>
      <c r="N122" s="126">
        <f t="shared" si="59"/>
        <v>66</v>
      </c>
      <c r="P122" s="32"/>
      <c r="Y122" s="151"/>
      <c r="Z122" s="151"/>
      <c r="AA122" s="151"/>
      <c r="AB122" s="126">
        <v>118</v>
      </c>
      <c r="AC122" s="126">
        <f t="shared" si="45"/>
        <v>11648</v>
      </c>
      <c r="AD122" s="126">
        <f t="shared" si="46"/>
        <v>11768</v>
      </c>
      <c r="AE122" s="126">
        <f t="shared" si="47"/>
        <v>11768</v>
      </c>
      <c r="AF122" s="126">
        <f t="shared" si="48"/>
        <v>11768</v>
      </c>
      <c r="AG122" s="126">
        <f t="shared" si="49"/>
        <v>11768</v>
      </c>
      <c r="AI122" s="151"/>
      <c r="AR122" s="151"/>
      <c r="AS122" s="151"/>
      <c r="AT122" s="151"/>
      <c r="AU122" s="126">
        <v>118</v>
      </c>
      <c r="AV122" s="126">
        <f t="shared" si="50"/>
        <v>11648</v>
      </c>
      <c r="AW122" s="126">
        <f t="shared" si="51"/>
        <v>11768</v>
      </c>
      <c r="AX122" s="126">
        <f t="shared" si="52"/>
        <v>11768</v>
      </c>
      <c r="AY122" s="126">
        <f t="shared" si="53"/>
        <v>11768</v>
      </c>
      <c r="AZ122" s="126">
        <f t="shared" si="54"/>
        <v>11768</v>
      </c>
      <c r="BB122" s="32"/>
    </row>
    <row r="123" spans="9:54" s="46" customFormat="1" x14ac:dyDescent="0.15">
      <c r="I123" s="126">
        <v>119</v>
      </c>
      <c r="J123" s="126">
        <f t="shared" si="55"/>
        <v>66</v>
      </c>
      <c r="K123" s="126">
        <f t="shared" si="56"/>
        <v>66</v>
      </c>
      <c r="L123" s="126">
        <f t="shared" si="57"/>
        <v>66</v>
      </c>
      <c r="M123" s="126">
        <f t="shared" si="58"/>
        <v>66</v>
      </c>
      <c r="N123" s="126">
        <f t="shared" si="59"/>
        <v>66</v>
      </c>
      <c r="P123" s="32"/>
      <c r="Y123" s="151"/>
      <c r="Z123" s="151"/>
      <c r="AA123" s="151"/>
      <c r="AB123" s="126">
        <v>119</v>
      </c>
      <c r="AC123" s="126">
        <f t="shared" si="45"/>
        <v>11774</v>
      </c>
      <c r="AD123" s="126">
        <f t="shared" si="46"/>
        <v>11834</v>
      </c>
      <c r="AE123" s="126">
        <f t="shared" si="47"/>
        <v>11834</v>
      </c>
      <c r="AF123" s="126">
        <f t="shared" si="48"/>
        <v>11834</v>
      </c>
      <c r="AG123" s="126">
        <f t="shared" si="49"/>
        <v>11834</v>
      </c>
      <c r="AI123" s="151"/>
      <c r="AR123" s="151"/>
      <c r="AS123" s="151"/>
      <c r="AT123" s="151"/>
      <c r="AU123" s="126">
        <v>119</v>
      </c>
      <c r="AV123" s="126">
        <f t="shared" si="50"/>
        <v>11774</v>
      </c>
      <c r="AW123" s="126">
        <f t="shared" si="51"/>
        <v>11834</v>
      </c>
      <c r="AX123" s="126">
        <f t="shared" si="52"/>
        <v>11834</v>
      </c>
      <c r="AY123" s="126">
        <f t="shared" si="53"/>
        <v>11834</v>
      </c>
      <c r="AZ123" s="126">
        <f t="shared" si="54"/>
        <v>11834</v>
      </c>
      <c r="BB123" s="32"/>
    </row>
    <row r="124" spans="9:54" s="46" customFormat="1" x14ac:dyDescent="0.15">
      <c r="I124" s="126">
        <v>120</v>
      </c>
      <c r="J124" s="126">
        <f t="shared" si="55"/>
        <v>66</v>
      </c>
      <c r="K124" s="126">
        <f t="shared" si="56"/>
        <v>66</v>
      </c>
      <c r="L124" s="126">
        <f t="shared" si="57"/>
        <v>66</v>
      </c>
      <c r="M124" s="126">
        <f t="shared" si="58"/>
        <v>66</v>
      </c>
      <c r="N124" s="126">
        <f t="shared" si="59"/>
        <v>66</v>
      </c>
      <c r="P124" s="32"/>
      <c r="Y124" s="151"/>
      <c r="Z124" s="151"/>
      <c r="AA124" s="151"/>
      <c r="AB124" s="126">
        <v>120</v>
      </c>
      <c r="AC124" s="126">
        <f t="shared" si="45"/>
        <v>11900</v>
      </c>
      <c r="AD124" s="126">
        <f t="shared" si="46"/>
        <v>11900</v>
      </c>
      <c r="AE124" s="126">
        <f t="shared" si="47"/>
        <v>11900</v>
      </c>
      <c r="AF124" s="126">
        <f t="shared" si="48"/>
        <v>11900</v>
      </c>
      <c r="AG124" s="126">
        <f t="shared" si="49"/>
        <v>11900</v>
      </c>
      <c r="AI124" s="151"/>
      <c r="AR124" s="151"/>
      <c r="AS124" s="151"/>
      <c r="AT124" s="151"/>
      <c r="AU124" s="126">
        <v>120</v>
      </c>
      <c r="AV124" s="126">
        <f t="shared" si="50"/>
        <v>11900</v>
      </c>
      <c r="AW124" s="126">
        <f t="shared" si="51"/>
        <v>11900</v>
      </c>
      <c r="AX124" s="126">
        <f t="shared" si="52"/>
        <v>11900</v>
      </c>
      <c r="AY124" s="126">
        <f t="shared" si="53"/>
        <v>11900</v>
      </c>
      <c r="AZ124" s="126">
        <f t="shared" si="54"/>
        <v>11900</v>
      </c>
      <c r="BB124" s="32"/>
    </row>
    <row r="125" spans="9:54" s="46" customFormat="1" x14ac:dyDescent="0.15">
      <c r="I125" s="126">
        <v>121</v>
      </c>
      <c r="J125" s="126">
        <f t="shared" si="55"/>
        <v>66</v>
      </c>
      <c r="K125" s="126">
        <f t="shared" si="56"/>
        <v>66</v>
      </c>
      <c r="L125" s="126">
        <f t="shared" si="57"/>
        <v>66</v>
      </c>
      <c r="M125" s="126">
        <f t="shared" si="58"/>
        <v>66</v>
      </c>
      <c r="N125" s="126">
        <f t="shared" si="59"/>
        <v>66</v>
      </c>
      <c r="P125" s="32"/>
      <c r="Y125" s="151"/>
      <c r="Z125" s="151"/>
      <c r="AA125" s="151"/>
      <c r="AB125" s="126">
        <v>121</v>
      </c>
      <c r="AC125" s="126">
        <f t="shared" si="45"/>
        <v>11966</v>
      </c>
      <c r="AD125" s="126">
        <f t="shared" si="46"/>
        <v>11966</v>
      </c>
      <c r="AE125" s="126">
        <f t="shared" si="47"/>
        <v>11966</v>
      </c>
      <c r="AF125" s="126">
        <f t="shared" si="48"/>
        <v>11966</v>
      </c>
      <c r="AG125" s="126">
        <f t="shared" si="49"/>
        <v>11966</v>
      </c>
      <c r="AI125" s="151"/>
      <c r="AR125" s="151"/>
      <c r="AS125" s="151"/>
      <c r="AT125" s="151"/>
      <c r="AU125" s="126">
        <v>121</v>
      </c>
      <c r="AV125" s="126">
        <f t="shared" si="50"/>
        <v>11966</v>
      </c>
      <c r="AW125" s="126">
        <f t="shared" si="51"/>
        <v>11966</v>
      </c>
      <c r="AX125" s="126">
        <f t="shared" si="52"/>
        <v>11966</v>
      </c>
      <c r="AY125" s="126">
        <f t="shared" si="53"/>
        <v>11966</v>
      </c>
      <c r="AZ125" s="126">
        <f t="shared" si="54"/>
        <v>11966</v>
      </c>
      <c r="BB125" s="32"/>
    </row>
    <row r="126" spans="9:54" s="46" customFormat="1" x14ac:dyDescent="0.15">
      <c r="I126" s="126">
        <v>122</v>
      </c>
      <c r="J126" s="126">
        <f t="shared" si="55"/>
        <v>66</v>
      </c>
      <c r="K126" s="126">
        <f t="shared" si="56"/>
        <v>66</v>
      </c>
      <c r="L126" s="126">
        <f t="shared" si="57"/>
        <v>66</v>
      </c>
      <c r="M126" s="126">
        <f t="shared" si="58"/>
        <v>66</v>
      </c>
      <c r="N126" s="126">
        <f t="shared" si="59"/>
        <v>66</v>
      </c>
      <c r="P126" s="32"/>
      <c r="Y126" s="151"/>
      <c r="Z126" s="151"/>
      <c r="AA126" s="151"/>
      <c r="AB126" s="126">
        <v>122</v>
      </c>
      <c r="AC126" s="126">
        <f t="shared" si="45"/>
        <v>12032</v>
      </c>
      <c r="AD126" s="126">
        <f t="shared" si="46"/>
        <v>12032</v>
      </c>
      <c r="AE126" s="126">
        <f t="shared" si="47"/>
        <v>12032</v>
      </c>
      <c r="AF126" s="126">
        <f t="shared" si="48"/>
        <v>12032</v>
      </c>
      <c r="AG126" s="126">
        <f t="shared" si="49"/>
        <v>12032</v>
      </c>
      <c r="AI126" s="151"/>
      <c r="AR126" s="151"/>
      <c r="AS126" s="151"/>
      <c r="AT126" s="151"/>
      <c r="AU126" s="126">
        <v>122</v>
      </c>
      <c r="AV126" s="126">
        <f t="shared" si="50"/>
        <v>12032</v>
      </c>
      <c r="AW126" s="126">
        <f t="shared" si="51"/>
        <v>12032</v>
      </c>
      <c r="AX126" s="126">
        <f t="shared" si="52"/>
        <v>12032</v>
      </c>
      <c r="AY126" s="126">
        <f t="shared" si="53"/>
        <v>12032</v>
      </c>
      <c r="AZ126" s="126">
        <f t="shared" si="54"/>
        <v>12032</v>
      </c>
      <c r="BB126" s="32"/>
    </row>
    <row r="127" spans="9:54" s="46" customFormat="1" x14ac:dyDescent="0.15">
      <c r="I127" s="126">
        <v>123</v>
      </c>
      <c r="J127" s="126">
        <f t="shared" si="55"/>
        <v>66</v>
      </c>
      <c r="K127" s="126">
        <f t="shared" si="56"/>
        <v>66</v>
      </c>
      <c r="L127" s="126">
        <f t="shared" si="57"/>
        <v>66</v>
      </c>
      <c r="M127" s="126">
        <f t="shared" si="58"/>
        <v>66</v>
      </c>
      <c r="N127" s="126">
        <f t="shared" si="59"/>
        <v>66</v>
      </c>
      <c r="P127" s="32"/>
      <c r="Y127" s="151"/>
      <c r="Z127" s="151"/>
      <c r="AA127" s="151"/>
      <c r="AB127" s="126">
        <v>123</v>
      </c>
      <c r="AC127" s="126">
        <f t="shared" si="45"/>
        <v>12098</v>
      </c>
      <c r="AD127" s="126">
        <f t="shared" si="46"/>
        <v>12098</v>
      </c>
      <c r="AE127" s="126">
        <f t="shared" si="47"/>
        <v>12098</v>
      </c>
      <c r="AF127" s="126">
        <f t="shared" si="48"/>
        <v>12098</v>
      </c>
      <c r="AG127" s="126">
        <f t="shared" si="49"/>
        <v>12098</v>
      </c>
      <c r="AI127" s="151"/>
      <c r="AR127" s="151"/>
      <c r="AS127" s="151"/>
      <c r="AT127" s="151"/>
      <c r="AU127" s="126">
        <v>123</v>
      </c>
      <c r="AV127" s="126">
        <f t="shared" si="50"/>
        <v>12098</v>
      </c>
      <c r="AW127" s="126">
        <f t="shared" si="51"/>
        <v>12098</v>
      </c>
      <c r="AX127" s="126">
        <f t="shared" si="52"/>
        <v>12098</v>
      </c>
      <c r="AY127" s="126">
        <f t="shared" si="53"/>
        <v>12098</v>
      </c>
      <c r="AZ127" s="126">
        <f t="shared" si="54"/>
        <v>12098</v>
      </c>
      <c r="BB127" s="32"/>
    </row>
    <row r="128" spans="9:54" s="46" customFormat="1" x14ac:dyDescent="0.15">
      <c r="I128" s="126">
        <v>124</v>
      </c>
      <c r="J128" s="126">
        <f t="shared" si="55"/>
        <v>66</v>
      </c>
      <c r="K128" s="126">
        <f t="shared" si="56"/>
        <v>66</v>
      </c>
      <c r="L128" s="126">
        <f t="shared" si="57"/>
        <v>66</v>
      </c>
      <c r="M128" s="126">
        <f t="shared" si="58"/>
        <v>66</v>
      </c>
      <c r="N128" s="126">
        <f t="shared" si="59"/>
        <v>66</v>
      </c>
      <c r="P128" s="32"/>
      <c r="Y128" s="151"/>
      <c r="Z128" s="151"/>
      <c r="AA128" s="151"/>
      <c r="AB128" s="126">
        <v>124</v>
      </c>
      <c r="AC128" s="126">
        <f t="shared" si="45"/>
        <v>12164</v>
      </c>
      <c r="AD128" s="126">
        <f t="shared" si="46"/>
        <v>12164</v>
      </c>
      <c r="AE128" s="126">
        <f t="shared" si="47"/>
        <v>12164</v>
      </c>
      <c r="AF128" s="126">
        <f t="shared" si="48"/>
        <v>12164</v>
      </c>
      <c r="AG128" s="126">
        <f t="shared" si="49"/>
        <v>12164</v>
      </c>
      <c r="AI128" s="151"/>
      <c r="AR128" s="151"/>
      <c r="AS128" s="151"/>
      <c r="AT128" s="151"/>
      <c r="AU128" s="126">
        <v>124</v>
      </c>
      <c r="AV128" s="126">
        <f t="shared" si="50"/>
        <v>12164</v>
      </c>
      <c r="AW128" s="126">
        <f t="shared" si="51"/>
        <v>12164</v>
      </c>
      <c r="AX128" s="126">
        <f t="shared" si="52"/>
        <v>12164</v>
      </c>
      <c r="AY128" s="126">
        <f t="shared" si="53"/>
        <v>12164</v>
      </c>
      <c r="AZ128" s="126">
        <f t="shared" si="54"/>
        <v>12164</v>
      </c>
      <c r="BB128" s="32"/>
    </row>
    <row r="129" spans="9:54" s="46" customFormat="1" x14ac:dyDescent="0.15">
      <c r="I129" s="126">
        <v>125</v>
      </c>
      <c r="J129" s="126">
        <f>求节点($B$5:$B$20,C$5:C$20,$I129)</f>
        <v>66</v>
      </c>
      <c r="K129" s="126">
        <f>求节点($B$5:$B$20,D$5:D$20,$I129)</f>
        <v>66</v>
      </c>
      <c r="L129" s="126">
        <f>求节点($B$5:$B$20,E$5:E$20,$I129)</f>
        <v>66</v>
      </c>
      <c r="M129" s="126">
        <f>求节点($B$5:$B$20,F$5:F$20,$I129)</f>
        <v>66</v>
      </c>
      <c r="N129" s="126">
        <f>求节点($B$5:$B$20,G$5:G$20,$I129)</f>
        <v>66</v>
      </c>
      <c r="P129" s="32"/>
      <c r="Y129" s="151"/>
      <c r="Z129" s="151"/>
      <c r="AA129" s="151"/>
      <c r="AB129" s="126">
        <v>125</v>
      </c>
      <c r="AC129" s="126">
        <f t="shared" si="45"/>
        <v>12230</v>
      </c>
      <c r="AD129" s="126">
        <f t="shared" si="46"/>
        <v>12230</v>
      </c>
      <c r="AE129" s="126">
        <f t="shared" si="47"/>
        <v>12230</v>
      </c>
      <c r="AF129" s="126">
        <f t="shared" si="48"/>
        <v>12230</v>
      </c>
      <c r="AG129" s="126">
        <f t="shared" si="49"/>
        <v>12230</v>
      </c>
      <c r="AI129" s="151"/>
      <c r="AR129" s="151"/>
      <c r="AS129" s="151"/>
      <c r="AT129" s="151"/>
      <c r="AU129" s="126">
        <v>125</v>
      </c>
      <c r="AV129" s="126">
        <f t="shared" si="50"/>
        <v>12230</v>
      </c>
      <c r="AW129" s="126">
        <f t="shared" si="51"/>
        <v>12230</v>
      </c>
      <c r="AX129" s="126">
        <f t="shared" si="52"/>
        <v>12230</v>
      </c>
      <c r="AY129" s="126">
        <f t="shared" si="53"/>
        <v>12230</v>
      </c>
      <c r="AZ129" s="126">
        <f t="shared" si="54"/>
        <v>12230</v>
      </c>
      <c r="BB129" s="32"/>
    </row>
    <row r="130" spans="9:54" s="46" customFormat="1" x14ac:dyDescent="0.15">
      <c r="I130" s="126">
        <v>126</v>
      </c>
      <c r="J130" s="126">
        <f t="shared" ref="J130:J152" si="60">求节点($B$5:$B$20,C$5:C$20,$I130)</f>
        <v>66</v>
      </c>
      <c r="K130" s="126">
        <f t="shared" ref="K130:K152" si="61">求节点($B$5:$B$20,D$5:D$20,$I130)</f>
        <v>66</v>
      </c>
      <c r="L130" s="126">
        <f t="shared" ref="L130:L152" si="62">求节点($B$5:$B$20,E$5:E$20,$I130)</f>
        <v>66</v>
      </c>
      <c r="M130" s="126">
        <f t="shared" ref="M130:M152" si="63">求节点($B$5:$B$20,F$5:F$20,$I130)</f>
        <v>66</v>
      </c>
      <c r="N130" s="126">
        <f t="shared" ref="N130:N152" si="64">求节点($B$5:$B$20,G$5:G$20,$I130)</f>
        <v>66</v>
      </c>
      <c r="P130" s="32"/>
      <c r="Y130" s="151"/>
      <c r="Z130" s="151"/>
      <c r="AA130" s="151"/>
      <c r="AB130" s="126">
        <v>126</v>
      </c>
      <c r="AC130" s="126">
        <f t="shared" si="45"/>
        <v>12296</v>
      </c>
      <c r="AD130" s="126">
        <f t="shared" si="46"/>
        <v>12296</v>
      </c>
      <c r="AE130" s="126">
        <f t="shared" si="47"/>
        <v>12296</v>
      </c>
      <c r="AF130" s="126">
        <f t="shared" si="48"/>
        <v>12296</v>
      </c>
      <c r="AG130" s="126">
        <f t="shared" si="49"/>
        <v>12296</v>
      </c>
      <c r="AI130" s="151"/>
      <c r="AR130" s="151"/>
      <c r="AS130" s="151"/>
      <c r="AT130" s="151"/>
      <c r="AU130" s="126">
        <v>126</v>
      </c>
      <c r="AV130" s="126">
        <f t="shared" si="50"/>
        <v>12296</v>
      </c>
      <c r="AW130" s="126">
        <f t="shared" si="51"/>
        <v>12296</v>
      </c>
      <c r="AX130" s="126">
        <f t="shared" si="52"/>
        <v>12296</v>
      </c>
      <c r="AY130" s="126">
        <f t="shared" si="53"/>
        <v>12296</v>
      </c>
      <c r="AZ130" s="126">
        <f t="shared" si="54"/>
        <v>12296</v>
      </c>
      <c r="BB130" s="32"/>
    </row>
    <row r="131" spans="9:54" s="46" customFormat="1" x14ac:dyDescent="0.15">
      <c r="I131" s="126">
        <v>127</v>
      </c>
      <c r="J131" s="126">
        <f t="shared" si="60"/>
        <v>66</v>
      </c>
      <c r="K131" s="126">
        <f t="shared" si="61"/>
        <v>66</v>
      </c>
      <c r="L131" s="126">
        <f t="shared" si="62"/>
        <v>66</v>
      </c>
      <c r="M131" s="126">
        <f t="shared" si="63"/>
        <v>66</v>
      </c>
      <c r="N131" s="126">
        <f t="shared" si="64"/>
        <v>66</v>
      </c>
      <c r="P131" s="32"/>
      <c r="Y131" s="151"/>
      <c r="Z131" s="151"/>
      <c r="AA131" s="151"/>
      <c r="AB131" s="126">
        <v>127</v>
      </c>
      <c r="AC131" s="126">
        <f t="shared" si="45"/>
        <v>12362</v>
      </c>
      <c r="AD131" s="126">
        <f t="shared" si="46"/>
        <v>12362</v>
      </c>
      <c r="AE131" s="126">
        <f t="shared" si="47"/>
        <v>12362</v>
      </c>
      <c r="AF131" s="126">
        <f t="shared" si="48"/>
        <v>12362</v>
      </c>
      <c r="AG131" s="126">
        <f t="shared" si="49"/>
        <v>12362</v>
      </c>
      <c r="AI131" s="151"/>
      <c r="AR131" s="151"/>
      <c r="AS131" s="151"/>
      <c r="AT131" s="151"/>
      <c r="AU131" s="126">
        <v>127</v>
      </c>
      <c r="AV131" s="126">
        <f t="shared" si="50"/>
        <v>12362</v>
      </c>
      <c r="AW131" s="126">
        <f t="shared" si="51"/>
        <v>12362</v>
      </c>
      <c r="AX131" s="126">
        <f t="shared" si="52"/>
        <v>12362</v>
      </c>
      <c r="AY131" s="126">
        <f t="shared" si="53"/>
        <v>12362</v>
      </c>
      <c r="AZ131" s="126">
        <f t="shared" si="54"/>
        <v>12362</v>
      </c>
      <c r="BB131" s="32"/>
    </row>
    <row r="132" spans="9:54" s="46" customFormat="1" x14ac:dyDescent="0.15">
      <c r="I132" s="126">
        <v>128</v>
      </c>
      <c r="J132" s="126">
        <f t="shared" si="60"/>
        <v>66</v>
      </c>
      <c r="K132" s="126">
        <f t="shared" si="61"/>
        <v>66</v>
      </c>
      <c r="L132" s="126">
        <f t="shared" si="62"/>
        <v>66</v>
      </c>
      <c r="M132" s="126">
        <f t="shared" si="63"/>
        <v>66</v>
      </c>
      <c r="N132" s="126">
        <f t="shared" si="64"/>
        <v>66</v>
      </c>
      <c r="P132" s="32"/>
      <c r="Y132" s="151"/>
      <c r="Z132" s="151"/>
      <c r="AA132" s="151"/>
      <c r="AB132" s="126">
        <v>128</v>
      </c>
      <c r="AC132" s="126">
        <f t="shared" si="45"/>
        <v>12428</v>
      </c>
      <c r="AD132" s="126">
        <f t="shared" si="46"/>
        <v>12428</v>
      </c>
      <c r="AE132" s="126">
        <f t="shared" si="47"/>
        <v>12428</v>
      </c>
      <c r="AF132" s="126">
        <f t="shared" si="48"/>
        <v>12428</v>
      </c>
      <c r="AG132" s="126">
        <f t="shared" si="49"/>
        <v>12428</v>
      </c>
      <c r="AI132" s="151"/>
      <c r="AR132" s="151"/>
      <c r="AS132" s="151"/>
      <c r="AT132" s="151"/>
      <c r="AU132" s="126">
        <v>128</v>
      </c>
      <c r="AV132" s="126">
        <f t="shared" si="50"/>
        <v>12428</v>
      </c>
      <c r="AW132" s="126">
        <f t="shared" si="51"/>
        <v>12428</v>
      </c>
      <c r="AX132" s="126">
        <f t="shared" si="52"/>
        <v>12428</v>
      </c>
      <c r="AY132" s="126">
        <f t="shared" si="53"/>
        <v>12428</v>
      </c>
      <c r="AZ132" s="126">
        <f t="shared" si="54"/>
        <v>12428</v>
      </c>
      <c r="BB132" s="32"/>
    </row>
    <row r="133" spans="9:54" s="46" customFormat="1" x14ac:dyDescent="0.15">
      <c r="I133" s="126">
        <v>129</v>
      </c>
      <c r="J133" s="126">
        <f t="shared" si="60"/>
        <v>66</v>
      </c>
      <c r="K133" s="126">
        <f t="shared" si="61"/>
        <v>66</v>
      </c>
      <c r="L133" s="126">
        <f t="shared" si="62"/>
        <v>66</v>
      </c>
      <c r="M133" s="126">
        <f t="shared" si="63"/>
        <v>66</v>
      </c>
      <c r="N133" s="126">
        <f t="shared" si="64"/>
        <v>66</v>
      </c>
      <c r="P133" s="32"/>
      <c r="Y133" s="151"/>
      <c r="Z133" s="151"/>
      <c r="AA133" s="151"/>
      <c r="AB133" s="126">
        <v>129</v>
      </c>
      <c r="AC133" s="126">
        <f t="shared" ref="AC133:AC164" si="65">求节点($R$5:$R$20,S$5:S$20,$AB133)</f>
        <v>12494</v>
      </c>
      <c r="AD133" s="126">
        <f t="shared" ref="AD133:AD164" si="66">求节点($R$5:$R$20,T$5:T$20,$AB133)</f>
        <v>12494</v>
      </c>
      <c r="AE133" s="126">
        <f t="shared" ref="AE133:AE164" si="67">求节点($R$5:$R$20,U$5:U$20,$AB133)</f>
        <v>12494</v>
      </c>
      <c r="AF133" s="126">
        <f t="shared" ref="AF133:AF164" si="68">求节点($R$5:$R$20,V$5:V$20,$AB133)</f>
        <v>12494</v>
      </c>
      <c r="AG133" s="126">
        <f t="shared" ref="AG133:AG164" si="69">求节点($R$5:$R$20,W$5:W$20,$AB133)</f>
        <v>12494</v>
      </c>
      <c r="AI133" s="151"/>
      <c r="AR133" s="151"/>
      <c r="AS133" s="151"/>
      <c r="AT133" s="151"/>
      <c r="AU133" s="126">
        <v>129</v>
      </c>
      <c r="AV133" s="126">
        <f t="shared" ref="AV133:AV164" si="70">求节点($R$5:$R$20,AL$5:AL$20,$AB133)</f>
        <v>12494</v>
      </c>
      <c r="AW133" s="126">
        <f t="shared" ref="AW133:AW164" si="71">求节点($R$5:$R$20,AM$5:AM$20,$AB133)</f>
        <v>12494</v>
      </c>
      <c r="AX133" s="126">
        <f t="shared" ref="AX133:AX164" si="72">求节点($R$5:$R$20,AN$5:AN$20,$AB133)</f>
        <v>12494</v>
      </c>
      <c r="AY133" s="126">
        <f t="shared" ref="AY133:AY164" si="73">求节点($R$5:$R$20,AO$5:AO$20,$AB133)</f>
        <v>12494</v>
      </c>
      <c r="AZ133" s="126">
        <f t="shared" ref="AZ133:AZ164" si="74">求节点($R$5:$R$20,AP$5:AP$20,$AB133)</f>
        <v>12494</v>
      </c>
      <c r="BB133" s="32"/>
    </row>
    <row r="134" spans="9:54" s="46" customFormat="1" x14ac:dyDescent="0.15">
      <c r="I134" s="126">
        <v>130</v>
      </c>
      <c r="J134" s="126">
        <f t="shared" si="60"/>
        <v>66</v>
      </c>
      <c r="K134" s="126">
        <f t="shared" si="61"/>
        <v>66</v>
      </c>
      <c r="L134" s="126">
        <f t="shared" si="62"/>
        <v>66</v>
      </c>
      <c r="M134" s="126">
        <f t="shared" si="63"/>
        <v>66</v>
      </c>
      <c r="N134" s="126">
        <f t="shared" si="64"/>
        <v>66</v>
      </c>
      <c r="P134" s="32"/>
      <c r="Y134" s="151"/>
      <c r="Z134" s="151"/>
      <c r="AA134" s="151"/>
      <c r="AB134" s="126">
        <v>130</v>
      </c>
      <c r="AC134" s="126">
        <f t="shared" si="65"/>
        <v>12560</v>
      </c>
      <c r="AD134" s="126">
        <f t="shared" si="66"/>
        <v>12560</v>
      </c>
      <c r="AE134" s="126">
        <f t="shared" si="67"/>
        <v>12560</v>
      </c>
      <c r="AF134" s="126">
        <f t="shared" si="68"/>
        <v>12560</v>
      </c>
      <c r="AG134" s="126">
        <f t="shared" si="69"/>
        <v>12560</v>
      </c>
      <c r="AI134" s="151"/>
      <c r="AR134" s="151"/>
      <c r="AS134" s="151"/>
      <c r="AT134" s="151"/>
      <c r="AU134" s="126">
        <v>130</v>
      </c>
      <c r="AV134" s="126">
        <f t="shared" si="70"/>
        <v>12560</v>
      </c>
      <c r="AW134" s="126">
        <f t="shared" si="71"/>
        <v>12560</v>
      </c>
      <c r="AX134" s="126">
        <f t="shared" si="72"/>
        <v>12560</v>
      </c>
      <c r="AY134" s="126">
        <f t="shared" si="73"/>
        <v>12560</v>
      </c>
      <c r="AZ134" s="126">
        <f t="shared" si="74"/>
        <v>12560</v>
      </c>
      <c r="BB134" s="32"/>
    </row>
    <row r="135" spans="9:54" s="46" customFormat="1" x14ac:dyDescent="0.15">
      <c r="I135" s="126">
        <v>131</v>
      </c>
      <c r="J135" s="126">
        <f t="shared" si="60"/>
        <v>66</v>
      </c>
      <c r="K135" s="126">
        <f t="shared" si="61"/>
        <v>66</v>
      </c>
      <c r="L135" s="126">
        <f t="shared" si="62"/>
        <v>66</v>
      </c>
      <c r="M135" s="126">
        <f t="shared" si="63"/>
        <v>66</v>
      </c>
      <c r="N135" s="126">
        <f t="shared" si="64"/>
        <v>66</v>
      </c>
      <c r="P135" s="32"/>
      <c r="Y135" s="151"/>
      <c r="Z135" s="151"/>
      <c r="AA135" s="151"/>
      <c r="AB135" s="126">
        <v>131</v>
      </c>
      <c r="AC135" s="126">
        <f t="shared" si="65"/>
        <v>12626</v>
      </c>
      <c r="AD135" s="126">
        <f t="shared" si="66"/>
        <v>12626</v>
      </c>
      <c r="AE135" s="126">
        <f t="shared" si="67"/>
        <v>12626</v>
      </c>
      <c r="AF135" s="126">
        <f t="shared" si="68"/>
        <v>12626</v>
      </c>
      <c r="AG135" s="126">
        <f t="shared" si="69"/>
        <v>12626</v>
      </c>
      <c r="AI135" s="151"/>
      <c r="AR135" s="151"/>
      <c r="AS135" s="151"/>
      <c r="AT135" s="151"/>
      <c r="AU135" s="126">
        <v>131</v>
      </c>
      <c r="AV135" s="126">
        <f t="shared" si="70"/>
        <v>12626</v>
      </c>
      <c r="AW135" s="126">
        <f t="shared" si="71"/>
        <v>12626</v>
      </c>
      <c r="AX135" s="126">
        <f t="shared" si="72"/>
        <v>12626</v>
      </c>
      <c r="AY135" s="126">
        <f t="shared" si="73"/>
        <v>12626</v>
      </c>
      <c r="AZ135" s="126">
        <f t="shared" si="74"/>
        <v>12626</v>
      </c>
      <c r="BB135" s="32"/>
    </row>
    <row r="136" spans="9:54" s="46" customFormat="1" x14ac:dyDescent="0.15">
      <c r="I136" s="126">
        <v>132</v>
      </c>
      <c r="J136" s="126">
        <f t="shared" si="60"/>
        <v>66</v>
      </c>
      <c r="K136" s="126">
        <f t="shared" si="61"/>
        <v>66</v>
      </c>
      <c r="L136" s="126">
        <f t="shared" si="62"/>
        <v>66</v>
      </c>
      <c r="M136" s="126">
        <f t="shared" si="63"/>
        <v>66</v>
      </c>
      <c r="N136" s="126">
        <f t="shared" si="64"/>
        <v>66</v>
      </c>
      <c r="P136" s="32"/>
      <c r="Y136" s="151"/>
      <c r="Z136" s="151"/>
      <c r="AA136" s="151"/>
      <c r="AB136" s="126">
        <v>132</v>
      </c>
      <c r="AC136" s="126">
        <f t="shared" si="65"/>
        <v>12692</v>
      </c>
      <c r="AD136" s="126">
        <f t="shared" si="66"/>
        <v>12692</v>
      </c>
      <c r="AE136" s="126">
        <f t="shared" si="67"/>
        <v>12692</v>
      </c>
      <c r="AF136" s="126">
        <f t="shared" si="68"/>
        <v>12692</v>
      </c>
      <c r="AG136" s="126">
        <f t="shared" si="69"/>
        <v>12692</v>
      </c>
      <c r="AI136" s="151"/>
      <c r="AR136" s="151"/>
      <c r="AS136" s="151"/>
      <c r="AT136" s="151"/>
      <c r="AU136" s="126">
        <v>132</v>
      </c>
      <c r="AV136" s="126">
        <f t="shared" si="70"/>
        <v>12692</v>
      </c>
      <c r="AW136" s="126">
        <f t="shared" si="71"/>
        <v>12692</v>
      </c>
      <c r="AX136" s="126">
        <f t="shared" si="72"/>
        <v>12692</v>
      </c>
      <c r="AY136" s="126">
        <f t="shared" si="73"/>
        <v>12692</v>
      </c>
      <c r="AZ136" s="126">
        <f t="shared" si="74"/>
        <v>12692</v>
      </c>
      <c r="BB136" s="32"/>
    </row>
    <row r="137" spans="9:54" s="46" customFormat="1" x14ac:dyDescent="0.15">
      <c r="I137" s="126">
        <v>133</v>
      </c>
      <c r="J137" s="126">
        <f t="shared" si="60"/>
        <v>66</v>
      </c>
      <c r="K137" s="126">
        <f t="shared" si="61"/>
        <v>66</v>
      </c>
      <c r="L137" s="126">
        <f t="shared" si="62"/>
        <v>66</v>
      </c>
      <c r="M137" s="126">
        <f t="shared" si="63"/>
        <v>66</v>
      </c>
      <c r="N137" s="126">
        <f t="shared" si="64"/>
        <v>66</v>
      </c>
      <c r="P137" s="32"/>
      <c r="Y137" s="151"/>
      <c r="Z137" s="151"/>
      <c r="AA137" s="151"/>
      <c r="AB137" s="126">
        <v>133</v>
      </c>
      <c r="AC137" s="126">
        <f t="shared" si="65"/>
        <v>12758</v>
      </c>
      <c r="AD137" s="126">
        <f t="shared" si="66"/>
        <v>12758</v>
      </c>
      <c r="AE137" s="126">
        <f t="shared" si="67"/>
        <v>12758</v>
      </c>
      <c r="AF137" s="126">
        <f t="shared" si="68"/>
        <v>12758</v>
      </c>
      <c r="AG137" s="126">
        <f t="shared" si="69"/>
        <v>12758</v>
      </c>
      <c r="AI137" s="151"/>
      <c r="AR137" s="151"/>
      <c r="AS137" s="151"/>
      <c r="AT137" s="151"/>
      <c r="AU137" s="126">
        <v>133</v>
      </c>
      <c r="AV137" s="126">
        <f t="shared" si="70"/>
        <v>12758</v>
      </c>
      <c r="AW137" s="126">
        <f t="shared" si="71"/>
        <v>12758</v>
      </c>
      <c r="AX137" s="126">
        <f t="shared" si="72"/>
        <v>12758</v>
      </c>
      <c r="AY137" s="126">
        <f t="shared" si="73"/>
        <v>12758</v>
      </c>
      <c r="AZ137" s="126">
        <f t="shared" si="74"/>
        <v>12758</v>
      </c>
      <c r="BB137" s="32"/>
    </row>
    <row r="138" spans="9:54" s="46" customFormat="1" x14ac:dyDescent="0.15">
      <c r="I138" s="126">
        <v>134</v>
      </c>
      <c r="J138" s="126">
        <f t="shared" si="60"/>
        <v>66</v>
      </c>
      <c r="K138" s="126">
        <f t="shared" si="61"/>
        <v>66</v>
      </c>
      <c r="L138" s="126">
        <f t="shared" si="62"/>
        <v>66</v>
      </c>
      <c r="M138" s="126">
        <f t="shared" si="63"/>
        <v>66</v>
      </c>
      <c r="N138" s="126">
        <f t="shared" si="64"/>
        <v>66</v>
      </c>
      <c r="P138" s="32"/>
      <c r="Y138" s="151"/>
      <c r="Z138" s="151"/>
      <c r="AA138" s="151"/>
      <c r="AB138" s="126">
        <v>134</v>
      </c>
      <c r="AC138" s="126">
        <f t="shared" si="65"/>
        <v>12824</v>
      </c>
      <c r="AD138" s="126">
        <f t="shared" si="66"/>
        <v>12824</v>
      </c>
      <c r="AE138" s="126">
        <f t="shared" si="67"/>
        <v>12824</v>
      </c>
      <c r="AF138" s="126">
        <f t="shared" si="68"/>
        <v>12824</v>
      </c>
      <c r="AG138" s="126">
        <f t="shared" si="69"/>
        <v>12824</v>
      </c>
      <c r="AI138" s="151"/>
      <c r="AR138" s="151"/>
      <c r="AS138" s="151"/>
      <c r="AT138" s="151"/>
      <c r="AU138" s="126">
        <v>134</v>
      </c>
      <c r="AV138" s="126">
        <f t="shared" si="70"/>
        <v>12824</v>
      </c>
      <c r="AW138" s="126">
        <f t="shared" si="71"/>
        <v>12824</v>
      </c>
      <c r="AX138" s="126">
        <f t="shared" si="72"/>
        <v>12824</v>
      </c>
      <c r="AY138" s="126">
        <f t="shared" si="73"/>
        <v>12824</v>
      </c>
      <c r="AZ138" s="126">
        <f t="shared" si="74"/>
        <v>12824</v>
      </c>
      <c r="BB138" s="32"/>
    </row>
    <row r="139" spans="9:54" s="46" customFormat="1" x14ac:dyDescent="0.15">
      <c r="I139" s="126">
        <v>135</v>
      </c>
      <c r="J139" s="126">
        <f t="shared" si="60"/>
        <v>66</v>
      </c>
      <c r="K139" s="126">
        <f t="shared" si="61"/>
        <v>66</v>
      </c>
      <c r="L139" s="126">
        <f t="shared" si="62"/>
        <v>66</v>
      </c>
      <c r="M139" s="126">
        <f t="shared" si="63"/>
        <v>66</v>
      </c>
      <c r="N139" s="126">
        <f t="shared" si="64"/>
        <v>66</v>
      </c>
      <c r="P139" s="32"/>
      <c r="Y139" s="151"/>
      <c r="Z139" s="151"/>
      <c r="AA139" s="151"/>
      <c r="AB139" s="126">
        <v>135</v>
      </c>
      <c r="AC139" s="126">
        <f t="shared" si="65"/>
        <v>12890</v>
      </c>
      <c r="AD139" s="126">
        <f t="shared" si="66"/>
        <v>12890</v>
      </c>
      <c r="AE139" s="126">
        <f t="shared" si="67"/>
        <v>12890</v>
      </c>
      <c r="AF139" s="126">
        <f t="shared" si="68"/>
        <v>12890</v>
      </c>
      <c r="AG139" s="126">
        <f t="shared" si="69"/>
        <v>12890</v>
      </c>
      <c r="AI139" s="151"/>
      <c r="AR139" s="151"/>
      <c r="AS139" s="151"/>
      <c r="AT139" s="151"/>
      <c r="AU139" s="126">
        <v>135</v>
      </c>
      <c r="AV139" s="126">
        <f t="shared" si="70"/>
        <v>12890</v>
      </c>
      <c r="AW139" s="126">
        <f t="shared" si="71"/>
        <v>12890</v>
      </c>
      <c r="AX139" s="126">
        <f t="shared" si="72"/>
        <v>12890</v>
      </c>
      <c r="AY139" s="126">
        <f t="shared" si="73"/>
        <v>12890</v>
      </c>
      <c r="AZ139" s="126">
        <f t="shared" si="74"/>
        <v>12890</v>
      </c>
      <c r="BB139" s="32"/>
    </row>
    <row r="140" spans="9:54" s="46" customFormat="1" x14ac:dyDescent="0.15">
      <c r="I140" s="126">
        <v>136</v>
      </c>
      <c r="J140" s="126">
        <f t="shared" si="60"/>
        <v>66</v>
      </c>
      <c r="K140" s="126">
        <f t="shared" si="61"/>
        <v>66</v>
      </c>
      <c r="L140" s="126">
        <f t="shared" si="62"/>
        <v>66</v>
      </c>
      <c r="M140" s="126">
        <f t="shared" si="63"/>
        <v>66</v>
      </c>
      <c r="N140" s="126">
        <f t="shared" si="64"/>
        <v>66</v>
      </c>
      <c r="P140" s="32"/>
      <c r="Y140" s="151"/>
      <c r="Z140" s="151"/>
      <c r="AA140" s="151"/>
      <c r="AB140" s="126">
        <v>136</v>
      </c>
      <c r="AC140" s="126">
        <f t="shared" si="65"/>
        <v>12956</v>
      </c>
      <c r="AD140" s="126">
        <f t="shared" si="66"/>
        <v>12956</v>
      </c>
      <c r="AE140" s="126">
        <f t="shared" si="67"/>
        <v>12956</v>
      </c>
      <c r="AF140" s="126">
        <f t="shared" si="68"/>
        <v>12956</v>
      </c>
      <c r="AG140" s="126">
        <f t="shared" si="69"/>
        <v>12956</v>
      </c>
      <c r="AI140" s="151"/>
      <c r="AR140" s="151"/>
      <c r="AS140" s="151"/>
      <c r="AT140" s="151"/>
      <c r="AU140" s="126">
        <v>136</v>
      </c>
      <c r="AV140" s="126">
        <f t="shared" si="70"/>
        <v>12956</v>
      </c>
      <c r="AW140" s="126">
        <f t="shared" si="71"/>
        <v>12956</v>
      </c>
      <c r="AX140" s="126">
        <f t="shared" si="72"/>
        <v>12956</v>
      </c>
      <c r="AY140" s="126">
        <f t="shared" si="73"/>
        <v>12956</v>
      </c>
      <c r="AZ140" s="126">
        <f t="shared" si="74"/>
        <v>12956</v>
      </c>
      <c r="BB140" s="32"/>
    </row>
    <row r="141" spans="9:54" s="46" customFormat="1" x14ac:dyDescent="0.15">
      <c r="I141" s="126">
        <v>137</v>
      </c>
      <c r="J141" s="126">
        <f t="shared" si="60"/>
        <v>66</v>
      </c>
      <c r="K141" s="126">
        <f t="shared" si="61"/>
        <v>66</v>
      </c>
      <c r="L141" s="126">
        <f t="shared" si="62"/>
        <v>66</v>
      </c>
      <c r="M141" s="126">
        <f t="shared" si="63"/>
        <v>66</v>
      </c>
      <c r="N141" s="126">
        <f t="shared" si="64"/>
        <v>66</v>
      </c>
      <c r="P141" s="32"/>
      <c r="Y141" s="151"/>
      <c r="Z141" s="151"/>
      <c r="AA141" s="151"/>
      <c r="AB141" s="126">
        <v>137</v>
      </c>
      <c r="AC141" s="126">
        <f t="shared" si="65"/>
        <v>13022</v>
      </c>
      <c r="AD141" s="126">
        <f t="shared" si="66"/>
        <v>13022</v>
      </c>
      <c r="AE141" s="126">
        <f t="shared" si="67"/>
        <v>13022</v>
      </c>
      <c r="AF141" s="126">
        <f t="shared" si="68"/>
        <v>13022</v>
      </c>
      <c r="AG141" s="126">
        <f t="shared" si="69"/>
        <v>13022</v>
      </c>
      <c r="AI141" s="151"/>
      <c r="AR141" s="151"/>
      <c r="AS141" s="151"/>
      <c r="AT141" s="151"/>
      <c r="AU141" s="126">
        <v>137</v>
      </c>
      <c r="AV141" s="126">
        <f t="shared" si="70"/>
        <v>13022</v>
      </c>
      <c r="AW141" s="126">
        <f t="shared" si="71"/>
        <v>13022</v>
      </c>
      <c r="AX141" s="126">
        <f t="shared" si="72"/>
        <v>13022</v>
      </c>
      <c r="AY141" s="126">
        <f t="shared" si="73"/>
        <v>13022</v>
      </c>
      <c r="AZ141" s="126">
        <f t="shared" si="74"/>
        <v>13022</v>
      </c>
      <c r="BB141" s="32"/>
    </row>
    <row r="142" spans="9:54" s="46" customFormat="1" x14ac:dyDescent="0.15">
      <c r="I142" s="126">
        <v>138</v>
      </c>
      <c r="J142" s="126">
        <f t="shared" si="60"/>
        <v>66</v>
      </c>
      <c r="K142" s="126">
        <f t="shared" si="61"/>
        <v>66</v>
      </c>
      <c r="L142" s="126">
        <f t="shared" si="62"/>
        <v>66</v>
      </c>
      <c r="M142" s="126">
        <f t="shared" si="63"/>
        <v>66</v>
      </c>
      <c r="N142" s="126">
        <f t="shared" si="64"/>
        <v>66</v>
      </c>
      <c r="P142" s="32"/>
      <c r="Y142" s="151"/>
      <c r="Z142" s="151"/>
      <c r="AA142" s="151"/>
      <c r="AB142" s="126">
        <v>138</v>
      </c>
      <c r="AC142" s="126">
        <f t="shared" si="65"/>
        <v>13088</v>
      </c>
      <c r="AD142" s="126">
        <f t="shared" si="66"/>
        <v>13088</v>
      </c>
      <c r="AE142" s="126">
        <f t="shared" si="67"/>
        <v>13088</v>
      </c>
      <c r="AF142" s="126">
        <f t="shared" si="68"/>
        <v>13088</v>
      </c>
      <c r="AG142" s="126">
        <f t="shared" si="69"/>
        <v>13088</v>
      </c>
      <c r="AI142" s="151"/>
      <c r="AR142" s="151"/>
      <c r="AS142" s="151"/>
      <c r="AT142" s="151"/>
      <c r="AU142" s="126">
        <v>138</v>
      </c>
      <c r="AV142" s="126">
        <f t="shared" si="70"/>
        <v>13088</v>
      </c>
      <c r="AW142" s="126">
        <f t="shared" si="71"/>
        <v>13088</v>
      </c>
      <c r="AX142" s="126">
        <f t="shared" si="72"/>
        <v>13088</v>
      </c>
      <c r="AY142" s="126">
        <f t="shared" si="73"/>
        <v>13088</v>
      </c>
      <c r="AZ142" s="126">
        <f t="shared" si="74"/>
        <v>13088</v>
      </c>
      <c r="BB142" s="32"/>
    </row>
    <row r="143" spans="9:54" s="46" customFormat="1" x14ac:dyDescent="0.15">
      <c r="I143" s="126">
        <v>139</v>
      </c>
      <c r="J143" s="126">
        <f t="shared" si="60"/>
        <v>66</v>
      </c>
      <c r="K143" s="126">
        <f t="shared" si="61"/>
        <v>66</v>
      </c>
      <c r="L143" s="126">
        <f t="shared" si="62"/>
        <v>66</v>
      </c>
      <c r="M143" s="126">
        <f t="shared" si="63"/>
        <v>66</v>
      </c>
      <c r="N143" s="126">
        <f t="shared" si="64"/>
        <v>66</v>
      </c>
      <c r="P143" s="32"/>
      <c r="Y143" s="151"/>
      <c r="Z143" s="151"/>
      <c r="AA143" s="151"/>
      <c r="AB143" s="126">
        <v>139</v>
      </c>
      <c r="AC143" s="126">
        <f t="shared" si="65"/>
        <v>13154</v>
      </c>
      <c r="AD143" s="126">
        <f t="shared" si="66"/>
        <v>13154</v>
      </c>
      <c r="AE143" s="126">
        <f t="shared" si="67"/>
        <v>13154</v>
      </c>
      <c r="AF143" s="126">
        <f t="shared" si="68"/>
        <v>13154</v>
      </c>
      <c r="AG143" s="126">
        <f t="shared" si="69"/>
        <v>13154</v>
      </c>
      <c r="AI143" s="151"/>
      <c r="AR143" s="151"/>
      <c r="AS143" s="151"/>
      <c r="AT143" s="151"/>
      <c r="AU143" s="126">
        <v>139</v>
      </c>
      <c r="AV143" s="126">
        <f t="shared" si="70"/>
        <v>13154</v>
      </c>
      <c r="AW143" s="126">
        <f t="shared" si="71"/>
        <v>13154</v>
      </c>
      <c r="AX143" s="126">
        <f t="shared" si="72"/>
        <v>13154</v>
      </c>
      <c r="AY143" s="126">
        <f t="shared" si="73"/>
        <v>13154</v>
      </c>
      <c r="AZ143" s="126">
        <f t="shared" si="74"/>
        <v>13154</v>
      </c>
      <c r="BB143" s="32"/>
    </row>
    <row r="144" spans="9:54" s="46" customFormat="1" x14ac:dyDescent="0.15">
      <c r="I144" s="126">
        <v>140</v>
      </c>
      <c r="J144" s="126">
        <f t="shared" si="60"/>
        <v>66</v>
      </c>
      <c r="K144" s="126">
        <f t="shared" si="61"/>
        <v>66</v>
      </c>
      <c r="L144" s="126">
        <f t="shared" si="62"/>
        <v>66</v>
      </c>
      <c r="M144" s="126">
        <f t="shared" si="63"/>
        <v>66</v>
      </c>
      <c r="N144" s="126">
        <f t="shared" si="64"/>
        <v>66</v>
      </c>
      <c r="P144" s="32"/>
      <c r="Y144" s="151"/>
      <c r="Z144" s="151"/>
      <c r="AA144" s="151"/>
      <c r="AB144" s="126">
        <v>140</v>
      </c>
      <c r="AC144" s="126">
        <f t="shared" si="65"/>
        <v>13220</v>
      </c>
      <c r="AD144" s="126">
        <f t="shared" si="66"/>
        <v>13220</v>
      </c>
      <c r="AE144" s="126">
        <f t="shared" si="67"/>
        <v>13220</v>
      </c>
      <c r="AF144" s="126">
        <f t="shared" si="68"/>
        <v>13220</v>
      </c>
      <c r="AG144" s="126">
        <f t="shared" si="69"/>
        <v>13220</v>
      </c>
      <c r="AI144" s="151"/>
      <c r="AR144" s="151"/>
      <c r="AS144" s="151"/>
      <c r="AT144" s="151"/>
      <c r="AU144" s="126">
        <v>140</v>
      </c>
      <c r="AV144" s="126">
        <f t="shared" si="70"/>
        <v>13220</v>
      </c>
      <c r="AW144" s="126">
        <f t="shared" si="71"/>
        <v>13220</v>
      </c>
      <c r="AX144" s="126">
        <f t="shared" si="72"/>
        <v>13220</v>
      </c>
      <c r="AY144" s="126">
        <f t="shared" si="73"/>
        <v>13220</v>
      </c>
      <c r="AZ144" s="126">
        <f t="shared" si="74"/>
        <v>13220</v>
      </c>
      <c r="BB144" s="32"/>
    </row>
    <row r="145" spans="9:54" s="46" customFormat="1" x14ac:dyDescent="0.15">
      <c r="I145" s="126">
        <v>141</v>
      </c>
      <c r="J145" s="126">
        <f t="shared" si="60"/>
        <v>66</v>
      </c>
      <c r="K145" s="126">
        <f t="shared" si="61"/>
        <v>66</v>
      </c>
      <c r="L145" s="126">
        <f t="shared" si="62"/>
        <v>66</v>
      </c>
      <c r="M145" s="126">
        <f t="shared" si="63"/>
        <v>66</v>
      </c>
      <c r="N145" s="126">
        <f t="shared" si="64"/>
        <v>66</v>
      </c>
      <c r="P145" s="32"/>
      <c r="Y145" s="151"/>
      <c r="Z145" s="151"/>
      <c r="AA145" s="151"/>
      <c r="AB145" s="126">
        <v>141</v>
      </c>
      <c r="AC145" s="126">
        <f t="shared" si="65"/>
        <v>13286</v>
      </c>
      <c r="AD145" s="126">
        <f t="shared" si="66"/>
        <v>13286</v>
      </c>
      <c r="AE145" s="126">
        <f t="shared" si="67"/>
        <v>13286</v>
      </c>
      <c r="AF145" s="126">
        <f t="shared" si="68"/>
        <v>13286</v>
      </c>
      <c r="AG145" s="126">
        <f t="shared" si="69"/>
        <v>13286</v>
      </c>
      <c r="AI145" s="151"/>
      <c r="AR145" s="151"/>
      <c r="AS145" s="151"/>
      <c r="AT145" s="151"/>
      <c r="AU145" s="126">
        <v>141</v>
      </c>
      <c r="AV145" s="126">
        <f t="shared" si="70"/>
        <v>13286</v>
      </c>
      <c r="AW145" s="126">
        <f t="shared" si="71"/>
        <v>13286</v>
      </c>
      <c r="AX145" s="126">
        <f t="shared" si="72"/>
        <v>13286</v>
      </c>
      <c r="AY145" s="126">
        <f t="shared" si="73"/>
        <v>13286</v>
      </c>
      <c r="AZ145" s="126">
        <f t="shared" si="74"/>
        <v>13286</v>
      </c>
      <c r="BB145" s="32"/>
    </row>
    <row r="146" spans="9:54" s="46" customFormat="1" x14ac:dyDescent="0.15">
      <c r="I146" s="126">
        <v>142</v>
      </c>
      <c r="J146" s="126">
        <f t="shared" si="60"/>
        <v>66</v>
      </c>
      <c r="K146" s="126">
        <f t="shared" si="61"/>
        <v>66</v>
      </c>
      <c r="L146" s="126">
        <f t="shared" si="62"/>
        <v>66</v>
      </c>
      <c r="M146" s="126">
        <f t="shared" si="63"/>
        <v>66</v>
      </c>
      <c r="N146" s="126">
        <f t="shared" si="64"/>
        <v>66</v>
      </c>
      <c r="P146" s="32"/>
      <c r="Y146" s="151"/>
      <c r="Z146" s="151"/>
      <c r="AA146" s="151"/>
      <c r="AB146" s="126">
        <v>142</v>
      </c>
      <c r="AC146" s="126">
        <f t="shared" si="65"/>
        <v>13352</v>
      </c>
      <c r="AD146" s="126">
        <f t="shared" si="66"/>
        <v>13352</v>
      </c>
      <c r="AE146" s="126">
        <f t="shared" si="67"/>
        <v>13352</v>
      </c>
      <c r="AF146" s="126">
        <f t="shared" si="68"/>
        <v>13352</v>
      </c>
      <c r="AG146" s="126">
        <f t="shared" si="69"/>
        <v>13352</v>
      </c>
      <c r="AI146" s="151"/>
      <c r="AR146" s="151"/>
      <c r="AS146" s="151"/>
      <c r="AT146" s="151"/>
      <c r="AU146" s="126">
        <v>142</v>
      </c>
      <c r="AV146" s="126">
        <f t="shared" si="70"/>
        <v>13352</v>
      </c>
      <c r="AW146" s="126">
        <f t="shared" si="71"/>
        <v>13352</v>
      </c>
      <c r="AX146" s="126">
        <f t="shared" si="72"/>
        <v>13352</v>
      </c>
      <c r="AY146" s="126">
        <f t="shared" si="73"/>
        <v>13352</v>
      </c>
      <c r="AZ146" s="126">
        <f t="shared" si="74"/>
        <v>13352</v>
      </c>
      <c r="BB146" s="32"/>
    </row>
    <row r="147" spans="9:54" s="46" customFormat="1" x14ac:dyDescent="0.15">
      <c r="I147" s="126">
        <v>143</v>
      </c>
      <c r="J147" s="126">
        <f t="shared" si="60"/>
        <v>66</v>
      </c>
      <c r="K147" s="126">
        <f t="shared" si="61"/>
        <v>66</v>
      </c>
      <c r="L147" s="126">
        <f t="shared" si="62"/>
        <v>66</v>
      </c>
      <c r="M147" s="126">
        <f t="shared" si="63"/>
        <v>66</v>
      </c>
      <c r="N147" s="126">
        <f t="shared" si="64"/>
        <v>66</v>
      </c>
      <c r="P147" s="32"/>
      <c r="Y147" s="151"/>
      <c r="Z147" s="151"/>
      <c r="AA147" s="151"/>
      <c r="AB147" s="126">
        <v>143</v>
      </c>
      <c r="AC147" s="126">
        <f t="shared" si="65"/>
        <v>13418</v>
      </c>
      <c r="AD147" s="126">
        <f t="shared" si="66"/>
        <v>13418</v>
      </c>
      <c r="AE147" s="126">
        <f t="shared" si="67"/>
        <v>13418</v>
      </c>
      <c r="AF147" s="126">
        <f t="shared" si="68"/>
        <v>13418</v>
      </c>
      <c r="AG147" s="126">
        <f t="shared" si="69"/>
        <v>13418</v>
      </c>
      <c r="AI147" s="151"/>
      <c r="AR147" s="151"/>
      <c r="AS147" s="151"/>
      <c r="AT147" s="151"/>
      <c r="AU147" s="126">
        <v>143</v>
      </c>
      <c r="AV147" s="126">
        <f t="shared" si="70"/>
        <v>13418</v>
      </c>
      <c r="AW147" s="126">
        <f t="shared" si="71"/>
        <v>13418</v>
      </c>
      <c r="AX147" s="126">
        <f t="shared" si="72"/>
        <v>13418</v>
      </c>
      <c r="AY147" s="126">
        <f t="shared" si="73"/>
        <v>13418</v>
      </c>
      <c r="AZ147" s="126">
        <f t="shared" si="74"/>
        <v>13418</v>
      </c>
      <c r="BB147" s="32"/>
    </row>
    <row r="148" spans="9:54" s="46" customFormat="1" x14ac:dyDescent="0.15">
      <c r="I148" s="126">
        <v>144</v>
      </c>
      <c r="J148" s="126">
        <f t="shared" si="60"/>
        <v>66</v>
      </c>
      <c r="K148" s="126">
        <f t="shared" si="61"/>
        <v>66</v>
      </c>
      <c r="L148" s="126">
        <f t="shared" si="62"/>
        <v>66</v>
      </c>
      <c r="M148" s="126">
        <f t="shared" si="63"/>
        <v>66</v>
      </c>
      <c r="N148" s="126">
        <f t="shared" si="64"/>
        <v>66</v>
      </c>
      <c r="P148" s="32"/>
      <c r="Y148" s="151"/>
      <c r="Z148" s="151"/>
      <c r="AA148" s="151"/>
      <c r="AB148" s="126">
        <v>144</v>
      </c>
      <c r="AC148" s="126">
        <f t="shared" si="65"/>
        <v>13484</v>
      </c>
      <c r="AD148" s="126">
        <f t="shared" si="66"/>
        <v>13484</v>
      </c>
      <c r="AE148" s="126">
        <f t="shared" si="67"/>
        <v>13484</v>
      </c>
      <c r="AF148" s="126">
        <f t="shared" si="68"/>
        <v>13484</v>
      </c>
      <c r="AG148" s="126">
        <f t="shared" si="69"/>
        <v>13484</v>
      </c>
      <c r="AI148" s="151"/>
      <c r="AR148" s="151"/>
      <c r="AS148" s="151"/>
      <c r="AT148" s="151"/>
      <c r="AU148" s="126">
        <v>144</v>
      </c>
      <c r="AV148" s="126">
        <f t="shared" si="70"/>
        <v>13484</v>
      </c>
      <c r="AW148" s="126">
        <f t="shared" si="71"/>
        <v>13484</v>
      </c>
      <c r="AX148" s="126">
        <f t="shared" si="72"/>
        <v>13484</v>
      </c>
      <c r="AY148" s="126">
        <f t="shared" si="73"/>
        <v>13484</v>
      </c>
      <c r="AZ148" s="126">
        <f t="shared" si="74"/>
        <v>13484</v>
      </c>
      <c r="BB148" s="32"/>
    </row>
    <row r="149" spans="9:54" s="46" customFormat="1" x14ac:dyDescent="0.15">
      <c r="I149" s="126">
        <v>145</v>
      </c>
      <c r="J149" s="126">
        <f t="shared" si="60"/>
        <v>66</v>
      </c>
      <c r="K149" s="126">
        <f t="shared" si="61"/>
        <v>66</v>
      </c>
      <c r="L149" s="126">
        <f t="shared" si="62"/>
        <v>66</v>
      </c>
      <c r="M149" s="126">
        <f t="shared" si="63"/>
        <v>66</v>
      </c>
      <c r="N149" s="126">
        <f t="shared" si="64"/>
        <v>66</v>
      </c>
      <c r="P149" s="32"/>
      <c r="Y149" s="151"/>
      <c r="Z149" s="151"/>
      <c r="AA149" s="151"/>
      <c r="AB149" s="126">
        <v>145</v>
      </c>
      <c r="AC149" s="126">
        <f t="shared" si="65"/>
        <v>13550</v>
      </c>
      <c r="AD149" s="126">
        <f t="shared" si="66"/>
        <v>13550</v>
      </c>
      <c r="AE149" s="126">
        <f t="shared" si="67"/>
        <v>13550</v>
      </c>
      <c r="AF149" s="126">
        <f t="shared" si="68"/>
        <v>13550</v>
      </c>
      <c r="AG149" s="126">
        <f t="shared" si="69"/>
        <v>13550</v>
      </c>
      <c r="AI149" s="151"/>
      <c r="AR149" s="151"/>
      <c r="AS149" s="151"/>
      <c r="AT149" s="151"/>
      <c r="AU149" s="126">
        <v>145</v>
      </c>
      <c r="AV149" s="126">
        <f t="shared" si="70"/>
        <v>13550</v>
      </c>
      <c r="AW149" s="126">
        <f t="shared" si="71"/>
        <v>13550</v>
      </c>
      <c r="AX149" s="126">
        <f t="shared" si="72"/>
        <v>13550</v>
      </c>
      <c r="AY149" s="126">
        <f t="shared" si="73"/>
        <v>13550</v>
      </c>
      <c r="AZ149" s="126">
        <f t="shared" si="74"/>
        <v>13550</v>
      </c>
      <c r="BB149" s="32"/>
    </row>
    <row r="150" spans="9:54" s="46" customFormat="1" x14ac:dyDescent="0.15">
      <c r="I150" s="126">
        <v>146</v>
      </c>
      <c r="J150" s="126">
        <f t="shared" si="60"/>
        <v>66</v>
      </c>
      <c r="K150" s="126">
        <f t="shared" si="61"/>
        <v>66</v>
      </c>
      <c r="L150" s="126">
        <f t="shared" si="62"/>
        <v>66</v>
      </c>
      <c r="M150" s="126">
        <f t="shared" si="63"/>
        <v>66</v>
      </c>
      <c r="N150" s="126">
        <f t="shared" si="64"/>
        <v>66</v>
      </c>
      <c r="P150" s="32"/>
      <c r="Y150" s="151"/>
      <c r="Z150" s="151"/>
      <c r="AA150" s="151"/>
      <c r="AB150" s="126">
        <v>146</v>
      </c>
      <c r="AC150" s="126">
        <f t="shared" si="65"/>
        <v>13616</v>
      </c>
      <c r="AD150" s="126">
        <f t="shared" si="66"/>
        <v>13616</v>
      </c>
      <c r="AE150" s="126">
        <f t="shared" si="67"/>
        <v>13616</v>
      </c>
      <c r="AF150" s="126">
        <f t="shared" si="68"/>
        <v>13616</v>
      </c>
      <c r="AG150" s="126">
        <f t="shared" si="69"/>
        <v>13616</v>
      </c>
      <c r="AI150" s="151"/>
      <c r="AR150" s="151"/>
      <c r="AS150" s="151"/>
      <c r="AT150" s="151"/>
      <c r="AU150" s="126">
        <v>146</v>
      </c>
      <c r="AV150" s="126">
        <f t="shared" si="70"/>
        <v>13616</v>
      </c>
      <c r="AW150" s="126">
        <f t="shared" si="71"/>
        <v>13616</v>
      </c>
      <c r="AX150" s="126">
        <f t="shared" si="72"/>
        <v>13616</v>
      </c>
      <c r="AY150" s="126">
        <f t="shared" si="73"/>
        <v>13616</v>
      </c>
      <c r="AZ150" s="126">
        <f t="shared" si="74"/>
        <v>13616</v>
      </c>
      <c r="BB150" s="32"/>
    </row>
    <row r="151" spans="9:54" s="46" customFormat="1" x14ac:dyDescent="0.15">
      <c r="I151" s="126">
        <v>147</v>
      </c>
      <c r="J151" s="126">
        <f t="shared" si="60"/>
        <v>66</v>
      </c>
      <c r="K151" s="126">
        <f t="shared" si="61"/>
        <v>66</v>
      </c>
      <c r="L151" s="126">
        <f t="shared" si="62"/>
        <v>66</v>
      </c>
      <c r="M151" s="126">
        <f t="shared" si="63"/>
        <v>66</v>
      </c>
      <c r="N151" s="126">
        <f t="shared" si="64"/>
        <v>66</v>
      </c>
      <c r="P151" s="32"/>
      <c r="Y151" s="151"/>
      <c r="Z151" s="151"/>
      <c r="AA151" s="151"/>
      <c r="AB151" s="126">
        <v>147</v>
      </c>
      <c r="AC151" s="126">
        <f t="shared" si="65"/>
        <v>13682</v>
      </c>
      <c r="AD151" s="126">
        <f t="shared" si="66"/>
        <v>13682</v>
      </c>
      <c r="AE151" s="126">
        <f t="shared" si="67"/>
        <v>13682</v>
      </c>
      <c r="AF151" s="126">
        <f t="shared" si="68"/>
        <v>13682</v>
      </c>
      <c r="AG151" s="126">
        <f t="shared" si="69"/>
        <v>13682</v>
      </c>
      <c r="AI151" s="151"/>
      <c r="AR151" s="151"/>
      <c r="AS151" s="151"/>
      <c r="AT151" s="151"/>
      <c r="AU151" s="126">
        <v>147</v>
      </c>
      <c r="AV151" s="126">
        <f t="shared" si="70"/>
        <v>13682</v>
      </c>
      <c r="AW151" s="126">
        <f t="shared" si="71"/>
        <v>13682</v>
      </c>
      <c r="AX151" s="126">
        <f t="shared" si="72"/>
        <v>13682</v>
      </c>
      <c r="AY151" s="126">
        <f t="shared" si="73"/>
        <v>13682</v>
      </c>
      <c r="AZ151" s="126">
        <f t="shared" si="74"/>
        <v>13682</v>
      </c>
      <c r="BB151" s="32"/>
    </row>
    <row r="152" spans="9:54" s="46" customFormat="1" x14ac:dyDescent="0.15">
      <c r="I152" s="126">
        <v>148</v>
      </c>
      <c r="J152" s="126">
        <f t="shared" si="60"/>
        <v>66</v>
      </c>
      <c r="K152" s="126">
        <f t="shared" si="61"/>
        <v>66</v>
      </c>
      <c r="L152" s="126">
        <f t="shared" si="62"/>
        <v>66</v>
      </c>
      <c r="M152" s="126">
        <f t="shared" si="63"/>
        <v>66</v>
      </c>
      <c r="N152" s="126">
        <f t="shared" si="64"/>
        <v>66</v>
      </c>
      <c r="P152" s="32"/>
      <c r="Y152" s="151"/>
      <c r="Z152" s="151"/>
      <c r="AA152" s="151"/>
      <c r="AB152" s="126">
        <v>148</v>
      </c>
      <c r="AC152" s="126">
        <f t="shared" si="65"/>
        <v>13748</v>
      </c>
      <c r="AD152" s="126">
        <f t="shared" si="66"/>
        <v>13748</v>
      </c>
      <c r="AE152" s="126">
        <f t="shared" si="67"/>
        <v>13748</v>
      </c>
      <c r="AF152" s="126">
        <f t="shared" si="68"/>
        <v>13748</v>
      </c>
      <c r="AG152" s="126">
        <f t="shared" si="69"/>
        <v>13748</v>
      </c>
      <c r="AI152" s="151"/>
      <c r="AR152" s="151"/>
      <c r="AS152" s="151"/>
      <c r="AT152" s="151"/>
      <c r="AU152" s="126">
        <v>148</v>
      </c>
      <c r="AV152" s="126">
        <f t="shared" si="70"/>
        <v>13748</v>
      </c>
      <c r="AW152" s="126">
        <f t="shared" si="71"/>
        <v>13748</v>
      </c>
      <c r="AX152" s="126">
        <f t="shared" si="72"/>
        <v>13748</v>
      </c>
      <c r="AY152" s="126">
        <f t="shared" si="73"/>
        <v>13748</v>
      </c>
      <c r="AZ152" s="126">
        <f t="shared" si="74"/>
        <v>13748</v>
      </c>
      <c r="BB152" s="32"/>
    </row>
    <row r="153" spans="9:54" s="46" customFormat="1" x14ac:dyDescent="0.15">
      <c r="I153" s="126">
        <v>149</v>
      </c>
      <c r="J153" s="126">
        <f>求节点($B$5:$B$20,C$5:C$20,$I153)</f>
        <v>66</v>
      </c>
      <c r="K153" s="126">
        <f>求节点($B$5:$B$20,D$5:D$20,$I153)</f>
        <v>66</v>
      </c>
      <c r="L153" s="126">
        <f>求节点($B$5:$B$20,E$5:E$20,$I153)</f>
        <v>66</v>
      </c>
      <c r="M153" s="126">
        <f>求节点($B$5:$B$20,F$5:F$20,$I153)</f>
        <v>66</v>
      </c>
      <c r="N153" s="126">
        <f>求节点($B$5:$B$20,G$5:G$20,$I153)</f>
        <v>66</v>
      </c>
      <c r="P153" s="32"/>
      <c r="Y153" s="151"/>
      <c r="Z153" s="151"/>
      <c r="AA153" s="151"/>
      <c r="AB153" s="126">
        <v>149</v>
      </c>
      <c r="AC153" s="126">
        <f t="shared" si="65"/>
        <v>13814</v>
      </c>
      <c r="AD153" s="126">
        <f t="shared" si="66"/>
        <v>13814</v>
      </c>
      <c r="AE153" s="126">
        <f t="shared" si="67"/>
        <v>13814</v>
      </c>
      <c r="AF153" s="126">
        <f t="shared" si="68"/>
        <v>13814</v>
      </c>
      <c r="AG153" s="126">
        <f t="shared" si="69"/>
        <v>13814</v>
      </c>
      <c r="AI153" s="151"/>
      <c r="AR153" s="151"/>
      <c r="AS153" s="151"/>
      <c r="AT153" s="151"/>
      <c r="AU153" s="126">
        <v>149</v>
      </c>
      <c r="AV153" s="126">
        <f t="shared" si="70"/>
        <v>13814</v>
      </c>
      <c r="AW153" s="126">
        <f t="shared" si="71"/>
        <v>13814</v>
      </c>
      <c r="AX153" s="126">
        <f t="shared" si="72"/>
        <v>13814</v>
      </c>
      <c r="AY153" s="126">
        <f t="shared" si="73"/>
        <v>13814</v>
      </c>
      <c r="AZ153" s="126">
        <f t="shared" si="74"/>
        <v>13814</v>
      </c>
      <c r="BB153" s="32"/>
    </row>
    <row r="154" spans="9:54" s="46" customFormat="1" x14ac:dyDescent="0.15">
      <c r="I154" s="126">
        <v>150</v>
      </c>
      <c r="J154" s="126">
        <f t="shared" ref="J154:J163" si="75">求节点($B$5:$B$20,C$5:C$20,$I154)</f>
        <v>66</v>
      </c>
      <c r="K154" s="126">
        <f t="shared" ref="K154:K163" si="76">求节点($B$5:$B$20,D$5:D$20,$I154)</f>
        <v>66</v>
      </c>
      <c r="L154" s="126">
        <f t="shared" ref="L154:L163" si="77">求节点($B$5:$B$20,E$5:E$20,$I154)</f>
        <v>66</v>
      </c>
      <c r="M154" s="126">
        <f t="shared" ref="M154:M163" si="78">求节点($B$5:$B$20,F$5:F$20,$I154)</f>
        <v>66</v>
      </c>
      <c r="N154" s="126">
        <f t="shared" ref="N154:N163" si="79">求节点($B$5:$B$20,G$5:G$20,$I154)</f>
        <v>66</v>
      </c>
      <c r="P154" s="32"/>
      <c r="Y154" s="151"/>
      <c r="Z154" s="151"/>
      <c r="AA154" s="151"/>
      <c r="AB154" s="126">
        <v>150</v>
      </c>
      <c r="AC154" s="126">
        <f t="shared" si="65"/>
        <v>13880</v>
      </c>
      <c r="AD154" s="126">
        <f t="shared" si="66"/>
        <v>13880</v>
      </c>
      <c r="AE154" s="126">
        <f t="shared" si="67"/>
        <v>13880</v>
      </c>
      <c r="AF154" s="126">
        <f t="shared" si="68"/>
        <v>13880</v>
      </c>
      <c r="AG154" s="126">
        <f t="shared" si="69"/>
        <v>13880</v>
      </c>
      <c r="AI154" s="151"/>
      <c r="AR154" s="151"/>
      <c r="AS154" s="151"/>
      <c r="AT154" s="151"/>
      <c r="AU154" s="126">
        <v>150</v>
      </c>
      <c r="AV154" s="126">
        <f t="shared" si="70"/>
        <v>13880</v>
      </c>
      <c r="AW154" s="126">
        <f t="shared" si="71"/>
        <v>13880</v>
      </c>
      <c r="AX154" s="126">
        <f t="shared" si="72"/>
        <v>13880</v>
      </c>
      <c r="AY154" s="126">
        <f t="shared" si="73"/>
        <v>13880</v>
      </c>
      <c r="AZ154" s="126">
        <f t="shared" si="74"/>
        <v>13880</v>
      </c>
      <c r="BB154" s="32"/>
    </row>
    <row r="155" spans="9:54" s="46" customFormat="1" x14ac:dyDescent="0.15">
      <c r="I155" s="126">
        <v>151</v>
      </c>
      <c r="J155" s="126">
        <f t="shared" si="75"/>
        <v>66</v>
      </c>
      <c r="K155" s="126">
        <f t="shared" si="76"/>
        <v>66</v>
      </c>
      <c r="L155" s="126">
        <f t="shared" si="77"/>
        <v>66</v>
      </c>
      <c r="M155" s="126">
        <f t="shared" si="78"/>
        <v>66</v>
      </c>
      <c r="N155" s="126">
        <f t="shared" si="79"/>
        <v>66</v>
      </c>
      <c r="P155" s="32"/>
      <c r="Y155" s="151"/>
      <c r="Z155" s="151"/>
      <c r="AA155" s="151"/>
      <c r="AB155" s="126">
        <v>151</v>
      </c>
      <c r="AC155" s="126">
        <f t="shared" si="65"/>
        <v>13946</v>
      </c>
      <c r="AD155" s="126">
        <f t="shared" si="66"/>
        <v>13946</v>
      </c>
      <c r="AE155" s="126">
        <f t="shared" si="67"/>
        <v>13946</v>
      </c>
      <c r="AF155" s="126">
        <f t="shared" si="68"/>
        <v>13946</v>
      </c>
      <c r="AG155" s="126">
        <f t="shared" si="69"/>
        <v>13946</v>
      </c>
      <c r="AI155" s="151"/>
      <c r="AR155" s="151"/>
      <c r="AS155" s="151"/>
      <c r="AT155" s="151"/>
      <c r="AU155" s="126">
        <v>151</v>
      </c>
      <c r="AV155" s="126">
        <f t="shared" si="70"/>
        <v>13946</v>
      </c>
      <c r="AW155" s="126">
        <f t="shared" si="71"/>
        <v>13946</v>
      </c>
      <c r="AX155" s="126">
        <f t="shared" si="72"/>
        <v>13946</v>
      </c>
      <c r="AY155" s="126">
        <f t="shared" si="73"/>
        <v>13946</v>
      </c>
      <c r="AZ155" s="126">
        <f t="shared" si="74"/>
        <v>13946</v>
      </c>
      <c r="BB155" s="32"/>
    </row>
    <row r="156" spans="9:54" s="46" customFormat="1" x14ac:dyDescent="0.15">
      <c r="I156" s="126">
        <v>152</v>
      </c>
      <c r="J156" s="126">
        <f t="shared" si="75"/>
        <v>66</v>
      </c>
      <c r="K156" s="126">
        <f t="shared" si="76"/>
        <v>66</v>
      </c>
      <c r="L156" s="126">
        <f t="shared" si="77"/>
        <v>66</v>
      </c>
      <c r="M156" s="126">
        <f t="shared" si="78"/>
        <v>66</v>
      </c>
      <c r="N156" s="126">
        <f t="shared" si="79"/>
        <v>66</v>
      </c>
      <c r="P156" s="32"/>
      <c r="Y156" s="151"/>
      <c r="Z156" s="151"/>
      <c r="AA156" s="151"/>
      <c r="AB156" s="126">
        <v>152</v>
      </c>
      <c r="AC156" s="126">
        <f t="shared" si="65"/>
        <v>14012</v>
      </c>
      <c r="AD156" s="126">
        <f t="shared" si="66"/>
        <v>14012</v>
      </c>
      <c r="AE156" s="126">
        <f t="shared" si="67"/>
        <v>14012</v>
      </c>
      <c r="AF156" s="126">
        <f t="shared" si="68"/>
        <v>14012</v>
      </c>
      <c r="AG156" s="126">
        <f t="shared" si="69"/>
        <v>14012</v>
      </c>
      <c r="AI156" s="151"/>
      <c r="AR156" s="151"/>
      <c r="AS156" s="151"/>
      <c r="AT156" s="151"/>
      <c r="AU156" s="126">
        <v>152</v>
      </c>
      <c r="AV156" s="126">
        <f t="shared" si="70"/>
        <v>14012</v>
      </c>
      <c r="AW156" s="126">
        <f t="shared" si="71"/>
        <v>14012</v>
      </c>
      <c r="AX156" s="126">
        <f t="shared" si="72"/>
        <v>14012</v>
      </c>
      <c r="AY156" s="126">
        <f t="shared" si="73"/>
        <v>14012</v>
      </c>
      <c r="AZ156" s="126">
        <f t="shared" si="74"/>
        <v>14012</v>
      </c>
      <c r="BB156" s="32"/>
    </row>
    <row r="157" spans="9:54" s="46" customFormat="1" x14ac:dyDescent="0.15">
      <c r="I157" s="126">
        <v>153</v>
      </c>
      <c r="J157" s="126">
        <f t="shared" si="75"/>
        <v>66</v>
      </c>
      <c r="K157" s="126">
        <f t="shared" si="76"/>
        <v>66</v>
      </c>
      <c r="L157" s="126">
        <f t="shared" si="77"/>
        <v>66</v>
      </c>
      <c r="M157" s="126">
        <f t="shared" si="78"/>
        <v>66</v>
      </c>
      <c r="N157" s="126">
        <f t="shared" si="79"/>
        <v>66</v>
      </c>
      <c r="P157" s="32"/>
      <c r="Y157" s="151"/>
      <c r="Z157" s="151"/>
      <c r="AA157" s="151"/>
      <c r="AB157" s="126">
        <v>153</v>
      </c>
      <c r="AC157" s="126">
        <f t="shared" si="65"/>
        <v>14078</v>
      </c>
      <c r="AD157" s="126">
        <f t="shared" si="66"/>
        <v>14078</v>
      </c>
      <c r="AE157" s="126">
        <f t="shared" si="67"/>
        <v>14078</v>
      </c>
      <c r="AF157" s="126">
        <f t="shared" si="68"/>
        <v>14078</v>
      </c>
      <c r="AG157" s="126">
        <f t="shared" si="69"/>
        <v>14078</v>
      </c>
      <c r="AI157" s="151"/>
      <c r="AR157" s="151"/>
      <c r="AS157" s="151"/>
      <c r="AT157" s="151"/>
      <c r="AU157" s="126">
        <v>153</v>
      </c>
      <c r="AV157" s="126">
        <f t="shared" si="70"/>
        <v>14078</v>
      </c>
      <c r="AW157" s="126">
        <f t="shared" si="71"/>
        <v>14078</v>
      </c>
      <c r="AX157" s="126">
        <f t="shared" si="72"/>
        <v>14078</v>
      </c>
      <c r="AY157" s="126">
        <f t="shared" si="73"/>
        <v>14078</v>
      </c>
      <c r="AZ157" s="126">
        <f t="shared" si="74"/>
        <v>14078</v>
      </c>
      <c r="BB157" s="32"/>
    </row>
    <row r="158" spans="9:54" s="46" customFormat="1" x14ac:dyDescent="0.15">
      <c r="I158" s="126">
        <v>154</v>
      </c>
      <c r="J158" s="126">
        <f t="shared" si="75"/>
        <v>66</v>
      </c>
      <c r="K158" s="126">
        <f t="shared" si="76"/>
        <v>66</v>
      </c>
      <c r="L158" s="126">
        <f t="shared" si="77"/>
        <v>66</v>
      </c>
      <c r="M158" s="126">
        <f t="shared" si="78"/>
        <v>66</v>
      </c>
      <c r="N158" s="126">
        <f t="shared" si="79"/>
        <v>66</v>
      </c>
      <c r="P158" s="32"/>
      <c r="Y158" s="151"/>
      <c r="Z158" s="151"/>
      <c r="AA158" s="151"/>
      <c r="AB158" s="126">
        <v>154</v>
      </c>
      <c r="AC158" s="126">
        <f t="shared" si="65"/>
        <v>14144</v>
      </c>
      <c r="AD158" s="126">
        <f t="shared" si="66"/>
        <v>14144</v>
      </c>
      <c r="AE158" s="126">
        <f t="shared" si="67"/>
        <v>14144</v>
      </c>
      <c r="AF158" s="126">
        <f t="shared" si="68"/>
        <v>14144</v>
      </c>
      <c r="AG158" s="126">
        <f t="shared" si="69"/>
        <v>14144</v>
      </c>
      <c r="AI158" s="151"/>
      <c r="AR158" s="151"/>
      <c r="AS158" s="151"/>
      <c r="AT158" s="151"/>
      <c r="AU158" s="126">
        <v>154</v>
      </c>
      <c r="AV158" s="126">
        <f t="shared" si="70"/>
        <v>14144</v>
      </c>
      <c r="AW158" s="126">
        <f t="shared" si="71"/>
        <v>14144</v>
      </c>
      <c r="AX158" s="126">
        <f t="shared" si="72"/>
        <v>14144</v>
      </c>
      <c r="AY158" s="126">
        <f t="shared" si="73"/>
        <v>14144</v>
      </c>
      <c r="AZ158" s="126">
        <f t="shared" si="74"/>
        <v>14144</v>
      </c>
      <c r="BB158" s="32"/>
    </row>
    <row r="159" spans="9:54" s="46" customFormat="1" x14ac:dyDescent="0.15">
      <c r="I159" s="126">
        <v>155</v>
      </c>
      <c r="J159" s="126">
        <f t="shared" si="75"/>
        <v>66</v>
      </c>
      <c r="K159" s="126">
        <f t="shared" si="76"/>
        <v>66</v>
      </c>
      <c r="L159" s="126">
        <f t="shared" si="77"/>
        <v>66</v>
      </c>
      <c r="M159" s="126">
        <f t="shared" si="78"/>
        <v>66</v>
      </c>
      <c r="N159" s="126">
        <f t="shared" si="79"/>
        <v>66</v>
      </c>
      <c r="P159" s="32"/>
      <c r="Y159" s="151"/>
      <c r="Z159" s="151"/>
      <c r="AA159" s="151"/>
      <c r="AB159" s="126">
        <v>155</v>
      </c>
      <c r="AC159" s="126">
        <f t="shared" si="65"/>
        <v>14210</v>
      </c>
      <c r="AD159" s="126">
        <f t="shared" si="66"/>
        <v>14210</v>
      </c>
      <c r="AE159" s="126">
        <f t="shared" si="67"/>
        <v>14210</v>
      </c>
      <c r="AF159" s="126">
        <f t="shared" si="68"/>
        <v>14210</v>
      </c>
      <c r="AG159" s="126">
        <f t="shared" si="69"/>
        <v>14210</v>
      </c>
      <c r="AI159" s="151"/>
      <c r="AR159" s="151"/>
      <c r="AS159" s="151"/>
      <c r="AT159" s="151"/>
      <c r="AU159" s="126">
        <v>155</v>
      </c>
      <c r="AV159" s="126">
        <f t="shared" si="70"/>
        <v>14210</v>
      </c>
      <c r="AW159" s="126">
        <f t="shared" si="71"/>
        <v>14210</v>
      </c>
      <c r="AX159" s="126">
        <f t="shared" si="72"/>
        <v>14210</v>
      </c>
      <c r="AY159" s="126">
        <f t="shared" si="73"/>
        <v>14210</v>
      </c>
      <c r="AZ159" s="126">
        <f t="shared" si="74"/>
        <v>14210</v>
      </c>
      <c r="BB159" s="32"/>
    </row>
    <row r="160" spans="9:54" s="46" customFormat="1" x14ac:dyDescent="0.15">
      <c r="I160" s="126">
        <v>156</v>
      </c>
      <c r="J160" s="126">
        <f t="shared" si="75"/>
        <v>66</v>
      </c>
      <c r="K160" s="126">
        <f t="shared" si="76"/>
        <v>66</v>
      </c>
      <c r="L160" s="126">
        <f t="shared" si="77"/>
        <v>66</v>
      </c>
      <c r="M160" s="126">
        <f t="shared" si="78"/>
        <v>66</v>
      </c>
      <c r="N160" s="126">
        <f t="shared" si="79"/>
        <v>66</v>
      </c>
      <c r="P160" s="32"/>
      <c r="Y160" s="151"/>
      <c r="Z160" s="151"/>
      <c r="AA160" s="151"/>
      <c r="AB160" s="126">
        <v>156</v>
      </c>
      <c r="AC160" s="126">
        <f t="shared" si="65"/>
        <v>14276</v>
      </c>
      <c r="AD160" s="126">
        <f t="shared" si="66"/>
        <v>14276</v>
      </c>
      <c r="AE160" s="126">
        <f t="shared" si="67"/>
        <v>14276</v>
      </c>
      <c r="AF160" s="126">
        <f t="shared" si="68"/>
        <v>14276</v>
      </c>
      <c r="AG160" s="126">
        <f t="shared" si="69"/>
        <v>14276</v>
      </c>
      <c r="AI160" s="151"/>
      <c r="AR160" s="151"/>
      <c r="AS160" s="151"/>
      <c r="AT160" s="151"/>
      <c r="AU160" s="126">
        <v>156</v>
      </c>
      <c r="AV160" s="126">
        <f t="shared" si="70"/>
        <v>14276</v>
      </c>
      <c r="AW160" s="126">
        <f t="shared" si="71"/>
        <v>14276</v>
      </c>
      <c r="AX160" s="126">
        <f t="shared" si="72"/>
        <v>14276</v>
      </c>
      <c r="AY160" s="126">
        <f t="shared" si="73"/>
        <v>14276</v>
      </c>
      <c r="AZ160" s="126">
        <f t="shared" si="74"/>
        <v>14276</v>
      </c>
      <c r="BB160" s="32"/>
    </row>
    <row r="161" spans="9:54" s="46" customFormat="1" x14ac:dyDescent="0.15">
      <c r="I161" s="126">
        <v>157</v>
      </c>
      <c r="J161" s="126">
        <f t="shared" si="75"/>
        <v>66</v>
      </c>
      <c r="K161" s="126">
        <f t="shared" si="76"/>
        <v>66</v>
      </c>
      <c r="L161" s="126">
        <f t="shared" si="77"/>
        <v>66</v>
      </c>
      <c r="M161" s="126">
        <f t="shared" si="78"/>
        <v>66</v>
      </c>
      <c r="N161" s="126">
        <f t="shared" si="79"/>
        <v>66</v>
      </c>
      <c r="P161" s="32"/>
      <c r="Y161" s="151"/>
      <c r="Z161" s="151"/>
      <c r="AA161" s="151"/>
      <c r="AB161" s="126">
        <v>157</v>
      </c>
      <c r="AC161" s="126">
        <f t="shared" si="65"/>
        <v>14342</v>
      </c>
      <c r="AD161" s="126">
        <f t="shared" si="66"/>
        <v>14342</v>
      </c>
      <c r="AE161" s="126">
        <f t="shared" si="67"/>
        <v>14342</v>
      </c>
      <c r="AF161" s="126">
        <f t="shared" si="68"/>
        <v>14342</v>
      </c>
      <c r="AG161" s="126">
        <f t="shared" si="69"/>
        <v>14342</v>
      </c>
      <c r="AI161" s="151"/>
      <c r="AR161" s="151"/>
      <c r="AS161" s="151"/>
      <c r="AT161" s="151"/>
      <c r="AU161" s="126">
        <v>157</v>
      </c>
      <c r="AV161" s="126">
        <f t="shared" si="70"/>
        <v>14342</v>
      </c>
      <c r="AW161" s="126">
        <f t="shared" si="71"/>
        <v>14342</v>
      </c>
      <c r="AX161" s="126">
        <f t="shared" si="72"/>
        <v>14342</v>
      </c>
      <c r="AY161" s="126">
        <f t="shared" si="73"/>
        <v>14342</v>
      </c>
      <c r="AZ161" s="126">
        <f t="shared" si="74"/>
        <v>14342</v>
      </c>
      <c r="BB161" s="32"/>
    </row>
    <row r="162" spans="9:54" s="46" customFormat="1" x14ac:dyDescent="0.15">
      <c r="I162" s="126">
        <v>158</v>
      </c>
      <c r="J162" s="126">
        <f t="shared" si="75"/>
        <v>66</v>
      </c>
      <c r="K162" s="126">
        <f t="shared" si="76"/>
        <v>66</v>
      </c>
      <c r="L162" s="126">
        <f t="shared" si="77"/>
        <v>66</v>
      </c>
      <c r="M162" s="126">
        <f t="shared" si="78"/>
        <v>66</v>
      </c>
      <c r="N162" s="126">
        <f t="shared" si="79"/>
        <v>66</v>
      </c>
      <c r="P162" s="32"/>
      <c r="Y162" s="151"/>
      <c r="Z162" s="151"/>
      <c r="AA162" s="151"/>
      <c r="AB162" s="126">
        <v>158</v>
      </c>
      <c r="AC162" s="126">
        <f t="shared" si="65"/>
        <v>14408</v>
      </c>
      <c r="AD162" s="126">
        <f t="shared" si="66"/>
        <v>14408</v>
      </c>
      <c r="AE162" s="126">
        <f t="shared" si="67"/>
        <v>14408</v>
      </c>
      <c r="AF162" s="126">
        <f t="shared" si="68"/>
        <v>14408</v>
      </c>
      <c r="AG162" s="126">
        <f t="shared" si="69"/>
        <v>14408</v>
      </c>
      <c r="AI162" s="151"/>
      <c r="AR162" s="151"/>
      <c r="AS162" s="151"/>
      <c r="AT162" s="151"/>
      <c r="AU162" s="126">
        <v>158</v>
      </c>
      <c r="AV162" s="126">
        <f t="shared" si="70"/>
        <v>14408</v>
      </c>
      <c r="AW162" s="126">
        <f t="shared" si="71"/>
        <v>14408</v>
      </c>
      <c r="AX162" s="126">
        <f t="shared" si="72"/>
        <v>14408</v>
      </c>
      <c r="AY162" s="126">
        <f t="shared" si="73"/>
        <v>14408</v>
      </c>
      <c r="AZ162" s="126">
        <f t="shared" si="74"/>
        <v>14408</v>
      </c>
      <c r="BB162" s="32"/>
    </row>
    <row r="163" spans="9:54" s="46" customFormat="1" x14ac:dyDescent="0.15">
      <c r="I163" s="126">
        <v>159</v>
      </c>
      <c r="J163" s="126">
        <f t="shared" si="75"/>
        <v>66</v>
      </c>
      <c r="K163" s="126">
        <f t="shared" si="76"/>
        <v>66</v>
      </c>
      <c r="L163" s="126">
        <f t="shared" si="77"/>
        <v>66</v>
      </c>
      <c r="M163" s="126">
        <f t="shared" si="78"/>
        <v>66</v>
      </c>
      <c r="N163" s="126">
        <f t="shared" si="79"/>
        <v>66</v>
      </c>
      <c r="P163" s="32"/>
      <c r="Y163" s="151"/>
      <c r="Z163" s="151"/>
      <c r="AA163" s="151"/>
      <c r="AB163" s="126">
        <v>159</v>
      </c>
      <c r="AC163" s="126">
        <f t="shared" si="65"/>
        <v>14474</v>
      </c>
      <c r="AD163" s="126">
        <f t="shared" si="66"/>
        <v>14474</v>
      </c>
      <c r="AE163" s="126">
        <f t="shared" si="67"/>
        <v>14474</v>
      </c>
      <c r="AF163" s="126">
        <f t="shared" si="68"/>
        <v>14474</v>
      </c>
      <c r="AG163" s="126">
        <f t="shared" si="69"/>
        <v>14474</v>
      </c>
      <c r="AI163" s="151"/>
      <c r="AR163" s="151"/>
      <c r="AS163" s="151"/>
      <c r="AT163" s="151"/>
      <c r="AU163" s="126">
        <v>159</v>
      </c>
      <c r="AV163" s="126">
        <f t="shared" si="70"/>
        <v>14474</v>
      </c>
      <c r="AW163" s="126">
        <f t="shared" si="71"/>
        <v>14474</v>
      </c>
      <c r="AX163" s="126">
        <f t="shared" si="72"/>
        <v>14474</v>
      </c>
      <c r="AY163" s="126">
        <f t="shared" si="73"/>
        <v>14474</v>
      </c>
      <c r="AZ163" s="126">
        <f t="shared" si="74"/>
        <v>14474</v>
      </c>
      <c r="BB163" s="32"/>
    </row>
    <row r="164" spans="9:54" s="46" customFormat="1" x14ac:dyDescent="0.15">
      <c r="I164" s="126">
        <v>160</v>
      </c>
      <c r="J164" s="126">
        <f>求节点($B$5:$B$20,C$5:C$20,$I164)</f>
        <v>66</v>
      </c>
      <c r="K164" s="126">
        <f>求节点($B$5:$B$20,D$5:D$20,$I164)</f>
        <v>66</v>
      </c>
      <c r="L164" s="126">
        <f>求节点($B$5:$B$20,E$5:E$20,$I164)</f>
        <v>66</v>
      </c>
      <c r="M164" s="126">
        <f>求节点($B$5:$B$20,F$5:F$20,$I164)</f>
        <v>66</v>
      </c>
      <c r="N164" s="126">
        <f>求节点($B$5:$B$20,G$5:G$20,$I164)</f>
        <v>66</v>
      </c>
      <c r="P164" s="32"/>
      <c r="Y164" s="151"/>
      <c r="Z164" s="151"/>
      <c r="AA164" s="151"/>
      <c r="AB164" s="126">
        <v>160</v>
      </c>
      <c r="AC164" s="126">
        <f t="shared" si="65"/>
        <v>14540</v>
      </c>
      <c r="AD164" s="126">
        <f t="shared" si="66"/>
        <v>14540</v>
      </c>
      <c r="AE164" s="126">
        <f t="shared" si="67"/>
        <v>14540</v>
      </c>
      <c r="AF164" s="126">
        <f t="shared" si="68"/>
        <v>14540</v>
      </c>
      <c r="AG164" s="126">
        <f t="shared" si="69"/>
        <v>14540</v>
      </c>
      <c r="AI164" s="151"/>
      <c r="AR164" s="151"/>
      <c r="AS164" s="151"/>
      <c r="AT164" s="151"/>
      <c r="AU164" s="126">
        <v>160</v>
      </c>
      <c r="AV164" s="126">
        <f t="shared" si="70"/>
        <v>14540</v>
      </c>
      <c r="AW164" s="126">
        <f t="shared" si="71"/>
        <v>14540</v>
      </c>
      <c r="AX164" s="126">
        <f t="shared" si="72"/>
        <v>14540</v>
      </c>
      <c r="AY164" s="126">
        <f t="shared" si="73"/>
        <v>14540</v>
      </c>
      <c r="AZ164" s="126">
        <f t="shared" si="74"/>
        <v>14540</v>
      </c>
      <c r="BB164" s="32"/>
    </row>
  </sheetData>
  <mergeCells count="6">
    <mergeCell ref="AU3:AZ3"/>
    <mergeCell ref="I3:N3"/>
    <mergeCell ref="AB3:AG3"/>
    <mergeCell ref="B3:G3"/>
    <mergeCell ref="R3:W3"/>
    <mergeCell ref="AK3:AP3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B3:V148"/>
  <sheetViews>
    <sheetView workbookViewId="0">
      <selection activeCell="H28" sqref="H28"/>
    </sheetView>
  </sheetViews>
  <sheetFormatPr defaultColWidth="6.625" defaultRowHeight="11.25" x14ac:dyDescent="0.15"/>
  <cols>
    <col min="1" max="5" width="6.625" style="41"/>
    <col min="6" max="7" width="7.125" style="41" bestFit="1" customWidth="1"/>
    <col min="8" max="13" width="6.625" style="41"/>
    <col min="14" max="14" width="6.625" style="72"/>
    <col min="15" max="15" width="6.625" style="46"/>
    <col min="16" max="21" width="6.625" style="25"/>
    <col min="22" max="16384" width="6.625" style="41"/>
  </cols>
  <sheetData>
    <row r="3" spans="2:22" x14ac:dyDescent="0.15">
      <c r="P3" s="41"/>
      <c r="Q3" s="41"/>
      <c r="R3" s="41"/>
      <c r="S3" s="41"/>
      <c r="T3" s="41"/>
      <c r="U3" s="41"/>
    </row>
    <row r="4" spans="2:22" x14ac:dyDescent="0.15">
      <c r="B4" s="87"/>
      <c r="C4" s="205" t="s">
        <v>391</v>
      </c>
      <c r="D4" s="205"/>
      <c r="E4" s="205"/>
      <c r="F4" s="205"/>
      <c r="G4" s="205"/>
      <c r="H4" s="206" t="s">
        <v>390</v>
      </c>
      <c r="I4" s="206"/>
      <c r="J4" s="206"/>
      <c r="K4" s="206"/>
      <c r="L4" s="206"/>
      <c r="O4" s="41">
        <v>1</v>
      </c>
      <c r="P4" s="85" t="s">
        <v>379</v>
      </c>
      <c r="Q4" s="184" t="s">
        <v>392</v>
      </c>
      <c r="R4" s="204"/>
      <c r="S4" s="204"/>
      <c r="T4" s="204"/>
      <c r="U4" s="185"/>
    </row>
    <row r="5" spans="2:22" x14ac:dyDescent="0.15">
      <c r="B5" s="88" t="s">
        <v>386</v>
      </c>
      <c r="C5" s="88" t="s">
        <v>387</v>
      </c>
      <c r="D5" s="88" t="s">
        <v>1</v>
      </c>
      <c r="E5" s="88" t="s">
        <v>388</v>
      </c>
      <c r="F5" s="88" t="s">
        <v>389</v>
      </c>
      <c r="G5" s="88" t="s">
        <v>5</v>
      </c>
      <c r="H5" s="88" t="s">
        <v>387</v>
      </c>
      <c r="I5" s="88" t="s">
        <v>1</v>
      </c>
      <c r="J5" s="88" t="s">
        <v>388</v>
      </c>
      <c r="K5" s="88" t="s">
        <v>389</v>
      </c>
      <c r="L5" s="88" t="s">
        <v>5</v>
      </c>
      <c r="O5" s="41">
        <v>2</v>
      </c>
      <c r="P5" s="85" t="s">
        <v>398</v>
      </c>
      <c r="Q5" s="85" t="s">
        <v>0</v>
      </c>
      <c r="R5" s="85" t="s">
        <v>1</v>
      </c>
      <c r="S5" s="85" t="s">
        <v>382</v>
      </c>
      <c r="T5" s="85" t="s">
        <v>383</v>
      </c>
      <c r="U5" s="85" t="s">
        <v>384</v>
      </c>
      <c r="V5" s="85" t="s">
        <v>385</v>
      </c>
    </row>
    <row r="6" spans="2:22" x14ac:dyDescent="0.15">
      <c r="B6" s="85">
        <v>10</v>
      </c>
      <c r="C6" s="88">
        <f>求节点('[1]功能-行军令'!$AO$5:$AO$21,'[1]功能-行军令'!AP$5:AP$21,$B6)</f>
        <v>1</v>
      </c>
      <c r="D6" s="132">
        <f>求节点('[1]功能-行军令'!$AO$5:$AO$21,'[1]功能-行军令'!AQ$5:AQ$21,$B6)</f>
        <v>1</v>
      </c>
      <c r="E6" s="132">
        <f>求节点('[1]功能-行军令'!$AO$5:$AO$21,'[1]功能-行军令'!AR$5:AR$21,$B6)</f>
        <v>0</v>
      </c>
      <c r="F6" s="132">
        <f>求节点('[1]功能-行军令'!$AO$5:$AO$21,'[1]功能-行军令'!AS$5:AS$21,$B6)</f>
        <v>0</v>
      </c>
      <c r="G6" s="132">
        <f>求节点('[1]功能-行军令'!$AO$5:$AO$21,'[1]功能-行军令'!AT$5:AT$21,$B6)</f>
        <v>0</v>
      </c>
      <c r="H6" s="88">
        <f>IFERROR('[1]功能-付费相关'!$H$6/C6,0)</f>
        <v>15</v>
      </c>
      <c r="I6" s="88">
        <f>IFERROR('[1]功能-付费相关'!$H$6/D6,0)</f>
        <v>15</v>
      </c>
      <c r="J6" s="88">
        <f>IFERROR('[1]功能-付费相关'!$H$6/E6,0)</f>
        <v>0</v>
      </c>
      <c r="K6" s="88">
        <f>IFERROR('[1]功能-付费相关'!$H$6/F6,0)</f>
        <v>0</v>
      </c>
      <c r="L6" s="88">
        <f>IFERROR('[1]功能-付费相关'!$H$6/G6,0)</f>
        <v>0</v>
      </c>
      <c r="O6" s="41">
        <v>3</v>
      </c>
      <c r="P6" s="85">
        <v>10</v>
      </c>
      <c r="Q6" s="85">
        <f>IF('[1]资源-装备'!M12="",0,'[1]资源-装备'!M12)</f>
        <v>12</v>
      </c>
      <c r="R6" s="86">
        <f>IF('[1]资源-装备'!N12="",0,'[1]资源-装备'!N12)</f>
        <v>6</v>
      </c>
      <c r="S6" s="86">
        <f>IF('[1]资源-装备'!O12="",0,'[1]资源-装备'!O12)</f>
        <v>0</v>
      </c>
      <c r="T6" s="86">
        <f>IF('[1]资源-装备'!P12="",0,'[1]资源-装备'!P12)</f>
        <v>0</v>
      </c>
      <c r="U6" s="86">
        <f>IF('[1]资源-装备'!Q12="",0,'[1]资源-装备'!Q12)</f>
        <v>0</v>
      </c>
      <c r="V6" s="89">
        <f>MAX(Q6*INDEX($H$6:$H$21,MATCH($P6,$B$6:$B$21,0),1),
R6*INDEX($I$6:$I$21,MATCH($P6,$B$6:$B$21,0),1),
S6*INDEX($J$6:$J$21,MATCH($P6,$B$6:$B$21,0),1),
T6*INDEX($K$6:$K$21,MATCH($P6,$B$6:$B$21,0),1),
U6*INDEX($L$6:$L$21,MATCH($P6,$B$6:$B$21,0),1))</f>
        <v>180</v>
      </c>
    </row>
    <row r="7" spans="2:22" x14ac:dyDescent="0.15">
      <c r="B7" s="85">
        <v>20</v>
      </c>
      <c r="C7" s="132">
        <f>求节点('[1]功能-行军令'!$AO$5:$AO$21,'[1]功能-行军令'!AP$5:AP$21,$B7)</f>
        <v>0.89749999999999996</v>
      </c>
      <c r="D7" s="132">
        <f>求节点('[1]功能-行军令'!$AO$5:$AO$21,'[1]功能-行军令'!AQ$5:AQ$21,$B7)</f>
        <v>0.58500000000000008</v>
      </c>
      <c r="E7" s="132">
        <f>求节点('[1]功能-行军令'!$AO$5:$AO$21,'[1]功能-行军令'!AR$5:AR$21,$B7)</f>
        <v>0.51749999999999996</v>
      </c>
      <c r="F7" s="132">
        <f>求节点('[1]功能-行军令'!$AO$5:$AO$21,'[1]功能-行军令'!AS$5:AS$21,$B7)</f>
        <v>0</v>
      </c>
      <c r="G7" s="132">
        <f>求节点('[1]功能-行军令'!$AO$5:$AO$21,'[1]功能-行军令'!AT$5:AT$21,$B7)</f>
        <v>0</v>
      </c>
      <c r="H7" s="88">
        <f>IFERROR('[1]功能-付费相关'!$H$6/C7,0)</f>
        <v>16.713091922005571</v>
      </c>
      <c r="I7" s="88">
        <f>IFERROR('[1]功能-付费相关'!$H$6/D7,0)</f>
        <v>25.641025641025639</v>
      </c>
      <c r="J7" s="88">
        <f>IFERROR('[1]功能-付费相关'!$H$6/E7,0)</f>
        <v>28.985507246376812</v>
      </c>
      <c r="K7" s="88">
        <f>IFERROR('[1]功能-付费相关'!$H$6/F7,0)</f>
        <v>0</v>
      </c>
      <c r="L7" s="88">
        <f>IFERROR('[1]功能-付费相关'!$H$6/G7,0)</f>
        <v>0</v>
      </c>
      <c r="O7" s="41">
        <v>4</v>
      </c>
      <c r="P7" s="85">
        <v>20</v>
      </c>
      <c r="Q7" s="131">
        <f>IF('[1]资源-装备'!M13="",0,'[1]资源-装备'!M13)</f>
        <v>0</v>
      </c>
      <c r="R7" s="131">
        <f>IF('[1]资源-装备'!N13="",0,'[1]资源-装备'!N13)</f>
        <v>28</v>
      </c>
      <c r="S7" s="131">
        <f>IF('[1]资源-装备'!O13="",0,'[1]资源-装备'!O13)</f>
        <v>5</v>
      </c>
      <c r="T7" s="131">
        <f>IF('[1]资源-装备'!P13="",0,'[1]资源-装备'!P13)</f>
        <v>0</v>
      </c>
      <c r="U7" s="131">
        <f>IF('[1]资源-装备'!Q13="",0,'[1]资源-装备'!Q13)</f>
        <v>0</v>
      </c>
      <c r="V7" s="85">
        <f t="shared" ref="V7:V14" si="0">MAX((Q7-Q6)*INDEX($H$6:$H$21,MATCH($P7,$B$6:$B$21,0),1),
(R7-R6)*INDEX($I$6:$I$21,MATCH($P7,$B$6:$B$21,0),1),
(S7-S6)*INDEX($J$6:$J$21,MATCH($P7,$B$6:$B$21,0),1),
(T7-T6)*INDEX($K$6:$K$21,MATCH($P7,$B$6:$B$21,0),1),
(U7-U6)*INDEX($L$6:$L$21,MATCH($P7,$B$6:$B$21,0),1))+V6</f>
        <v>744.10256410256409</v>
      </c>
    </row>
    <row r="8" spans="2:22" x14ac:dyDescent="0.15">
      <c r="B8" s="85">
        <v>30</v>
      </c>
      <c r="C8" s="132">
        <f>求节点('[1]功能-行军令'!$AO$5:$AO$21,'[1]功能-行军令'!AP$5:AP$21,$B8)</f>
        <v>0</v>
      </c>
      <c r="D8" s="132">
        <f>求节点('[1]功能-行军令'!$AO$5:$AO$21,'[1]功能-行军令'!AQ$5:AQ$21,$B8)</f>
        <v>1.43075</v>
      </c>
      <c r="E8" s="132">
        <f>求节点('[1]功能-行军令'!$AO$5:$AO$21,'[1]功能-行军令'!AR$5:AR$21,$B8)</f>
        <v>0.48925000000000002</v>
      </c>
      <c r="F8" s="132">
        <f>求节点('[1]功能-行军令'!$AO$5:$AO$21,'[1]功能-行军令'!AS$5:AS$21,$B8)</f>
        <v>0.08</v>
      </c>
      <c r="G8" s="132">
        <f>求节点('[1]功能-行军令'!$AO$5:$AO$21,'[1]功能-行军令'!AT$5:AT$21,$B8)</f>
        <v>0</v>
      </c>
      <c r="H8" s="88">
        <f>IFERROR('[1]功能-付费相关'!$H$6/C8,0)</f>
        <v>0</v>
      </c>
      <c r="I8" s="88">
        <f>IFERROR('[1]功能-付费相关'!$H$6/D8,0)</f>
        <v>10.484011881880132</v>
      </c>
      <c r="J8" s="88">
        <f>IFERROR('[1]功能-付费相关'!$H$6/E8,0)</f>
        <v>30.659172202350536</v>
      </c>
      <c r="K8" s="88">
        <f>IFERROR('[1]功能-付费相关'!$H$6/F8,0)</f>
        <v>187.5</v>
      </c>
      <c r="L8" s="88">
        <f>IFERROR('[1]功能-付费相关'!$H$6/G8,0)</f>
        <v>0</v>
      </c>
      <c r="O8" s="41">
        <v>5</v>
      </c>
      <c r="P8" s="85">
        <v>30</v>
      </c>
      <c r="Q8" s="131">
        <f>IF('[1]资源-装备'!M14="",0,'[1]资源-装备'!M14)</f>
        <v>0</v>
      </c>
      <c r="R8" s="131">
        <f>IF('[1]资源-装备'!N14="",0,'[1]资源-装备'!N14)</f>
        <v>3</v>
      </c>
      <c r="S8" s="131">
        <f>IF('[1]资源-装备'!O14="",0,'[1]资源-装备'!O14)</f>
        <v>36</v>
      </c>
      <c r="T8" s="131">
        <f>IF('[1]资源-装备'!P14="",0,'[1]资源-装备'!P14)</f>
        <v>2</v>
      </c>
      <c r="U8" s="131">
        <f>IF('[1]资源-装备'!Q14="",0,'[1]资源-装备'!Q14)</f>
        <v>0</v>
      </c>
      <c r="V8" s="85">
        <f t="shared" si="0"/>
        <v>1694.5369023754306</v>
      </c>
    </row>
    <row r="9" spans="2:22" x14ac:dyDescent="0.15">
      <c r="B9" s="85">
        <v>40</v>
      </c>
      <c r="C9" s="132">
        <f>求节点('[1]功能-行军令'!$AO$5:$AO$21,'[1]功能-行军令'!AP$5:AP$21,$B9)</f>
        <v>0</v>
      </c>
      <c r="D9" s="132">
        <f>求节点('[1]功能-行军令'!$AO$5:$AO$21,'[1]功能-行军令'!AQ$5:AQ$21,$B9)</f>
        <v>1.4162299999999999</v>
      </c>
      <c r="E9" s="132">
        <f>求节点('[1]功能-行军令'!$AO$5:$AO$21,'[1]功能-行军令'!AR$5:AR$21,$B9)</f>
        <v>0.32925000000000004</v>
      </c>
      <c r="F9" s="132">
        <f>求节点('[1]功能-行军令'!$AO$5:$AO$21,'[1]功能-行军令'!AS$5:AS$21,$B9)</f>
        <v>0.25452000000000002</v>
      </c>
      <c r="G9" s="132">
        <f>求节点('[1]功能-行军令'!$AO$5:$AO$21,'[1]功能-行军令'!AT$5:AT$21,$B9)</f>
        <v>0</v>
      </c>
      <c r="H9" s="88">
        <f>IFERROR('[1]功能-付费相关'!$H$6/C9,0)</f>
        <v>0</v>
      </c>
      <c r="I9" s="88">
        <f>IFERROR('[1]功能-付费相关'!$H$6/D9,0)</f>
        <v>10.5914999682255</v>
      </c>
      <c r="J9" s="88">
        <f>IFERROR('[1]功能-付费相关'!$H$6/E9,0)</f>
        <v>45.558086560364458</v>
      </c>
      <c r="K9" s="88">
        <f>IFERROR('[1]功能-付费相关'!$H$6/F9,0)</f>
        <v>58.934464875058929</v>
      </c>
      <c r="L9" s="88">
        <f>IFERROR('[1]功能-付费相关'!$H$6/G9,0)</f>
        <v>0</v>
      </c>
      <c r="O9" s="41">
        <v>6</v>
      </c>
      <c r="P9" s="85">
        <v>40</v>
      </c>
      <c r="Q9" s="131">
        <f>IF('[1]资源-装备'!M15="",0,'[1]资源-装备'!M15)</f>
        <v>0</v>
      </c>
      <c r="R9" s="131">
        <f>IF('[1]资源-装备'!N15="",0,'[1]资源-装备'!N15)</f>
        <v>3</v>
      </c>
      <c r="S9" s="131">
        <f>IF('[1]资源-装备'!O15="",0,'[1]资源-装备'!O15)</f>
        <v>10</v>
      </c>
      <c r="T9" s="131">
        <f>IF('[1]资源-装备'!P15="",0,'[1]资源-装备'!P15)</f>
        <v>32.5</v>
      </c>
      <c r="U9" s="131">
        <f>IF('[1]资源-装备'!Q15="",0,'[1]资源-装备'!Q15)</f>
        <v>0</v>
      </c>
      <c r="V9" s="85">
        <f t="shared" si="0"/>
        <v>3492.038081064728</v>
      </c>
    </row>
    <row r="10" spans="2:22" x14ac:dyDescent="0.15">
      <c r="B10" s="85">
        <v>50</v>
      </c>
      <c r="C10" s="132">
        <f>求节点('[1]功能-行军令'!$AO$5:$AO$21,'[1]功能-行军令'!AP$5:AP$21,$B10)</f>
        <v>0</v>
      </c>
      <c r="D10" s="132">
        <f>求节点('[1]功能-行军令'!$AO$5:$AO$21,'[1]功能-行军令'!AQ$5:AQ$21,$B10)</f>
        <v>0.46871666666666667</v>
      </c>
      <c r="E10" s="132">
        <f>求节点('[1]功能-行军令'!$AO$5:$AO$21,'[1]功能-行军令'!AR$5:AR$21,$B10)</f>
        <v>1.2666833333333334</v>
      </c>
      <c r="F10" s="132">
        <f>求节点('[1]功能-行军令'!$AO$5:$AO$21,'[1]功能-行军令'!AS$5:AS$21,$B10)</f>
        <v>0.24326666666666666</v>
      </c>
      <c r="G10" s="132">
        <f>求节点('[1]功能-行军令'!$AO$5:$AO$21,'[1]功能-行军令'!AT$5:AT$21,$B10)</f>
        <v>2.1333333333333336E-2</v>
      </c>
      <c r="H10" s="88">
        <f>IFERROR('[1]功能-付费相关'!$H$6/C10,0)</f>
        <v>0</v>
      </c>
      <c r="I10" s="88">
        <f>IFERROR('[1]功能-付费相关'!$H$6/D10,0)</f>
        <v>32.00227571738435</v>
      </c>
      <c r="J10" s="88">
        <f>IFERROR('[1]功能-付费相关'!$H$6/E10,0)</f>
        <v>11.841949448033578</v>
      </c>
      <c r="K10" s="88">
        <f>IFERROR('[1]功能-付费相关'!$H$6/F10,0)</f>
        <v>61.660728966840232</v>
      </c>
      <c r="L10" s="88">
        <f>IFERROR('[1]功能-付费相关'!$H$6/G10,0)</f>
        <v>703.12499999999989</v>
      </c>
      <c r="O10" s="41">
        <v>7</v>
      </c>
      <c r="P10" s="85">
        <v>50</v>
      </c>
      <c r="Q10" s="131">
        <f>IF('[1]资源-装备'!M16="",0,'[1]资源-装备'!M16)</f>
        <v>0</v>
      </c>
      <c r="R10" s="131">
        <f>IF('[1]资源-装备'!N16="",0,'[1]资源-装备'!N16)</f>
        <v>0</v>
      </c>
      <c r="S10" s="131">
        <f>IF('[1]资源-装备'!O16="",0,'[1]资源-装备'!O16)</f>
        <v>10</v>
      </c>
      <c r="T10" s="131">
        <f>IF('[1]资源-装备'!P16="",0,'[1]资源-装备'!P16)</f>
        <v>47</v>
      </c>
      <c r="U10" s="131">
        <f>IF('[1]资源-装备'!Q16="",0,'[1]资源-装备'!Q16)</f>
        <v>2</v>
      </c>
      <c r="V10" s="85">
        <f t="shared" si="0"/>
        <v>4898.2880810647275</v>
      </c>
    </row>
    <row r="11" spans="2:22" x14ac:dyDescent="0.15">
      <c r="B11" s="85">
        <v>60</v>
      </c>
      <c r="C11" s="132">
        <f>求节点('[1]功能-行军令'!$AO$5:$AO$21,'[1]功能-行军令'!AP$5:AP$21,$B11)</f>
        <v>0</v>
      </c>
      <c r="D11" s="132">
        <f>求节点('[1]功能-行军令'!$AO$5:$AO$21,'[1]功能-行军令'!AQ$5:AQ$21,$B11)</f>
        <v>0</v>
      </c>
      <c r="E11" s="132">
        <f>求节点('[1]功能-行军令'!$AO$5:$AO$21,'[1]功能-行军令'!AR$5:AR$21,$B11)</f>
        <v>1.7335199999999999</v>
      </c>
      <c r="F11" s="132">
        <f>求节点('[1]功能-行军令'!$AO$5:$AO$21,'[1]功能-行军令'!AS$5:AS$21,$B11)</f>
        <v>0.2326</v>
      </c>
      <c r="G11" s="132">
        <f>求节点('[1]功能-行军令'!$AO$5:$AO$21,'[1]功能-行军令'!AT$5:AT$21,$B11)</f>
        <v>3.3880000000000007E-2</v>
      </c>
      <c r="H11" s="88">
        <f>IFERROR('[1]功能-付费相关'!$H$6/C11,0)</f>
        <v>0</v>
      </c>
      <c r="I11" s="88">
        <f>IFERROR('[1]功能-付费相关'!$H$6/D11,0)</f>
        <v>0</v>
      </c>
      <c r="J11" s="88">
        <f>IFERROR('[1]功能-付费相关'!$H$6/E11,0)</f>
        <v>8.6529143015367573</v>
      </c>
      <c r="K11" s="88">
        <f>IFERROR('[1]功能-付费相关'!$H$6/F11,0)</f>
        <v>64.488392089423897</v>
      </c>
      <c r="L11" s="88">
        <f>IFERROR('[1]功能-付费相关'!$H$6/G11,0)</f>
        <v>442.73907910271538</v>
      </c>
      <c r="O11" s="41">
        <v>8</v>
      </c>
      <c r="P11" s="85">
        <v>60</v>
      </c>
      <c r="Q11" s="131">
        <f>IF('[1]资源-装备'!M17="",0,'[1]资源-装备'!M17)</f>
        <v>0</v>
      </c>
      <c r="R11" s="131">
        <f>IF('[1]资源-装备'!N17="",0,'[1]资源-装备'!N17)</f>
        <v>0</v>
      </c>
      <c r="S11" s="131">
        <f>IF('[1]资源-装备'!O17="",0,'[1]资源-装备'!O17)</f>
        <v>0</v>
      </c>
      <c r="T11" s="131">
        <f>IF('[1]资源-装备'!P17="",0,'[1]资源-装备'!P17)</f>
        <v>61.5</v>
      </c>
      <c r="U11" s="131">
        <f>IF('[1]资源-装备'!Q17="",0,'[1]资源-装备'!Q17)</f>
        <v>16</v>
      </c>
      <c r="V11" s="85">
        <f t="shared" si="0"/>
        <v>11096.635188502743</v>
      </c>
    </row>
    <row r="12" spans="2:22" x14ac:dyDescent="0.15">
      <c r="B12" s="85">
        <v>70</v>
      </c>
      <c r="C12" s="132">
        <f>求节点('[1]功能-行军令'!$AO$5:$AO$21,'[1]功能-行军令'!AP$5:AP$21,$B12)</f>
        <v>0</v>
      </c>
      <c r="D12" s="132">
        <f>求节点('[1]功能-行军令'!$AO$5:$AO$21,'[1]功能-行军令'!AQ$5:AQ$21,$B12)</f>
        <v>0</v>
      </c>
      <c r="E12" s="132">
        <f>求节点('[1]功能-行军令'!$AO$5:$AO$21,'[1]功能-行军令'!AR$5:AR$21,$B12)</f>
        <v>1.7321200000000001</v>
      </c>
      <c r="F12" s="132">
        <f>求节点('[1]功能-行军令'!$AO$5:$AO$21,'[1]功能-行军令'!AS$5:AS$21,$B12)</f>
        <v>0.2326</v>
      </c>
      <c r="G12" s="132">
        <f>求节点('[1]功能-行军令'!$AO$5:$AO$21,'[1]功能-行军令'!AT$5:AT$21,$B12)</f>
        <v>3.5280000000000006E-2</v>
      </c>
      <c r="H12" s="88">
        <f>IFERROR('[1]功能-付费相关'!$H$6/C12,0)</f>
        <v>0</v>
      </c>
      <c r="I12" s="88">
        <f>IFERROR('[1]功能-付费相关'!$H$6/D12,0)</f>
        <v>0</v>
      </c>
      <c r="J12" s="88">
        <f>IFERROR('[1]功能-付费相关'!$H$6/E12,0)</f>
        <v>8.659908089508809</v>
      </c>
      <c r="K12" s="88">
        <f>IFERROR('[1]功能-付费相关'!$H$6/F12,0)</f>
        <v>64.488392089423897</v>
      </c>
      <c r="L12" s="88">
        <f>IFERROR('[1]功能-付费相关'!$H$6/G12,0)</f>
        <v>425.17006802721079</v>
      </c>
      <c r="O12" s="41">
        <v>9</v>
      </c>
      <c r="P12" s="85">
        <v>70</v>
      </c>
      <c r="Q12" s="131">
        <f>IF('[1]资源-装备'!M18="",0,'[1]资源-装备'!M18)</f>
        <v>0</v>
      </c>
      <c r="R12" s="131">
        <f>IF('[1]资源-装备'!N18="",0,'[1]资源-装备'!N18)</f>
        <v>0</v>
      </c>
      <c r="S12" s="131">
        <f>IF('[1]资源-装备'!O18="",0,'[1]资源-装备'!O18)</f>
        <v>0</v>
      </c>
      <c r="T12" s="131">
        <f>IF('[1]资源-装备'!P18="",0,'[1]资源-装备'!P18)</f>
        <v>39</v>
      </c>
      <c r="U12" s="131">
        <f>IF('[1]资源-装备'!Q18="",0,'[1]资源-装备'!Q18)</f>
        <v>52</v>
      </c>
      <c r="V12" s="85">
        <f t="shared" si="0"/>
        <v>26402.757637482333</v>
      </c>
    </row>
    <row r="13" spans="2:22" x14ac:dyDescent="0.15">
      <c r="B13" s="85">
        <v>80</v>
      </c>
      <c r="C13" s="132">
        <f>求节点('[1]功能-行军令'!$AO$5:$AO$21,'[1]功能-行军令'!AP$5:AP$21,$B13)</f>
        <v>0</v>
      </c>
      <c r="D13" s="132">
        <f>求节点('[1]功能-行军令'!$AO$5:$AO$21,'[1]功能-行军令'!AQ$5:AQ$21,$B13)</f>
        <v>0</v>
      </c>
      <c r="E13" s="132">
        <f>求节点('[1]功能-行军令'!$AO$5:$AO$21,'[1]功能-行军令'!AR$5:AR$21,$B13)</f>
        <v>1.7321200000000001</v>
      </c>
      <c r="F13" s="132">
        <f>求节点('[1]功能-行军令'!$AO$5:$AO$21,'[1]功能-行军令'!AS$5:AS$21,$B13)</f>
        <v>0.2326</v>
      </c>
      <c r="G13" s="132">
        <f>求节点('[1]功能-行军令'!$AO$5:$AO$21,'[1]功能-行军令'!AT$5:AT$21,$B13)</f>
        <v>3.5280000000000006E-2</v>
      </c>
      <c r="H13" s="88">
        <f>IFERROR('[1]功能-付费相关'!$H$6/C13,0)</f>
        <v>0</v>
      </c>
      <c r="I13" s="88">
        <f>IFERROR('[1]功能-付费相关'!$H$6/D13,0)</f>
        <v>0</v>
      </c>
      <c r="J13" s="88">
        <f>IFERROR('[1]功能-付费相关'!$H$6/E13,0)</f>
        <v>8.659908089508809</v>
      </c>
      <c r="K13" s="88">
        <f>IFERROR('[1]功能-付费相关'!$H$6/F13,0)</f>
        <v>64.488392089423897</v>
      </c>
      <c r="L13" s="88">
        <f>IFERROR('[1]功能-付费相关'!$H$6/G13,0)</f>
        <v>425.17006802721079</v>
      </c>
      <c r="O13" s="41">
        <v>10</v>
      </c>
      <c r="P13" s="85">
        <v>80</v>
      </c>
      <c r="Q13" s="131">
        <f>IF('[1]资源-装备'!M19="",0,'[1]资源-装备'!M19)</f>
        <v>0</v>
      </c>
      <c r="R13" s="131">
        <f>IF('[1]资源-装备'!N19="",0,'[1]资源-装备'!N19)</f>
        <v>0</v>
      </c>
      <c r="S13" s="131">
        <f>IF('[1]资源-装备'!O19="",0,'[1]资源-装备'!O19)</f>
        <v>0</v>
      </c>
      <c r="T13" s="131">
        <f>IF('[1]资源-装备'!P19="",0,'[1]资源-装备'!P19)</f>
        <v>0</v>
      </c>
      <c r="U13" s="131">
        <f>IF('[1]资源-装备'!Q19="",0,'[1]资源-装备'!Q19)</f>
        <v>78</v>
      </c>
      <c r="V13" s="85">
        <f t="shared" si="0"/>
        <v>37457.179406189811</v>
      </c>
    </row>
    <row r="14" spans="2:22" x14ac:dyDescent="0.15">
      <c r="B14" s="85">
        <v>90</v>
      </c>
      <c r="C14" s="132">
        <f>求节点('[1]功能-行军令'!$AO$5:$AO$21,'[1]功能-行军令'!AP$5:AP$21,$B14)</f>
        <v>0</v>
      </c>
      <c r="D14" s="132">
        <f>求节点('[1]功能-行军令'!$AO$5:$AO$21,'[1]功能-行军令'!AQ$5:AQ$21,$B14)</f>
        <v>0</v>
      </c>
      <c r="E14" s="132">
        <f>求节点('[1]功能-行军令'!$AO$5:$AO$21,'[1]功能-行军令'!AR$5:AR$21,$B14)</f>
        <v>1.7321200000000001</v>
      </c>
      <c r="F14" s="132">
        <f>求节点('[1]功能-行军令'!$AO$5:$AO$21,'[1]功能-行军令'!AS$5:AS$21,$B14)</f>
        <v>0.2326</v>
      </c>
      <c r="G14" s="132">
        <f>求节点('[1]功能-行军令'!$AO$5:$AO$21,'[1]功能-行军令'!AT$5:AT$21,$B14)</f>
        <v>3.5280000000000006E-2</v>
      </c>
      <c r="H14" s="88">
        <f>IFERROR('[1]功能-付费相关'!$H$6/C14,0)</f>
        <v>0</v>
      </c>
      <c r="I14" s="88">
        <f>IFERROR('[1]功能-付费相关'!$H$6/D14,0)</f>
        <v>0</v>
      </c>
      <c r="J14" s="88">
        <f>IFERROR('[1]功能-付费相关'!$H$6/E14,0)</f>
        <v>8.659908089508809</v>
      </c>
      <c r="K14" s="88">
        <f>IFERROR('[1]功能-付费相关'!$H$6/F14,0)</f>
        <v>64.488392089423897</v>
      </c>
      <c r="L14" s="88">
        <f>IFERROR('[1]功能-付费相关'!$H$6/G14,0)</f>
        <v>425.17006802721079</v>
      </c>
      <c r="O14" s="41">
        <v>11</v>
      </c>
      <c r="P14" s="85">
        <v>90</v>
      </c>
      <c r="Q14" s="131">
        <f>IF('[1]资源-装备'!M20="",0,'[1]资源-装备'!M20)</f>
        <v>0</v>
      </c>
      <c r="R14" s="131">
        <f>IF('[1]资源-装备'!N20="",0,'[1]资源-装备'!N20)</f>
        <v>0</v>
      </c>
      <c r="S14" s="131">
        <f>IF('[1]资源-装备'!O20="",0,'[1]资源-装备'!O20)</f>
        <v>0</v>
      </c>
      <c r="T14" s="131">
        <f>IF('[1]资源-装备'!P20="",0,'[1]资源-装备'!P20)</f>
        <v>0</v>
      </c>
      <c r="U14" s="131">
        <f>IF('[1]资源-装备'!Q20="",0,'[1]资源-装备'!Q20)</f>
        <v>98</v>
      </c>
      <c r="V14" s="85">
        <f t="shared" si="0"/>
        <v>45960.580766734027</v>
      </c>
    </row>
    <row r="15" spans="2:22" x14ac:dyDescent="0.15">
      <c r="B15" s="126">
        <v>100</v>
      </c>
      <c r="C15" s="132">
        <f>求节点('[1]功能-行军令'!$AO$5:$AO$21,'[1]功能-行军令'!AP$5:AP$21,$B15)</f>
        <v>0</v>
      </c>
      <c r="D15" s="132">
        <f>求节点('[1]功能-行军令'!$AO$5:$AO$21,'[1]功能-行军令'!AQ$5:AQ$21,$B15)</f>
        <v>0</v>
      </c>
      <c r="E15" s="132">
        <f>求节点('[1]功能-行军令'!$AO$5:$AO$21,'[1]功能-行军令'!AR$5:AR$21,$B15)</f>
        <v>1.7321200000000001</v>
      </c>
      <c r="F15" s="132">
        <f>求节点('[1]功能-行军令'!$AO$5:$AO$21,'[1]功能-行军令'!AS$5:AS$21,$B15)</f>
        <v>0.2326</v>
      </c>
      <c r="G15" s="132">
        <f>求节点('[1]功能-行军令'!$AO$5:$AO$21,'[1]功能-行军令'!AT$5:AT$21,$B15)</f>
        <v>3.5280000000000006E-2</v>
      </c>
      <c r="H15" s="130">
        <f>IFERROR('[1]功能-付费相关'!$H$6/C15,0)</f>
        <v>0</v>
      </c>
      <c r="I15" s="130">
        <f>IFERROR('[1]功能-付费相关'!$H$6/D15,0)</f>
        <v>0</v>
      </c>
      <c r="J15" s="130">
        <f>IFERROR('[1]功能-付费相关'!$H$6/E15,0)</f>
        <v>8.659908089508809</v>
      </c>
      <c r="K15" s="130">
        <f>IFERROR('[1]功能-付费相关'!$H$6/F15,0)</f>
        <v>64.488392089423897</v>
      </c>
      <c r="L15" s="130">
        <f>IFERROR('[1]功能-付费相关'!$H$6/G15,0)</f>
        <v>425.17006802721079</v>
      </c>
      <c r="O15" s="41">
        <v>12</v>
      </c>
      <c r="P15" s="126">
        <v>100</v>
      </c>
      <c r="Q15" s="131">
        <f>IF('[1]资源-装备'!M21="",0,'[1]资源-装备'!M21)</f>
        <v>0</v>
      </c>
      <c r="R15" s="131">
        <f>IF('[1]资源-装备'!N21="",0,'[1]资源-装备'!N21)</f>
        <v>0</v>
      </c>
      <c r="S15" s="131">
        <f>IF('[1]资源-装备'!O21="",0,'[1]资源-装备'!O21)</f>
        <v>0</v>
      </c>
      <c r="T15" s="131">
        <f>IF('[1]资源-装备'!P21="",0,'[1]资源-装备'!P21)</f>
        <v>0</v>
      </c>
      <c r="U15" s="131">
        <f>IF('[1]资源-装备'!Q21="",0,'[1]资源-装备'!Q21)</f>
        <v>118</v>
      </c>
      <c r="V15" s="126">
        <f t="shared" ref="V15:V21" si="1">MAX((Q15-Q14)*INDEX($H$6:$H$21,MATCH($P15,$B$6:$B$21,0),1),
(R15-R14)*INDEX($I$6:$I$21,MATCH($P15,$B$6:$B$21,0),1),
(S15-S14)*INDEX($J$6:$J$21,MATCH($P15,$B$6:$B$21,0),1),
(T15-T14)*INDEX($K$6:$K$21,MATCH($P15,$B$6:$B$21,0),1),
(U15-U14)*INDEX($L$6:$L$21,MATCH($P15,$B$6:$B$21,0),1))+V14</f>
        <v>54463.982127278243</v>
      </c>
    </row>
    <row r="16" spans="2:22" x14ac:dyDescent="0.15">
      <c r="B16" s="126">
        <v>110</v>
      </c>
      <c r="C16" s="132">
        <f>求节点('[1]功能-行军令'!$AO$5:$AO$21,'[1]功能-行军令'!AP$5:AP$21,$B16)</f>
        <v>0</v>
      </c>
      <c r="D16" s="132">
        <f>求节点('[1]功能-行军令'!$AO$5:$AO$21,'[1]功能-行军令'!AQ$5:AQ$21,$B16)</f>
        <v>0</v>
      </c>
      <c r="E16" s="132">
        <f>求节点('[1]功能-行军令'!$AO$5:$AO$21,'[1]功能-行军令'!AR$5:AR$21,$B16)</f>
        <v>1.7321200000000001</v>
      </c>
      <c r="F16" s="132">
        <f>求节点('[1]功能-行军令'!$AO$5:$AO$21,'[1]功能-行军令'!AS$5:AS$21,$B16)</f>
        <v>0.2326</v>
      </c>
      <c r="G16" s="132">
        <f>求节点('[1]功能-行军令'!$AO$5:$AO$21,'[1]功能-行军令'!AT$5:AT$21,$B16)</f>
        <v>3.5280000000000006E-2</v>
      </c>
      <c r="H16" s="130">
        <f>IFERROR('[1]功能-付费相关'!$H$6/C16,0)</f>
        <v>0</v>
      </c>
      <c r="I16" s="130">
        <f>IFERROR('[1]功能-付费相关'!$H$6/D16,0)</f>
        <v>0</v>
      </c>
      <c r="J16" s="130">
        <f>IFERROR('[1]功能-付费相关'!$H$6/E16,0)</f>
        <v>8.659908089508809</v>
      </c>
      <c r="K16" s="130">
        <f>IFERROR('[1]功能-付费相关'!$H$6/F16,0)</f>
        <v>64.488392089423897</v>
      </c>
      <c r="L16" s="130">
        <f>IFERROR('[1]功能-付费相关'!$H$6/G16,0)</f>
        <v>425.17006802721079</v>
      </c>
      <c r="O16" s="41">
        <v>13</v>
      </c>
      <c r="P16" s="126">
        <v>110</v>
      </c>
      <c r="Q16" s="131">
        <f>IF('[1]资源-装备'!M22="",0,'[1]资源-装备'!M22)</f>
        <v>0</v>
      </c>
      <c r="R16" s="131">
        <f>IF('[1]资源-装备'!N22="",0,'[1]资源-装备'!N22)</f>
        <v>0</v>
      </c>
      <c r="S16" s="131">
        <f>IF('[1]资源-装备'!O22="",0,'[1]资源-装备'!O22)</f>
        <v>0</v>
      </c>
      <c r="T16" s="131">
        <f>IF('[1]资源-装备'!P22="",0,'[1]资源-装备'!P22)</f>
        <v>0</v>
      </c>
      <c r="U16" s="131">
        <f>IF('[1]资源-装备'!Q22="",0,'[1]资源-装备'!Q22)</f>
        <v>138</v>
      </c>
      <c r="V16" s="126">
        <f t="shared" si="1"/>
        <v>62967.383487822459</v>
      </c>
    </row>
    <row r="17" spans="2:22" x14ac:dyDescent="0.15">
      <c r="B17" s="126">
        <v>120</v>
      </c>
      <c r="C17" s="132">
        <f>求节点('[1]功能-行军令'!$AO$5:$AO$21,'[1]功能-行军令'!AP$5:AP$21,$B17)</f>
        <v>0</v>
      </c>
      <c r="D17" s="132">
        <f>求节点('[1]功能-行军令'!$AO$5:$AO$21,'[1]功能-行军令'!AQ$5:AQ$21,$B17)</f>
        <v>0</v>
      </c>
      <c r="E17" s="132">
        <f>求节点('[1]功能-行军令'!$AO$5:$AO$21,'[1]功能-行军令'!AR$5:AR$21,$B17)</f>
        <v>1.7321200000000001</v>
      </c>
      <c r="F17" s="132">
        <f>求节点('[1]功能-行军令'!$AO$5:$AO$21,'[1]功能-行军令'!AS$5:AS$21,$B17)</f>
        <v>0.2326</v>
      </c>
      <c r="G17" s="132">
        <f>求节点('[1]功能-行军令'!$AO$5:$AO$21,'[1]功能-行军令'!AT$5:AT$21,$B17)</f>
        <v>3.5280000000000006E-2</v>
      </c>
      <c r="H17" s="130">
        <f>IFERROR('[1]功能-付费相关'!$H$6/C17,0)</f>
        <v>0</v>
      </c>
      <c r="I17" s="130">
        <f>IFERROR('[1]功能-付费相关'!$H$6/D17,0)</f>
        <v>0</v>
      </c>
      <c r="J17" s="130">
        <f>IFERROR('[1]功能-付费相关'!$H$6/E17,0)</f>
        <v>8.659908089508809</v>
      </c>
      <c r="K17" s="130">
        <f>IFERROR('[1]功能-付费相关'!$H$6/F17,0)</f>
        <v>64.488392089423897</v>
      </c>
      <c r="L17" s="130">
        <f>IFERROR('[1]功能-付费相关'!$H$6/G17,0)</f>
        <v>425.17006802721079</v>
      </c>
      <c r="O17" s="41">
        <v>14</v>
      </c>
      <c r="P17" s="126">
        <v>120</v>
      </c>
      <c r="Q17" s="131">
        <f>IF('[1]资源-装备'!M23="",0,'[1]资源-装备'!M23)</f>
        <v>0</v>
      </c>
      <c r="R17" s="131">
        <f>IF('[1]资源-装备'!N23="",0,'[1]资源-装备'!N23)</f>
        <v>0</v>
      </c>
      <c r="S17" s="131">
        <f>IF('[1]资源-装备'!O23="",0,'[1]资源-装备'!O23)</f>
        <v>0</v>
      </c>
      <c r="T17" s="131">
        <f>IF('[1]资源-装备'!P23="",0,'[1]资源-装备'!P23)</f>
        <v>0</v>
      </c>
      <c r="U17" s="131">
        <f>IF('[1]资源-装备'!Q23="",0,'[1]资源-装备'!Q23)</f>
        <v>158</v>
      </c>
      <c r="V17" s="126">
        <f t="shared" si="1"/>
        <v>71470.784848366675</v>
      </c>
    </row>
    <row r="18" spans="2:22" x14ac:dyDescent="0.15">
      <c r="B18" s="126">
        <v>130</v>
      </c>
      <c r="C18" s="132">
        <f>求节点('[1]功能-行军令'!$AO$5:$AO$21,'[1]功能-行军令'!AP$5:AP$21,$B18)</f>
        <v>0</v>
      </c>
      <c r="D18" s="132">
        <f>求节点('[1]功能-行军令'!$AO$5:$AO$21,'[1]功能-行军令'!AQ$5:AQ$21,$B18)</f>
        <v>0</v>
      </c>
      <c r="E18" s="132">
        <f>求节点('[1]功能-行军令'!$AO$5:$AO$21,'[1]功能-行军令'!AR$5:AR$21,$B18)</f>
        <v>1.7321200000000001</v>
      </c>
      <c r="F18" s="132">
        <f>求节点('[1]功能-行军令'!$AO$5:$AO$21,'[1]功能-行军令'!AS$5:AS$21,$B18)</f>
        <v>0.2326</v>
      </c>
      <c r="G18" s="132">
        <f>求节点('[1]功能-行军令'!$AO$5:$AO$21,'[1]功能-行军令'!AT$5:AT$21,$B18)</f>
        <v>3.5280000000000006E-2</v>
      </c>
      <c r="H18" s="130">
        <f>IFERROR('[1]功能-付费相关'!$H$6/C18,0)</f>
        <v>0</v>
      </c>
      <c r="I18" s="130">
        <f>IFERROR('[1]功能-付费相关'!$H$6/D18,0)</f>
        <v>0</v>
      </c>
      <c r="J18" s="130">
        <f>IFERROR('[1]功能-付费相关'!$H$6/E18,0)</f>
        <v>8.659908089508809</v>
      </c>
      <c r="K18" s="130">
        <f>IFERROR('[1]功能-付费相关'!$H$6/F18,0)</f>
        <v>64.488392089423897</v>
      </c>
      <c r="L18" s="130">
        <f>IFERROR('[1]功能-付费相关'!$H$6/G18,0)</f>
        <v>425.17006802721079</v>
      </c>
      <c r="O18" s="41">
        <v>15</v>
      </c>
      <c r="P18" s="126">
        <v>130</v>
      </c>
      <c r="Q18" s="131">
        <f>IF('[1]资源-装备'!M24="",0,'[1]资源-装备'!M24)</f>
        <v>0</v>
      </c>
      <c r="R18" s="131">
        <f>IF('[1]资源-装备'!N24="",0,'[1]资源-装备'!N24)</f>
        <v>0</v>
      </c>
      <c r="S18" s="131">
        <f>IF('[1]资源-装备'!O24="",0,'[1]资源-装备'!O24)</f>
        <v>0</v>
      </c>
      <c r="T18" s="131">
        <f>IF('[1]资源-装备'!P24="",0,'[1]资源-装备'!P24)</f>
        <v>0</v>
      </c>
      <c r="U18" s="131">
        <f>IF('[1]资源-装备'!Q24="",0,'[1]资源-装备'!Q24)</f>
        <v>178</v>
      </c>
      <c r="V18" s="126">
        <f t="shared" si="1"/>
        <v>79974.186208910891</v>
      </c>
    </row>
    <row r="19" spans="2:22" x14ac:dyDescent="0.15">
      <c r="B19" s="126">
        <v>140</v>
      </c>
      <c r="C19" s="132">
        <f>求节点('[1]功能-行军令'!$AO$5:$AO$21,'[1]功能-行军令'!AP$5:AP$21,$B19)</f>
        <v>0</v>
      </c>
      <c r="D19" s="132">
        <f>求节点('[1]功能-行军令'!$AO$5:$AO$21,'[1]功能-行军令'!AQ$5:AQ$21,$B19)</f>
        <v>0</v>
      </c>
      <c r="E19" s="132">
        <f>求节点('[1]功能-行军令'!$AO$5:$AO$21,'[1]功能-行军令'!AR$5:AR$21,$B19)</f>
        <v>1.7321200000000001</v>
      </c>
      <c r="F19" s="132">
        <f>求节点('[1]功能-行军令'!$AO$5:$AO$21,'[1]功能-行军令'!AS$5:AS$21,$B19)</f>
        <v>0.2326</v>
      </c>
      <c r="G19" s="132">
        <f>求节点('[1]功能-行军令'!$AO$5:$AO$21,'[1]功能-行军令'!AT$5:AT$21,$B19)</f>
        <v>3.5280000000000006E-2</v>
      </c>
      <c r="H19" s="130">
        <f>IFERROR('[1]功能-付费相关'!$H$6/C19,0)</f>
        <v>0</v>
      </c>
      <c r="I19" s="130">
        <f>IFERROR('[1]功能-付费相关'!$H$6/D19,0)</f>
        <v>0</v>
      </c>
      <c r="J19" s="130">
        <f>IFERROR('[1]功能-付费相关'!$H$6/E19,0)</f>
        <v>8.659908089508809</v>
      </c>
      <c r="K19" s="130">
        <f>IFERROR('[1]功能-付费相关'!$H$6/F19,0)</f>
        <v>64.488392089423897</v>
      </c>
      <c r="L19" s="130">
        <f>IFERROR('[1]功能-付费相关'!$H$6/G19,0)</f>
        <v>425.17006802721079</v>
      </c>
      <c r="O19" s="41">
        <v>16</v>
      </c>
      <c r="P19" s="126">
        <v>140</v>
      </c>
      <c r="Q19" s="131">
        <f>IF('[1]资源-装备'!M25="",0,'[1]资源-装备'!M25)</f>
        <v>0</v>
      </c>
      <c r="R19" s="131">
        <f>IF('[1]资源-装备'!N25="",0,'[1]资源-装备'!N25)</f>
        <v>0</v>
      </c>
      <c r="S19" s="131">
        <f>IF('[1]资源-装备'!O25="",0,'[1]资源-装备'!O25)</f>
        <v>0</v>
      </c>
      <c r="T19" s="131">
        <f>IF('[1]资源-装备'!P25="",0,'[1]资源-装备'!P25)</f>
        <v>0</v>
      </c>
      <c r="U19" s="131">
        <f>IF('[1]资源-装备'!Q25="",0,'[1]资源-装备'!Q25)</f>
        <v>198</v>
      </c>
      <c r="V19" s="126">
        <f t="shared" si="1"/>
        <v>88477.587569455107</v>
      </c>
    </row>
    <row r="20" spans="2:22" x14ac:dyDescent="0.15">
      <c r="B20" s="126">
        <v>150</v>
      </c>
      <c r="C20" s="132">
        <f>求节点('[1]功能-行军令'!$AO$5:$AO$21,'[1]功能-行军令'!AP$5:AP$21,$B20)</f>
        <v>0</v>
      </c>
      <c r="D20" s="132">
        <f>求节点('[1]功能-行军令'!$AO$5:$AO$21,'[1]功能-行军令'!AQ$5:AQ$21,$B20)</f>
        <v>0</v>
      </c>
      <c r="E20" s="132">
        <f>求节点('[1]功能-行军令'!$AO$5:$AO$21,'[1]功能-行军令'!AR$5:AR$21,$B20)</f>
        <v>1.7321200000000001</v>
      </c>
      <c r="F20" s="132">
        <f>求节点('[1]功能-行军令'!$AO$5:$AO$21,'[1]功能-行军令'!AS$5:AS$21,$B20)</f>
        <v>0.2326</v>
      </c>
      <c r="G20" s="132">
        <f>求节点('[1]功能-行军令'!$AO$5:$AO$21,'[1]功能-行军令'!AT$5:AT$21,$B20)</f>
        <v>3.5280000000000006E-2</v>
      </c>
      <c r="H20" s="130">
        <f>IFERROR('[1]功能-付费相关'!$H$6/C20,0)</f>
        <v>0</v>
      </c>
      <c r="I20" s="130">
        <f>IFERROR('[1]功能-付费相关'!$H$6/D20,0)</f>
        <v>0</v>
      </c>
      <c r="J20" s="130">
        <f>IFERROR('[1]功能-付费相关'!$H$6/E20,0)</f>
        <v>8.659908089508809</v>
      </c>
      <c r="K20" s="130">
        <f>IFERROR('[1]功能-付费相关'!$H$6/F20,0)</f>
        <v>64.488392089423897</v>
      </c>
      <c r="L20" s="130">
        <f>IFERROR('[1]功能-付费相关'!$H$6/G20,0)</f>
        <v>425.17006802721079</v>
      </c>
      <c r="O20" s="41">
        <v>17</v>
      </c>
      <c r="P20" s="126">
        <v>150</v>
      </c>
      <c r="Q20" s="131">
        <f>IF('[1]资源-装备'!M26="",0,'[1]资源-装备'!M26)</f>
        <v>0</v>
      </c>
      <c r="R20" s="131">
        <f>IF('[1]资源-装备'!N26="",0,'[1]资源-装备'!N26)</f>
        <v>0</v>
      </c>
      <c r="S20" s="131">
        <f>IF('[1]资源-装备'!O26="",0,'[1]资源-装备'!O26)</f>
        <v>0</v>
      </c>
      <c r="T20" s="131">
        <f>IF('[1]资源-装备'!P26="",0,'[1]资源-装备'!P26)</f>
        <v>0</v>
      </c>
      <c r="U20" s="131">
        <f>IF('[1]资源-装备'!Q26="",0,'[1]资源-装备'!Q26)</f>
        <v>218</v>
      </c>
      <c r="V20" s="126">
        <f t="shared" si="1"/>
        <v>96980.988929999323</v>
      </c>
    </row>
    <row r="21" spans="2:22" x14ac:dyDescent="0.15">
      <c r="B21" s="126">
        <v>160</v>
      </c>
      <c r="C21" s="132">
        <f>求节点('[1]功能-行军令'!$AO$5:$AO$21,'[1]功能-行军令'!AP$5:AP$21,$B21)</f>
        <v>0</v>
      </c>
      <c r="D21" s="132">
        <f>求节点('[1]功能-行军令'!$AO$5:$AO$21,'[1]功能-行军令'!AQ$5:AQ$21,$B21)</f>
        <v>0</v>
      </c>
      <c r="E21" s="132">
        <f>求节点('[1]功能-行军令'!$AO$5:$AO$21,'[1]功能-行军令'!AR$5:AR$21,$B21)</f>
        <v>1.7321200000000001</v>
      </c>
      <c r="F21" s="132">
        <f>求节点('[1]功能-行军令'!$AO$5:$AO$21,'[1]功能-行军令'!AS$5:AS$21,$B21)</f>
        <v>0.2326</v>
      </c>
      <c r="G21" s="132">
        <f>求节点('[1]功能-行军令'!$AO$5:$AO$21,'[1]功能-行军令'!AT$5:AT$21,$B21)</f>
        <v>3.5280000000000006E-2</v>
      </c>
      <c r="H21" s="130">
        <f>IFERROR('[1]功能-付费相关'!$H$6/C21,0)</f>
        <v>0</v>
      </c>
      <c r="I21" s="130">
        <f>IFERROR('[1]功能-付费相关'!$H$6/D21,0)</f>
        <v>0</v>
      </c>
      <c r="J21" s="130">
        <f>IFERROR('[1]功能-付费相关'!$H$6/E21,0)</f>
        <v>8.659908089508809</v>
      </c>
      <c r="K21" s="130">
        <f>IFERROR('[1]功能-付费相关'!$H$6/F21,0)</f>
        <v>64.488392089423897</v>
      </c>
      <c r="L21" s="130">
        <f>IFERROR('[1]功能-付费相关'!$H$6/G21,0)</f>
        <v>425.17006802721079</v>
      </c>
      <c r="O21" s="41">
        <v>18</v>
      </c>
      <c r="P21" s="126">
        <v>160</v>
      </c>
      <c r="Q21" s="131">
        <f>IF('[1]资源-装备'!M27="",0,'[1]资源-装备'!M27)</f>
        <v>0</v>
      </c>
      <c r="R21" s="131">
        <f>IF('[1]资源-装备'!N27="",0,'[1]资源-装备'!N27)</f>
        <v>0</v>
      </c>
      <c r="S21" s="131">
        <f>IF('[1]资源-装备'!O27="",0,'[1]资源-装备'!O27)</f>
        <v>0</v>
      </c>
      <c r="T21" s="131">
        <f>IF('[1]资源-装备'!P27="",0,'[1]资源-装备'!P27)</f>
        <v>0</v>
      </c>
      <c r="U21" s="131">
        <f>IF('[1]资源-装备'!Q27="",0,'[1]资源-装备'!Q27)</f>
        <v>238</v>
      </c>
      <c r="V21" s="126">
        <f t="shared" si="1"/>
        <v>105484.39029054354</v>
      </c>
    </row>
    <row r="22" spans="2:22" x14ac:dyDescent="0.15">
      <c r="O22" s="41">
        <v>19</v>
      </c>
      <c r="P22" s="85"/>
      <c r="Q22" s="85"/>
      <c r="R22" s="85"/>
      <c r="S22" s="85"/>
      <c r="T22" s="85"/>
      <c r="U22" s="85"/>
      <c r="V22" s="85"/>
    </row>
    <row r="23" spans="2:22" x14ac:dyDescent="0.15">
      <c r="O23" s="41">
        <v>20</v>
      </c>
      <c r="P23" s="85"/>
      <c r="Q23" s="85"/>
      <c r="R23" s="85"/>
      <c r="S23" s="85"/>
      <c r="T23" s="85"/>
      <c r="U23" s="85"/>
      <c r="V23" s="85"/>
    </row>
    <row r="24" spans="2:22" x14ac:dyDescent="0.15">
      <c r="O24" s="41">
        <v>21</v>
      </c>
      <c r="P24" s="85"/>
      <c r="Q24" s="85"/>
      <c r="R24" s="85"/>
      <c r="S24" s="85"/>
      <c r="T24" s="85"/>
      <c r="U24" s="85"/>
      <c r="V24" s="85"/>
    </row>
    <row r="25" spans="2:22" x14ac:dyDescent="0.15">
      <c r="O25" s="41">
        <v>22</v>
      </c>
    </row>
    <row r="26" spans="2:22" x14ac:dyDescent="0.15">
      <c r="M26" s="95"/>
      <c r="O26" s="41">
        <v>23</v>
      </c>
    </row>
    <row r="27" spans="2:22" x14ac:dyDescent="0.15">
      <c r="M27" s="95"/>
      <c r="O27" s="41">
        <v>24</v>
      </c>
    </row>
    <row r="28" spans="2:22" x14ac:dyDescent="0.15">
      <c r="M28" s="95"/>
      <c r="O28" s="41">
        <v>25</v>
      </c>
    </row>
    <row r="29" spans="2:22" x14ac:dyDescent="0.15">
      <c r="M29" s="95"/>
      <c r="O29" s="41">
        <v>26</v>
      </c>
    </row>
    <row r="30" spans="2:22" x14ac:dyDescent="0.15">
      <c r="M30" s="95"/>
      <c r="O30" s="41">
        <v>27</v>
      </c>
    </row>
    <row r="31" spans="2:22" x14ac:dyDescent="0.15">
      <c r="M31" s="95"/>
      <c r="O31" s="41">
        <v>28</v>
      </c>
    </row>
    <row r="32" spans="2:22" x14ac:dyDescent="0.15">
      <c r="M32" s="95"/>
      <c r="O32" s="41">
        <v>29</v>
      </c>
      <c r="P32" s="41"/>
      <c r="Q32" s="41"/>
      <c r="R32" s="41"/>
      <c r="S32" s="41"/>
      <c r="T32" s="41"/>
      <c r="U32" s="41"/>
    </row>
    <row r="33" spans="13:22" x14ac:dyDescent="0.15">
      <c r="M33" s="95"/>
      <c r="O33" s="41">
        <v>1</v>
      </c>
      <c r="P33" s="85" t="s">
        <v>205</v>
      </c>
      <c r="Q33" s="184" t="s">
        <v>392</v>
      </c>
      <c r="R33" s="204"/>
      <c r="S33" s="204"/>
      <c r="T33" s="204"/>
      <c r="U33" s="185"/>
    </row>
    <row r="34" spans="13:22" x14ac:dyDescent="0.15">
      <c r="M34" s="95"/>
      <c r="O34" s="41">
        <v>2</v>
      </c>
      <c r="P34" s="85" t="s">
        <v>398</v>
      </c>
      <c r="Q34" s="85" t="s">
        <v>0</v>
      </c>
      <c r="R34" s="85" t="s">
        <v>1</v>
      </c>
      <c r="S34" s="85" t="s">
        <v>382</v>
      </c>
      <c r="T34" s="85" t="s">
        <v>383</v>
      </c>
      <c r="U34" s="85" t="s">
        <v>384</v>
      </c>
      <c r="V34" s="85" t="s">
        <v>385</v>
      </c>
    </row>
    <row r="35" spans="13:22" x14ac:dyDescent="0.15">
      <c r="M35" s="95"/>
      <c r="O35" s="41">
        <v>3</v>
      </c>
      <c r="P35" s="85">
        <v>10</v>
      </c>
      <c r="Q35" s="86">
        <f>IF('[1]资源-装备'!M41="",0,'[1]资源-装备'!M41)</f>
        <v>0</v>
      </c>
      <c r="R35" s="86">
        <f>IF('[1]资源-装备'!N41="",0,'[1]资源-装备'!N41)</f>
        <v>0</v>
      </c>
      <c r="S35" s="86">
        <f>IF('[1]资源-装备'!O41="",0,'[1]资源-装备'!O41)</f>
        <v>-5</v>
      </c>
      <c r="T35" s="86">
        <f>IF('[1]资源-装备'!P41="",0,'[1]资源-装备'!P41)</f>
        <v>-5.5</v>
      </c>
      <c r="U35" s="86">
        <f>IF('[1]资源-装备'!Q41="",0,'[1]资源-装备'!Q41)</f>
        <v>-10</v>
      </c>
      <c r="V35" s="89">
        <f>MAX(Q35*INDEX($H$6:$H$21,MATCH($P35,$B$6:$B$21,0),1),
R35*INDEX($I$6:$I$21,MATCH($P35,$B$6:$B$21,0),1),
S35*INDEX($J$6:$J$21,MATCH($P35,$B$6:$B$21,0),1),
T35*INDEX($K$6:$K$21,MATCH($P35,$B$6:$B$21,0),1),
U35*INDEX($L$6:$L$21,MATCH($P35,$B$6:$B$21,0),1))</f>
        <v>0</v>
      </c>
    </row>
    <row r="36" spans="13:22" x14ac:dyDescent="0.15">
      <c r="M36" s="95"/>
      <c r="O36" s="41">
        <v>4</v>
      </c>
      <c r="P36" s="85">
        <v>20</v>
      </c>
      <c r="Q36" s="131">
        <f>IF('[1]资源-装备'!M42="",0,'[1]资源-装备'!M42)</f>
        <v>-1</v>
      </c>
      <c r="R36" s="131">
        <f>IF('[1]资源-装备'!N42="",0,'[1]资源-装备'!N42)</f>
        <v>-2</v>
      </c>
      <c r="S36" s="131">
        <f>IF('[1]资源-装备'!O42="",0,'[1]资源-装备'!O42)</f>
        <v>0</v>
      </c>
      <c r="T36" s="131">
        <f>IF('[1]资源-装备'!P42="",0,'[1]资源-装备'!P42)</f>
        <v>-5.5</v>
      </c>
      <c r="U36" s="131">
        <f>IF('[1]资源-装备'!Q42="",0,'[1]资源-装备'!Q42)</f>
        <v>-10</v>
      </c>
      <c r="V36" s="85">
        <f t="shared" ref="V36:V43" si="2">MAX((Q36-Q35)*INDEX($H$6:$H$21,MATCH($P36,$B$6:$B$21,0),1),
(R36-R35)*INDEX($I$6:$I$21,MATCH($P36,$B$6:$B$21,0),1),
(S36-S35)*INDEX($J$6:$J$21,MATCH($P36,$B$6:$B$21,0),1),
(T36-T35)*INDEX($K$6:$K$21,MATCH($P36,$B$6:$B$21,0),1),
(U36-U35)*INDEX($L$6:$L$21,MATCH($P36,$B$6:$B$21,0),1))+V35</f>
        <v>144.92753623188406</v>
      </c>
    </row>
    <row r="37" spans="13:22" x14ac:dyDescent="0.15">
      <c r="M37" s="95"/>
      <c r="O37" s="41">
        <v>5</v>
      </c>
      <c r="P37" s="85">
        <v>30</v>
      </c>
      <c r="Q37" s="131">
        <f>IF('[1]资源-装备'!M43="",0,'[1]资源-装备'!M43)</f>
        <v>-1</v>
      </c>
      <c r="R37" s="131">
        <f>IF('[1]资源-装备'!N43="",0,'[1]资源-装备'!N43)</f>
        <v>-3</v>
      </c>
      <c r="S37" s="131">
        <f>IF('[1]资源-装备'!O43="",0,'[1]资源-装备'!O43)</f>
        <v>-4</v>
      </c>
      <c r="T37" s="131">
        <f>IF('[1]资源-装备'!P43="",0,'[1]资源-装备'!P43)</f>
        <v>-3.5</v>
      </c>
      <c r="U37" s="131">
        <f>IF('[1]资源-装备'!Q43="",0,'[1]资源-装备'!Q43)</f>
        <v>-10</v>
      </c>
      <c r="V37" s="85">
        <f t="shared" si="2"/>
        <v>519.92753623188401</v>
      </c>
    </row>
    <row r="38" spans="13:22" x14ac:dyDescent="0.15">
      <c r="M38" s="95"/>
      <c r="O38" s="41">
        <v>6</v>
      </c>
      <c r="P38" s="85">
        <v>40</v>
      </c>
      <c r="Q38" s="131">
        <f>IF('[1]资源-装备'!M44="",0,'[1]资源-装备'!M44)</f>
        <v>-1</v>
      </c>
      <c r="R38" s="131">
        <f>IF('[1]资源-装备'!N44="",0,'[1]资源-装备'!N44)</f>
        <v>-3</v>
      </c>
      <c r="S38" s="131">
        <f>IF('[1]资源-装备'!O44="",0,'[1]资源-装备'!O44)</f>
        <v>-5</v>
      </c>
      <c r="T38" s="131">
        <f>IF('[1]资源-装备'!P44="",0,'[1]资源-装备'!P44)</f>
        <v>-0.5</v>
      </c>
      <c r="U38" s="131">
        <f>IF('[1]资源-装备'!Q44="",0,'[1]资源-装备'!Q44)</f>
        <v>-10</v>
      </c>
      <c r="V38" s="85">
        <f t="shared" si="2"/>
        <v>696.7309308570608</v>
      </c>
    </row>
    <row r="39" spans="13:22" x14ac:dyDescent="0.15">
      <c r="M39" s="95"/>
      <c r="O39" s="41">
        <v>7</v>
      </c>
      <c r="P39" s="85">
        <v>50</v>
      </c>
      <c r="Q39" s="131">
        <f>IF('[1]资源-装备'!M45="",0,'[1]资源-装备'!M45)</f>
        <v>-1</v>
      </c>
      <c r="R39" s="131">
        <f>IF('[1]资源-装备'!N45="",0,'[1]资源-装备'!N45)</f>
        <v>-3</v>
      </c>
      <c r="S39" s="131">
        <f>IF('[1]资源-装备'!O45="",0,'[1]资源-装备'!O45)</f>
        <v>-5</v>
      </c>
      <c r="T39" s="131">
        <f>IF('[1]资源-装备'!P45="",0,'[1]资源-装备'!P45)</f>
        <v>-2.5</v>
      </c>
      <c r="U39" s="131">
        <f>IF('[1]资源-装备'!Q45="",0,'[1]资源-装备'!Q45)</f>
        <v>-8</v>
      </c>
      <c r="V39" s="85">
        <f t="shared" si="2"/>
        <v>2102.9809308570607</v>
      </c>
    </row>
    <row r="40" spans="13:22" x14ac:dyDescent="0.15">
      <c r="M40" s="95"/>
      <c r="O40" s="41">
        <v>8</v>
      </c>
      <c r="P40" s="85">
        <v>60</v>
      </c>
      <c r="Q40" s="131">
        <f>IF('[1]资源-装备'!M46="",0,'[1]资源-装备'!M46)</f>
        <v>-1</v>
      </c>
      <c r="R40" s="131">
        <f>IF('[1]资源-装备'!N46="",0,'[1]资源-装备'!N46)</f>
        <v>-3</v>
      </c>
      <c r="S40" s="131">
        <f>IF('[1]资源-装备'!O46="",0,'[1]资源-装备'!O46)</f>
        <v>-5</v>
      </c>
      <c r="T40" s="131">
        <f>IF('[1]资源-装备'!P46="",0,'[1]资源-装备'!P46)</f>
        <v>-4.5</v>
      </c>
      <c r="U40" s="131">
        <f>IF('[1]资源-装备'!Q46="",0,'[1]资源-装备'!Q46)</f>
        <v>-4</v>
      </c>
      <c r="V40" s="85">
        <f t="shared" si="2"/>
        <v>3873.9372472679224</v>
      </c>
    </row>
    <row r="41" spans="13:22" x14ac:dyDescent="0.15">
      <c r="O41" s="41">
        <v>9</v>
      </c>
      <c r="P41" s="85">
        <v>70</v>
      </c>
      <c r="Q41" s="131">
        <f>IF('[1]资源-装备'!M47="",0,'[1]资源-装备'!M47)</f>
        <v>-1</v>
      </c>
      <c r="R41" s="131">
        <f>IF('[1]资源-装备'!N47="",0,'[1]资源-装备'!N47)</f>
        <v>-3</v>
      </c>
      <c r="S41" s="131">
        <f>IF('[1]资源-装备'!O47="",0,'[1]资源-装备'!O47)</f>
        <v>-5</v>
      </c>
      <c r="T41" s="131">
        <f>IF('[1]资源-装备'!P47="",0,'[1]资源-装备'!P47)</f>
        <v>-5</v>
      </c>
      <c r="U41" s="131">
        <f>IF('[1]资源-装备'!Q47="",0,'[1]资源-装备'!Q47)</f>
        <v>-8</v>
      </c>
      <c r="V41" s="85">
        <f t="shared" si="2"/>
        <v>3873.9372472679224</v>
      </c>
    </row>
    <row r="42" spans="13:22" x14ac:dyDescent="0.15">
      <c r="O42" s="41">
        <v>10</v>
      </c>
      <c r="P42" s="85">
        <v>80</v>
      </c>
      <c r="Q42" s="131">
        <f>IF('[1]资源-装备'!M48="",0,'[1]资源-装备'!M48)</f>
        <v>-1</v>
      </c>
      <c r="R42" s="131">
        <f>IF('[1]资源-装备'!N48="",0,'[1]资源-装备'!N48)</f>
        <v>-3</v>
      </c>
      <c r="S42" s="131">
        <f>IF('[1]资源-装备'!O48="",0,'[1]资源-装备'!O48)</f>
        <v>-5</v>
      </c>
      <c r="T42" s="131">
        <f>IF('[1]资源-装备'!P48="",0,'[1]资源-装备'!P48)</f>
        <v>-5.5</v>
      </c>
      <c r="U42" s="131">
        <f>IF('[1]资源-装备'!Q48="",0,'[1]资源-装备'!Q48)</f>
        <v>-2</v>
      </c>
      <c r="V42" s="85">
        <f t="shared" si="2"/>
        <v>6424.957655431187</v>
      </c>
    </row>
    <row r="43" spans="13:22" x14ac:dyDescent="0.15">
      <c r="O43" s="41">
        <v>11</v>
      </c>
      <c r="P43" s="85">
        <v>90</v>
      </c>
      <c r="Q43" s="131">
        <f>IF('[1]资源-装备'!M49="",0,'[1]资源-装备'!M49)</f>
        <v>-1</v>
      </c>
      <c r="R43" s="131">
        <f>IF('[1]资源-装备'!N49="",0,'[1]资源-装备'!N49)</f>
        <v>-3</v>
      </c>
      <c r="S43" s="131">
        <f>IF('[1]资源-装备'!O49="",0,'[1]资源-装备'!O49)</f>
        <v>-5</v>
      </c>
      <c r="T43" s="131">
        <f>IF('[1]资源-装备'!P49="",0,'[1]资源-装备'!P49)</f>
        <v>-5.5</v>
      </c>
      <c r="U43" s="131">
        <f>IF('[1]资源-装备'!Q49="",0,'[1]资源-装备'!Q49)</f>
        <v>-2</v>
      </c>
      <c r="V43" s="85">
        <f t="shared" si="2"/>
        <v>6424.957655431187</v>
      </c>
    </row>
    <row r="44" spans="13:22" x14ac:dyDescent="0.15">
      <c r="O44" s="41">
        <v>12</v>
      </c>
      <c r="P44" s="126">
        <v>100</v>
      </c>
      <c r="Q44" s="131">
        <f>IF('[1]资源-装备'!M50="",0,'[1]资源-装备'!M50)</f>
        <v>-1</v>
      </c>
      <c r="R44" s="131">
        <f>IF('[1]资源-装备'!N50="",0,'[1]资源-装备'!N50)</f>
        <v>-3</v>
      </c>
      <c r="S44" s="131">
        <f>IF('[1]资源-装备'!O50="",0,'[1]资源-装备'!O50)</f>
        <v>-5</v>
      </c>
      <c r="T44" s="131">
        <f>IF('[1]资源-装备'!P50="",0,'[1]资源-装备'!P50)</f>
        <v>-5.5</v>
      </c>
      <c r="U44" s="131">
        <f>IF('[1]资源-装备'!Q50="",0,'[1]资源-装备'!Q50)</f>
        <v>-2</v>
      </c>
      <c r="V44" s="126">
        <f t="shared" ref="V44:V50" si="3">MAX((Q44-Q43)*INDEX($H$6:$H$21,MATCH($P44,$B$6:$B$21,0),1),
(R44-R43)*INDEX($I$6:$I$21,MATCH($P44,$B$6:$B$21,0),1),
(S44-S43)*INDEX($J$6:$J$21,MATCH($P44,$B$6:$B$21,0),1),
(T44-T43)*INDEX($K$6:$K$21,MATCH($P44,$B$6:$B$21,0),1),
(U44-U43)*INDEX($L$6:$L$21,MATCH($P44,$B$6:$B$21,0),1))+V43</f>
        <v>6424.957655431187</v>
      </c>
    </row>
    <row r="45" spans="13:22" x14ac:dyDescent="0.15">
      <c r="O45" s="41">
        <v>13</v>
      </c>
      <c r="P45" s="126">
        <v>110</v>
      </c>
      <c r="Q45" s="131">
        <f>IF('[1]资源-装备'!M51="",0,'[1]资源-装备'!M51)</f>
        <v>-1</v>
      </c>
      <c r="R45" s="131">
        <f>IF('[1]资源-装备'!N51="",0,'[1]资源-装备'!N51)</f>
        <v>-3</v>
      </c>
      <c r="S45" s="131">
        <f>IF('[1]资源-装备'!O51="",0,'[1]资源-装备'!O51)</f>
        <v>-5</v>
      </c>
      <c r="T45" s="131">
        <f>IF('[1]资源-装备'!P51="",0,'[1]资源-装备'!P51)</f>
        <v>-5.5</v>
      </c>
      <c r="U45" s="131">
        <f>IF('[1]资源-装备'!Q51="",0,'[1]资源-装备'!Q51)</f>
        <v>-2</v>
      </c>
      <c r="V45" s="126">
        <f t="shared" si="3"/>
        <v>6424.957655431187</v>
      </c>
    </row>
    <row r="46" spans="13:22" x14ac:dyDescent="0.15">
      <c r="O46" s="41">
        <v>14</v>
      </c>
      <c r="P46" s="126">
        <v>120</v>
      </c>
      <c r="Q46" s="131">
        <f>IF('[1]资源-装备'!M52="",0,'[1]资源-装备'!M52)</f>
        <v>-1</v>
      </c>
      <c r="R46" s="131">
        <f>IF('[1]资源-装备'!N52="",0,'[1]资源-装备'!N52)</f>
        <v>-3</v>
      </c>
      <c r="S46" s="131">
        <f>IF('[1]资源-装备'!O52="",0,'[1]资源-装备'!O52)</f>
        <v>-5</v>
      </c>
      <c r="T46" s="131">
        <f>IF('[1]资源-装备'!P52="",0,'[1]资源-装备'!P52)</f>
        <v>-5.5</v>
      </c>
      <c r="U46" s="131">
        <f>IF('[1]资源-装备'!Q52="",0,'[1]资源-装备'!Q52)</f>
        <v>-2</v>
      </c>
      <c r="V46" s="126">
        <f t="shared" si="3"/>
        <v>6424.957655431187</v>
      </c>
    </row>
    <row r="47" spans="13:22" x14ac:dyDescent="0.15">
      <c r="O47" s="41">
        <v>15</v>
      </c>
      <c r="P47" s="126">
        <v>130</v>
      </c>
      <c r="Q47" s="131">
        <f>IF('[1]资源-装备'!M53="",0,'[1]资源-装备'!M53)</f>
        <v>-1</v>
      </c>
      <c r="R47" s="131">
        <f>IF('[1]资源-装备'!N53="",0,'[1]资源-装备'!N53)</f>
        <v>-3</v>
      </c>
      <c r="S47" s="131">
        <f>IF('[1]资源-装备'!O53="",0,'[1]资源-装备'!O53)</f>
        <v>-5</v>
      </c>
      <c r="T47" s="131">
        <f>IF('[1]资源-装备'!P53="",0,'[1]资源-装备'!P53)</f>
        <v>-5.5</v>
      </c>
      <c r="U47" s="131">
        <f>IF('[1]资源-装备'!Q53="",0,'[1]资源-装备'!Q53)</f>
        <v>-2</v>
      </c>
      <c r="V47" s="126">
        <f t="shared" si="3"/>
        <v>6424.957655431187</v>
      </c>
    </row>
    <row r="48" spans="13:22" x14ac:dyDescent="0.15">
      <c r="O48" s="41">
        <v>16</v>
      </c>
      <c r="P48" s="126">
        <v>140</v>
      </c>
      <c r="Q48" s="131">
        <f>IF('[1]资源-装备'!M54="",0,'[1]资源-装备'!M54)</f>
        <v>-1</v>
      </c>
      <c r="R48" s="131">
        <f>IF('[1]资源-装备'!N54="",0,'[1]资源-装备'!N54)</f>
        <v>-3</v>
      </c>
      <c r="S48" s="131">
        <f>IF('[1]资源-装备'!O54="",0,'[1]资源-装备'!O54)</f>
        <v>-5</v>
      </c>
      <c r="T48" s="131">
        <f>IF('[1]资源-装备'!P54="",0,'[1]资源-装备'!P54)</f>
        <v>-5.5</v>
      </c>
      <c r="U48" s="131">
        <f>IF('[1]资源-装备'!Q54="",0,'[1]资源-装备'!Q54)</f>
        <v>-2</v>
      </c>
      <c r="V48" s="126">
        <f t="shared" si="3"/>
        <v>6424.957655431187</v>
      </c>
    </row>
    <row r="49" spans="15:22" x14ac:dyDescent="0.15">
      <c r="O49" s="41">
        <v>17</v>
      </c>
      <c r="P49" s="126">
        <v>150</v>
      </c>
      <c r="Q49" s="131" t="e">
        <f>IF('[1]资源-装备'!M55="",0,'[1]资源-装备'!M55)</f>
        <v>#VALUE!</v>
      </c>
      <c r="R49" s="131">
        <f>IF('[1]资源-装备'!N55="",0,'[1]资源-装备'!N55)</f>
        <v>-3</v>
      </c>
      <c r="S49" s="131">
        <f>IF('[1]资源-装备'!O55="",0,'[1]资源-装备'!O55)</f>
        <v>-5</v>
      </c>
      <c r="T49" s="131">
        <f>IF('[1]资源-装备'!P55="",0,'[1]资源-装备'!P55)</f>
        <v>-5.5</v>
      </c>
      <c r="U49" s="131">
        <f>IF('[1]资源-装备'!Q55="",0,'[1]资源-装备'!Q55)</f>
        <v>-2</v>
      </c>
      <c r="V49" s="126" t="e">
        <f t="shared" si="3"/>
        <v>#VALUE!</v>
      </c>
    </row>
    <row r="50" spans="15:22" x14ac:dyDescent="0.15">
      <c r="O50" s="41">
        <v>18</v>
      </c>
      <c r="P50" s="126">
        <v>160</v>
      </c>
      <c r="Q50" s="131" t="e">
        <f>IF('[1]资源-装备'!M56="",0,'[1]资源-装备'!M56)</f>
        <v>#VALUE!</v>
      </c>
      <c r="R50" s="131" t="e">
        <f>IF('[1]资源-装备'!N56="",0,'[1]资源-装备'!N56)</f>
        <v>#VALUE!</v>
      </c>
      <c r="S50" s="131" t="e">
        <f>IF('[1]资源-装备'!O56="",0,'[1]资源-装备'!O56)</f>
        <v>#VALUE!</v>
      </c>
      <c r="T50" s="131" t="e">
        <f>IF('[1]资源-装备'!P56="",0,'[1]资源-装备'!P56)</f>
        <v>#VALUE!</v>
      </c>
      <c r="U50" s="131" t="e">
        <f>IF('[1]资源-装备'!Q56="",0,'[1]资源-装备'!Q56)</f>
        <v>#VALUE!</v>
      </c>
      <c r="V50" s="126" t="e">
        <f t="shared" si="3"/>
        <v>#VALUE!</v>
      </c>
    </row>
    <row r="51" spans="15:22" x14ac:dyDescent="0.15">
      <c r="O51" s="41">
        <v>19</v>
      </c>
      <c r="P51" s="85"/>
      <c r="Q51" s="85"/>
      <c r="R51" s="85"/>
      <c r="S51" s="85"/>
      <c r="T51" s="85"/>
      <c r="U51" s="85"/>
      <c r="V51" s="85"/>
    </row>
    <row r="52" spans="15:22" x14ac:dyDescent="0.15">
      <c r="O52" s="41">
        <v>20</v>
      </c>
      <c r="P52" s="85"/>
      <c r="Q52" s="85"/>
      <c r="R52" s="85"/>
      <c r="S52" s="85"/>
      <c r="T52" s="85"/>
      <c r="U52" s="85"/>
      <c r="V52" s="85"/>
    </row>
    <row r="53" spans="15:22" x14ac:dyDescent="0.15">
      <c r="O53" s="41">
        <v>21</v>
      </c>
      <c r="P53" s="85"/>
      <c r="Q53" s="85"/>
      <c r="R53" s="85"/>
      <c r="S53" s="85"/>
      <c r="T53" s="85"/>
      <c r="U53" s="85"/>
      <c r="V53" s="85"/>
    </row>
    <row r="54" spans="15:22" x14ac:dyDescent="0.15">
      <c r="O54" s="41">
        <v>22</v>
      </c>
    </row>
    <row r="55" spans="15:22" x14ac:dyDescent="0.15">
      <c r="O55" s="41">
        <v>23</v>
      </c>
    </row>
    <row r="56" spans="15:22" x14ac:dyDescent="0.15">
      <c r="O56" s="41">
        <v>24</v>
      </c>
    </row>
    <row r="57" spans="15:22" x14ac:dyDescent="0.15">
      <c r="O57" s="41">
        <v>25</v>
      </c>
    </row>
    <row r="58" spans="15:22" x14ac:dyDescent="0.15">
      <c r="O58" s="41">
        <v>26</v>
      </c>
    </row>
    <row r="59" spans="15:22" x14ac:dyDescent="0.15">
      <c r="O59" s="41">
        <v>27</v>
      </c>
    </row>
    <row r="60" spans="15:22" x14ac:dyDescent="0.15">
      <c r="O60" s="41">
        <v>28</v>
      </c>
    </row>
    <row r="61" spans="15:22" x14ac:dyDescent="0.15">
      <c r="O61" s="41">
        <v>29</v>
      </c>
      <c r="P61" s="41"/>
      <c r="Q61" s="41"/>
      <c r="R61" s="41"/>
      <c r="S61" s="41"/>
      <c r="T61" s="41"/>
      <c r="U61" s="41"/>
    </row>
    <row r="62" spans="15:22" x14ac:dyDescent="0.15">
      <c r="O62" s="41">
        <v>1</v>
      </c>
      <c r="P62" s="85" t="s">
        <v>206</v>
      </c>
      <c r="Q62" s="184" t="s">
        <v>392</v>
      </c>
      <c r="R62" s="204"/>
      <c r="S62" s="204"/>
      <c r="T62" s="204"/>
      <c r="U62" s="185"/>
    </row>
    <row r="63" spans="15:22" x14ac:dyDescent="0.15">
      <c r="O63" s="41">
        <v>2</v>
      </c>
      <c r="P63" s="85" t="s">
        <v>398</v>
      </c>
      <c r="Q63" s="85" t="s">
        <v>0</v>
      </c>
      <c r="R63" s="85" t="s">
        <v>1</v>
      </c>
      <c r="S63" s="85" t="s">
        <v>382</v>
      </c>
      <c r="T63" s="85" t="s">
        <v>383</v>
      </c>
      <c r="U63" s="85" t="s">
        <v>384</v>
      </c>
      <c r="V63" s="85" t="s">
        <v>385</v>
      </c>
    </row>
    <row r="64" spans="15:22" x14ac:dyDescent="0.15">
      <c r="O64" s="41">
        <v>3</v>
      </c>
      <c r="P64" s="85">
        <v>10</v>
      </c>
      <c r="Q64" s="86">
        <f>IF('[1]资源-装备'!M70="",0,'[1]资源-装备'!M70)</f>
        <v>12</v>
      </c>
      <c r="R64" s="86">
        <f>IF('[1]资源-装备'!N70="",0,'[1]资源-装备'!N70)</f>
        <v>6</v>
      </c>
      <c r="S64" s="86">
        <f>IF('[1]资源-装备'!O70="",0,'[1]资源-装备'!O70)</f>
        <v>0</v>
      </c>
      <c r="T64" s="86">
        <f>IF('[1]资源-装备'!P70="",0,'[1]资源-装备'!P70)</f>
        <v>0</v>
      </c>
      <c r="U64" s="86">
        <f>IF('[1]资源-装备'!Q70="",0,'[1]资源-装备'!Q70)</f>
        <v>90</v>
      </c>
      <c r="V64" s="89">
        <f>MAX(Q64*INDEX($H$6:$H$21,MATCH($P64,$B$6:$B$21,0),1),
R64*INDEX($I$6:$I$21,MATCH($P64,$B$6:$B$21,0),1),
S64*INDEX($J$6:$J$21,MATCH($P64,$B$6:$B$21,0),1),
T64*INDEX($K$6:$K$21,MATCH($P64,$B$6:$B$21,0),1),
U64*INDEX($L$6:$L$21,MATCH($P64,$B$6:$B$21,0),1))</f>
        <v>180</v>
      </c>
    </row>
    <row r="65" spans="15:22" x14ac:dyDescent="0.15">
      <c r="O65" s="41">
        <v>4</v>
      </c>
      <c r="P65" s="85">
        <v>20</v>
      </c>
      <c r="Q65" s="131">
        <f>IF('[1]资源-装备'!M71="",0,'[1]资源-装备'!M71)</f>
        <v>0</v>
      </c>
      <c r="R65" s="131">
        <f>IF('[1]资源-装备'!N71="",0,'[1]资源-装备'!N71)</f>
        <v>13</v>
      </c>
      <c r="S65" s="131">
        <f>IF('[1]资源-装备'!O71="",0,'[1]资源-装备'!O71)</f>
        <v>5</v>
      </c>
      <c r="T65" s="131">
        <f>IF('[1]资源-装备'!P71="",0,'[1]资源-装备'!P71)</f>
        <v>0</v>
      </c>
      <c r="U65" s="131">
        <f>IF('[1]资源-装备'!Q71="",0,'[1]资源-装备'!Q71)</f>
        <v>100</v>
      </c>
      <c r="V65" s="85">
        <f t="shared" ref="V65:V72" si="4">MAX((Q65-Q64)*INDEX($H$6:$H$21,MATCH($P65,$B$6:$B$21,0),1),
(R65-R64)*INDEX($I$6:$I$21,MATCH($P65,$B$6:$B$21,0),1),
(S65-S64)*INDEX($J$6:$J$21,MATCH($P65,$B$6:$B$21,0),1),
(T65-T64)*INDEX($K$6:$K$21,MATCH($P65,$B$6:$B$21,0),1),
(U65-U64)*INDEX($L$6:$L$21,MATCH($P65,$B$6:$B$21,0),1))+V64</f>
        <v>359.48717948717945</v>
      </c>
    </row>
    <row r="66" spans="15:22" x14ac:dyDescent="0.15">
      <c r="O66" s="41">
        <v>5</v>
      </c>
      <c r="P66" s="85">
        <v>30</v>
      </c>
      <c r="Q66" s="131">
        <f>IF('[1]资源-装备'!M72="",0,'[1]资源-装备'!M72)</f>
        <v>0</v>
      </c>
      <c r="R66" s="131">
        <f>IF('[1]资源-装备'!N72="",0,'[1]资源-装备'!N72)</f>
        <v>0</v>
      </c>
      <c r="S66" s="131">
        <f>IF('[1]资源-装备'!O72="",0,'[1]资源-装备'!O72)</f>
        <v>16</v>
      </c>
      <c r="T66" s="131">
        <f>IF('[1]资源-装备'!P72="",0,'[1]资源-装备'!P72)</f>
        <v>2</v>
      </c>
      <c r="U66" s="131">
        <f>IF('[1]资源-装备'!Q72="",0,'[1]资源-装备'!Q72)</f>
        <v>110</v>
      </c>
      <c r="V66" s="85">
        <f t="shared" si="4"/>
        <v>734.48717948717945</v>
      </c>
    </row>
    <row r="67" spans="15:22" x14ac:dyDescent="0.15">
      <c r="O67" s="41">
        <v>6</v>
      </c>
      <c r="P67" s="85">
        <v>40</v>
      </c>
      <c r="Q67" s="131">
        <f>IF('[1]资源-装备'!M73="",0,'[1]资源-装备'!M73)</f>
        <v>-1</v>
      </c>
      <c r="R67" s="131">
        <f>IF('[1]资源-装备'!N73="",0,'[1]资源-装备'!N73)</f>
        <v>-3</v>
      </c>
      <c r="S67" s="131">
        <f>IF('[1]资源-装备'!O73="",0,'[1]资源-装备'!O73)</f>
        <v>-5</v>
      </c>
      <c r="T67" s="131">
        <f>IF('[1]资源-装备'!P73="",0,'[1]资源-装备'!P73)</f>
        <v>-0.5</v>
      </c>
      <c r="U67" s="131">
        <f>IF('[1]资源-装备'!Q73="",0,'[1]资源-装备'!Q73)</f>
        <v>-10</v>
      </c>
      <c r="V67" s="85">
        <f t="shared" si="4"/>
        <v>734.48717948717945</v>
      </c>
    </row>
    <row r="68" spans="15:22" x14ac:dyDescent="0.15">
      <c r="O68" s="41">
        <v>7</v>
      </c>
      <c r="P68" s="85">
        <v>50</v>
      </c>
      <c r="Q68" s="131">
        <f>IF('[1]资源-装备'!M74="",0,'[1]资源-装备'!M74)</f>
        <v>-1</v>
      </c>
      <c r="R68" s="131">
        <f>IF('[1]资源-装备'!N74="",0,'[1]资源-装备'!N74)</f>
        <v>-3</v>
      </c>
      <c r="S68" s="131">
        <f>IF('[1]资源-装备'!O74="",0,'[1]资源-装备'!O74)</f>
        <v>-5</v>
      </c>
      <c r="T68" s="131">
        <f>IF('[1]资源-装备'!P74="",0,'[1]资源-装备'!P74)</f>
        <v>-2.5</v>
      </c>
      <c r="U68" s="131">
        <f>IF('[1]资源-装备'!Q74="",0,'[1]资源-装备'!Q74)</f>
        <v>-8</v>
      </c>
      <c r="V68" s="85">
        <f t="shared" si="4"/>
        <v>2140.7371794871792</v>
      </c>
    </row>
    <row r="69" spans="15:22" x14ac:dyDescent="0.15">
      <c r="O69" s="41">
        <v>8</v>
      </c>
      <c r="P69" s="85">
        <v>60</v>
      </c>
      <c r="Q69" s="131">
        <f>IF('[1]资源-装备'!M75="",0,'[1]资源-装备'!M75)</f>
        <v>-1</v>
      </c>
      <c r="R69" s="131">
        <f>IF('[1]资源-装备'!N75="",0,'[1]资源-装备'!N75)</f>
        <v>-3</v>
      </c>
      <c r="S69" s="131">
        <f>IF('[1]资源-装备'!O75="",0,'[1]资源-装备'!O75)</f>
        <v>-5</v>
      </c>
      <c r="T69" s="131">
        <f>IF('[1]资源-装备'!P75="",0,'[1]资源-装备'!P75)</f>
        <v>-4.5</v>
      </c>
      <c r="U69" s="131">
        <f>IF('[1]资源-装备'!Q75="",0,'[1]资源-装备'!Q75)</f>
        <v>-4</v>
      </c>
      <c r="V69" s="85">
        <f t="shared" si="4"/>
        <v>3911.693495898041</v>
      </c>
    </row>
    <row r="70" spans="15:22" x14ac:dyDescent="0.15">
      <c r="O70" s="41">
        <v>9</v>
      </c>
      <c r="P70" s="85">
        <v>70</v>
      </c>
      <c r="Q70" s="131">
        <f>IF('[1]资源-装备'!M76="",0,'[1]资源-装备'!M76)</f>
        <v>-1</v>
      </c>
      <c r="R70" s="131">
        <f>IF('[1]资源-装备'!N76="",0,'[1]资源-装备'!N76)</f>
        <v>-3</v>
      </c>
      <c r="S70" s="131">
        <f>IF('[1]资源-装备'!O76="",0,'[1]资源-装备'!O76)</f>
        <v>-5</v>
      </c>
      <c r="T70" s="131">
        <f>IF('[1]资源-装备'!P76="",0,'[1]资源-装备'!P76)</f>
        <v>-5</v>
      </c>
      <c r="U70" s="131">
        <f>IF('[1]资源-装备'!Q76="",0,'[1]资源-装备'!Q76)</f>
        <v>-8</v>
      </c>
      <c r="V70" s="85">
        <f t="shared" si="4"/>
        <v>3911.693495898041</v>
      </c>
    </row>
    <row r="71" spans="15:22" x14ac:dyDescent="0.15">
      <c r="O71" s="41">
        <v>10</v>
      </c>
      <c r="P71" s="85">
        <v>80</v>
      </c>
      <c r="Q71" s="131">
        <f>IF('[1]资源-装备'!M77="",0,'[1]资源-装备'!M77)</f>
        <v>-1</v>
      </c>
      <c r="R71" s="131">
        <f>IF('[1]资源-装备'!N77="",0,'[1]资源-装备'!N77)</f>
        <v>-3</v>
      </c>
      <c r="S71" s="131">
        <f>IF('[1]资源-装备'!O77="",0,'[1]资源-装备'!O77)</f>
        <v>-5</v>
      </c>
      <c r="T71" s="131">
        <f>IF('[1]资源-装备'!P77="",0,'[1]资源-装备'!P77)</f>
        <v>-5.5</v>
      </c>
      <c r="U71" s="131">
        <f>IF('[1]资源-装备'!Q77="",0,'[1]资源-装备'!Q77)</f>
        <v>-2</v>
      </c>
      <c r="V71" s="85">
        <f t="shared" si="4"/>
        <v>6462.7139040613056</v>
      </c>
    </row>
    <row r="72" spans="15:22" x14ac:dyDescent="0.15">
      <c r="O72" s="41">
        <v>11</v>
      </c>
      <c r="P72" s="85">
        <v>90</v>
      </c>
      <c r="Q72" s="131">
        <f>IF('[1]资源-装备'!M78="",0,'[1]资源-装备'!M78)</f>
        <v>-1</v>
      </c>
      <c r="R72" s="131">
        <f>IF('[1]资源-装备'!N78="",0,'[1]资源-装备'!N78)</f>
        <v>-3</v>
      </c>
      <c r="S72" s="131">
        <f>IF('[1]资源-装备'!O78="",0,'[1]资源-装备'!O78)</f>
        <v>-5</v>
      </c>
      <c r="T72" s="131">
        <f>IF('[1]资源-装备'!P78="",0,'[1]资源-装备'!P78)</f>
        <v>-5.5</v>
      </c>
      <c r="U72" s="131">
        <f>IF('[1]资源-装备'!Q78="",0,'[1]资源-装备'!Q78)</f>
        <v>-2</v>
      </c>
      <c r="V72" s="85">
        <f t="shared" si="4"/>
        <v>6462.7139040613056</v>
      </c>
    </row>
    <row r="73" spans="15:22" x14ac:dyDescent="0.15">
      <c r="O73" s="41">
        <v>12</v>
      </c>
      <c r="P73" s="126">
        <v>100</v>
      </c>
      <c r="Q73" s="131">
        <f>IF('[1]资源-装备'!M79="",0,'[1]资源-装备'!M79)</f>
        <v>-1</v>
      </c>
      <c r="R73" s="131">
        <f>IF('[1]资源-装备'!N79="",0,'[1]资源-装备'!N79)</f>
        <v>-3</v>
      </c>
      <c r="S73" s="131">
        <f>IF('[1]资源-装备'!O79="",0,'[1]资源-装备'!O79)</f>
        <v>-5</v>
      </c>
      <c r="T73" s="131">
        <f>IF('[1]资源-装备'!P79="",0,'[1]资源-装备'!P79)</f>
        <v>-5.5</v>
      </c>
      <c r="U73" s="131">
        <f>IF('[1]资源-装备'!Q79="",0,'[1]资源-装备'!Q79)</f>
        <v>-2</v>
      </c>
      <c r="V73" s="126">
        <f t="shared" ref="V73:V79" si="5">MAX((Q73-Q72)*INDEX($H$6:$H$21,MATCH($P73,$B$6:$B$21,0),1),
(R73-R72)*INDEX($I$6:$I$21,MATCH($P73,$B$6:$B$21,0),1),
(S73-S72)*INDEX($J$6:$J$21,MATCH($P73,$B$6:$B$21,0),1),
(T73-T72)*INDEX($K$6:$K$21,MATCH($P73,$B$6:$B$21,0),1),
(U73-U72)*INDEX($L$6:$L$21,MATCH($P73,$B$6:$B$21,0),1))+V72</f>
        <v>6462.7139040613056</v>
      </c>
    </row>
    <row r="74" spans="15:22" x14ac:dyDescent="0.15">
      <c r="O74" s="41">
        <v>13</v>
      </c>
      <c r="P74" s="126">
        <v>110</v>
      </c>
      <c r="Q74" s="131">
        <f>IF('[1]资源-装备'!M80="",0,'[1]资源-装备'!M80)</f>
        <v>-1</v>
      </c>
      <c r="R74" s="131">
        <f>IF('[1]资源-装备'!N80="",0,'[1]资源-装备'!N80)</f>
        <v>-3</v>
      </c>
      <c r="S74" s="131">
        <f>IF('[1]资源-装备'!O80="",0,'[1]资源-装备'!O80)</f>
        <v>-5</v>
      </c>
      <c r="T74" s="131">
        <f>IF('[1]资源-装备'!P80="",0,'[1]资源-装备'!P80)</f>
        <v>-5.5</v>
      </c>
      <c r="U74" s="131">
        <f>IF('[1]资源-装备'!Q80="",0,'[1]资源-装备'!Q80)</f>
        <v>-2</v>
      </c>
      <c r="V74" s="126">
        <f t="shared" si="5"/>
        <v>6462.7139040613056</v>
      </c>
    </row>
    <row r="75" spans="15:22" x14ac:dyDescent="0.15">
      <c r="O75" s="41">
        <v>14</v>
      </c>
      <c r="P75" s="126">
        <v>120</v>
      </c>
      <c r="Q75" s="131">
        <f>IF('[1]资源-装备'!M81="",0,'[1]资源-装备'!M81)</f>
        <v>-1</v>
      </c>
      <c r="R75" s="131">
        <f>IF('[1]资源-装备'!N81="",0,'[1]资源-装备'!N81)</f>
        <v>-3</v>
      </c>
      <c r="S75" s="131">
        <f>IF('[1]资源-装备'!O81="",0,'[1]资源-装备'!O81)</f>
        <v>-5</v>
      </c>
      <c r="T75" s="131">
        <f>IF('[1]资源-装备'!P81="",0,'[1]资源-装备'!P81)</f>
        <v>-5.5</v>
      </c>
      <c r="U75" s="131">
        <f>IF('[1]资源-装备'!Q81="",0,'[1]资源-装备'!Q81)</f>
        <v>-2</v>
      </c>
      <c r="V75" s="126">
        <f t="shared" si="5"/>
        <v>6462.7139040613056</v>
      </c>
    </row>
    <row r="76" spans="15:22" x14ac:dyDescent="0.15">
      <c r="O76" s="41">
        <v>15</v>
      </c>
      <c r="P76" s="126">
        <v>130</v>
      </c>
      <c r="Q76" s="131">
        <f>IF('[1]资源-装备'!M82="",0,'[1]资源-装备'!M82)</f>
        <v>-1</v>
      </c>
      <c r="R76" s="131">
        <f>IF('[1]资源-装备'!N82="",0,'[1]资源-装备'!N82)</f>
        <v>-3</v>
      </c>
      <c r="S76" s="131">
        <f>IF('[1]资源-装备'!O82="",0,'[1]资源-装备'!O82)</f>
        <v>-5</v>
      </c>
      <c r="T76" s="131">
        <f>IF('[1]资源-装备'!P82="",0,'[1]资源-装备'!P82)</f>
        <v>-5.5</v>
      </c>
      <c r="U76" s="131">
        <f>IF('[1]资源-装备'!Q82="",0,'[1]资源-装备'!Q82)</f>
        <v>-2</v>
      </c>
      <c r="V76" s="126">
        <f t="shared" si="5"/>
        <v>6462.7139040613056</v>
      </c>
    </row>
    <row r="77" spans="15:22" x14ac:dyDescent="0.15">
      <c r="O77" s="41">
        <v>16</v>
      </c>
      <c r="P77" s="126">
        <v>140</v>
      </c>
      <c r="Q77" s="131">
        <f>IF('[1]资源-装备'!M83="",0,'[1]资源-装备'!M83)</f>
        <v>-1</v>
      </c>
      <c r="R77" s="131">
        <f>IF('[1]资源-装备'!N83="",0,'[1]资源-装备'!N83)</f>
        <v>-3</v>
      </c>
      <c r="S77" s="131">
        <f>IF('[1]资源-装备'!O83="",0,'[1]资源-装备'!O83)</f>
        <v>-5</v>
      </c>
      <c r="T77" s="131">
        <f>IF('[1]资源-装备'!P83="",0,'[1]资源-装备'!P83)</f>
        <v>-5.5</v>
      </c>
      <c r="U77" s="131">
        <f>IF('[1]资源-装备'!Q83="",0,'[1]资源-装备'!Q83)</f>
        <v>-2</v>
      </c>
      <c r="V77" s="126">
        <f t="shared" si="5"/>
        <v>6462.7139040613056</v>
      </c>
    </row>
    <row r="78" spans="15:22" x14ac:dyDescent="0.15">
      <c r="O78" s="41">
        <v>17</v>
      </c>
      <c r="P78" s="126">
        <v>150</v>
      </c>
      <c r="Q78" s="131">
        <f>IF('[1]资源-装备'!M84="",0,'[1]资源-装备'!M84)</f>
        <v>-1</v>
      </c>
      <c r="R78" s="131">
        <f>IF('[1]资源-装备'!N84="",0,'[1]资源-装备'!N84)</f>
        <v>-3</v>
      </c>
      <c r="S78" s="131">
        <f>IF('[1]资源-装备'!O84="",0,'[1]资源-装备'!O84)</f>
        <v>-5</v>
      </c>
      <c r="T78" s="131">
        <f>IF('[1]资源-装备'!P84="",0,'[1]资源-装备'!P84)</f>
        <v>-5.5</v>
      </c>
      <c r="U78" s="131">
        <f>IF('[1]资源-装备'!Q84="",0,'[1]资源-装备'!Q84)</f>
        <v>-2</v>
      </c>
      <c r="V78" s="126">
        <f t="shared" si="5"/>
        <v>6462.7139040613056</v>
      </c>
    </row>
    <row r="79" spans="15:22" x14ac:dyDescent="0.15">
      <c r="O79" s="41">
        <v>18</v>
      </c>
      <c r="P79" s="126">
        <v>160</v>
      </c>
      <c r="Q79" s="131">
        <f>IF('[1]资源-装备'!M85="",0,'[1]资源-装备'!M85)</f>
        <v>-1</v>
      </c>
      <c r="R79" s="131">
        <f>IF('[1]资源-装备'!N85="",0,'[1]资源-装备'!N85)</f>
        <v>-3</v>
      </c>
      <c r="S79" s="131">
        <f>IF('[1]资源-装备'!O85="",0,'[1]资源-装备'!O85)</f>
        <v>-5</v>
      </c>
      <c r="T79" s="131">
        <f>IF('[1]资源-装备'!P85="",0,'[1]资源-装备'!P85)</f>
        <v>-5.5</v>
      </c>
      <c r="U79" s="131">
        <f>IF('[1]资源-装备'!Q85="",0,'[1]资源-装备'!Q85)</f>
        <v>-2</v>
      </c>
      <c r="V79" s="126">
        <f t="shared" si="5"/>
        <v>6462.7139040613056</v>
      </c>
    </row>
    <row r="80" spans="15:22" x14ac:dyDescent="0.15">
      <c r="O80" s="41">
        <v>19</v>
      </c>
      <c r="P80" s="85"/>
      <c r="Q80" s="85"/>
      <c r="R80" s="85"/>
      <c r="S80" s="85"/>
      <c r="T80" s="85"/>
      <c r="U80" s="85"/>
      <c r="V80" s="85"/>
    </row>
    <row r="81" spans="15:22" x14ac:dyDescent="0.15">
      <c r="O81" s="41">
        <v>20</v>
      </c>
      <c r="P81" s="85"/>
      <c r="Q81" s="85"/>
      <c r="R81" s="85"/>
      <c r="S81" s="85"/>
      <c r="T81" s="85"/>
      <c r="U81" s="85"/>
      <c r="V81" s="85"/>
    </row>
    <row r="82" spans="15:22" x14ac:dyDescent="0.15">
      <c r="O82" s="41">
        <v>21</v>
      </c>
      <c r="P82" s="85"/>
      <c r="Q82" s="85"/>
      <c r="R82" s="85"/>
      <c r="S82" s="85"/>
      <c r="T82" s="85"/>
      <c r="U82" s="85"/>
      <c r="V82" s="85"/>
    </row>
    <row r="83" spans="15:22" x14ac:dyDescent="0.15">
      <c r="O83" s="41">
        <v>22</v>
      </c>
    </row>
    <row r="84" spans="15:22" x14ac:dyDescent="0.15">
      <c r="O84" s="41">
        <v>23</v>
      </c>
    </row>
    <row r="85" spans="15:22" x14ac:dyDescent="0.15">
      <c r="O85" s="41">
        <v>24</v>
      </c>
    </row>
    <row r="86" spans="15:22" x14ac:dyDescent="0.15">
      <c r="O86" s="41">
        <v>25</v>
      </c>
    </row>
    <row r="87" spans="15:22" x14ac:dyDescent="0.15">
      <c r="O87" s="41">
        <v>26</v>
      </c>
    </row>
    <row r="88" spans="15:22" x14ac:dyDescent="0.15">
      <c r="O88" s="41">
        <v>27</v>
      </c>
    </row>
    <row r="89" spans="15:22" x14ac:dyDescent="0.15">
      <c r="O89" s="41">
        <v>28</v>
      </c>
    </row>
    <row r="90" spans="15:22" x14ac:dyDescent="0.15">
      <c r="O90" s="41">
        <v>29</v>
      </c>
      <c r="P90" s="41"/>
      <c r="Q90" s="41"/>
      <c r="R90" s="41"/>
      <c r="S90" s="41"/>
      <c r="T90" s="41"/>
      <c r="U90" s="41"/>
    </row>
    <row r="91" spans="15:22" x14ac:dyDescent="0.15">
      <c r="O91" s="41">
        <v>1</v>
      </c>
      <c r="P91" s="85" t="s">
        <v>380</v>
      </c>
      <c r="Q91" s="184" t="s">
        <v>392</v>
      </c>
      <c r="R91" s="204"/>
      <c r="S91" s="204"/>
      <c r="T91" s="204"/>
      <c r="U91" s="185"/>
    </row>
    <row r="92" spans="15:22" x14ac:dyDescent="0.15">
      <c r="O92" s="41">
        <v>2</v>
      </c>
      <c r="P92" s="85" t="s">
        <v>398</v>
      </c>
      <c r="Q92" s="85" t="s">
        <v>0</v>
      </c>
      <c r="R92" s="85" t="s">
        <v>1</v>
      </c>
      <c r="S92" s="85" t="s">
        <v>382</v>
      </c>
      <c r="T92" s="85" t="s">
        <v>383</v>
      </c>
      <c r="U92" s="85" t="s">
        <v>384</v>
      </c>
      <c r="V92" s="85" t="s">
        <v>385</v>
      </c>
    </row>
    <row r="93" spans="15:22" x14ac:dyDescent="0.15">
      <c r="O93" s="41">
        <v>3</v>
      </c>
      <c r="P93" s="85">
        <v>10</v>
      </c>
      <c r="Q93" s="86">
        <f>IF('[1]资源-装备'!M99="",0,'[1]资源-装备'!M99)</f>
        <v>0</v>
      </c>
      <c r="R93" s="86">
        <f>IF('[1]资源-装备'!N99="",0,'[1]资源-装备'!N99)</f>
        <v>0</v>
      </c>
      <c r="S93" s="86">
        <f>IF('[1]资源-装备'!O99="",0,'[1]资源-装备'!O99)</f>
        <v>-5</v>
      </c>
      <c r="T93" s="86">
        <f>IF('[1]资源-装备'!P99="",0,'[1]资源-装备'!P99)</f>
        <v>-5.5</v>
      </c>
      <c r="U93" s="86">
        <f>IF('[1]资源-装备'!Q99="",0,'[1]资源-装备'!Q99)</f>
        <v>-10</v>
      </c>
      <c r="V93" s="89">
        <f>MAX(Q93*INDEX($H$6:$H$21,MATCH($P93,$B$6:$B$21,0),1),
R93*INDEX($I$6:$I$21,MATCH($P93,$B$6:$B$21,0),1),
S93*INDEX($J$6:$J$21,MATCH($P93,$B$6:$B$21,0),1),
T93*INDEX($K$6:$K$21,MATCH($P93,$B$6:$B$21,0),1),
U93*INDEX($L$6:$L$21,MATCH($P93,$B$6:$B$21,0),1))</f>
        <v>0</v>
      </c>
    </row>
    <row r="94" spans="15:22" x14ac:dyDescent="0.15">
      <c r="O94" s="41">
        <v>4</v>
      </c>
      <c r="P94" s="85">
        <v>20</v>
      </c>
      <c r="Q94" s="131" t="e">
        <f>IF('[1]资源-装备'!M100="",0,'[1]资源-装备'!M100)</f>
        <v>#VALUE!</v>
      </c>
      <c r="R94" s="131">
        <f>IF('[1]资源-装备'!N100="",0,'[1]资源-装备'!N100)</f>
        <v>-2</v>
      </c>
      <c r="S94" s="131">
        <f>IF('[1]资源-装备'!O100="",0,'[1]资源-装备'!O100)</f>
        <v>0</v>
      </c>
      <c r="T94" s="131">
        <f>IF('[1]资源-装备'!P100="",0,'[1]资源-装备'!P100)</f>
        <v>-5.5</v>
      </c>
      <c r="U94" s="131">
        <f>IF('[1]资源-装备'!Q100="",0,'[1]资源-装备'!Q100)</f>
        <v>-10</v>
      </c>
      <c r="V94" s="85" t="e">
        <f t="shared" ref="V94:V101" si="6">MAX((Q94-Q93)*INDEX($H$6:$H$21,MATCH($P94,$B$6:$B$21,0),1),
(R94-R93)*INDEX($I$6:$I$21,MATCH($P94,$B$6:$B$21,0),1),
(S94-S93)*INDEX($J$6:$J$21,MATCH($P94,$B$6:$B$21,0),1),
(T94-T93)*INDEX($K$6:$K$21,MATCH($P94,$B$6:$B$21,0),1),
(U94-U93)*INDEX($L$6:$L$21,MATCH($P94,$B$6:$B$21,0),1))+V93</f>
        <v>#VALUE!</v>
      </c>
    </row>
    <row r="95" spans="15:22" x14ac:dyDescent="0.15">
      <c r="O95" s="41">
        <v>5</v>
      </c>
      <c r="P95" s="85">
        <v>30</v>
      </c>
      <c r="Q95" s="131" t="e">
        <f>IF('[1]资源-装备'!M101="",0,'[1]资源-装备'!M101)</f>
        <v>#VALUE!</v>
      </c>
      <c r="R95" s="131" t="e">
        <f>IF('[1]资源-装备'!N101="",0,'[1]资源-装备'!N101)</f>
        <v>#VALUE!</v>
      </c>
      <c r="S95" s="131" t="e">
        <f>IF('[1]资源-装备'!O101="",0,'[1]资源-装备'!O101)</f>
        <v>#VALUE!</v>
      </c>
      <c r="T95" s="131" t="e">
        <f>IF('[1]资源-装备'!P101="",0,'[1]资源-装备'!P101)</f>
        <v>#VALUE!</v>
      </c>
      <c r="U95" s="131" t="e">
        <f>IF('[1]资源-装备'!Q101="",0,'[1]资源-装备'!Q101)</f>
        <v>#VALUE!</v>
      </c>
      <c r="V95" s="85" t="e">
        <f t="shared" si="6"/>
        <v>#VALUE!</v>
      </c>
    </row>
    <row r="96" spans="15:22" x14ac:dyDescent="0.15">
      <c r="O96" s="41">
        <v>6</v>
      </c>
      <c r="P96" s="85">
        <v>40</v>
      </c>
      <c r="Q96" s="131">
        <f>IF('[1]资源-装备'!M102="",0,'[1]资源-装备'!M102)</f>
        <v>0</v>
      </c>
      <c r="R96" s="131">
        <f>IF('[1]资源-装备'!N102="",0,'[1]资源-装备'!N102)</f>
        <v>0</v>
      </c>
      <c r="S96" s="131">
        <f>IF('[1]资源-装备'!O102="",0,'[1]资源-装备'!O102)</f>
        <v>0</v>
      </c>
      <c r="T96" s="131">
        <f>IF('[1]资源-装备'!P102="",0,'[1]资源-装备'!P102)</f>
        <v>16</v>
      </c>
      <c r="U96" s="131">
        <f>IF('[1]资源-装备'!Q102="",0,'[1]资源-装备'!Q102)</f>
        <v>0</v>
      </c>
      <c r="V96" s="85" t="e">
        <f t="shared" si="6"/>
        <v>#VALUE!</v>
      </c>
    </row>
    <row r="97" spans="15:22" x14ac:dyDescent="0.15">
      <c r="O97" s="41">
        <v>7</v>
      </c>
      <c r="P97" s="85">
        <v>50</v>
      </c>
      <c r="Q97" s="131">
        <f>IF('[1]资源-装备'!M103="",0,'[1]资源-装备'!M103)</f>
        <v>0</v>
      </c>
      <c r="R97" s="131">
        <f>IF('[1]资源-装备'!N103="",0,'[1]资源-装备'!N103)</f>
        <v>3</v>
      </c>
      <c r="S97" s="131">
        <f>IF('[1]资源-装备'!O103="",0,'[1]资源-装备'!O103)</f>
        <v>0</v>
      </c>
      <c r="T97" s="131">
        <f>IF('[1]资源-装备'!P103="",0,'[1]资源-装备'!P103)</f>
        <v>14</v>
      </c>
      <c r="U97" s="131">
        <f>IF('[1]资源-装备'!Q103="",0,'[1]资源-装备'!Q103)</f>
        <v>2</v>
      </c>
      <c r="V97" s="85" t="e">
        <f t="shared" si="6"/>
        <v>#VALUE!</v>
      </c>
    </row>
    <row r="98" spans="15:22" x14ac:dyDescent="0.15">
      <c r="O98" s="41">
        <v>8</v>
      </c>
      <c r="P98" s="85">
        <v>60</v>
      </c>
      <c r="Q98" s="131">
        <f>IF('[1]资源-装备'!M104="",0,'[1]资源-装备'!M104)</f>
        <v>0</v>
      </c>
      <c r="R98" s="131">
        <f>IF('[1]资源-装备'!N104="",0,'[1]资源-装备'!N104)</f>
        <v>3</v>
      </c>
      <c r="S98" s="131">
        <f>IF('[1]资源-装备'!O104="",0,'[1]资源-装备'!O104)</f>
        <v>5</v>
      </c>
      <c r="T98" s="131">
        <f>IF('[1]资源-装备'!P104="",0,'[1]资源-装备'!P104)</f>
        <v>12</v>
      </c>
      <c r="U98" s="131">
        <f>IF('[1]资源-装备'!Q104="",0,'[1]资源-装备'!Q104)</f>
        <v>6</v>
      </c>
      <c r="V98" s="85" t="e">
        <f t="shared" si="6"/>
        <v>#VALUE!</v>
      </c>
    </row>
    <row r="99" spans="15:22" x14ac:dyDescent="0.15">
      <c r="O99" s="41">
        <v>9</v>
      </c>
      <c r="P99" s="85">
        <v>70</v>
      </c>
      <c r="Q99" s="131">
        <f>IF('[1]资源-装备'!M105="",0,'[1]资源-装备'!M105)</f>
        <v>0</v>
      </c>
      <c r="R99" s="131">
        <f>IF('[1]资源-装备'!N105="",0,'[1]资源-装备'!N105)</f>
        <v>3</v>
      </c>
      <c r="S99" s="131">
        <f>IF('[1]资源-装备'!O105="",0,'[1]资源-装备'!O105)</f>
        <v>10</v>
      </c>
      <c r="T99" s="131">
        <f>IF('[1]资源-装备'!P105="",0,'[1]资源-装备'!P105)</f>
        <v>17</v>
      </c>
      <c r="U99" s="131">
        <f>IF('[1]资源-装备'!Q105="",0,'[1]资源-装备'!Q105)</f>
        <v>12</v>
      </c>
      <c r="V99" s="85" t="e">
        <f t="shared" si="6"/>
        <v>#VALUE!</v>
      </c>
    </row>
    <row r="100" spans="15:22" x14ac:dyDescent="0.15">
      <c r="O100" s="41">
        <v>10</v>
      </c>
      <c r="P100" s="85">
        <v>80</v>
      </c>
      <c r="Q100" s="131">
        <f>IF('[1]资源-装备'!M106="",0,'[1]资源-装备'!M106)</f>
        <v>0</v>
      </c>
      <c r="R100" s="131">
        <f>IF('[1]资源-装备'!N106="",0,'[1]资源-装备'!N106)</f>
        <v>0</v>
      </c>
      <c r="S100" s="131">
        <f>IF('[1]资源-装备'!O106="",0,'[1]资源-装备'!O106)</f>
        <v>10</v>
      </c>
      <c r="T100" s="131">
        <f>IF('[1]资源-装备'!P106="",0,'[1]资源-装备'!P106)</f>
        <v>11</v>
      </c>
      <c r="U100" s="131">
        <f>IF('[1]资源-装备'!Q106="",0,'[1]资源-装备'!Q106)</f>
        <v>18</v>
      </c>
      <c r="V100" s="85" t="e">
        <f t="shared" si="6"/>
        <v>#VALUE!</v>
      </c>
    </row>
    <row r="101" spans="15:22" x14ac:dyDescent="0.15">
      <c r="O101" s="41">
        <v>11</v>
      </c>
      <c r="P101" s="85">
        <v>90</v>
      </c>
      <c r="Q101" s="131">
        <f>IF('[1]资源-装备'!M107="",0,'[1]资源-装备'!M107)</f>
        <v>0</v>
      </c>
      <c r="R101" s="131">
        <f>IF('[1]资源-装备'!N107="",0,'[1]资源-装备'!N107)</f>
        <v>0</v>
      </c>
      <c r="S101" s="131">
        <f>IF('[1]资源-装备'!O107="",0,'[1]资源-装备'!O107)</f>
        <v>0</v>
      </c>
      <c r="T101" s="131">
        <f>IF('[1]资源-装备'!P107="",0,'[1]资源-装备'!P107)</f>
        <v>16.5</v>
      </c>
      <c r="U101" s="131">
        <f>IF('[1]资源-装备'!Q107="",0,'[1]资源-装备'!Q107)</f>
        <v>38</v>
      </c>
      <c r="V101" s="85" t="e">
        <f t="shared" si="6"/>
        <v>#VALUE!</v>
      </c>
    </row>
    <row r="102" spans="15:22" x14ac:dyDescent="0.15">
      <c r="O102" s="41">
        <v>12</v>
      </c>
      <c r="P102" s="126">
        <v>100</v>
      </c>
      <c r="Q102" s="131">
        <f>IF('[1]资源-装备'!M108="",0,'[1]资源-装备'!M108)</f>
        <v>0</v>
      </c>
      <c r="R102" s="131">
        <f>IF('[1]资源-装备'!N108="",0,'[1]资源-装备'!N108)</f>
        <v>0</v>
      </c>
      <c r="S102" s="131">
        <f>IF('[1]资源-装备'!O108="",0,'[1]资源-装备'!O108)</f>
        <v>0</v>
      </c>
      <c r="T102" s="131">
        <f>IF('[1]资源-装备'!P108="",0,'[1]资源-装备'!P108)</f>
        <v>16.5</v>
      </c>
      <c r="U102" s="131">
        <f>IF('[1]资源-装备'!Q108="",0,'[1]资源-装备'!Q108)</f>
        <v>58</v>
      </c>
      <c r="V102" s="126" t="e">
        <f t="shared" ref="V102:V108" si="7">MAX((Q102-Q101)*INDEX($H$6:$H$21,MATCH($P102,$B$6:$B$21,0),1),
(R102-R101)*INDEX($I$6:$I$21,MATCH($P102,$B$6:$B$21,0),1),
(S102-S101)*INDEX($J$6:$J$21,MATCH($P102,$B$6:$B$21,0),1),
(T102-T101)*INDEX($K$6:$K$21,MATCH($P102,$B$6:$B$21,0),1),
(U102-U101)*INDEX($L$6:$L$21,MATCH($P102,$B$6:$B$21,0),1))+V101</f>
        <v>#VALUE!</v>
      </c>
    </row>
    <row r="103" spans="15:22" x14ac:dyDescent="0.15">
      <c r="O103" s="41">
        <v>13</v>
      </c>
      <c r="P103" s="126">
        <v>110</v>
      </c>
      <c r="Q103" s="131">
        <f>IF('[1]资源-装备'!M109="",0,'[1]资源-装备'!M109)</f>
        <v>0</v>
      </c>
      <c r="R103" s="131">
        <f>IF('[1]资源-装备'!N109="",0,'[1]资源-装备'!N109)</f>
        <v>0</v>
      </c>
      <c r="S103" s="131">
        <f>IF('[1]资源-装备'!O109="",0,'[1]资源-装备'!O109)</f>
        <v>0</v>
      </c>
      <c r="T103" s="131">
        <f>IF('[1]资源-装备'!P109="",0,'[1]资源-装备'!P109)</f>
        <v>0</v>
      </c>
      <c r="U103" s="131">
        <f>IF('[1]资源-装备'!Q109="",0,'[1]资源-装备'!Q109)</f>
        <v>78</v>
      </c>
      <c r="V103" s="126" t="e">
        <f t="shared" si="7"/>
        <v>#VALUE!</v>
      </c>
    </row>
    <row r="104" spans="15:22" x14ac:dyDescent="0.15">
      <c r="O104" s="41">
        <v>14</v>
      </c>
      <c r="P104" s="126">
        <v>120</v>
      </c>
      <c r="Q104" s="131">
        <f>IF('[1]资源-装备'!M110="",0,'[1]资源-装备'!M110)</f>
        <v>0</v>
      </c>
      <c r="R104" s="131">
        <f>IF('[1]资源-装备'!N110="",0,'[1]资源-装备'!N110)</f>
        <v>0</v>
      </c>
      <c r="S104" s="131">
        <f>IF('[1]资源-装备'!O110="",0,'[1]资源-装备'!O110)</f>
        <v>0</v>
      </c>
      <c r="T104" s="131">
        <f>IF('[1]资源-装备'!P110="",0,'[1]资源-装备'!P110)</f>
        <v>0</v>
      </c>
      <c r="U104" s="131">
        <f>IF('[1]资源-装备'!Q110="",0,'[1]资源-装备'!Q110)</f>
        <v>98</v>
      </c>
      <c r="V104" s="126" t="e">
        <f t="shared" si="7"/>
        <v>#VALUE!</v>
      </c>
    </row>
    <row r="105" spans="15:22" x14ac:dyDescent="0.15">
      <c r="O105" s="41">
        <v>15</v>
      </c>
      <c r="P105" s="126">
        <v>130</v>
      </c>
      <c r="Q105" s="131">
        <f>IF('[1]资源-装备'!M111="",0,'[1]资源-装备'!M111)</f>
        <v>0</v>
      </c>
      <c r="R105" s="131">
        <f>IF('[1]资源-装备'!N111="",0,'[1]资源-装备'!N111)</f>
        <v>0</v>
      </c>
      <c r="S105" s="131">
        <f>IF('[1]资源-装备'!O111="",0,'[1]资源-装备'!O111)</f>
        <v>0</v>
      </c>
      <c r="T105" s="131">
        <f>IF('[1]资源-装备'!P111="",0,'[1]资源-装备'!P111)</f>
        <v>0</v>
      </c>
      <c r="U105" s="131">
        <f>IF('[1]资源-装备'!Q111="",0,'[1]资源-装备'!Q111)</f>
        <v>118</v>
      </c>
      <c r="V105" s="126" t="e">
        <f t="shared" si="7"/>
        <v>#VALUE!</v>
      </c>
    </row>
    <row r="106" spans="15:22" x14ac:dyDescent="0.15">
      <c r="O106" s="41">
        <v>16</v>
      </c>
      <c r="P106" s="126">
        <v>140</v>
      </c>
      <c r="Q106" s="131">
        <f>IF('[1]资源-装备'!M112="",0,'[1]资源-装备'!M112)</f>
        <v>0</v>
      </c>
      <c r="R106" s="131">
        <f>IF('[1]资源-装备'!N112="",0,'[1]资源-装备'!N112)</f>
        <v>0</v>
      </c>
      <c r="S106" s="131">
        <f>IF('[1]资源-装备'!O112="",0,'[1]资源-装备'!O112)</f>
        <v>0</v>
      </c>
      <c r="T106" s="131">
        <f>IF('[1]资源-装备'!P112="",0,'[1]资源-装备'!P112)</f>
        <v>0</v>
      </c>
      <c r="U106" s="131">
        <f>IF('[1]资源-装备'!Q112="",0,'[1]资源-装备'!Q112)</f>
        <v>138</v>
      </c>
      <c r="V106" s="126" t="e">
        <f t="shared" si="7"/>
        <v>#VALUE!</v>
      </c>
    </row>
    <row r="107" spans="15:22" x14ac:dyDescent="0.15">
      <c r="O107" s="41">
        <v>17</v>
      </c>
      <c r="P107" s="126">
        <v>150</v>
      </c>
      <c r="Q107" s="131">
        <f>IF('[1]资源-装备'!M113="",0,'[1]资源-装备'!M113)</f>
        <v>0</v>
      </c>
      <c r="R107" s="131">
        <f>IF('[1]资源-装备'!N113="",0,'[1]资源-装备'!N113)</f>
        <v>0</v>
      </c>
      <c r="S107" s="131">
        <f>IF('[1]资源-装备'!O113="",0,'[1]资源-装备'!O113)</f>
        <v>0</v>
      </c>
      <c r="T107" s="131">
        <f>IF('[1]资源-装备'!P113="",0,'[1]资源-装备'!P113)</f>
        <v>0</v>
      </c>
      <c r="U107" s="131">
        <f>IF('[1]资源-装备'!Q113="",0,'[1]资源-装备'!Q113)</f>
        <v>158</v>
      </c>
      <c r="V107" s="126" t="e">
        <f t="shared" si="7"/>
        <v>#VALUE!</v>
      </c>
    </row>
    <row r="108" spans="15:22" x14ac:dyDescent="0.15">
      <c r="O108" s="41">
        <v>18</v>
      </c>
      <c r="P108" s="126">
        <v>160</v>
      </c>
      <c r="Q108" s="131">
        <f>IF('[1]资源-装备'!M114="",0,'[1]资源-装备'!M114)</f>
        <v>0</v>
      </c>
      <c r="R108" s="131">
        <f>IF('[1]资源-装备'!N114="",0,'[1]资源-装备'!N114)</f>
        <v>0</v>
      </c>
      <c r="S108" s="131">
        <f>IF('[1]资源-装备'!O114="",0,'[1]资源-装备'!O114)</f>
        <v>0</v>
      </c>
      <c r="T108" s="131">
        <f>IF('[1]资源-装备'!P114="",0,'[1]资源-装备'!P114)</f>
        <v>0</v>
      </c>
      <c r="U108" s="131">
        <f>IF('[1]资源-装备'!Q114="",0,'[1]资源-装备'!Q114)</f>
        <v>178</v>
      </c>
      <c r="V108" s="126" t="e">
        <f t="shared" si="7"/>
        <v>#VALUE!</v>
      </c>
    </row>
    <row r="109" spans="15:22" x14ac:dyDescent="0.15">
      <c r="O109" s="41">
        <v>19</v>
      </c>
      <c r="P109" s="85"/>
      <c r="Q109" s="85"/>
      <c r="R109" s="85"/>
      <c r="S109" s="85"/>
      <c r="T109" s="85"/>
      <c r="U109" s="85"/>
      <c r="V109" s="85"/>
    </row>
    <row r="110" spans="15:22" x14ac:dyDescent="0.15">
      <c r="O110" s="41">
        <v>20</v>
      </c>
      <c r="P110" s="85"/>
      <c r="Q110" s="85"/>
      <c r="R110" s="85"/>
      <c r="S110" s="85"/>
      <c r="T110" s="85"/>
      <c r="U110" s="85"/>
      <c r="V110" s="85"/>
    </row>
    <row r="111" spans="15:22" x14ac:dyDescent="0.15">
      <c r="O111" s="41">
        <v>21</v>
      </c>
      <c r="P111" s="85"/>
      <c r="Q111" s="85"/>
      <c r="R111" s="85"/>
      <c r="S111" s="85"/>
      <c r="T111" s="85"/>
      <c r="U111" s="85"/>
      <c r="V111" s="85"/>
    </row>
    <row r="112" spans="15:22" x14ac:dyDescent="0.15">
      <c r="O112" s="41">
        <v>22</v>
      </c>
    </row>
    <row r="113" spans="15:22" x14ac:dyDescent="0.15">
      <c r="O113" s="41">
        <v>23</v>
      </c>
    </row>
    <row r="114" spans="15:22" x14ac:dyDescent="0.15">
      <c r="O114" s="41">
        <v>24</v>
      </c>
    </row>
    <row r="115" spans="15:22" x14ac:dyDescent="0.15">
      <c r="O115" s="41">
        <v>25</v>
      </c>
    </row>
    <row r="116" spans="15:22" x14ac:dyDescent="0.15">
      <c r="O116" s="41">
        <v>26</v>
      </c>
    </row>
    <row r="117" spans="15:22" x14ac:dyDescent="0.15">
      <c r="O117" s="41">
        <v>27</v>
      </c>
    </row>
    <row r="118" spans="15:22" x14ac:dyDescent="0.15">
      <c r="O118" s="41">
        <v>28</v>
      </c>
    </row>
    <row r="119" spans="15:22" x14ac:dyDescent="0.15">
      <c r="O119" s="41">
        <v>29</v>
      </c>
      <c r="P119" s="41"/>
      <c r="Q119" s="41"/>
      <c r="R119" s="41"/>
      <c r="S119" s="41"/>
      <c r="T119" s="41"/>
      <c r="U119" s="41"/>
    </row>
    <row r="120" spans="15:22" x14ac:dyDescent="0.15">
      <c r="O120" s="41">
        <v>1</v>
      </c>
      <c r="P120" s="85" t="s">
        <v>381</v>
      </c>
      <c r="Q120" s="184" t="s">
        <v>392</v>
      </c>
      <c r="R120" s="204"/>
      <c r="S120" s="204"/>
      <c r="T120" s="204"/>
      <c r="U120" s="185"/>
    </row>
    <row r="121" spans="15:22" x14ac:dyDescent="0.15">
      <c r="O121" s="41">
        <v>2</v>
      </c>
      <c r="P121" s="85" t="s">
        <v>398</v>
      </c>
      <c r="Q121" s="85" t="s">
        <v>0</v>
      </c>
      <c r="R121" s="85" t="s">
        <v>1</v>
      </c>
      <c r="S121" s="85" t="s">
        <v>382</v>
      </c>
      <c r="T121" s="85" t="s">
        <v>383</v>
      </c>
      <c r="U121" s="85" t="s">
        <v>384</v>
      </c>
      <c r="V121" s="85" t="s">
        <v>385</v>
      </c>
    </row>
    <row r="122" spans="15:22" x14ac:dyDescent="0.15">
      <c r="O122" s="41">
        <v>3</v>
      </c>
      <c r="P122" s="85">
        <v>10</v>
      </c>
      <c r="Q122" s="86">
        <f>IF('[1]资源-装备'!M128="",0,'[1]资源-装备'!M128)</f>
        <v>0</v>
      </c>
      <c r="R122" s="86">
        <f>IF('[1]资源-装备'!N128="",0,'[1]资源-装备'!N128)</f>
        <v>0</v>
      </c>
      <c r="S122" s="86">
        <f>IF('[1]资源-装备'!O128="",0,'[1]资源-装备'!O128)</f>
        <v>-5</v>
      </c>
      <c r="T122" s="86">
        <f>IF('[1]资源-装备'!P128="",0,'[1]资源-装备'!P128)</f>
        <v>-5.5</v>
      </c>
      <c r="U122" s="86">
        <f>IF('[1]资源-装备'!Q128="",0,'[1]资源-装备'!Q128)</f>
        <v>-10</v>
      </c>
      <c r="V122" s="89">
        <f>MAX(Q122*INDEX($H$6:$H$21,MATCH($P122,$B$6:$B$21,0),1),
R122*INDEX($I$6:$I$21,MATCH($P122,$B$6:$B$21,0),1),
S122*INDEX($J$6:$J$21,MATCH($P122,$B$6:$B$21,0),1),
T122*INDEX($K$6:$K$21,MATCH($P122,$B$6:$B$21,0),1),
U122*INDEX($L$6:$L$21,MATCH($P122,$B$6:$B$21,0),1))</f>
        <v>0</v>
      </c>
    </row>
    <row r="123" spans="15:22" x14ac:dyDescent="0.15">
      <c r="O123" s="41">
        <v>4</v>
      </c>
      <c r="P123" s="85">
        <v>20</v>
      </c>
      <c r="Q123" s="131">
        <f>IF('[1]资源-装备'!M129="",0,'[1]资源-装备'!M129)</f>
        <v>-1</v>
      </c>
      <c r="R123" s="131">
        <f>IF('[1]资源-装备'!N129="",0,'[1]资源-装备'!N129)</f>
        <v>-2</v>
      </c>
      <c r="S123" s="131">
        <f>IF('[1]资源-装备'!O129="",0,'[1]资源-装备'!O129)</f>
        <v>0</v>
      </c>
      <c r="T123" s="131">
        <f>IF('[1]资源-装备'!P129="",0,'[1]资源-装备'!P129)</f>
        <v>-5.5</v>
      </c>
      <c r="U123" s="131">
        <f>IF('[1]资源-装备'!Q129="",0,'[1]资源-装备'!Q129)</f>
        <v>-10</v>
      </c>
      <c r="V123" s="85">
        <f t="shared" ref="V123:V130" si="8">MAX((Q123-Q122)*INDEX($H$6:$H$21,MATCH($P123,$B$6:$B$21,0),1),
(R123-R122)*INDEX($I$6:$I$21,MATCH($P123,$B$6:$B$21,0),1),
(S123-S122)*INDEX($J$6:$J$21,MATCH($P123,$B$6:$B$21,0),1),
(T123-T122)*INDEX($K$6:$K$21,MATCH($P123,$B$6:$B$21,0),1),
(U123-U122)*INDEX($L$6:$L$21,MATCH($P123,$B$6:$B$21,0),1))+V122</f>
        <v>144.92753623188406</v>
      </c>
    </row>
    <row r="124" spans="15:22" x14ac:dyDescent="0.15">
      <c r="O124" s="41">
        <v>5</v>
      </c>
      <c r="P124" s="85">
        <v>30</v>
      </c>
      <c r="Q124" s="131">
        <f>IF('[1]资源-装备'!M130="",0,'[1]资源-装备'!M130)</f>
        <v>-1</v>
      </c>
      <c r="R124" s="131">
        <f>IF('[1]资源-装备'!N130="",0,'[1]资源-装备'!N130)</f>
        <v>-3</v>
      </c>
      <c r="S124" s="131">
        <f>IF('[1]资源-装备'!O130="",0,'[1]资源-装备'!O130)</f>
        <v>-4</v>
      </c>
      <c r="T124" s="131">
        <f>IF('[1]资源-装备'!P130="",0,'[1]资源-装备'!P130)</f>
        <v>-3.5</v>
      </c>
      <c r="U124" s="131">
        <f>IF('[1]资源-装备'!Q130="",0,'[1]资源-装备'!Q130)</f>
        <v>-10</v>
      </c>
      <c r="V124" s="85">
        <f t="shared" si="8"/>
        <v>519.92753623188401</v>
      </c>
    </row>
    <row r="125" spans="15:22" x14ac:dyDescent="0.15">
      <c r="O125" s="41">
        <v>6</v>
      </c>
      <c r="P125" s="85">
        <v>40</v>
      </c>
      <c r="Q125" s="131">
        <f>IF('[1]资源-装备'!M131="",0,'[1]资源-装备'!M131)</f>
        <v>-1</v>
      </c>
      <c r="R125" s="131">
        <f>IF('[1]资源-装备'!N131="",0,'[1]资源-装备'!N131)</f>
        <v>-3</v>
      </c>
      <c r="S125" s="131">
        <f>IF('[1]资源-装备'!O131="",0,'[1]资源-装备'!O131)</f>
        <v>-5</v>
      </c>
      <c r="T125" s="131">
        <f>IF('[1]资源-装备'!P131="",0,'[1]资源-装备'!P131)</f>
        <v>-0.5</v>
      </c>
      <c r="U125" s="131">
        <f>IF('[1]资源-装备'!Q131="",0,'[1]资源-装备'!Q131)</f>
        <v>-10</v>
      </c>
      <c r="V125" s="85">
        <f t="shared" si="8"/>
        <v>696.7309308570608</v>
      </c>
    </row>
    <row r="126" spans="15:22" x14ac:dyDescent="0.15">
      <c r="O126" s="41">
        <v>7</v>
      </c>
      <c r="P126" s="85">
        <v>50</v>
      </c>
      <c r="Q126" s="131">
        <f>IF('[1]资源-装备'!M132="",0,'[1]资源-装备'!M132)</f>
        <v>-1</v>
      </c>
      <c r="R126" s="131">
        <f>IF('[1]资源-装备'!N132="",0,'[1]资源-装备'!N132)</f>
        <v>-3</v>
      </c>
      <c r="S126" s="131">
        <f>IF('[1]资源-装备'!O132="",0,'[1]资源-装备'!O132)</f>
        <v>-5</v>
      </c>
      <c r="T126" s="131">
        <f>IF('[1]资源-装备'!P132="",0,'[1]资源-装备'!P132)</f>
        <v>-2.5</v>
      </c>
      <c r="U126" s="131">
        <f>IF('[1]资源-装备'!Q132="",0,'[1]资源-装备'!Q132)</f>
        <v>-8</v>
      </c>
      <c r="V126" s="85">
        <f t="shared" si="8"/>
        <v>2102.9809308570607</v>
      </c>
    </row>
    <row r="127" spans="15:22" x14ac:dyDescent="0.15">
      <c r="O127" s="41">
        <v>8</v>
      </c>
      <c r="P127" s="85">
        <v>60</v>
      </c>
      <c r="Q127" s="131">
        <f>IF('[1]资源-装备'!M133="",0,'[1]资源-装备'!M133)</f>
        <v>-1</v>
      </c>
      <c r="R127" s="131">
        <f>IF('[1]资源-装备'!N133="",0,'[1]资源-装备'!N133)</f>
        <v>-3</v>
      </c>
      <c r="S127" s="131">
        <f>IF('[1]资源-装备'!O133="",0,'[1]资源-装备'!O133)</f>
        <v>-5</v>
      </c>
      <c r="T127" s="131">
        <f>IF('[1]资源-装备'!P133="",0,'[1]资源-装备'!P133)</f>
        <v>-4.5</v>
      </c>
      <c r="U127" s="131">
        <f>IF('[1]资源-装备'!Q133="",0,'[1]资源-装备'!Q133)</f>
        <v>-4</v>
      </c>
      <c r="V127" s="85">
        <f t="shared" si="8"/>
        <v>3873.9372472679224</v>
      </c>
    </row>
    <row r="128" spans="15:22" x14ac:dyDescent="0.15">
      <c r="O128" s="41">
        <v>9</v>
      </c>
      <c r="P128" s="85">
        <v>70</v>
      </c>
      <c r="Q128" s="131">
        <f>IF('[1]资源-装备'!M134="",0,'[1]资源-装备'!M134)</f>
        <v>-1</v>
      </c>
      <c r="R128" s="131">
        <f>IF('[1]资源-装备'!N134="",0,'[1]资源-装备'!N134)</f>
        <v>-3</v>
      </c>
      <c r="S128" s="131">
        <f>IF('[1]资源-装备'!O134="",0,'[1]资源-装备'!O134)</f>
        <v>-5</v>
      </c>
      <c r="T128" s="131">
        <f>IF('[1]资源-装备'!P134="",0,'[1]资源-装备'!P134)</f>
        <v>-5</v>
      </c>
      <c r="U128" s="131">
        <f>IF('[1]资源-装备'!Q134="",0,'[1]资源-装备'!Q134)</f>
        <v>-8</v>
      </c>
      <c r="V128" s="85">
        <f t="shared" si="8"/>
        <v>3873.9372472679224</v>
      </c>
    </row>
    <row r="129" spans="15:22" x14ac:dyDescent="0.15">
      <c r="O129" s="41">
        <v>10</v>
      </c>
      <c r="P129" s="85">
        <v>80</v>
      </c>
      <c r="Q129" s="131">
        <f>IF('[1]资源-装备'!M135="",0,'[1]资源-装备'!M135)</f>
        <v>-1</v>
      </c>
      <c r="R129" s="131">
        <f>IF('[1]资源-装备'!N135="",0,'[1]资源-装备'!N135)</f>
        <v>-3</v>
      </c>
      <c r="S129" s="131">
        <f>IF('[1]资源-装备'!O135="",0,'[1]资源-装备'!O135)</f>
        <v>-5</v>
      </c>
      <c r="T129" s="131">
        <f>IF('[1]资源-装备'!P135="",0,'[1]资源-装备'!P135)</f>
        <v>-5.5</v>
      </c>
      <c r="U129" s="131">
        <f>IF('[1]资源-装备'!Q135="",0,'[1]资源-装备'!Q135)</f>
        <v>-2</v>
      </c>
      <c r="V129" s="85">
        <f t="shared" si="8"/>
        <v>6424.957655431187</v>
      </c>
    </row>
    <row r="130" spans="15:22" x14ac:dyDescent="0.15">
      <c r="O130" s="41">
        <v>11</v>
      </c>
      <c r="P130" s="85">
        <v>90</v>
      </c>
      <c r="Q130" s="131">
        <f>IF('[1]资源-装备'!M136="",0,'[1]资源-装备'!M136)</f>
        <v>-1</v>
      </c>
      <c r="R130" s="131">
        <f>IF('[1]资源-装备'!N136="",0,'[1]资源-装备'!N136)</f>
        <v>-3</v>
      </c>
      <c r="S130" s="131">
        <f>IF('[1]资源-装备'!O136="",0,'[1]资源-装备'!O136)</f>
        <v>-5</v>
      </c>
      <c r="T130" s="131">
        <f>IF('[1]资源-装备'!P136="",0,'[1]资源-装备'!P136)</f>
        <v>-5.5</v>
      </c>
      <c r="U130" s="131">
        <f>IF('[1]资源-装备'!Q136="",0,'[1]资源-装备'!Q136)</f>
        <v>-2</v>
      </c>
      <c r="V130" s="85">
        <f t="shared" si="8"/>
        <v>6424.957655431187</v>
      </c>
    </row>
    <row r="131" spans="15:22" x14ac:dyDescent="0.15">
      <c r="O131" s="41">
        <v>12</v>
      </c>
      <c r="P131" s="126">
        <v>100</v>
      </c>
      <c r="Q131" s="131">
        <f>IF('[1]资源-装备'!M137="",0,'[1]资源-装备'!M137)</f>
        <v>-1</v>
      </c>
      <c r="R131" s="131">
        <f>IF('[1]资源-装备'!N137="",0,'[1]资源-装备'!N137)</f>
        <v>-3</v>
      </c>
      <c r="S131" s="131">
        <f>IF('[1]资源-装备'!O137="",0,'[1]资源-装备'!O137)</f>
        <v>-5</v>
      </c>
      <c r="T131" s="131">
        <f>IF('[1]资源-装备'!P137="",0,'[1]资源-装备'!P137)</f>
        <v>-5.5</v>
      </c>
      <c r="U131" s="131">
        <f>IF('[1]资源-装备'!Q137="",0,'[1]资源-装备'!Q137)</f>
        <v>-2</v>
      </c>
      <c r="V131" s="126">
        <f t="shared" ref="V131:V137" si="9">MAX((Q131-Q130)*INDEX($H$6:$H$21,MATCH($P131,$B$6:$B$21,0),1),
(R131-R130)*INDEX($I$6:$I$21,MATCH($P131,$B$6:$B$21,0),1),
(S131-S130)*INDEX($J$6:$J$21,MATCH($P131,$B$6:$B$21,0),1),
(T131-T130)*INDEX($K$6:$K$21,MATCH($P131,$B$6:$B$21,0),1),
(U131-U130)*INDEX($L$6:$L$21,MATCH($P131,$B$6:$B$21,0),1))+V130</f>
        <v>6424.957655431187</v>
      </c>
    </row>
    <row r="132" spans="15:22" x14ac:dyDescent="0.15">
      <c r="O132" s="41">
        <v>13</v>
      </c>
      <c r="P132" s="126">
        <v>110</v>
      </c>
      <c r="Q132" s="131">
        <f>IF('[1]资源-装备'!M138="",0,'[1]资源-装备'!M138)</f>
        <v>-1</v>
      </c>
      <c r="R132" s="131">
        <f>IF('[1]资源-装备'!N138="",0,'[1]资源-装备'!N138)</f>
        <v>-3</v>
      </c>
      <c r="S132" s="131">
        <f>IF('[1]资源-装备'!O138="",0,'[1]资源-装备'!O138)</f>
        <v>-5</v>
      </c>
      <c r="T132" s="131">
        <f>IF('[1]资源-装备'!P138="",0,'[1]资源-装备'!P138)</f>
        <v>-5.5</v>
      </c>
      <c r="U132" s="131">
        <f>IF('[1]资源-装备'!Q138="",0,'[1]资源-装备'!Q138)</f>
        <v>-2</v>
      </c>
      <c r="V132" s="126">
        <f t="shared" si="9"/>
        <v>6424.957655431187</v>
      </c>
    </row>
    <row r="133" spans="15:22" x14ac:dyDescent="0.15">
      <c r="O133" s="41">
        <v>14</v>
      </c>
      <c r="P133" s="126">
        <v>120</v>
      </c>
      <c r="Q133" s="131">
        <f>IF('[1]资源-装备'!M139="",0,'[1]资源-装备'!M139)</f>
        <v>-1</v>
      </c>
      <c r="R133" s="131">
        <f>IF('[1]资源-装备'!N139="",0,'[1]资源-装备'!N139)</f>
        <v>-3</v>
      </c>
      <c r="S133" s="131">
        <f>IF('[1]资源-装备'!O139="",0,'[1]资源-装备'!O139)</f>
        <v>-5</v>
      </c>
      <c r="T133" s="131">
        <f>IF('[1]资源-装备'!P139="",0,'[1]资源-装备'!P139)</f>
        <v>-5.5</v>
      </c>
      <c r="U133" s="131">
        <f>IF('[1]资源-装备'!Q139="",0,'[1]资源-装备'!Q139)</f>
        <v>-2</v>
      </c>
      <c r="V133" s="126">
        <f t="shared" si="9"/>
        <v>6424.957655431187</v>
      </c>
    </row>
    <row r="134" spans="15:22" x14ac:dyDescent="0.15">
      <c r="O134" s="41">
        <v>15</v>
      </c>
      <c r="P134" s="126">
        <v>130</v>
      </c>
      <c r="Q134" s="131">
        <f>IF('[1]资源-装备'!M140="",0,'[1]资源-装备'!M140)</f>
        <v>-1</v>
      </c>
      <c r="R134" s="131">
        <f>IF('[1]资源-装备'!N140="",0,'[1]资源-装备'!N140)</f>
        <v>-3</v>
      </c>
      <c r="S134" s="131">
        <f>IF('[1]资源-装备'!O140="",0,'[1]资源-装备'!O140)</f>
        <v>-5</v>
      </c>
      <c r="T134" s="131">
        <f>IF('[1]资源-装备'!P140="",0,'[1]资源-装备'!P140)</f>
        <v>-5.5</v>
      </c>
      <c r="U134" s="131">
        <f>IF('[1]资源-装备'!Q140="",0,'[1]资源-装备'!Q140)</f>
        <v>-2</v>
      </c>
      <c r="V134" s="126">
        <f t="shared" si="9"/>
        <v>6424.957655431187</v>
      </c>
    </row>
    <row r="135" spans="15:22" x14ac:dyDescent="0.15">
      <c r="O135" s="41">
        <v>16</v>
      </c>
      <c r="P135" s="126">
        <v>140</v>
      </c>
      <c r="Q135" s="131">
        <f>IF('[1]资源-装备'!M141="",0,'[1]资源-装备'!M141)</f>
        <v>-1</v>
      </c>
      <c r="R135" s="131">
        <f>IF('[1]资源-装备'!N141="",0,'[1]资源-装备'!N141)</f>
        <v>-3</v>
      </c>
      <c r="S135" s="131">
        <f>IF('[1]资源-装备'!O141="",0,'[1]资源-装备'!O141)</f>
        <v>-5</v>
      </c>
      <c r="T135" s="131">
        <f>IF('[1]资源-装备'!P141="",0,'[1]资源-装备'!P141)</f>
        <v>-5.5</v>
      </c>
      <c r="U135" s="131">
        <f>IF('[1]资源-装备'!Q141="",0,'[1]资源-装备'!Q141)</f>
        <v>-2</v>
      </c>
      <c r="V135" s="126">
        <f t="shared" si="9"/>
        <v>6424.957655431187</v>
      </c>
    </row>
    <row r="136" spans="15:22" x14ac:dyDescent="0.15">
      <c r="O136" s="41">
        <v>17</v>
      </c>
      <c r="P136" s="126">
        <v>150</v>
      </c>
      <c r="Q136" s="131">
        <f>IF('[1]资源-装备'!M142="",0,'[1]资源-装备'!M142)</f>
        <v>-1</v>
      </c>
      <c r="R136" s="131">
        <f>IF('[1]资源-装备'!N142="",0,'[1]资源-装备'!N142)</f>
        <v>-3</v>
      </c>
      <c r="S136" s="131">
        <f>IF('[1]资源-装备'!O142="",0,'[1]资源-装备'!O142)</f>
        <v>-5</v>
      </c>
      <c r="T136" s="131">
        <f>IF('[1]资源-装备'!P142="",0,'[1]资源-装备'!P142)</f>
        <v>-5.5</v>
      </c>
      <c r="U136" s="131">
        <f>IF('[1]资源-装备'!Q142="",0,'[1]资源-装备'!Q142)</f>
        <v>-2</v>
      </c>
      <c r="V136" s="126">
        <f t="shared" si="9"/>
        <v>6424.957655431187</v>
      </c>
    </row>
    <row r="137" spans="15:22" x14ac:dyDescent="0.15">
      <c r="O137" s="41">
        <v>18</v>
      </c>
      <c r="P137" s="126">
        <v>160</v>
      </c>
      <c r="Q137" s="131">
        <f>IF('[1]资源-装备'!M143="",0,'[1]资源-装备'!M143)</f>
        <v>-1</v>
      </c>
      <c r="R137" s="131">
        <f>IF('[1]资源-装备'!N143="",0,'[1]资源-装备'!N143)</f>
        <v>-3</v>
      </c>
      <c r="S137" s="131">
        <f>IF('[1]资源-装备'!O143="",0,'[1]资源-装备'!O143)</f>
        <v>-5</v>
      </c>
      <c r="T137" s="131">
        <f>IF('[1]资源-装备'!P143="",0,'[1]资源-装备'!P143)</f>
        <v>-5.5</v>
      </c>
      <c r="U137" s="131">
        <f>IF('[1]资源-装备'!Q143="",0,'[1]资源-装备'!Q143)</f>
        <v>-2</v>
      </c>
      <c r="V137" s="126">
        <f t="shared" si="9"/>
        <v>6424.957655431187</v>
      </c>
    </row>
    <row r="138" spans="15:22" x14ac:dyDescent="0.15">
      <c r="O138" s="41">
        <v>19</v>
      </c>
      <c r="P138" s="85"/>
      <c r="Q138" s="85"/>
      <c r="R138" s="85"/>
      <c r="S138" s="85"/>
      <c r="T138" s="85"/>
      <c r="U138" s="85"/>
      <c r="V138" s="85"/>
    </row>
    <row r="139" spans="15:22" x14ac:dyDescent="0.15">
      <c r="O139" s="41">
        <v>20</v>
      </c>
      <c r="P139" s="85"/>
      <c r="Q139" s="85"/>
      <c r="R139" s="85"/>
      <c r="S139" s="85"/>
      <c r="T139" s="85"/>
      <c r="U139" s="85"/>
      <c r="V139" s="85"/>
    </row>
    <row r="140" spans="15:22" x14ac:dyDescent="0.15">
      <c r="O140" s="41">
        <v>21</v>
      </c>
      <c r="P140" s="85"/>
      <c r="Q140" s="85"/>
      <c r="R140" s="85"/>
      <c r="S140" s="85"/>
      <c r="T140" s="85"/>
      <c r="U140" s="85"/>
      <c r="V140" s="85"/>
    </row>
    <row r="141" spans="15:22" x14ac:dyDescent="0.15">
      <c r="O141" s="41">
        <v>22</v>
      </c>
    </row>
    <row r="142" spans="15:22" x14ac:dyDescent="0.15">
      <c r="O142" s="41">
        <v>23</v>
      </c>
    </row>
    <row r="143" spans="15:22" x14ac:dyDescent="0.15">
      <c r="O143" s="41">
        <v>24</v>
      </c>
    </row>
    <row r="144" spans="15:22" x14ac:dyDescent="0.15">
      <c r="O144" s="41">
        <v>25</v>
      </c>
    </row>
    <row r="145" spans="15:15" x14ac:dyDescent="0.15">
      <c r="O145" s="41">
        <v>26</v>
      </c>
    </row>
    <row r="146" spans="15:15" x14ac:dyDescent="0.15">
      <c r="O146" s="41">
        <v>27</v>
      </c>
    </row>
    <row r="147" spans="15:15" x14ac:dyDescent="0.15">
      <c r="O147" s="41">
        <v>28</v>
      </c>
    </row>
    <row r="148" spans="15:15" x14ac:dyDescent="0.15">
      <c r="O148" s="41">
        <v>29</v>
      </c>
    </row>
  </sheetData>
  <mergeCells count="7">
    <mergeCell ref="Q91:U91"/>
    <mergeCell ref="Q120:U120"/>
    <mergeCell ref="C4:G4"/>
    <mergeCell ref="H4:L4"/>
    <mergeCell ref="Q4:U4"/>
    <mergeCell ref="Q33:U33"/>
    <mergeCell ref="Q62:U62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AEBA8-A6CB-4C43-8E0F-1466D7EDB88D}">
  <sheetPr codeName="Sheet6">
    <tabColor rgb="FFFF0000"/>
  </sheetPr>
  <dimension ref="B3:M164"/>
  <sheetViews>
    <sheetView workbookViewId="0">
      <selection activeCell="O23" sqref="O23"/>
    </sheetView>
  </sheetViews>
  <sheetFormatPr defaultColWidth="6.625" defaultRowHeight="11.25" x14ac:dyDescent="0.15"/>
  <cols>
    <col min="1" max="16384" width="6.625" style="153"/>
  </cols>
  <sheetData>
    <row r="3" spans="2:13" x14ac:dyDescent="0.15">
      <c r="C3" s="207" t="s">
        <v>420</v>
      </c>
      <c r="D3" s="207"/>
      <c r="E3" s="207"/>
      <c r="F3" s="207"/>
      <c r="G3" s="207"/>
      <c r="I3" s="207" t="s">
        <v>426</v>
      </c>
      <c r="J3" s="207"/>
      <c r="K3" s="207"/>
      <c r="L3" s="207"/>
      <c r="M3" s="207"/>
    </row>
    <row r="4" spans="2:13" x14ac:dyDescent="0.15">
      <c r="B4" s="153" t="s">
        <v>398</v>
      </c>
      <c r="C4" s="153" t="s">
        <v>421</v>
      </c>
      <c r="D4" s="153" t="s">
        <v>422</v>
      </c>
      <c r="E4" s="153" t="s">
        <v>423</v>
      </c>
      <c r="F4" s="153" t="s">
        <v>424</v>
      </c>
      <c r="G4" s="153" t="s">
        <v>425</v>
      </c>
      <c r="I4" s="153" t="s">
        <v>421</v>
      </c>
      <c r="J4" s="153" t="s">
        <v>422</v>
      </c>
      <c r="K4" s="153" t="s">
        <v>423</v>
      </c>
      <c r="L4" s="153" t="s">
        <v>424</v>
      </c>
      <c r="M4" s="153" t="s">
        <v>425</v>
      </c>
    </row>
    <row r="5" spans="2:13" x14ac:dyDescent="0.15">
      <c r="B5" s="153">
        <v>1</v>
      </c>
      <c r="C5" s="154">
        <f>'[1]功能-行军令'!CS5</f>
        <v>0</v>
      </c>
      <c r="D5" s="154">
        <f>'[1]功能-行军令'!CT5</f>
        <v>0</v>
      </c>
      <c r="E5" s="154">
        <f>'[1]功能-行军令'!CU5</f>
        <v>0</v>
      </c>
      <c r="F5" s="154">
        <f>'[1]功能-行军令'!CV5</f>
        <v>0</v>
      </c>
      <c r="G5" s="154">
        <f>'[1]功能-行军令'!CW5</f>
        <v>0</v>
      </c>
      <c r="I5" s="155">
        <f>C5/(0.3/0.5)/3/12</f>
        <v>0</v>
      </c>
      <c r="J5" s="155">
        <f t="shared" ref="J5:M5" si="0">D5/(0.3/0.5)/3/12</f>
        <v>0</v>
      </c>
      <c r="K5" s="155">
        <f t="shared" si="0"/>
        <v>0</v>
      </c>
      <c r="L5" s="155">
        <f t="shared" si="0"/>
        <v>0</v>
      </c>
      <c r="M5" s="155">
        <f t="shared" si="0"/>
        <v>0</v>
      </c>
    </row>
    <row r="6" spans="2:13" x14ac:dyDescent="0.15">
      <c r="B6" s="153">
        <v>2</v>
      </c>
      <c r="C6" s="154">
        <f>'[1]功能-行军令'!CS6</f>
        <v>0</v>
      </c>
      <c r="D6" s="154">
        <f>'[1]功能-行军令'!CT6</f>
        <v>0</v>
      </c>
      <c r="E6" s="154">
        <f>'[1]功能-行军令'!CU6</f>
        <v>0</v>
      </c>
      <c r="F6" s="154">
        <f>'[1]功能-行军令'!CV6</f>
        <v>0</v>
      </c>
      <c r="G6" s="154">
        <f>'[1]功能-行军令'!CW6</f>
        <v>0</v>
      </c>
      <c r="I6" s="155">
        <f t="shared" ref="I6:I69" si="1">C6/(0.3/0.5)/3/12</f>
        <v>0</v>
      </c>
      <c r="J6" s="155">
        <f t="shared" ref="J6:J69" si="2">D6/(0.3/0.5)/3/12</f>
        <v>0</v>
      </c>
      <c r="K6" s="155">
        <f t="shared" ref="K6:K69" si="3">E6/(0.3/0.5)/3/12</f>
        <v>0</v>
      </c>
      <c r="L6" s="155">
        <f t="shared" ref="L6:L69" si="4">F6/(0.3/0.5)/3/12</f>
        <v>0</v>
      </c>
      <c r="M6" s="155">
        <f t="shared" ref="M6:M69" si="5">G6/(0.3/0.5)/3/12</f>
        <v>0</v>
      </c>
    </row>
    <row r="7" spans="2:13" x14ac:dyDescent="0.15">
      <c r="B7" s="153">
        <v>3</v>
      </c>
      <c r="C7" s="154">
        <f>'[1]功能-行军令'!CS7</f>
        <v>0</v>
      </c>
      <c r="D7" s="154">
        <f>'[1]功能-行军令'!CT7</f>
        <v>0</v>
      </c>
      <c r="E7" s="154">
        <f>'[1]功能-行军令'!CU7</f>
        <v>0</v>
      </c>
      <c r="F7" s="154">
        <f>'[1]功能-行军令'!CV7</f>
        <v>0</v>
      </c>
      <c r="G7" s="154">
        <f>'[1]功能-行军令'!CW7</f>
        <v>0</v>
      </c>
      <c r="I7" s="155">
        <f t="shared" si="1"/>
        <v>0</v>
      </c>
      <c r="J7" s="155">
        <f t="shared" si="2"/>
        <v>0</v>
      </c>
      <c r="K7" s="155">
        <f t="shared" si="3"/>
        <v>0</v>
      </c>
      <c r="L7" s="155">
        <f t="shared" si="4"/>
        <v>0</v>
      </c>
      <c r="M7" s="155">
        <f t="shared" si="5"/>
        <v>0</v>
      </c>
    </row>
    <row r="8" spans="2:13" x14ac:dyDescent="0.15">
      <c r="B8" s="153">
        <v>4</v>
      </c>
      <c r="C8" s="154">
        <f>'[1]功能-行军令'!CS8</f>
        <v>0</v>
      </c>
      <c r="D8" s="154">
        <f>'[1]功能-行军令'!CT8</f>
        <v>0</v>
      </c>
      <c r="E8" s="154">
        <f>'[1]功能-行军令'!CU8</f>
        <v>0</v>
      </c>
      <c r="F8" s="154">
        <f>'[1]功能-行军令'!CV8</f>
        <v>0</v>
      </c>
      <c r="G8" s="154">
        <f>'[1]功能-行军令'!CW8</f>
        <v>0</v>
      </c>
      <c r="I8" s="155">
        <f t="shared" si="1"/>
        <v>0</v>
      </c>
      <c r="J8" s="155">
        <f t="shared" si="2"/>
        <v>0</v>
      </c>
      <c r="K8" s="155">
        <f t="shared" si="3"/>
        <v>0</v>
      </c>
      <c r="L8" s="155">
        <f t="shared" si="4"/>
        <v>0</v>
      </c>
      <c r="M8" s="155">
        <f t="shared" si="5"/>
        <v>0</v>
      </c>
    </row>
    <row r="9" spans="2:13" x14ac:dyDescent="0.15">
      <c r="B9" s="153">
        <v>5</v>
      </c>
      <c r="C9" s="154">
        <f>'[1]功能-行军令'!CS9</f>
        <v>0</v>
      </c>
      <c r="D9" s="154">
        <f>'[1]功能-行军令'!CT9</f>
        <v>0</v>
      </c>
      <c r="E9" s="154">
        <f>'[1]功能-行军令'!CU9</f>
        <v>0</v>
      </c>
      <c r="F9" s="154">
        <f>'[1]功能-行军令'!CV9</f>
        <v>0</v>
      </c>
      <c r="G9" s="154">
        <f>'[1]功能-行军令'!CW9</f>
        <v>0</v>
      </c>
      <c r="I9" s="155">
        <f t="shared" si="1"/>
        <v>0</v>
      </c>
      <c r="J9" s="155">
        <f t="shared" si="2"/>
        <v>0</v>
      </c>
      <c r="K9" s="155">
        <f t="shared" si="3"/>
        <v>0</v>
      </c>
      <c r="L9" s="155">
        <f t="shared" si="4"/>
        <v>0</v>
      </c>
      <c r="M9" s="155">
        <f t="shared" si="5"/>
        <v>0</v>
      </c>
    </row>
    <row r="10" spans="2:13" x14ac:dyDescent="0.15">
      <c r="B10" s="153">
        <v>6</v>
      </c>
      <c r="C10" s="154">
        <f>'[1]功能-行军令'!CS10</f>
        <v>0</v>
      </c>
      <c r="D10" s="154">
        <f>'[1]功能-行军令'!CT10</f>
        <v>0</v>
      </c>
      <c r="E10" s="154">
        <f>'[1]功能-行军令'!CU10</f>
        <v>0</v>
      </c>
      <c r="F10" s="154">
        <f>'[1]功能-行军令'!CV10</f>
        <v>0</v>
      </c>
      <c r="G10" s="154">
        <f>'[1]功能-行军令'!CW10</f>
        <v>0</v>
      </c>
      <c r="I10" s="155">
        <f t="shared" si="1"/>
        <v>0</v>
      </c>
      <c r="J10" s="155">
        <f t="shared" si="2"/>
        <v>0</v>
      </c>
      <c r="K10" s="155">
        <f t="shared" si="3"/>
        <v>0</v>
      </c>
      <c r="L10" s="155">
        <f t="shared" si="4"/>
        <v>0</v>
      </c>
      <c r="M10" s="155">
        <f t="shared" si="5"/>
        <v>0</v>
      </c>
    </row>
    <row r="11" spans="2:13" x14ac:dyDescent="0.15">
      <c r="B11" s="153">
        <v>7</v>
      </c>
      <c r="C11" s="154">
        <f>'[1]功能-行军令'!CS11</f>
        <v>0</v>
      </c>
      <c r="D11" s="154">
        <f>'[1]功能-行军令'!CT11</f>
        <v>0</v>
      </c>
      <c r="E11" s="154">
        <f>'[1]功能-行军令'!CU11</f>
        <v>0</v>
      </c>
      <c r="F11" s="154">
        <f>'[1]功能-行军令'!CV11</f>
        <v>0</v>
      </c>
      <c r="G11" s="154">
        <f>'[1]功能-行军令'!CW11</f>
        <v>0</v>
      </c>
      <c r="I11" s="155">
        <f t="shared" si="1"/>
        <v>0</v>
      </c>
      <c r="J11" s="155">
        <f t="shared" si="2"/>
        <v>0</v>
      </c>
      <c r="K11" s="155">
        <f t="shared" si="3"/>
        <v>0</v>
      </c>
      <c r="L11" s="155">
        <f t="shared" si="4"/>
        <v>0</v>
      </c>
      <c r="M11" s="155">
        <f t="shared" si="5"/>
        <v>0</v>
      </c>
    </row>
    <row r="12" spans="2:13" x14ac:dyDescent="0.15">
      <c r="B12" s="153">
        <v>8</v>
      </c>
      <c r="C12" s="154">
        <f>'[1]功能-行军令'!CS12</f>
        <v>0</v>
      </c>
      <c r="D12" s="154">
        <f>'[1]功能-行军令'!CT12</f>
        <v>0</v>
      </c>
      <c r="E12" s="154">
        <f>'[1]功能-行军令'!CU12</f>
        <v>0</v>
      </c>
      <c r="F12" s="154">
        <f>'[1]功能-行军令'!CV12</f>
        <v>0</v>
      </c>
      <c r="G12" s="154">
        <f>'[1]功能-行军令'!CW12</f>
        <v>0</v>
      </c>
      <c r="I12" s="155">
        <f t="shared" si="1"/>
        <v>0</v>
      </c>
      <c r="J12" s="155">
        <f t="shared" si="2"/>
        <v>0</v>
      </c>
      <c r="K12" s="155">
        <f t="shared" si="3"/>
        <v>0</v>
      </c>
      <c r="L12" s="155">
        <f t="shared" si="4"/>
        <v>0</v>
      </c>
      <c r="M12" s="155">
        <f t="shared" si="5"/>
        <v>0</v>
      </c>
    </row>
    <row r="13" spans="2:13" x14ac:dyDescent="0.15">
      <c r="B13" s="153">
        <v>9</v>
      </c>
      <c r="C13" s="154">
        <f>'[1]功能-行军令'!CS13</f>
        <v>0</v>
      </c>
      <c r="D13" s="154">
        <f>'[1]功能-行军令'!CT13</f>
        <v>0</v>
      </c>
      <c r="E13" s="154">
        <f>'[1]功能-行军令'!CU13</f>
        <v>0</v>
      </c>
      <c r="F13" s="154">
        <f>'[1]功能-行军令'!CV13</f>
        <v>0</v>
      </c>
      <c r="G13" s="154">
        <f>'[1]功能-行军令'!CW13</f>
        <v>0</v>
      </c>
      <c r="I13" s="155">
        <f t="shared" si="1"/>
        <v>0</v>
      </c>
      <c r="J13" s="155">
        <f t="shared" si="2"/>
        <v>0</v>
      </c>
      <c r="K13" s="155">
        <f t="shared" si="3"/>
        <v>0</v>
      </c>
      <c r="L13" s="155">
        <f t="shared" si="4"/>
        <v>0</v>
      </c>
      <c r="M13" s="155">
        <f t="shared" si="5"/>
        <v>0</v>
      </c>
    </row>
    <row r="14" spans="2:13" x14ac:dyDescent="0.15">
      <c r="B14" s="153">
        <v>10</v>
      </c>
      <c r="C14" s="154">
        <f>'[1]功能-行军令'!CS14</f>
        <v>0</v>
      </c>
      <c r="D14" s="154">
        <f>'[1]功能-行军令'!CT14</f>
        <v>0</v>
      </c>
      <c r="E14" s="154">
        <f>'[1]功能-行军令'!CU14</f>
        <v>0</v>
      </c>
      <c r="F14" s="154">
        <f>'[1]功能-行军令'!CV14</f>
        <v>0</v>
      </c>
      <c r="G14" s="154">
        <f>'[1]功能-行军令'!CW14</f>
        <v>0</v>
      </c>
      <c r="I14" s="155">
        <f t="shared" si="1"/>
        <v>0</v>
      </c>
      <c r="J14" s="155">
        <f t="shared" si="2"/>
        <v>0</v>
      </c>
      <c r="K14" s="155">
        <f t="shared" si="3"/>
        <v>0</v>
      </c>
      <c r="L14" s="155">
        <f t="shared" si="4"/>
        <v>0</v>
      </c>
      <c r="M14" s="155">
        <f t="shared" si="5"/>
        <v>0</v>
      </c>
    </row>
    <row r="15" spans="2:13" x14ac:dyDescent="0.15">
      <c r="B15" s="153">
        <v>11</v>
      </c>
      <c r="C15" s="154">
        <f>'[1]功能-行军令'!CS15</f>
        <v>0</v>
      </c>
      <c r="D15" s="154">
        <f>'[1]功能-行军令'!CT15</f>
        <v>0</v>
      </c>
      <c r="E15" s="154">
        <f>'[1]功能-行军令'!CU15</f>
        <v>0</v>
      </c>
      <c r="F15" s="154">
        <f>'[1]功能-行军令'!CV15</f>
        <v>0</v>
      </c>
      <c r="G15" s="154">
        <f>'[1]功能-行军令'!CW15</f>
        <v>0</v>
      </c>
      <c r="I15" s="155">
        <f t="shared" si="1"/>
        <v>0</v>
      </c>
      <c r="J15" s="155">
        <f t="shared" si="2"/>
        <v>0</v>
      </c>
      <c r="K15" s="155">
        <f t="shared" si="3"/>
        <v>0</v>
      </c>
      <c r="L15" s="155">
        <f t="shared" si="4"/>
        <v>0</v>
      </c>
      <c r="M15" s="155">
        <f t="shared" si="5"/>
        <v>0</v>
      </c>
    </row>
    <row r="16" spans="2:13" x14ac:dyDescent="0.15">
      <c r="B16" s="153">
        <v>12</v>
      </c>
      <c r="C16" s="154">
        <f>'[1]功能-行军令'!CS16</f>
        <v>0</v>
      </c>
      <c r="D16" s="154">
        <f>'[1]功能-行军令'!CT16</f>
        <v>0</v>
      </c>
      <c r="E16" s="154">
        <f>'[1]功能-行军令'!CU16</f>
        <v>0</v>
      </c>
      <c r="F16" s="154">
        <f>'[1]功能-行军令'!CV16</f>
        <v>0</v>
      </c>
      <c r="G16" s="154">
        <f>'[1]功能-行军令'!CW16</f>
        <v>0</v>
      </c>
      <c r="I16" s="155">
        <f t="shared" si="1"/>
        <v>0</v>
      </c>
      <c r="J16" s="155">
        <f t="shared" si="2"/>
        <v>0</v>
      </c>
      <c r="K16" s="155">
        <f t="shared" si="3"/>
        <v>0</v>
      </c>
      <c r="L16" s="155">
        <f t="shared" si="4"/>
        <v>0</v>
      </c>
      <c r="M16" s="155">
        <f t="shared" si="5"/>
        <v>0</v>
      </c>
    </row>
    <row r="17" spans="2:13" x14ac:dyDescent="0.15">
      <c r="B17" s="153">
        <v>13</v>
      </c>
      <c r="C17" s="154">
        <f>'[1]功能-行军令'!CS17</f>
        <v>0</v>
      </c>
      <c r="D17" s="154">
        <f>'[1]功能-行军令'!CT17</f>
        <v>0</v>
      </c>
      <c r="E17" s="154">
        <f>'[1]功能-行军令'!CU17</f>
        <v>0</v>
      </c>
      <c r="F17" s="154">
        <f>'[1]功能-行军令'!CV17</f>
        <v>0</v>
      </c>
      <c r="G17" s="154">
        <f>'[1]功能-行军令'!CW17</f>
        <v>0</v>
      </c>
      <c r="I17" s="155">
        <f t="shared" si="1"/>
        <v>0</v>
      </c>
      <c r="J17" s="155">
        <f t="shared" si="2"/>
        <v>0</v>
      </c>
      <c r="K17" s="155">
        <f t="shared" si="3"/>
        <v>0</v>
      </c>
      <c r="L17" s="155">
        <f t="shared" si="4"/>
        <v>0</v>
      </c>
      <c r="M17" s="155">
        <f t="shared" si="5"/>
        <v>0</v>
      </c>
    </row>
    <row r="18" spans="2:13" x14ac:dyDescent="0.15">
      <c r="B18" s="153">
        <v>14</v>
      </c>
      <c r="C18" s="154">
        <f>'[1]功能-行军令'!CS18</f>
        <v>0</v>
      </c>
      <c r="D18" s="154">
        <f>'[1]功能-行军令'!CT18</f>
        <v>0</v>
      </c>
      <c r="E18" s="154">
        <f>'[1]功能-行军令'!CU18</f>
        <v>0</v>
      </c>
      <c r="F18" s="154">
        <f>'[1]功能-行军令'!CV18</f>
        <v>0</v>
      </c>
      <c r="G18" s="154">
        <f>'[1]功能-行军令'!CW18</f>
        <v>0</v>
      </c>
      <c r="I18" s="155">
        <f t="shared" si="1"/>
        <v>0</v>
      </c>
      <c r="J18" s="155">
        <f t="shared" si="2"/>
        <v>0</v>
      </c>
      <c r="K18" s="155">
        <f t="shared" si="3"/>
        <v>0</v>
      </c>
      <c r="L18" s="155">
        <f t="shared" si="4"/>
        <v>0</v>
      </c>
      <c r="M18" s="155">
        <f t="shared" si="5"/>
        <v>0</v>
      </c>
    </row>
    <row r="19" spans="2:13" x14ac:dyDescent="0.15">
      <c r="B19" s="153">
        <v>15</v>
      </c>
      <c r="C19" s="154">
        <f>'[1]功能-行军令'!CS19</f>
        <v>0</v>
      </c>
      <c r="D19" s="154">
        <f>'[1]功能-行军令'!CT19</f>
        <v>0</v>
      </c>
      <c r="E19" s="154">
        <f>'[1]功能-行军令'!CU19</f>
        <v>0</v>
      </c>
      <c r="F19" s="154">
        <f>'[1]功能-行军令'!CV19</f>
        <v>0</v>
      </c>
      <c r="G19" s="154">
        <f>'[1]功能-行军令'!CW19</f>
        <v>0</v>
      </c>
      <c r="I19" s="155">
        <f t="shared" si="1"/>
        <v>0</v>
      </c>
      <c r="J19" s="155">
        <f t="shared" si="2"/>
        <v>0</v>
      </c>
      <c r="K19" s="155">
        <f t="shared" si="3"/>
        <v>0</v>
      </c>
      <c r="L19" s="155">
        <f t="shared" si="4"/>
        <v>0</v>
      </c>
      <c r="M19" s="155">
        <f t="shared" si="5"/>
        <v>0</v>
      </c>
    </row>
    <row r="20" spans="2:13" x14ac:dyDescent="0.15">
      <c r="B20" s="153">
        <v>16</v>
      </c>
      <c r="C20" s="154">
        <f>'[1]功能-行军令'!CS20</f>
        <v>0</v>
      </c>
      <c r="D20" s="154">
        <f>'[1]功能-行军令'!CT20</f>
        <v>0</v>
      </c>
      <c r="E20" s="154">
        <f>'[1]功能-行军令'!CU20</f>
        <v>0</v>
      </c>
      <c r="F20" s="154">
        <f>'[1]功能-行军令'!CV20</f>
        <v>0</v>
      </c>
      <c r="G20" s="154">
        <f>'[1]功能-行军令'!CW20</f>
        <v>0</v>
      </c>
      <c r="I20" s="155">
        <f t="shared" si="1"/>
        <v>0</v>
      </c>
      <c r="J20" s="155">
        <f t="shared" si="2"/>
        <v>0</v>
      </c>
      <c r="K20" s="155">
        <f t="shared" si="3"/>
        <v>0</v>
      </c>
      <c r="L20" s="155">
        <f t="shared" si="4"/>
        <v>0</v>
      </c>
      <c r="M20" s="155">
        <f t="shared" si="5"/>
        <v>0</v>
      </c>
    </row>
    <row r="21" spans="2:13" x14ac:dyDescent="0.15">
      <c r="B21" s="153">
        <v>17</v>
      </c>
      <c r="C21" s="154">
        <f>'[1]功能-行军令'!CS21</f>
        <v>0</v>
      </c>
      <c r="D21" s="154">
        <f>'[1]功能-行军令'!CT21</f>
        <v>0</v>
      </c>
      <c r="E21" s="154">
        <f>'[1]功能-行军令'!CU21</f>
        <v>0</v>
      </c>
      <c r="F21" s="154">
        <f>'[1]功能-行军令'!CV21</f>
        <v>0</v>
      </c>
      <c r="G21" s="154">
        <f>'[1]功能-行军令'!CW21</f>
        <v>0</v>
      </c>
      <c r="I21" s="155">
        <f t="shared" si="1"/>
        <v>0</v>
      </c>
      <c r="J21" s="155">
        <f t="shared" si="2"/>
        <v>0</v>
      </c>
      <c r="K21" s="155">
        <f t="shared" si="3"/>
        <v>0</v>
      </c>
      <c r="L21" s="155">
        <f t="shared" si="4"/>
        <v>0</v>
      </c>
      <c r="M21" s="155">
        <f t="shared" si="5"/>
        <v>0</v>
      </c>
    </row>
    <row r="22" spans="2:13" x14ac:dyDescent="0.15">
      <c r="B22" s="153">
        <v>18</v>
      </c>
      <c r="C22" s="154">
        <f>'[1]功能-行军令'!CS22</f>
        <v>0</v>
      </c>
      <c r="D22" s="154">
        <f>'[1]功能-行军令'!CT22</f>
        <v>0</v>
      </c>
      <c r="E22" s="154">
        <f>'[1]功能-行军令'!CU22</f>
        <v>0</v>
      </c>
      <c r="F22" s="154">
        <f>'[1]功能-行军令'!CV22</f>
        <v>0</v>
      </c>
      <c r="G22" s="154">
        <f>'[1]功能-行军令'!CW22</f>
        <v>0</v>
      </c>
      <c r="I22" s="155">
        <f t="shared" si="1"/>
        <v>0</v>
      </c>
      <c r="J22" s="155">
        <f t="shared" si="2"/>
        <v>0</v>
      </c>
      <c r="K22" s="155">
        <f t="shared" si="3"/>
        <v>0</v>
      </c>
      <c r="L22" s="155">
        <f t="shared" si="4"/>
        <v>0</v>
      </c>
      <c r="M22" s="155">
        <f t="shared" si="5"/>
        <v>0</v>
      </c>
    </row>
    <row r="23" spans="2:13" x14ac:dyDescent="0.15">
      <c r="B23" s="153">
        <v>19</v>
      </c>
      <c r="C23" s="154">
        <f>'[1]功能-行军令'!CS23</f>
        <v>0</v>
      </c>
      <c r="D23" s="154">
        <f>'[1]功能-行军令'!CT23</f>
        <v>0</v>
      </c>
      <c r="E23" s="154">
        <f>'[1]功能-行军令'!CU23</f>
        <v>0</v>
      </c>
      <c r="F23" s="154">
        <f>'[1]功能-行军令'!CV23</f>
        <v>0</v>
      </c>
      <c r="G23" s="154">
        <f>'[1]功能-行军令'!CW23</f>
        <v>0</v>
      </c>
      <c r="I23" s="155">
        <f t="shared" si="1"/>
        <v>0</v>
      </c>
      <c r="J23" s="155">
        <f t="shared" si="2"/>
        <v>0</v>
      </c>
      <c r="K23" s="155">
        <f t="shared" si="3"/>
        <v>0</v>
      </c>
      <c r="L23" s="155">
        <f t="shared" si="4"/>
        <v>0</v>
      </c>
      <c r="M23" s="155">
        <f t="shared" si="5"/>
        <v>0</v>
      </c>
    </row>
    <row r="24" spans="2:13" x14ac:dyDescent="0.15">
      <c r="B24" s="153">
        <v>20</v>
      </c>
      <c r="C24" s="154">
        <f>'[1]功能-行军令'!CS24</f>
        <v>0</v>
      </c>
      <c r="D24" s="154">
        <f>'[1]功能-行军令'!CT24</f>
        <v>0</v>
      </c>
      <c r="E24" s="154">
        <f>'[1]功能-行军令'!CU24</f>
        <v>0</v>
      </c>
      <c r="F24" s="154">
        <f>'[1]功能-行军令'!CV24</f>
        <v>0</v>
      </c>
      <c r="G24" s="154">
        <f>'[1]功能-行军令'!CW24</f>
        <v>0</v>
      </c>
      <c r="I24" s="155">
        <f t="shared" si="1"/>
        <v>0</v>
      </c>
      <c r="J24" s="155">
        <f t="shared" si="2"/>
        <v>0</v>
      </c>
      <c r="K24" s="155">
        <f t="shared" si="3"/>
        <v>0</v>
      </c>
      <c r="L24" s="155">
        <f t="shared" si="4"/>
        <v>0</v>
      </c>
      <c r="M24" s="155">
        <f t="shared" si="5"/>
        <v>0</v>
      </c>
    </row>
    <row r="25" spans="2:13" x14ac:dyDescent="0.15">
      <c r="B25" s="153">
        <v>21</v>
      </c>
      <c r="C25" s="154">
        <f>'[1]功能-行军令'!CS25</f>
        <v>0</v>
      </c>
      <c r="D25" s="154">
        <f>'[1]功能-行军令'!CT25</f>
        <v>0</v>
      </c>
      <c r="E25" s="154">
        <f>'[1]功能-行军令'!CU25</f>
        <v>0</v>
      </c>
      <c r="F25" s="154">
        <f>'[1]功能-行军令'!CV25</f>
        <v>0</v>
      </c>
      <c r="G25" s="154">
        <f>'[1]功能-行军令'!CW25</f>
        <v>0</v>
      </c>
      <c r="I25" s="155">
        <f t="shared" si="1"/>
        <v>0</v>
      </c>
      <c r="J25" s="155">
        <f t="shared" si="2"/>
        <v>0</v>
      </c>
      <c r="K25" s="155">
        <f t="shared" si="3"/>
        <v>0</v>
      </c>
      <c r="L25" s="155">
        <f t="shared" si="4"/>
        <v>0</v>
      </c>
      <c r="M25" s="155">
        <f t="shared" si="5"/>
        <v>0</v>
      </c>
    </row>
    <row r="26" spans="2:13" x14ac:dyDescent="0.15">
      <c r="B26" s="153">
        <v>22</v>
      </c>
      <c r="C26" s="154">
        <f>'[1]功能-行军令'!CS26</f>
        <v>0</v>
      </c>
      <c r="D26" s="154">
        <f>'[1]功能-行军令'!CT26</f>
        <v>0</v>
      </c>
      <c r="E26" s="154">
        <f>'[1]功能-行军令'!CU26</f>
        <v>0</v>
      </c>
      <c r="F26" s="154">
        <f>'[1]功能-行军令'!CV26</f>
        <v>0</v>
      </c>
      <c r="G26" s="154">
        <f>'[1]功能-行军令'!CW26</f>
        <v>0</v>
      </c>
      <c r="I26" s="155">
        <f t="shared" si="1"/>
        <v>0</v>
      </c>
      <c r="J26" s="155">
        <f t="shared" si="2"/>
        <v>0</v>
      </c>
      <c r="K26" s="155">
        <f t="shared" si="3"/>
        <v>0</v>
      </c>
      <c r="L26" s="155">
        <f t="shared" si="4"/>
        <v>0</v>
      </c>
      <c r="M26" s="155">
        <f t="shared" si="5"/>
        <v>0</v>
      </c>
    </row>
    <row r="27" spans="2:13" x14ac:dyDescent="0.15">
      <c r="B27" s="153">
        <v>23</v>
      </c>
      <c r="C27" s="154">
        <f>'[1]功能-行军令'!CS27</f>
        <v>0</v>
      </c>
      <c r="D27" s="154">
        <f>'[1]功能-行军令'!CT27</f>
        <v>0</v>
      </c>
      <c r="E27" s="154">
        <f>'[1]功能-行军令'!CU27</f>
        <v>0</v>
      </c>
      <c r="F27" s="154">
        <f>'[1]功能-行军令'!CV27</f>
        <v>0</v>
      </c>
      <c r="G27" s="154">
        <f>'[1]功能-行军令'!CW27</f>
        <v>0</v>
      </c>
      <c r="I27" s="155">
        <f t="shared" si="1"/>
        <v>0</v>
      </c>
      <c r="J27" s="155">
        <f t="shared" si="2"/>
        <v>0</v>
      </c>
      <c r="K27" s="155">
        <f t="shared" si="3"/>
        <v>0</v>
      </c>
      <c r="L27" s="155">
        <f t="shared" si="4"/>
        <v>0</v>
      </c>
      <c r="M27" s="155">
        <f t="shared" si="5"/>
        <v>0</v>
      </c>
    </row>
    <row r="28" spans="2:13" x14ac:dyDescent="0.15">
      <c r="B28" s="153">
        <v>24</v>
      </c>
      <c r="C28" s="154">
        <f>'[1]功能-行军令'!CS28</f>
        <v>0</v>
      </c>
      <c r="D28" s="154">
        <f>'[1]功能-行军令'!CT28</f>
        <v>0</v>
      </c>
      <c r="E28" s="154">
        <f>'[1]功能-行军令'!CU28</f>
        <v>0</v>
      </c>
      <c r="F28" s="154">
        <f>'[1]功能-行军令'!CV28</f>
        <v>0</v>
      </c>
      <c r="G28" s="154">
        <f>'[1]功能-行军令'!CW28</f>
        <v>0</v>
      </c>
      <c r="I28" s="155">
        <f t="shared" si="1"/>
        <v>0</v>
      </c>
      <c r="J28" s="155">
        <f t="shared" si="2"/>
        <v>0</v>
      </c>
      <c r="K28" s="155">
        <f t="shared" si="3"/>
        <v>0</v>
      </c>
      <c r="L28" s="155">
        <f t="shared" si="4"/>
        <v>0</v>
      </c>
      <c r="M28" s="155">
        <f t="shared" si="5"/>
        <v>0</v>
      </c>
    </row>
    <row r="29" spans="2:13" x14ac:dyDescent="0.15">
      <c r="B29" s="153">
        <v>25</v>
      </c>
      <c r="C29" s="154">
        <f>'[1]功能-行军令'!CS29</f>
        <v>0</v>
      </c>
      <c r="D29" s="154">
        <f>'[1]功能-行军令'!CT29</f>
        <v>0</v>
      </c>
      <c r="E29" s="154">
        <f>'[1]功能-行军令'!CU29</f>
        <v>0</v>
      </c>
      <c r="F29" s="154">
        <f>'[1]功能-行军令'!CV29</f>
        <v>0</v>
      </c>
      <c r="G29" s="154">
        <f>'[1]功能-行军令'!CW29</f>
        <v>0</v>
      </c>
      <c r="I29" s="155">
        <f t="shared" si="1"/>
        <v>0</v>
      </c>
      <c r="J29" s="155">
        <f t="shared" si="2"/>
        <v>0</v>
      </c>
      <c r="K29" s="155">
        <f t="shared" si="3"/>
        <v>0</v>
      </c>
      <c r="L29" s="155">
        <f t="shared" si="4"/>
        <v>0</v>
      </c>
      <c r="M29" s="155">
        <f t="shared" si="5"/>
        <v>0</v>
      </c>
    </row>
    <row r="30" spans="2:13" x14ac:dyDescent="0.15">
      <c r="B30" s="153">
        <v>26</v>
      </c>
      <c r="C30" s="154">
        <f>'[1]功能-行军令'!CS30</f>
        <v>0</v>
      </c>
      <c r="D30" s="154">
        <f>'[1]功能-行军令'!CT30</f>
        <v>0</v>
      </c>
      <c r="E30" s="154">
        <f>'[1]功能-行军令'!CU30</f>
        <v>0</v>
      </c>
      <c r="F30" s="154">
        <f>'[1]功能-行军令'!CV30</f>
        <v>0</v>
      </c>
      <c r="G30" s="154">
        <f>'[1]功能-行军令'!CW30</f>
        <v>0</v>
      </c>
      <c r="I30" s="155">
        <f t="shared" si="1"/>
        <v>0</v>
      </c>
      <c r="J30" s="155">
        <f t="shared" si="2"/>
        <v>0</v>
      </c>
      <c r="K30" s="155">
        <f t="shared" si="3"/>
        <v>0</v>
      </c>
      <c r="L30" s="155">
        <f t="shared" si="4"/>
        <v>0</v>
      </c>
      <c r="M30" s="155">
        <f t="shared" si="5"/>
        <v>0</v>
      </c>
    </row>
    <row r="31" spans="2:13" x14ac:dyDescent="0.15">
      <c r="B31" s="153">
        <v>27</v>
      </c>
      <c r="C31" s="154">
        <f>'[1]功能-行军令'!CS31</f>
        <v>0</v>
      </c>
      <c r="D31" s="154">
        <f>'[1]功能-行军令'!CT31</f>
        <v>0</v>
      </c>
      <c r="E31" s="154">
        <f>'[1]功能-行军令'!CU31</f>
        <v>0</v>
      </c>
      <c r="F31" s="154">
        <f>'[1]功能-行军令'!CV31</f>
        <v>0</v>
      </c>
      <c r="G31" s="154">
        <f>'[1]功能-行军令'!CW31</f>
        <v>0</v>
      </c>
      <c r="I31" s="155">
        <f t="shared" si="1"/>
        <v>0</v>
      </c>
      <c r="J31" s="155">
        <f t="shared" si="2"/>
        <v>0</v>
      </c>
      <c r="K31" s="155">
        <f t="shared" si="3"/>
        <v>0</v>
      </c>
      <c r="L31" s="155">
        <f t="shared" si="4"/>
        <v>0</v>
      </c>
      <c r="M31" s="155">
        <f t="shared" si="5"/>
        <v>0</v>
      </c>
    </row>
    <row r="32" spans="2:13" x14ac:dyDescent="0.15">
      <c r="B32" s="153">
        <v>28</v>
      </c>
      <c r="C32" s="154">
        <f>'[1]功能-行军令'!CS32</f>
        <v>0</v>
      </c>
      <c r="D32" s="154">
        <f>'[1]功能-行军令'!CT32</f>
        <v>0</v>
      </c>
      <c r="E32" s="154">
        <f>'[1]功能-行军令'!CU32</f>
        <v>0</v>
      </c>
      <c r="F32" s="154">
        <f>'[1]功能-行军令'!CV32</f>
        <v>0</v>
      </c>
      <c r="G32" s="154">
        <f>'[1]功能-行军令'!CW32</f>
        <v>0</v>
      </c>
      <c r="I32" s="155">
        <f t="shared" si="1"/>
        <v>0</v>
      </c>
      <c r="J32" s="155">
        <f t="shared" si="2"/>
        <v>0</v>
      </c>
      <c r="K32" s="155">
        <f t="shared" si="3"/>
        <v>0</v>
      </c>
      <c r="L32" s="155">
        <f t="shared" si="4"/>
        <v>0</v>
      </c>
      <c r="M32" s="155">
        <f t="shared" si="5"/>
        <v>0</v>
      </c>
    </row>
    <row r="33" spans="2:13" x14ac:dyDescent="0.15">
      <c r="B33" s="153">
        <v>29</v>
      </c>
      <c r="C33" s="154">
        <f>'[1]功能-行军令'!CS33</f>
        <v>0</v>
      </c>
      <c r="D33" s="154">
        <f>'[1]功能-行军令'!CT33</f>
        <v>0</v>
      </c>
      <c r="E33" s="154">
        <f>'[1]功能-行军令'!CU33</f>
        <v>0</v>
      </c>
      <c r="F33" s="154">
        <f>'[1]功能-行军令'!CV33</f>
        <v>0</v>
      </c>
      <c r="G33" s="154">
        <f>'[1]功能-行军令'!CW33</f>
        <v>0</v>
      </c>
      <c r="I33" s="155">
        <f t="shared" si="1"/>
        <v>0</v>
      </c>
      <c r="J33" s="155">
        <f t="shared" si="2"/>
        <v>0</v>
      </c>
      <c r="K33" s="155">
        <f t="shared" si="3"/>
        <v>0</v>
      </c>
      <c r="L33" s="155">
        <f t="shared" si="4"/>
        <v>0</v>
      </c>
      <c r="M33" s="155">
        <f t="shared" si="5"/>
        <v>0</v>
      </c>
    </row>
    <row r="34" spans="2:13" x14ac:dyDescent="0.15">
      <c r="B34" s="153">
        <v>30</v>
      </c>
      <c r="C34" s="154">
        <f>'[1]功能-行军令'!CS34</f>
        <v>0</v>
      </c>
      <c r="D34" s="154">
        <f>'[1]功能-行军令'!CT34</f>
        <v>0</v>
      </c>
      <c r="E34" s="154">
        <f>'[1]功能-行军令'!CU34</f>
        <v>0</v>
      </c>
      <c r="F34" s="154">
        <f>'[1]功能-行军令'!CV34</f>
        <v>0</v>
      </c>
      <c r="G34" s="154">
        <f>'[1]功能-行军令'!CW34</f>
        <v>0</v>
      </c>
      <c r="I34" s="155">
        <f t="shared" si="1"/>
        <v>0</v>
      </c>
      <c r="J34" s="155">
        <f t="shared" si="2"/>
        <v>0</v>
      </c>
      <c r="K34" s="155">
        <f t="shared" si="3"/>
        <v>0</v>
      </c>
      <c r="L34" s="155">
        <f t="shared" si="4"/>
        <v>0</v>
      </c>
      <c r="M34" s="155">
        <f t="shared" si="5"/>
        <v>0</v>
      </c>
    </row>
    <row r="35" spans="2:13" x14ac:dyDescent="0.15">
      <c r="B35" s="153">
        <v>31</v>
      </c>
      <c r="C35" s="154">
        <f>'[1]功能-行军令'!CS35</f>
        <v>0</v>
      </c>
      <c r="D35" s="154">
        <f>'[1]功能-行军令'!CT35</f>
        <v>0</v>
      </c>
      <c r="E35" s="154">
        <f>'[1]功能-行军令'!CU35</f>
        <v>0</v>
      </c>
      <c r="F35" s="154">
        <f>'[1]功能-行军令'!CV35</f>
        <v>0</v>
      </c>
      <c r="G35" s="154">
        <f>'[1]功能-行军令'!CW35</f>
        <v>0</v>
      </c>
      <c r="I35" s="155">
        <f t="shared" si="1"/>
        <v>0</v>
      </c>
      <c r="J35" s="155">
        <f t="shared" si="2"/>
        <v>0</v>
      </c>
      <c r="K35" s="155">
        <f t="shared" si="3"/>
        <v>0</v>
      </c>
      <c r="L35" s="155">
        <f t="shared" si="4"/>
        <v>0</v>
      </c>
      <c r="M35" s="155">
        <f t="shared" si="5"/>
        <v>0</v>
      </c>
    </row>
    <row r="36" spans="2:13" x14ac:dyDescent="0.15">
      <c r="B36" s="153">
        <v>32</v>
      </c>
      <c r="C36" s="154">
        <f>'[1]功能-行军令'!CS36</f>
        <v>0</v>
      </c>
      <c r="D36" s="154">
        <f>'[1]功能-行军令'!CT36</f>
        <v>0</v>
      </c>
      <c r="E36" s="154">
        <f>'[1]功能-行军令'!CU36</f>
        <v>0</v>
      </c>
      <c r="F36" s="154">
        <f>'[1]功能-行军令'!CV36</f>
        <v>0</v>
      </c>
      <c r="G36" s="154">
        <f>'[1]功能-行军令'!CW36</f>
        <v>0</v>
      </c>
      <c r="I36" s="155">
        <f t="shared" si="1"/>
        <v>0</v>
      </c>
      <c r="J36" s="155">
        <f t="shared" si="2"/>
        <v>0</v>
      </c>
      <c r="K36" s="155">
        <f t="shared" si="3"/>
        <v>0</v>
      </c>
      <c r="L36" s="155">
        <f t="shared" si="4"/>
        <v>0</v>
      </c>
      <c r="M36" s="155">
        <f t="shared" si="5"/>
        <v>0</v>
      </c>
    </row>
    <row r="37" spans="2:13" x14ac:dyDescent="0.15">
      <c r="B37" s="153">
        <v>33</v>
      </c>
      <c r="C37" s="154">
        <f>'[1]功能-行军令'!CS37</f>
        <v>0</v>
      </c>
      <c r="D37" s="154">
        <f>'[1]功能-行军令'!CT37</f>
        <v>0</v>
      </c>
      <c r="E37" s="154">
        <f>'[1]功能-行军令'!CU37</f>
        <v>0</v>
      </c>
      <c r="F37" s="154">
        <f>'[1]功能-行军令'!CV37</f>
        <v>0</v>
      </c>
      <c r="G37" s="154">
        <f>'[1]功能-行军令'!CW37</f>
        <v>0</v>
      </c>
      <c r="I37" s="155">
        <f t="shared" si="1"/>
        <v>0</v>
      </c>
      <c r="J37" s="155">
        <f t="shared" si="2"/>
        <v>0</v>
      </c>
      <c r="K37" s="155">
        <f t="shared" si="3"/>
        <v>0</v>
      </c>
      <c r="L37" s="155">
        <f t="shared" si="4"/>
        <v>0</v>
      </c>
      <c r="M37" s="155">
        <f t="shared" si="5"/>
        <v>0</v>
      </c>
    </row>
    <row r="38" spans="2:13" x14ac:dyDescent="0.15">
      <c r="B38" s="153">
        <v>34</v>
      </c>
      <c r="C38" s="154">
        <f>'[1]功能-行军令'!CS38</f>
        <v>0</v>
      </c>
      <c r="D38" s="154">
        <f>'[1]功能-行军令'!CT38</f>
        <v>0</v>
      </c>
      <c r="E38" s="154">
        <f>'[1]功能-行军令'!CU38</f>
        <v>0</v>
      </c>
      <c r="F38" s="154">
        <f>'[1]功能-行军令'!CV38</f>
        <v>0</v>
      </c>
      <c r="G38" s="154">
        <f>'[1]功能-行军令'!CW38</f>
        <v>0</v>
      </c>
      <c r="I38" s="155">
        <f t="shared" si="1"/>
        <v>0</v>
      </c>
      <c r="J38" s="155">
        <f t="shared" si="2"/>
        <v>0</v>
      </c>
      <c r="K38" s="155">
        <f t="shared" si="3"/>
        <v>0</v>
      </c>
      <c r="L38" s="155">
        <f t="shared" si="4"/>
        <v>0</v>
      </c>
      <c r="M38" s="155">
        <f t="shared" si="5"/>
        <v>0</v>
      </c>
    </row>
    <row r="39" spans="2:13" x14ac:dyDescent="0.15">
      <c r="B39" s="153">
        <v>35</v>
      </c>
      <c r="C39" s="154">
        <f>'[1]功能-行军令'!CS39</f>
        <v>0</v>
      </c>
      <c r="D39" s="154">
        <f>'[1]功能-行军令'!CT39</f>
        <v>0</v>
      </c>
      <c r="E39" s="154">
        <f>'[1]功能-行军令'!CU39</f>
        <v>0</v>
      </c>
      <c r="F39" s="154">
        <f>'[1]功能-行军令'!CV39</f>
        <v>0</v>
      </c>
      <c r="G39" s="154">
        <f>'[1]功能-行军令'!CW39</f>
        <v>0</v>
      </c>
      <c r="I39" s="155">
        <f t="shared" si="1"/>
        <v>0</v>
      </c>
      <c r="J39" s="155">
        <f t="shared" si="2"/>
        <v>0</v>
      </c>
      <c r="K39" s="155">
        <f t="shared" si="3"/>
        <v>0</v>
      </c>
      <c r="L39" s="155">
        <f t="shared" si="4"/>
        <v>0</v>
      </c>
      <c r="M39" s="155">
        <f t="shared" si="5"/>
        <v>0</v>
      </c>
    </row>
    <row r="40" spans="2:13" x14ac:dyDescent="0.15">
      <c r="B40" s="153">
        <v>36</v>
      </c>
      <c r="C40" s="154">
        <f>'[1]功能-行军令'!CS40</f>
        <v>0</v>
      </c>
      <c r="D40" s="154">
        <f>'[1]功能-行军令'!CT40</f>
        <v>0</v>
      </c>
      <c r="E40" s="154">
        <f>'[1]功能-行军令'!CU40</f>
        <v>0</v>
      </c>
      <c r="F40" s="154">
        <f>'[1]功能-行军令'!CV40</f>
        <v>0</v>
      </c>
      <c r="G40" s="154">
        <f>'[1]功能-行军令'!CW40</f>
        <v>0</v>
      </c>
      <c r="I40" s="155">
        <f t="shared" si="1"/>
        <v>0</v>
      </c>
      <c r="J40" s="155">
        <f t="shared" si="2"/>
        <v>0</v>
      </c>
      <c r="K40" s="155">
        <f t="shared" si="3"/>
        <v>0</v>
      </c>
      <c r="L40" s="155">
        <f t="shared" si="4"/>
        <v>0</v>
      </c>
      <c r="M40" s="155">
        <f t="shared" si="5"/>
        <v>0</v>
      </c>
    </row>
    <row r="41" spans="2:13" x14ac:dyDescent="0.15">
      <c r="B41" s="153">
        <v>37</v>
      </c>
      <c r="C41" s="154">
        <f>'[1]功能-行军令'!CS41</f>
        <v>0</v>
      </c>
      <c r="D41" s="154">
        <f>'[1]功能-行军令'!CT41</f>
        <v>0</v>
      </c>
      <c r="E41" s="154">
        <f>'[1]功能-行军令'!CU41</f>
        <v>0</v>
      </c>
      <c r="F41" s="154">
        <f>'[1]功能-行军令'!CV41</f>
        <v>0</v>
      </c>
      <c r="G41" s="154">
        <f>'[1]功能-行军令'!CW41</f>
        <v>0</v>
      </c>
      <c r="I41" s="155">
        <f t="shared" si="1"/>
        <v>0</v>
      </c>
      <c r="J41" s="155">
        <f t="shared" si="2"/>
        <v>0</v>
      </c>
      <c r="K41" s="155">
        <f t="shared" si="3"/>
        <v>0</v>
      </c>
      <c r="L41" s="155">
        <f t="shared" si="4"/>
        <v>0</v>
      </c>
      <c r="M41" s="155">
        <f t="shared" si="5"/>
        <v>0</v>
      </c>
    </row>
    <row r="42" spans="2:13" x14ac:dyDescent="0.15">
      <c r="B42" s="153">
        <v>38</v>
      </c>
      <c r="C42" s="154">
        <f>'[1]功能-行军令'!CS42</f>
        <v>0</v>
      </c>
      <c r="D42" s="154">
        <f>'[1]功能-行军令'!CT42</f>
        <v>0</v>
      </c>
      <c r="E42" s="154">
        <f>'[1]功能-行军令'!CU42</f>
        <v>0</v>
      </c>
      <c r="F42" s="154">
        <f>'[1]功能-行军令'!CV42</f>
        <v>0</v>
      </c>
      <c r="G42" s="154">
        <f>'[1]功能-行军令'!CW42</f>
        <v>0</v>
      </c>
      <c r="I42" s="155">
        <f t="shared" si="1"/>
        <v>0</v>
      </c>
      <c r="J42" s="155">
        <f t="shared" si="2"/>
        <v>0</v>
      </c>
      <c r="K42" s="155">
        <f t="shared" si="3"/>
        <v>0</v>
      </c>
      <c r="L42" s="155">
        <f t="shared" si="4"/>
        <v>0</v>
      </c>
      <c r="M42" s="155">
        <f t="shared" si="5"/>
        <v>0</v>
      </c>
    </row>
    <row r="43" spans="2:13" x14ac:dyDescent="0.15">
      <c r="B43" s="153">
        <v>39</v>
      </c>
      <c r="C43" s="154">
        <f>'[1]功能-行军令'!CS43</f>
        <v>0</v>
      </c>
      <c r="D43" s="154">
        <f>'[1]功能-行军令'!CT43</f>
        <v>0</v>
      </c>
      <c r="E43" s="154">
        <f>'[1]功能-行军令'!CU43</f>
        <v>0</v>
      </c>
      <c r="F43" s="154">
        <f>'[1]功能-行军令'!CV43</f>
        <v>0</v>
      </c>
      <c r="G43" s="154">
        <f>'[1]功能-行军令'!CW43</f>
        <v>0</v>
      </c>
      <c r="I43" s="155">
        <f t="shared" si="1"/>
        <v>0</v>
      </c>
      <c r="J43" s="155">
        <f t="shared" si="2"/>
        <v>0</v>
      </c>
      <c r="K43" s="155">
        <f t="shared" si="3"/>
        <v>0</v>
      </c>
      <c r="L43" s="155">
        <f t="shared" si="4"/>
        <v>0</v>
      </c>
      <c r="M43" s="155">
        <f t="shared" si="5"/>
        <v>0</v>
      </c>
    </row>
    <row r="44" spans="2:13" x14ac:dyDescent="0.15">
      <c r="B44" s="153">
        <v>40</v>
      </c>
      <c r="C44" s="154">
        <f>'[1]功能-行军令'!CS44</f>
        <v>0</v>
      </c>
      <c r="D44" s="154">
        <f>'[1]功能-行军令'!CT44</f>
        <v>0</v>
      </c>
      <c r="E44" s="154">
        <f>'[1]功能-行军令'!CU44</f>
        <v>0</v>
      </c>
      <c r="F44" s="154">
        <f>'[1]功能-行军令'!CV44</f>
        <v>0</v>
      </c>
      <c r="G44" s="154">
        <f>'[1]功能-行军令'!CW44</f>
        <v>0</v>
      </c>
      <c r="I44" s="155">
        <f t="shared" si="1"/>
        <v>0</v>
      </c>
      <c r="J44" s="155">
        <f t="shared" si="2"/>
        <v>0</v>
      </c>
      <c r="K44" s="155">
        <f t="shared" si="3"/>
        <v>0</v>
      </c>
      <c r="L44" s="155">
        <f t="shared" si="4"/>
        <v>0</v>
      </c>
      <c r="M44" s="155">
        <f t="shared" si="5"/>
        <v>0</v>
      </c>
    </row>
    <row r="45" spans="2:13" x14ac:dyDescent="0.15">
      <c r="B45" s="153">
        <v>41</v>
      </c>
      <c r="C45" s="154">
        <f>'[1]功能-行军令'!CS45</f>
        <v>0</v>
      </c>
      <c r="D45" s="154">
        <f>'[1]功能-行军令'!CT45</f>
        <v>0</v>
      </c>
      <c r="E45" s="154">
        <f>'[1]功能-行军令'!CU45</f>
        <v>0</v>
      </c>
      <c r="F45" s="154">
        <f>'[1]功能-行军令'!CV45</f>
        <v>0</v>
      </c>
      <c r="G45" s="154">
        <f>'[1]功能-行军令'!CW45</f>
        <v>0</v>
      </c>
      <c r="I45" s="155">
        <f t="shared" si="1"/>
        <v>0</v>
      </c>
      <c r="J45" s="155">
        <f t="shared" si="2"/>
        <v>0</v>
      </c>
      <c r="K45" s="155">
        <f t="shared" si="3"/>
        <v>0</v>
      </c>
      <c r="L45" s="155">
        <f t="shared" si="4"/>
        <v>0</v>
      </c>
      <c r="M45" s="155">
        <f t="shared" si="5"/>
        <v>0</v>
      </c>
    </row>
    <row r="46" spans="2:13" x14ac:dyDescent="0.15">
      <c r="B46" s="153">
        <v>42</v>
      </c>
      <c r="C46" s="154">
        <f>'[1]功能-行军令'!CS46</f>
        <v>0</v>
      </c>
      <c r="D46" s="154">
        <f>'[1]功能-行军令'!CT46</f>
        <v>0</v>
      </c>
      <c r="E46" s="154">
        <f>'[1]功能-行军令'!CU46</f>
        <v>0</v>
      </c>
      <c r="F46" s="154">
        <f>'[1]功能-行军令'!CV46</f>
        <v>0</v>
      </c>
      <c r="G46" s="154">
        <f>'[1]功能-行军令'!CW46</f>
        <v>0</v>
      </c>
      <c r="I46" s="155">
        <f t="shared" si="1"/>
        <v>0</v>
      </c>
      <c r="J46" s="155">
        <f t="shared" si="2"/>
        <v>0</v>
      </c>
      <c r="K46" s="155">
        <f t="shared" si="3"/>
        <v>0</v>
      </c>
      <c r="L46" s="155">
        <f t="shared" si="4"/>
        <v>0</v>
      </c>
      <c r="M46" s="155">
        <f t="shared" si="5"/>
        <v>0</v>
      </c>
    </row>
    <row r="47" spans="2:13" x14ac:dyDescent="0.15">
      <c r="B47" s="153">
        <v>43</v>
      </c>
      <c r="C47" s="154">
        <f>'[1]功能-行军令'!CS47</f>
        <v>0</v>
      </c>
      <c r="D47" s="154">
        <f>'[1]功能-行军令'!CT47</f>
        <v>0</v>
      </c>
      <c r="E47" s="154">
        <f>'[1]功能-行军令'!CU47</f>
        <v>0</v>
      </c>
      <c r="F47" s="154">
        <f>'[1]功能-行军令'!CV47</f>
        <v>0</v>
      </c>
      <c r="G47" s="154">
        <f>'[1]功能-行军令'!CW47</f>
        <v>0</v>
      </c>
      <c r="I47" s="155">
        <f t="shared" si="1"/>
        <v>0</v>
      </c>
      <c r="J47" s="155">
        <f t="shared" si="2"/>
        <v>0</v>
      </c>
      <c r="K47" s="155">
        <f t="shared" si="3"/>
        <v>0</v>
      </c>
      <c r="L47" s="155">
        <f t="shared" si="4"/>
        <v>0</v>
      </c>
      <c r="M47" s="155">
        <f t="shared" si="5"/>
        <v>0</v>
      </c>
    </row>
    <row r="48" spans="2:13" x14ac:dyDescent="0.15">
      <c r="B48" s="153">
        <v>44</v>
      </c>
      <c r="C48" s="154">
        <f>'[1]功能-行军令'!CS48</f>
        <v>0</v>
      </c>
      <c r="D48" s="154">
        <f>'[1]功能-行军令'!CT48</f>
        <v>0</v>
      </c>
      <c r="E48" s="154">
        <f>'[1]功能-行军令'!CU48</f>
        <v>0</v>
      </c>
      <c r="F48" s="154">
        <f>'[1]功能-行军令'!CV48</f>
        <v>0</v>
      </c>
      <c r="G48" s="154">
        <f>'[1]功能-行军令'!CW48</f>
        <v>0</v>
      </c>
      <c r="I48" s="155">
        <f t="shared" si="1"/>
        <v>0</v>
      </c>
      <c r="J48" s="155">
        <f t="shared" si="2"/>
        <v>0</v>
      </c>
      <c r="K48" s="155">
        <f t="shared" si="3"/>
        <v>0</v>
      </c>
      <c r="L48" s="155">
        <f t="shared" si="4"/>
        <v>0</v>
      </c>
      <c r="M48" s="155">
        <f t="shared" si="5"/>
        <v>0</v>
      </c>
    </row>
    <row r="49" spans="2:13" x14ac:dyDescent="0.15">
      <c r="B49" s="153">
        <v>45</v>
      </c>
      <c r="C49" s="154">
        <f>'[1]功能-行军令'!CS49</f>
        <v>7.4350250216264249E-2</v>
      </c>
      <c r="D49" s="154">
        <f>'[1]功能-行军令'!CT49</f>
        <v>9.4780773914300037E-2</v>
      </c>
      <c r="E49" s="154">
        <f>'[1]功能-行军令'!CU49</f>
        <v>0.10514513500754645</v>
      </c>
      <c r="F49" s="154">
        <f>'[1]功能-行军令'!CV49</f>
        <v>8.842050312870682E-2</v>
      </c>
      <c r="G49" s="154">
        <f>'[1]功能-行军令'!CW49</f>
        <v>4.8922386228886297E-2</v>
      </c>
      <c r="I49" s="155">
        <f t="shared" si="1"/>
        <v>3.4421412137159379E-3</v>
      </c>
      <c r="J49" s="155">
        <f t="shared" si="2"/>
        <v>4.3879987923287058E-3</v>
      </c>
      <c r="K49" s="155">
        <f t="shared" si="3"/>
        <v>4.8678303244234474E-3</v>
      </c>
      <c r="L49" s="155">
        <f t="shared" si="4"/>
        <v>4.0935418115142048E-3</v>
      </c>
      <c r="M49" s="155">
        <f t="shared" si="5"/>
        <v>2.2649252883743657E-3</v>
      </c>
    </row>
    <row r="50" spans="2:13" x14ac:dyDescent="0.15">
      <c r="B50" s="153">
        <v>46</v>
      </c>
      <c r="C50" s="154">
        <f>'[1]功能-行军令'!CS50</f>
        <v>0.23372350044571405</v>
      </c>
      <c r="D50" s="154">
        <f>'[1]功能-行军令'!CT50</f>
        <v>0.29631034463342831</v>
      </c>
      <c r="E50" s="154">
        <f>'[1]功能-行军令'!CU50</f>
        <v>0.32900989277091969</v>
      </c>
      <c r="F50" s="154">
        <f>'[1]功能-行军令'!CV50</f>
        <v>0.27579856339906861</v>
      </c>
      <c r="G50" s="154">
        <f>'[1]功能-行军令'!CW50</f>
        <v>0.14900529280731534</v>
      </c>
      <c r="I50" s="155">
        <f t="shared" si="1"/>
        <v>1.0820532428042318E-2</v>
      </c>
      <c r="J50" s="155">
        <f t="shared" si="2"/>
        <v>1.3718071510806867E-2</v>
      </c>
      <c r="K50" s="155">
        <f t="shared" si="3"/>
        <v>1.5231939480135173E-2</v>
      </c>
      <c r="L50" s="155">
        <f t="shared" si="4"/>
        <v>1.276845200921614E-2</v>
      </c>
      <c r="M50" s="155">
        <f t="shared" si="5"/>
        <v>6.8983931855238585E-3</v>
      </c>
    </row>
    <row r="51" spans="2:13" x14ac:dyDescent="0.15">
      <c r="B51" s="153">
        <v>47</v>
      </c>
      <c r="C51" s="154">
        <f>'[1]功能-行军令'!CS51</f>
        <v>0.48994153079683794</v>
      </c>
      <c r="D51" s="154">
        <f>'[1]功能-行军令'!CT51</f>
        <v>0.62068181333255079</v>
      </c>
      <c r="E51" s="154">
        <f>'[1]功能-行军令'!CU51</f>
        <v>0.68994167794016503</v>
      </c>
      <c r="F51" s="154">
        <f>'[1]功能-行军令'!CV51</f>
        <v>0.57579691975447156</v>
      </c>
      <c r="G51" s="154">
        <f>'[1]功能-行军令'!CW51</f>
        <v>0.30989202966906015</v>
      </c>
      <c r="I51" s="155">
        <f t="shared" si="1"/>
        <v>2.2682478277631386E-2</v>
      </c>
      <c r="J51" s="155">
        <f t="shared" si="2"/>
        <v>2.8735269135766239E-2</v>
      </c>
      <c r="K51" s="155">
        <f t="shared" si="3"/>
        <v>3.1941744349081716E-2</v>
      </c>
      <c r="L51" s="155">
        <f t="shared" si="4"/>
        <v>2.6657264803447756E-2</v>
      </c>
      <c r="M51" s="155">
        <f t="shared" si="5"/>
        <v>1.4346853225419454E-2</v>
      </c>
    </row>
    <row r="52" spans="2:13" x14ac:dyDescent="0.15">
      <c r="B52" s="153">
        <v>48</v>
      </c>
      <c r="C52" s="154">
        <f>'[1]功能-行军令'!CS52</f>
        <v>0.85608511153503986</v>
      </c>
      <c r="D52" s="154">
        <f>'[1]功能-行军令'!CT52</f>
        <v>1.0786782570047408</v>
      </c>
      <c r="E52" s="154">
        <f>'[1]功能-行军令'!CU52</f>
        <v>1.2073587568220165</v>
      </c>
      <c r="F52" s="154">
        <f>'[1]功能-行军令'!CV52</f>
        <v>0.98611830592347149</v>
      </c>
      <c r="G52" s="154">
        <f>'[1]功能-行军令'!CW52</f>
        <v>0.53751710607556114</v>
      </c>
      <c r="I52" s="155">
        <f t="shared" si="1"/>
        <v>3.9633569978474073E-2</v>
      </c>
      <c r="J52" s="155">
        <f t="shared" si="2"/>
        <v>4.9938808194663925E-2</v>
      </c>
      <c r="K52" s="155">
        <f t="shared" si="3"/>
        <v>5.5896238741760022E-2</v>
      </c>
      <c r="L52" s="155">
        <f t="shared" si="4"/>
        <v>4.5653625274234798E-2</v>
      </c>
      <c r="M52" s="155">
        <f t="shared" si="5"/>
        <v>2.4885051207201903E-2</v>
      </c>
    </row>
    <row r="53" spans="2:13" x14ac:dyDescent="0.15">
      <c r="B53" s="153">
        <v>49</v>
      </c>
      <c r="C53" s="154">
        <f>'[1]功能-行军令'!CS53</f>
        <v>1.3466138281765643</v>
      </c>
      <c r="D53" s="154">
        <f>'[1]功能-行军令'!CT53</f>
        <v>1.7008041161669909</v>
      </c>
      <c r="E53" s="154">
        <f>'[1]功能-行军令'!CU53</f>
        <v>1.8819421550936499</v>
      </c>
      <c r="F53" s="154">
        <f>'[1]功能-行军令'!CV53</f>
        <v>1.5348010799254925</v>
      </c>
      <c r="G53" s="154">
        <f>'[1]功能-行军令'!CW53</f>
        <v>0.85989992312000973</v>
      </c>
      <c r="I53" s="155">
        <f t="shared" si="1"/>
        <v>6.2343232785952059E-2</v>
      </c>
      <c r="J53" s="155">
        <f t="shared" si="2"/>
        <v>7.8740931304027359E-2</v>
      </c>
      <c r="K53" s="155">
        <f t="shared" si="3"/>
        <v>8.7126951624706017E-2</v>
      </c>
      <c r="L53" s="155">
        <f t="shared" si="4"/>
        <v>7.1055605552106146E-2</v>
      </c>
      <c r="M53" s="155">
        <f t="shared" si="5"/>
        <v>3.981018162592638E-2</v>
      </c>
    </row>
    <row r="54" spans="2:13" x14ac:dyDescent="0.15">
      <c r="B54" s="153">
        <v>50</v>
      </c>
      <c r="C54" s="154">
        <f>'[1]功能-行军令'!CS54</f>
        <v>1.977496621506609</v>
      </c>
      <c r="D54" s="154">
        <f>'[1]功能-行军令'!CT54</f>
        <v>2.5021720125198144</v>
      </c>
      <c r="E54" s="154">
        <f>'[1]功能-行军令'!CU54</f>
        <v>2.7473501088023138</v>
      </c>
      <c r="F54" s="154">
        <f>'[1]功能-行军令'!CV54</f>
        <v>2.2720054115112616</v>
      </c>
      <c r="G54" s="154">
        <f>'[1]功能-行军令'!CW54</f>
        <v>1.2824076324371605</v>
      </c>
      <c r="I54" s="155">
        <f t="shared" si="1"/>
        <v>9.1550769514194871E-2</v>
      </c>
      <c r="J54" s="155">
        <f t="shared" si="2"/>
        <v>0.11584129687591734</v>
      </c>
      <c r="K54" s="155">
        <f t="shared" si="3"/>
        <v>0.12719213466677379</v>
      </c>
      <c r="L54" s="155">
        <f t="shared" si="4"/>
        <v>0.10518543571811396</v>
      </c>
      <c r="M54" s="155">
        <f t="shared" si="5"/>
        <v>5.9370723723942621E-2</v>
      </c>
    </row>
    <row r="55" spans="2:13" x14ac:dyDescent="0.15">
      <c r="B55" s="153">
        <v>51</v>
      </c>
      <c r="C55" s="154">
        <f>'[1]功能-行军令'!CS55</f>
        <v>2.7663539633454999</v>
      </c>
      <c r="D55" s="154">
        <f>'[1]功能-行军令'!CT55</f>
        <v>3.4492353917699257</v>
      </c>
      <c r="E55" s="154">
        <f>'[1]功能-行军令'!CU55</f>
        <v>3.8199351914270743</v>
      </c>
      <c r="F55" s="154">
        <f>'[1]功能-行军令'!CV55</f>
        <v>3.1954574226665118</v>
      </c>
      <c r="G55" s="154">
        <f>'[1]功能-行军令'!CW55</f>
        <v>1.7880299063383485</v>
      </c>
      <c r="I55" s="155">
        <f t="shared" si="1"/>
        <v>0.12807194274747685</v>
      </c>
      <c r="J55" s="155">
        <f t="shared" si="2"/>
        <v>0.15968682369305212</v>
      </c>
      <c r="K55" s="155">
        <f t="shared" si="3"/>
        <v>0.17684885145495713</v>
      </c>
      <c r="L55" s="155">
        <f t="shared" si="4"/>
        <v>0.14793784364196813</v>
      </c>
      <c r="M55" s="155">
        <f t="shared" si="5"/>
        <v>8.2779162330479092E-2</v>
      </c>
    </row>
    <row r="56" spans="2:13" x14ac:dyDescent="0.15">
      <c r="B56" s="153">
        <v>52</v>
      </c>
      <c r="C56" s="154">
        <f>'[1]功能-行军令'!CS56</f>
        <v>3.7326126658710486</v>
      </c>
      <c r="D56" s="154">
        <f>'[1]功能-行军令'!CT56</f>
        <v>4.680142056346746</v>
      </c>
      <c r="E56" s="154">
        <f>'[1]功能-行军令'!CU56</f>
        <v>5.2353096442605489</v>
      </c>
      <c r="F56" s="154">
        <f>'[1]功能-行军令'!CV56</f>
        <v>4.375975036520507</v>
      </c>
      <c r="G56" s="154">
        <f>'[1]功能-行军令'!CW56</f>
        <v>2.4246573757485437</v>
      </c>
      <c r="I56" s="155">
        <f t="shared" si="1"/>
        <v>0.17280614193847446</v>
      </c>
      <c r="J56" s="155">
        <f t="shared" si="2"/>
        <v>0.2166732433493864</v>
      </c>
      <c r="K56" s="155">
        <f t="shared" si="3"/>
        <v>0.24237544649354392</v>
      </c>
      <c r="L56" s="155">
        <f t="shared" si="4"/>
        <v>0.20259143687594941</v>
      </c>
      <c r="M56" s="155">
        <f t="shared" si="5"/>
        <v>0.11225265628465481</v>
      </c>
    </row>
    <row r="57" spans="2:13" x14ac:dyDescent="0.15">
      <c r="B57" s="153">
        <v>53</v>
      </c>
      <c r="C57" s="154">
        <f>'[1]功能-行军令'!CS57</f>
        <v>4.8976744055966215</v>
      </c>
      <c r="D57" s="154">
        <f>'[1]功能-行军令'!CT57</f>
        <v>6.1896957392934908</v>
      </c>
      <c r="E57" s="154">
        <f>'[1]功能-行军令'!CU57</f>
        <v>6.9595693301681516</v>
      </c>
      <c r="F57" s="154">
        <f>'[1]功能-行军令'!CV57</f>
        <v>5.7494408414915146</v>
      </c>
      <c r="G57" s="154">
        <f>'[1]功能-行军令'!CW57</f>
        <v>3.1844065710946401</v>
      </c>
      <c r="I57" s="155">
        <f t="shared" si="1"/>
        <v>0.22674418544428801</v>
      </c>
      <c r="J57" s="155">
        <f t="shared" si="2"/>
        <v>0.28655998793025422</v>
      </c>
      <c r="K57" s="155">
        <f t="shared" si="3"/>
        <v>0.32220228380408111</v>
      </c>
      <c r="L57" s="155">
        <f t="shared" si="4"/>
        <v>0.26617781673571833</v>
      </c>
      <c r="M57" s="155">
        <f t="shared" si="5"/>
        <v>0.14742623014327036</v>
      </c>
    </row>
    <row r="58" spans="2:13" x14ac:dyDescent="0.15">
      <c r="B58" s="153">
        <v>54</v>
      </c>
      <c r="C58" s="154">
        <f>'[1]功能-行军令'!CS58</f>
        <v>6.1567623459079872</v>
      </c>
      <c r="D58" s="154">
        <f>'[1]功能-行军令'!CT58</f>
        <v>7.8237104271249924</v>
      </c>
      <c r="E58" s="154">
        <f>'[1]功能-行军令'!CU58</f>
        <v>8.6978750651625418</v>
      </c>
      <c r="F58" s="154">
        <f>'[1]功能-行军令'!CV58</f>
        <v>7.187961461053721</v>
      </c>
      <c r="G58" s="154">
        <f>'[1]功能-行军令'!CW58</f>
        <v>3.9552813332292516</v>
      </c>
      <c r="I58" s="155">
        <f t="shared" si="1"/>
        <v>0.28503529379203646</v>
      </c>
      <c r="J58" s="155">
        <f t="shared" si="2"/>
        <v>0.36220881607060157</v>
      </c>
      <c r="K58" s="155">
        <f t="shared" si="3"/>
        <v>0.40267940116493245</v>
      </c>
      <c r="L58" s="155">
        <f t="shared" si="4"/>
        <v>0.33277599356730192</v>
      </c>
      <c r="M58" s="155">
        <f t="shared" si="5"/>
        <v>0.18311487653839129</v>
      </c>
    </row>
    <row r="59" spans="2:13" x14ac:dyDescent="0.15">
      <c r="B59" s="153">
        <v>55</v>
      </c>
      <c r="C59" s="154">
        <f>'[1]功能-行军令'!CS59</f>
        <v>7.5173719248656274</v>
      </c>
      <c r="D59" s="154">
        <f>'[1]功能-行军令'!CT59</f>
        <v>9.5141820489170126</v>
      </c>
      <c r="E59" s="154">
        <f>'[1]功能-行军令'!CU59</f>
        <v>10.552832065581157</v>
      </c>
      <c r="F59" s="154">
        <f>'[1]功能-行军令'!CV59</f>
        <v>8.7161729676441446</v>
      </c>
      <c r="G59" s="154">
        <f>'[1]功能-行军令'!CW59</f>
        <v>4.7925321689119977</v>
      </c>
      <c r="I59" s="155">
        <f t="shared" si="1"/>
        <v>0.34802647800303838</v>
      </c>
      <c r="J59" s="155">
        <f t="shared" si="2"/>
        <v>0.44047139115356537</v>
      </c>
      <c r="K59" s="155">
        <f t="shared" si="3"/>
        <v>0.48855704007320178</v>
      </c>
      <c r="L59" s="155">
        <f t="shared" si="4"/>
        <v>0.40352652627982155</v>
      </c>
      <c r="M59" s="155">
        <f t="shared" si="5"/>
        <v>0.22187648930148141</v>
      </c>
    </row>
    <row r="60" spans="2:13" x14ac:dyDescent="0.15">
      <c r="B60" s="153">
        <v>56</v>
      </c>
      <c r="C60" s="154">
        <f>'[1]功能-行军令'!CS60</f>
        <v>8.987590158232301</v>
      </c>
      <c r="D60" s="154">
        <f>'[1]功能-行军令'!CT60</f>
        <v>11.322331306897834</v>
      </c>
      <c r="E60" s="154">
        <f>'[1]功能-行军令'!CU60</f>
        <v>12.564334196139852</v>
      </c>
      <c r="F60" s="154">
        <f>'[1]功能-行军令'!CV60</f>
        <v>10.366252846365636</v>
      </c>
      <c r="G60" s="154">
        <f>'[1]功能-行军令'!CW60</f>
        <v>5.6976710049099113</v>
      </c>
      <c r="I60" s="155">
        <f t="shared" si="1"/>
        <v>0.41609213695519914</v>
      </c>
      <c r="J60" s="155">
        <f t="shared" si="2"/>
        <v>0.52418200494897371</v>
      </c>
      <c r="K60" s="155">
        <f t="shared" si="3"/>
        <v>0.58168213871017838</v>
      </c>
      <c r="L60" s="155">
        <f t="shared" si="4"/>
        <v>0.47991911325766839</v>
      </c>
      <c r="M60" s="155">
        <f t="shared" si="5"/>
        <v>0.26378106504212556</v>
      </c>
    </row>
    <row r="61" spans="2:13" x14ac:dyDescent="0.15">
      <c r="B61" s="153">
        <v>57</v>
      </c>
      <c r="C61" s="154">
        <f>'[1]功能-行军令'!CS61</f>
        <v>10.576141946409269</v>
      </c>
      <c r="D61" s="154">
        <f>'[1]功能-行军令'!CT61</f>
        <v>13.339534777698461</v>
      </c>
      <c r="E61" s="154">
        <f>'[1]功能-行军令'!CU61</f>
        <v>14.755616664880193</v>
      </c>
      <c r="F61" s="154">
        <f>'[1]功能-行军令'!CV61</f>
        <v>12.158599360081348</v>
      </c>
      <c r="G61" s="154">
        <f>'[1]功能-行军令'!CW61</f>
        <v>6.6973522242613068</v>
      </c>
      <c r="I61" s="155">
        <f t="shared" si="1"/>
        <v>0.48963620122265133</v>
      </c>
      <c r="J61" s="155">
        <f t="shared" si="2"/>
        <v>0.61757105452307692</v>
      </c>
      <c r="K61" s="155">
        <f t="shared" si="3"/>
        <v>0.68313040115186086</v>
      </c>
      <c r="L61" s="155">
        <f t="shared" si="4"/>
        <v>0.56289811852228466</v>
      </c>
      <c r="M61" s="155">
        <f t="shared" si="5"/>
        <v>0.31006260297506055</v>
      </c>
    </row>
    <row r="62" spans="2:13" x14ac:dyDescent="0.15">
      <c r="B62" s="153">
        <v>58</v>
      </c>
      <c r="C62" s="154">
        <f>'[1]功能-行军令'!CS62</f>
        <v>12.292439981119577</v>
      </c>
      <c r="D62" s="154">
        <f>'[1]功能-行军令'!CT62</f>
        <v>15.449812377570572</v>
      </c>
      <c r="E62" s="154">
        <f>'[1]功能-行军令'!CU62</f>
        <v>17.119308391882278</v>
      </c>
      <c r="F62" s="154">
        <f>'[1]功能-行军令'!CV62</f>
        <v>14.123410936701658</v>
      </c>
      <c r="G62" s="154">
        <f>'[1]功能-行军令'!CW62</f>
        <v>7.7690470766105832</v>
      </c>
      <c r="I62" s="155">
        <f t="shared" si="1"/>
        <v>0.56909444357035077</v>
      </c>
      <c r="J62" s="155">
        <f t="shared" si="2"/>
        <v>0.71526909155419316</v>
      </c>
      <c r="K62" s="155">
        <f t="shared" si="3"/>
        <v>0.79256057369825372</v>
      </c>
      <c r="L62" s="155">
        <f t="shared" si="4"/>
        <v>0.65386161743989157</v>
      </c>
      <c r="M62" s="155">
        <f t="shared" si="5"/>
        <v>0.35967810539863815</v>
      </c>
    </row>
    <row r="63" spans="2:13" x14ac:dyDescent="0.15">
      <c r="B63" s="153">
        <v>59</v>
      </c>
      <c r="C63" s="154">
        <f>'[1]功能-行军令'!CS63</f>
        <v>14.146638530024562</v>
      </c>
      <c r="D63" s="154">
        <f>'[1]功能-行军令'!CT63</f>
        <v>17.800313271521574</v>
      </c>
      <c r="E63" s="154">
        <f>'[1]功能-行军令'!CU63</f>
        <v>19.701124245852824</v>
      </c>
      <c r="F63" s="154">
        <f>'[1]功能-行军令'!CV63</f>
        <v>16.236613524366859</v>
      </c>
      <c r="G63" s="154">
        <f>'[1]功能-行军令'!CW63</f>
        <v>8.9600446471789272</v>
      </c>
      <c r="I63" s="155">
        <f t="shared" si="1"/>
        <v>0.65493696898261866</v>
      </c>
      <c r="J63" s="155">
        <f t="shared" si="2"/>
        <v>0.82408857738525809</v>
      </c>
      <c r="K63" s="155">
        <f t="shared" si="3"/>
        <v>0.91208908545614931</v>
      </c>
      <c r="L63" s="155">
        <f t="shared" si="4"/>
        <v>0.7516950705725397</v>
      </c>
      <c r="M63" s="155">
        <f t="shared" si="5"/>
        <v>0.4148168818138393</v>
      </c>
    </row>
    <row r="64" spans="2:13" x14ac:dyDescent="0.15">
      <c r="B64" s="153">
        <v>60</v>
      </c>
      <c r="C64" s="154">
        <f>'[1]功能-行军令'!CS64</f>
        <v>16.150480002339101</v>
      </c>
      <c r="D64" s="154">
        <f>'[1]功能-行军令'!CT64</f>
        <v>20.285331709914324</v>
      </c>
      <c r="E64" s="154">
        <f>'[1]功能-行军令'!CU64</f>
        <v>22.465981973053456</v>
      </c>
      <c r="F64" s="154">
        <f>'[1]功能-行军令'!CV64</f>
        <v>18.542637809634464</v>
      </c>
      <c r="G64" s="154">
        <f>'[1]功能-行军令'!CW64</f>
        <v>10.292417104078405</v>
      </c>
      <c r="I64" s="155">
        <f t="shared" si="1"/>
        <v>0.74770740751569909</v>
      </c>
      <c r="J64" s="155">
        <f t="shared" si="2"/>
        <v>0.93913572731084838</v>
      </c>
      <c r="K64" s="155">
        <f t="shared" si="3"/>
        <v>1.0400917580117341</v>
      </c>
      <c r="L64" s="155">
        <f t="shared" si="4"/>
        <v>0.85845545414974367</v>
      </c>
      <c r="M64" s="155">
        <f t="shared" si="5"/>
        <v>0.47650079185548172</v>
      </c>
    </row>
    <row r="65" spans="2:13" x14ac:dyDescent="0.15">
      <c r="B65" s="153">
        <v>61</v>
      </c>
      <c r="C65" s="154">
        <f>'[1]功能-行军令'!CS65</f>
        <v>18.315893405686857</v>
      </c>
      <c r="D65" s="154">
        <f>'[1]功能-行军令'!CT65</f>
        <v>23.03681249653313</v>
      </c>
      <c r="E65" s="154">
        <f>'[1]功能-行军令'!CU65</f>
        <v>25.506589570148183</v>
      </c>
      <c r="F65" s="154">
        <f>'[1]功能-行军令'!CV65</f>
        <v>21.096350278868364</v>
      </c>
      <c r="G65" s="154">
        <f>'[1]功能-行军令'!CW65</f>
        <v>11.691873662921823</v>
      </c>
      <c r="I65" s="155">
        <f t="shared" si="1"/>
        <v>0.84795802804105824</v>
      </c>
      <c r="J65" s="155">
        <f t="shared" si="2"/>
        <v>1.0665190970617189</v>
      </c>
      <c r="K65" s="155">
        <f t="shared" si="3"/>
        <v>1.1808606282476011</v>
      </c>
      <c r="L65" s="155">
        <f t="shared" si="4"/>
        <v>0.97668288328094277</v>
      </c>
      <c r="M65" s="155">
        <f t="shared" si="5"/>
        <v>0.54129044735749188</v>
      </c>
    </row>
    <row r="66" spans="2:13" x14ac:dyDescent="0.15">
      <c r="B66" s="153">
        <v>62</v>
      </c>
      <c r="C66" s="154">
        <f>'[1]功能-行军令'!CS66</f>
        <v>20.655749245021369</v>
      </c>
      <c r="D66" s="154">
        <f>'[1]功能-行军令'!CT66</f>
        <v>25.976192044595482</v>
      </c>
      <c r="E66" s="154">
        <f>'[1]功能-行军令'!CU66</f>
        <v>28.826234460025855</v>
      </c>
      <c r="F66" s="154">
        <f>'[1]功能-行军令'!CV66</f>
        <v>23.881063813179633</v>
      </c>
      <c r="G66" s="154">
        <f>'[1]功能-行军令'!CW66</f>
        <v>13.311577534940817</v>
      </c>
      <c r="I66" s="155">
        <f t="shared" si="1"/>
        <v>0.95628468726950777</v>
      </c>
      <c r="J66" s="155">
        <f t="shared" si="2"/>
        <v>1.202601483546087</v>
      </c>
      <c r="K66" s="155">
        <f t="shared" si="3"/>
        <v>1.3345478916678637</v>
      </c>
      <c r="L66" s="155">
        <f t="shared" si="4"/>
        <v>1.1056048061657238</v>
      </c>
      <c r="M66" s="155">
        <f t="shared" si="5"/>
        <v>0.61627673772874159</v>
      </c>
    </row>
    <row r="67" spans="2:13" x14ac:dyDescent="0.15">
      <c r="B67" s="153">
        <v>63</v>
      </c>
      <c r="C67" s="154">
        <f>'[1]功能-行军令'!CS67</f>
        <v>23.183933220225878</v>
      </c>
      <c r="D67" s="154">
        <f>'[1]功能-行军令'!CT67</f>
        <v>29.205323626608344</v>
      </c>
      <c r="E67" s="154">
        <f>'[1]功能-行军令'!CU67</f>
        <v>32.400855194478808</v>
      </c>
      <c r="F67" s="154">
        <f>'[1]功能-行军令'!CV67</f>
        <v>26.918965427236113</v>
      </c>
      <c r="G67" s="154">
        <f>'[1]功能-行军令'!CW67</f>
        <v>15.002337679266621</v>
      </c>
      <c r="I67" s="155">
        <f t="shared" si="1"/>
        <v>1.0733302416771242</v>
      </c>
      <c r="J67" s="155">
        <f t="shared" si="2"/>
        <v>1.3520983160466826</v>
      </c>
      <c r="K67" s="155">
        <f t="shared" si="3"/>
        <v>1.500039592336982</v>
      </c>
      <c r="L67" s="155">
        <f t="shared" si="4"/>
        <v>1.2462483994090794</v>
      </c>
      <c r="M67" s="155">
        <f t="shared" si="5"/>
        <v>0.69455267033641765</v>
      </c>
    </row>
    <row r="68" spans="2:13" x14ac:dyDescent="0.15">
      <c r="B68" s="153">
        <v>64</v>
      </c>
      <c r="C68" s="154">
        <f>'[1]功能-行军令'!CS68</f>
        <v>25.915425652719531</v>
      </c>
      <c r="D68" s="154">
        <f>'[1]功能-行军令'!CT68</f>
        <v>32.673469497100236</v>
      </c>
      <c r="E68" s="154">
        <f>'[1]功能-行军令'!CU68</f>
        <v>36.304444657691462</v>
      </c>
      <c r="F68" s="154">
        <f>'[1]功能-行军令'!CV68</f>
        <v>30.207359149265251</v>
      </c>
      <c r="G68" s="154">
        <f>'[1]功能-行军令'!CW68</f>
        <v>16.778010498432494</v>
      </c>
      <c r="I68" s="155">
        <f t="shared" si="1"/>
        <v>1.1997882246629412</v>
      </c>
      <c r="J68" s="155">
        <f t="shared" si="2"/>
        <v>1.5126606248657517</v>
      </c>
      <c r="K68" s="155">
        <f t="shared" si="3"/>
        <v>1.6807613267449752</v>
      </c>
      <c r="L68" s="155">
        <f t="shared" si="4"/>
        <v>1.398488849503021</v>
      </c>
      <c r="M68" s="155">
        <f t="shared" si="5"/>
        <v>0.77675974529780067</v>
      </c>
    </row>
    <row r="69" spans="2:13" x14ac:dyDescent="0.15">
      <c r="B69" s="153">
        <v>65</v>
      </c>
      <c r="C69" s="154">
        <f>'[1]功能-行军令'!CS69</f>
        <v>28.866387083803069</v>
      </c>
      <c r="D69" s="154">
        <f>'[1]功能-行军令'!CT69</f>
        <v>36.396187925040664</v>
      </c>
      <c r="E69" s="154">
        <f>'[1]功能-行军令'!CU69</f>
        <v>40.578130301327768</v>
      </c>
      <c r="F69" s="154">
        <f>'[1]功能-行军令'!CV69</f>
        <v>33.708105925299705</v>
      </c>
      <c r="G69" s="154">
        <f>'[1]功能-行军令'!CW69</f>
        <v>18.578590900756907</v>
      </c>
      <c r="I69" s="155">
        <f t="shared" si="1"/>
        <v>1.3364068094353272</v>
      </c>
      <c r="J69" s="155">
        <f t="shared" si="2"/>
        <v>1.6850087002333642</v>
      </c>
      <c r="K69" s="155">
        <f t="shared" si="3"/>
        <v>1.8786171435799892</v>
      </c>
      <c r="L69" s="155">
        <f t="shared" si="4"/>
        <v>1.5605604595046161</v>
      </c>
      <c r="M69" s="155">
        <f t="shared" si="5"/>
        <v>0.86011994910911616</v>
      </c>
    </row>
    <row r="70" spans="2:13" x14ac:dyDescent="0.15">
      <c r="B70" s="153">
        <v>66</v>
      </c>
      <c r="C70" s="154">
        <f>'[1]功能-行军令'!CS70</f>
        <v>32.029149234606514</v>
      </c>
      <c r="D70" s="154">
        <f>'[1]功能-行军令'!CT70</f>
        <v>40.440097346699673</v>
      </c>
      <c r="E70" s="154">
        <f>'[1]功能-行军令'!CU70</f>
        <v>45.093435442278114</v>
      </c>
      <c r="F70" s="154">
        <f>'[1]功能-行军令'!CV70</f>
        <v>37.232723294047176</v>
      </c>
      <c r="G70" s="154">
        <f>'[1]功能-行军令'!CW70</f>
        <v>20.603758068436015</v>
      </c>
      <c r="I70" s="155">
        <f t="shared" ref="I70:I133" si="6">C70/(0.3/0.5)/3/12</f>
        <v>1.4828309830836348</v>
      </c>
      <c r="J70" s="155">
        <f t="shared" ref="J70:J133" si="7">D70/(0.3/0.5)/3/12</f>
        <v>1.8722267290138737</v>
      </c>
      <c r="K70" s="155">
        <f t="shared" ref="K70:K133" si="8">E70/(0.3/0.5)/3/12</f>
        <v>2.0876590482536166</v>
      </c>
      <c r="L70" s="155">
        <f t="shared" ref="L70:L133" si="9">F70/(0.3/0.5)/3/12</f>
        <v>1.7237371895392213</v>
      </c>
      <c r="M70" s="155">
        <f t="shared" ref="M70:M133" si="10">G70/(0.3/0.5)/3/12</f>
        <v>0.95387768835351927</v>
      </c>
    </row>
    <row r="71" spans="2:13" x14ac:dyDescent="0.15">
      <c r="B71" s="153">
        <v>67</v>
      </c>
      <c r="C71" s="154">
        <f>'[1]功能-行军令'!CS71</f>
        <v>35.418913776151854</v>
      </c>
      <c r="D71" s="154">
        <f>'[1]功能-行军令'!CT71</f>
        <v>44.777743863356363</v>
      </c>
      <c r="E71" s="154">
        <f>'[1]功能-行军令'!CU71</f>
        <v>49.718703372634657</v>
      </c>
      <c r="F71" s="154">
        <f>'[1]功能-行军令'!CV71</f>
        <v>41.007736701933645</v>
      </c>
      <c r="G71" s="154">
        <f>'[1]功能-行军令'!CW71</f>
        <v>22.727077543064734</v>
      </c>
      <c r="I71" s="155">
        <f t="shared" si="6"/>
        <v>1.6397645266736971</v>
      </c>
      <c r="J71" s="155">
        <f t="shared" si="7"/>
        <v>2.0730436973776096</v>
      </c>
      <c r="K71" s="155">
        <f t="shared" si="8"/>
        <v>2.3017918228071599</v>
      </c>
      <c r="L71" s="155">
        <f t="shared" si="9"/>
        <v>1.8985063287932247</v>
      </c>
      <c r="M71" s="155">
        <f t="shared" si="10"/>
        <v>1.0521795158826266</v>
      </c>
    </row>
    <row r="72" spans="2:13" x14ac:dyDescent="0.15">
      <c r="B72" s="153">
        <v>68</v>
      </c>
      <c r="C72" s="154">
        <f>'[1]功能-行军令'!CS72</f>
        <v>39.051973456026673</v>
      </c>
      <c r="D72" s="154">
        <f>'[1]功能-行军令'!CT72</f>
        <v>49.289501246977444</v>
      </c>
      <c r="E72" s="154">
        <f>'[1]功能-行军令'!CU72</f>
        <v>54.494156054145527</v>
      </c>
      <c r="F72" s="154">
        <f>'[1]功能-行军令'!CV72</f>
        <v>45.136042357819967</v>
      </c>
      <c r="G72" s="154">
        <f>'[1]功能-行军令'!CW72</f>
        <v>24.972968611514709</v>
      </c>
      <c r="I72" s="155">
        <f t="shared" si="6"/>
        <v>1.8079617340753094</v>
      </c>
      <c r="J72" s="155">
        <f t="shared" si="7"/>
        <v>2.2819213540267334</v>
      </c>
      <c r="K72" s="155">
        <f t="shared" si="8"/>
        <v>2.5228775950993301</v>
      </c>
      <c r="L72" s="155">
        <f t="shared" si="9"/>
        <v>2.0896315906398137</v>
      </c>
      <c r="M72" s="155">
        <f t="shared" si="10"/>
        <v>1.1561559542367921</v>
      </c>
    </row>
    <row r="73" spans="2:13" x14ac:dyDescent="0.15">
      <c r="B73" s="153">
        <v>69</v>
      </c>
      <c r="C73" s="154">
        <f>'[1]功能-行军令'!CS73</f>
        <v>42.945790408727092</v>
      </c>
      <c r="D73" s="154">
        <f>'[1]功能-行军令'!CT73</f>
        <v>54.026409676225249</v>
      </c>
      <c r="E73" s="154">
        <f>'[1]功能-行军令'!CU73</f>
        <v>59.929679042335465</v>
      </c>
      <c r="F73" s="154">
        <f>'[1]功能-行军令'!CV73</f>
        <v>49.630196356251879</v>
      </c>
      <c r="G73" s="154">
        <f>'[1]功能-行军令'!CW73</f>
        <v>27.372137751199681</v>
      </c>
      <c r="I73" s="155">
        <f t="shared" si="6"/>
        <v>1.988231037441069</v>
      </c>
      <c r="J73" s="155">
        <f t="shared" si="7"/>
        <v>2.5012226701956135</v>
      </c>
      <c r="K73" s="155">
        <f t="shared" si="8"/>
        <v>2.7745221778859013</v>
      </c>
      <c r="L73" s="155">
        <f t="shared" si="9"/>
        <v>2.2976942757524017</v>
      </c>
      <c r="M73" s="155">
        <f t="shared" si="10"/>
        <v>1.2672285995925778</v>
      </c>
    </row>
    <row r="74" spans="2:13" x14ac:dyDescent="0.15">
      <c r="B74" s="153">
        <v>70</v>
      </c>
      <c r="C74" s="154">
        <f>'[1]功能-行军令'!CS74</f>
        <v>47.119080086605351</v>
      </c>
      <c r="D74" s="154">
        <f>'[1]功能-行军令'!CT74</f>
        <v>59.314965920992321</v>
      </c>
      <c r="E74" s="154">
        <f>'[1]功能-行军令'!CU74</f>
        <v>65.912678413714048</v>
      </c>
      <c r="F74" s="154">
        <f>'[1]功能-行军令'!CV74</f>
        <v>54.416394652348217</v>
      </c>
      <c r="G74" s="154">
        <f>'[1]功能-行军令'!CW74</f>
        <v>30.031937574526903</v>
      </c>
      <c r="I74" s="155">
        <f t="shared" si="6"/>
        <v>2.1814388928983961</v>
      </c>
      <c r="J74" s="155">
        <f t="shared" si="7"/>
        <v>2.7460632370829781</v>
      </c>
      <c r="K74" s="155">
        <f t="shared" si="8"/>
        <v>3.0515128895237988</v>
      </c>
      <c r="L74" s="155">
        <f t="shared" si="9"/>
        <v>2.5192775302013062</v>
      </c>
      <c r="M74" s="155">
        <f t="shared" si="10"/>
        <v>1.3903674803021715</v>
      </c>
    </row>
    <row r="75" spans="2:13" x14ac:dyDescent="0.15">
      <c r="B75" s="153">
        <v>71</v>
      </c>
      <c r="C75" s="154">
        <f>'[1]功能-行军令'!CS75</f>
        <v>51.591901214831871</v>
      </c>
      <c r="D75" s="154">
        <f>'[1]功能-行军令'!CT75</f>
        <v>65.033356865202606</v>
      </c>
      <c r="E75" s="154">
        <f>'[1]功能-行军令'!CU75</f>
        <v>72.15127288202234</v>
      </c>
      <c r="F75" s="154">
        <f>'[1]功能-行军令'!CV75</f>
        <v>59.526221782198235</v>
      </c>
      <c r="G75" s="154">
        <f>'[1]功能-行军令'!CW75</f>
        <v>32.895468199439215</v>
      </c>
      <c r="I75" s="155">
        <f t="shared" si="6"/>
        <v>2.388513945131105</v>
      </c>
      <c r="J75" s="155">
        <f t="shared" si="7"/>
        <v>3.0108035585741946</v>
      </c>
      <c r="K75" s="155">
        <f t="shared" si="8"/>
        <v>3.3403367075010344</v>
      </c>
      <c r="L75" s="155">
        <f t="shared" si="9"/>
        <v>2.7558436010276961</v>
      </c>
      <c r="M75" s="155">
        <f t="shared" si="10"/>
        <v>1.5229383425666303</v>
      </c>
    </row>
    <row r="76" spans="2:13" x14ac:dyDescent="0.15">
      <c r="B76" s="153">
        <v>72</v>
      </c>
      <c r="C76" s="154">
        <f>'[1]功能-行军令'!CS76</f>
        <v>56.385752202736711</v>
      </c>
      <c r="D76" s="154">
        <f>'[1]功能-行军令'!CT76</f>
        <v>71.095313667644461</v>
      </c>
      <c r="E76" s="154">
        <f>'[1]功能-行军令'!CU76</f>
        <v>78.637855435905948</v>
      </c>
      <c r="F76" s="154">
        <f>'[1]功能-行军令'!CV76</f>
        <v>64.948551939671859</v>
      </c>
      <c r="G76" s="154">
        <f>'[1]功能-行军令'!CW76</f>
        <v>35.915683524747834</v>
      </c>
      <c r="I76" s="155">
        <f t="shared" si="6"/>
        <v>2.6104514908674403</v>
      </c>
      <c r="J76" s="155">
        <f t="shared" si="7"/>
        <v>3.2914497068353921</v>
      </c>
      <c r="K76" s="155">
        <f t="shared" si="8"/>
        <v>3.640641455366016</v>
      </c>
      <c r="L76" s="155">
        <f t="shared" si="9"/>
        <v>3.0068774046144378</v>
      </c>
      <c r="M76" s="155">
        <f t="shared" si="10"/>
        <v>1.662763126145733</v>
      </c>
    </row>
    <row r="77" spans="2:13" x14ac:dyDescent="0.15">
      <c r="B77" s="153">
        <v>73</v>
      </c>
      <c r="C77" s="154">
        <f>'[1]功能-行军令'!CS77</f>
        <v>61.523674474926537</v>
      </c>
      <c r="D77" s="154">
        <f>'[1]功能-行军令'!CT77</f>
        <v>77.359927830921677</v>
      </c>
      <c r="E77" s="154">
        <f>'[1]功能-行军令'!CU77</f>
        <v>85.632932039182535</v>
      </c>
      <c r="F77" s="154">
        <f>'[1]功能-行军令'!CV77</f>
        <v>70.800847978567589</v>
      </c>
      <c r="G77" s="154">
        <f>'[1]功能-行军令'!CW77</f>
        <v>39.165107379682638</v>
      </c>
      <c r="I77" s="155">
        <f t="shared" si="6"/>
        <v>2.8483182627280805</v>
      </c>
      <c r="J77" s="155">
        <f t="shared" si="7"/>
        <v>3.5814781403204488</v>
      </c>
      <c r="K77" s="155">
        <f t="shared" si="8"/>
        <v>3.9644875944065987</v>
      </c>
      <c r="L77" s="155">
        <f t="shared" si="9"/>
        <v>3.2778170360447962</v>
      </c>
      <c r="M77" s="155">
        <f t="shared" si="10"/>
        <v>1.813199415726048</v>
      </c>
    </row>
    <row r="78" spans="2:13" x14ac:dyDescent="0.15">
      <c r="B78" s="153">
        <v>74</v>
      </c>
      <c r="C78" s="154">
        <f>'[1]功能-行军令'!CS78</f>
        <v>67.030363218833742</v>
      </c>
      <c r="D78" s="154">
        <f>'[1]功能-行军令'!CT78</f>
        <v>84.272340878199984</v>
      </c>
      <c r="E78" s="154">
        <f>'[1]功能-行军令'!CU78</f>
        <v>93.455406778022237</v>
      </c>
      <c r="F78" s="154">
        <f>'[1]功能-行军令'!CV78</f>
        <v>77.248771769012137</v>
      </c>
      <c r="G78" s="154">
        <f>'[1]功能-行军令'!CW78</f>
        <v>42.753851062864754</v>
      </c>
      <c r="I78" s="155">
        <f t="shared" si="6"/>
        <v>3.1032575564274882</v>
      </c>
      <c r="J78" s="155">
        <f t="shared" si="7"/>
        <v>3.9014972628796296</v>
      </c>
      <c r="K78" s="155">
        <f t="shared" si="8"/>
        <v>4.3266392026862146</v>
      </c>
      <c r="L78" s="155">
        <f t="shared" si="9"/>
        <v>3.5763320263431546</v>
      </c>
      <c r="M78" s="155">
        <f t="shared" si="10"/>
        <v>1.979344956614109</v>
      </c>
    </row>
    <row r="79" spans="2:13" x14ac:dyDescent="0.15">
      <c r="B79" s="153">
        <v>75</v>
      </c>
      <c r="C79" s="154">
        <f>'[1]功能-行军令'!CS79</f>
        <v>72.932286081000797</v>
      </c>
      <c r="D79" s="154">
        <f>'[1]功能-行军令'!CT79</f>
        <v>91.78127771060781</v>
      </c>
      <c r="E79" s="154">
        <f>'[1]功能-行军令'!CU79</f>
        <v>101.81404644279041</v>
      </c>
      <c r="F79" s="154">
        <f>'[1]功能-行军令'!CV79</f>
        <v>84.164802743702367</v>
      </c>
      <c r="G79" s="154">
        <f>'[1]功能-行军令'!CW79</f>
        <v>46.66303386381896</v>
      </c>
      <c r="I79" s="155">
        <f t="shared" si="6"/>
        <v>3.3764947259722593</v>
      </c>
      <c r="J79" s="155">
        <f t="shared" si="7"/>
        <v>4.2491332273429547</v>
      </c>
      <c r="K79" s="155">
        <f t="shared" si="8"/>
        <v>4.7136132612402974</v>
      </c>
      <c r="L79" s="155">
        <f t="shared" si="9"/>
        <v>3.8965186455417768</v>
      </c>
      <c r="M79" s="155">
        <f t="shared" si="10"/>
        <v>2.1603256418434702</v>
      </c>
    </row>
    <row r="80" spans="2:13" x14ac:dyDescent="0.15">
      <c r="B80" s="153">
        <v>76</v>
      </c>
      <c r="C80" s="154">
        <f>'[1]功能-行军令'!CS80</f>
        <v>79.257810382607687</v>
      </c>
      <c r="D80" s="154">
        <f>'[1]功能-行军令'!CT80</f>
        <v>99.73890642484011</v>
      </c>
      <c r="E80" s="154">
        <f>'[1]功能-行军令'!CU80</f>
        <v>110.61285594513544</v>
      </c>
      <c r="F80" s="154">
        <f>'[1]功能-行军令'!CV80</f>
        <v>91.603959186953773</v>
      </c>
      <c r="G80" s="154">
        <f>'[1]功能-行军令'!CW80</f>
        <v>50.924461034805354</v>
      </c>
      <c r="I80" s="155">
        <f t="shared" si="6"/>
        <v>3.6693430732688745</v>
      </c>
      <c r="J80" s="155">
        <f t="shared" si="7"/>
        <v>4.6175419641129682</v>
      </c>
      <c r="K80" s="155">
        <f t="shared" si="8"/>
        <v>5.1209655530155294</v>
      </c>
      <c r="L80" s="155">
        <f t="shared" si="9"/>
        <v>4.2409240364330456</v>
      </c>
      <c r="M80" s="155">
        <f t="shared" si="10"/>
        <v>2.3576139367965445</v>
      </c>
    </row>
    <row r="81" spans="2:13" x14ac:dyDescent="0.15">
      <c r="B81" s="153">
        <v>77</v>
      </c>
      <c r="C81" s="154">
        <f>'[1]功能-行军令'!CS81</f>
        <v>86.037339465698381</v>
      </c>
      <c r="D81" s="154">
        <f>'[1]功能-行军令'!CT81</f>
        <v>108.35473589076572</v>
      </c>
      <c r="E81" s="154">
        <f>'[1]功能-行军令'!CU81</f>
        <v>120.25838296348265</v>
      </c>
      <c r="F81" s="154">
        <f>'[1]功能-行军令'!CV81</f>
        <v>99.652356602343474</v>
      </c>
      <c r="G81" s="154">
        <f>'[1]功能-行军令'!CW81</f>
        <v>55.144530452826949</v>
      </c>
      <c r="I81" s="155">
        <f t="shared" si="6"/>
        <v>3.9832101604489996</v>
      </c>
      <c r="J81" s="155">
        <f t="shared" si="7"/>
        <v>5.0164229579058199</v>
      </c>
      <c r="K81" s="155">
        <f t="shared" si="8"/>
        <v>5.5675177297908638</v>
      </c>
      <c r="L81" s="155">
        <f t="shared" si="9"/>
        <v>4.6135350278862726</v>
      </c>
      <c r="M81" s="155">
        <f t="shared" si="10"/>
        <v>2.5529875209642108</v>
      </c>
    </row>
    <row r="82" spans="2:13" x14ac:dyDescent="0.15">
      <c r="B82" s="153">
        <v>78</v>
      </c>
      <c r="C82" s="154">
        <f>'[1]功能-行军令'!CS82</f>
        <v>93.30345882544799</v>
      </c>
      <c r="D82" s="154">
        <f>'[1]功能-行军令'!CT82</f>
        <v>117.51560644495163</v>
      </c>
      <c r="E82" s="154">
        <f>'[1]功能-行军令'!CU82</f>
        <v>130.56502077270142</v>
      </c>
      <c r="F82" s="154">
        <f>'[1]功能-行军令'!CV82</f>
        <v>108.09800407285522</v>
      </c>
      <c r="G82" s="154">
        <f>'[1]功能-行军令'!CW82</f>
        <v>59.631859026829453</v>
      </c>
      <c r="I82" s="155">
        <f t="shared" si="6"/>
        <v>4.3196045752522219</v>
      </c>
      <c r="J82" s="155">
        <f t="shared" si="7"/>
        <v>5.4405373354144269</v>
      </c>
      <c r="K82" s="155">
        <f t="shared" si="8"/>
        <v>6.0446768876250658</v>
      </c>
      <c r="L82" s="155">
        <f t="shared" si="9"/>
        <v>5.0045372255951488</v>
      </c>
      <c r="M82" s="155">
        <f t="shared" si="10"/>
        <v>2.7607342142050673</v>
      </c>
    </row>
    <row r="83" spans="2:13" x14ac:dyDescent="0.15">
      <c r="B83" s="153">
        <v>79</v>
      </c>
      <c r="C83" s="154">
        <f>'[1]功能-行军令'!CS83</f>
        <v>101.09109273084883</v>
      </c>
      <c r="D83" s="154">
        <f>'[1]功能-行军令'!CT83</f>
        <v>127.46892093123493</v>
      </c>
      <c r="E83" s="154">
        <f>'[1]功能-行军令'!CU83</f>
        <v>141.64359572522267</v>
      </c>
      <c r="F83" s="154">
        <f>'[1]功能-行军令'!CV83</f>
        <v>116.76087538547917</v>
      </c>
      <c r="G83" s="154">
        <f>'[1]功能-行军令'!CW83</f>
        <v>64.505035996506621</v>
      </c>
      <c r="I83" s="155">
        <f t="shared" si="6"/>
        <v>4.680143181983742</v>
      </c>
      <c r="J83" s="155">
        <f t="shared" si="7"/>
        <v>5.9013389320016181</v>
      </c>
      <c r="K83" s="155">
        <f t="shared" si="8"/>
        <v>6.5575738761677167</v>
      </c>
      <c r="L83" s="155">
        <f t="shared" si="9"/>
        <v>5.4055960826610727</v>
      </c>
      <c r="M83" s="155">
        <f t="shared" si="10"/>
        <v>2.9863442590975287</v>
      </c>
    </row>
    <row r="84" spans="2:13" x14ac:dyDescent="0.15">
      <c r="B84" s="153">
        <v>80</v>
      </c>
      <c r="C84" s="154">
        <f>'[1]功能-行军令'!CS84</f>
        <v>109.43767208660535</v>
      </c>
      <c r="D84" s="154">
        <f>'[1]功能-行军令'!CT84</f>
        <v>138.11022003059233</v>
      </c>
      <c r="E84" s="154">
        <f>'[1]功能-行军令'!CU84</f>
        <v>152.81667996171407</v>
      </c>
      <c r="F84" s="154">
        <f>'[1]功能-行军令'!CV84</f>
        <v>125.98956110594824</v>
      </c>
      <c r="G84" s="154">
        <f>'[1]功能-行军令'!CW84</f>
        <v>69.579599708926906</v>
      </c>
      <c r="I84" s="155">
        <f t="shared" si="6"/>
        <v>5.0665588928983967</v>
      </c>
      <c r="J84" s="155">
        <f t="shared" si="7"/>
        <v>6.3939916680829789</v>
      </c>
      <c r="K84" s="155">
        <f t="shared" si="8"/>
        <v>7.0748462945238009</v>
      </c>
      <c r="L84" s="155">
        <f t="shared" si="9"/>
        <v>5.8328500512013077</v>
      </c>
      <c r="M84" s="155">
        <f t="shared" si="10"/>
        <v>3.2212777643021719</v>
      </c>
    </row>
    <row r="85" spans="2:13" x14ac:dyDescent="0.15">
      <c r="B85" s="153">
        <v>81</v>
      </c>
      <c r="C85" s="154">
        <f>'[1]功能-行军令'!CS85</f>
        <v>118.38331434305839</v>
      </c>
      <c r="D85" s="154">
        <f>'[1]功能-行军令'!CT85</f>
        <v>148.94155877633722</v>
      </c>
      <c r="E85" s="154">
        <f>'[1]功能-行军令'!CU85</f>
        <v>164.6999503614027</v>
      </c>
      <c r="F85" s="154">
        <f>'[1]功能-行军令'!CV85</f>
        <v>135.99745723904192</v>
      </c>
      <c r="G85" s="154">
        <f>'[1]功能-行军令'!CW85</f>
        <v>75.117481413963787</v>
      </c>
      <c r="I85" s="155">
        <f t="shared" si="6"/>
        <v>5.4807089973638137</v>
      </c>
      <c r="J85" s="155">
        <f t="shared" si="7"/>
        <v>6.8954425359415374</v>
      </c>
      <c r="K85" s="155">
        <f t="shared" si="8"/>
        <v>7.6249977019167927</v>
      </c>
      <c r="L85" s="155">
        <f t="shared" si="9"/>
        <v>6.2961785758815703</v>
      </c>
      <c r="M85" s="155">
        <f t="shared" si="10"/>
        <v>3.4776611765723975</v>
      </c>
    </row>
    <row r="86" spans="2:13" x14ac:dyDescent="0.15">
      <c r="B86" s="153">
        <v>82</v>
      </c>
      <c r="C86" s="154">
        <f>'[1]功能-行军令'!CS86</f>
        <v>127.97101631886798</v>
      </c>
      <c r="D86" s="154">
        <f>'[1]功能-行军令'!CT86</f>
        <v>160.84917775877724</v>
      </c>
      <c r="E86" s="154">
        <f>'[1]功能-行军令'!CU86</f>
        <v>177.89851549216408</v>
      </c>
      <c r="F86" s="154">
        <f>'[1]功能-行军令'!CV86</f>
        <v>146.95554360320909</v>
      </c>
      <c r="G86" s="154">
        <f>'[1]功能-行军令'!CW86</f>
        <v>80.976010781495305</v>
      </c>
      <c r="I86" s="155">
        <f t="shared" si="6"/>
        <v>5.9245840888364816</v>
      </c>
      <c r="J86" s="155">
        <f t="shared" si="7"/>
        <v>7.4467211925359846</v>
      </c>
      <c r="K86" s="155">
        <f t="shared" si="8"/>
        <v>8.2360423838964856</v>
      </c>
      <c r="L86" s="155">
        <f t="shared" si="9"/>
        <v>6.8034973890374593</v>
      </c>
      <c r="M86" s="155">
        <f t="shared" si="10"/>
        <v>3.7488893880321901</v>
      </c>
    </row>
    <row r="87" spans="2:13" x14ac:dyDescent="0.15">
      <c r="B87" s="153">
        <v>83</v>
      </c>
      <c r="C87" s="154">
        <f>'[1]功能-行军令'!CS87</f>
        <v>138.24686086324786</v>
      </c>
      <c r="D87" s="154">
        <f>'[1]功能-行军令'!CT87</f>
        <v>173.88905898078127</v>
      </c>
      <c r="E87" s="154">
        <f>'[1]功能-行军令'!CU87</f>
        <v>192.51629898261046</v>
      </c>
      <c r="F87" s="154">
        <f>'[1]功能-行军令'!CV87</f>
        <v>158.69320360843093</v>
      </c>
      <c r="G87" s="154">
        <f>'[1]功能-行军令'!CW87</f>
        <v>87.476304730882291</v>
      </c>
      <c r="I87" s="155">
        <f t="shared" si="6"/>
        <v>6.4003176325577718</v>
      </c>
      <c r="J87" s="155">
        <f t="shared" si="7"/>
        <v>8.0504193972583931</v>
      </c>
      <c r="K87" s="155">
        <f t="shared" si="8"/>
        <v>8.9127916195653007</v>
      </c>
      <c r="L87" s="155">
        <f t="shared" si="9"/>
        <v>7.3469075744643959</v>
      </c>
      <c r="M87" s="155">
        <f t="shared" si="10"/>
        <v>4.0498289227260313</v>
      </c>
    </row>
    <row r="88" spans="2:13" x14ac:dyDescent="0.15">
      <c r="B88" s="153">
        <v>84</v>
      </c>
      <c r="C88" s="154">
        <f>'[1]功能-行军令'!CS88</f>
        <v>149.26023835106213</v>
      </c>
      <c r="D88" s="154">
        <f>'[1]功能-行军令'!CT88</f>
        <v>187.87290368930212</v>
      </c>
      <c r="E88" s="154">
        <f>'[1]功能-行军令'!CU88</f>
        <v>207.65365992491388</v>
      </c>
      <c r="F88" s="154">
        <f>'[1]功能-行军令'!CV88</f>
        <v>171.11903185244327</v>
      </c>
      <c r="G88" s="154">
        <f>'[1]功能-行军令'!CW88</f>
        <v>94.514104757272321</v>
      </c>
      <c r="I88" s="155">
        <f t="shared" si="6"/>
        <v>6.910196219956581</v>
      </c>
      <c r="J88" s="155">
        <f t="shared" si="7"/>
        <v>8.6978196152454696</v>
      </c>
      <c r="K88" s="155">
        <f t="shared" si="8"/>
        <v>9.6135953668941614</v>
      </c>
      <c r="L88" s="155">
        <f t="shared" si="9"/>
        <v>7.9221774005760786</v>
      </c>
      <c r="M88" s="155">
        <f t="shared" si="10"/>
        <v>4.3756529980218675</v>
      </c>
    </row>
    <row r="89" spans="2:13" x14ac:dyDescent="0.15">
      <c r="B89" s="153">
        <v>85</v>
      </c>
      <c r="C89" s="154">
        <f>'[1]功能-行军令'!CS89</f>
        <v>161.06408407539629</v>
      </c>
      <c r="D89" s="154">
        <f>'[1]功能-行军令'!CT89</f>
        <v>202.3825960797484</v>
      </c>
      <c r="E89" s="154">
        <f>'[1]功能-行军令'!CU89</f>
        <v>223.68722141037091</v>
      </c>
      <c r="F89" s="154">
        <f>'[1]功能-行军令'!CV89</f>
        <v>184.85109453183014</v>
      </c>
      <c r="G89" s="154">
        <f>'[1]功能-行军令'!CW89</f>
        <v>102.0203242165815</v>
      </c>
      <c r="I89" s="155">
        <f t="shared" si="6"/>
        <v>7.4566705590461249</v>
      </c>
      <c r="J89" s="155">
        <f t="shared" si="7"/>
        <v>9.3695646333216853</v>
      </c>
      <c r="K89" s="155">
        <f t="shared" si="8"/>
        <v>10.355889880109766</v>
      </c>
      <c r="L89" s="155">
        <f t="shared" si="9"/>
        <v>8.5579210431402846</v>
      </c>
      <c r="M89" s="155">
        <f t="shared" si="10"/>
        <v>4.7231631581750699</v>
      </c>
    </row>
    <row r="90" spans="2:13" x14ac:dyDescent="0.15">
      <c r="B90" s="153">
        <v>86</v>
      </c>
      <c r="C90" s="154">
        <f>'[1]功能-行军令'!CS90</f>
        <v>173.71513267861008</v>
      </c>
      <c r="D90" s="154">
        <f>'[1]功能-行军令'!CT90</f>
        <v>218.18228009864245</v>
      </c>
      <c r="E90" s="154">
        <f>'[1]功能-行军令'!CU90</f>
        <v>241.32603877392853</v>
      </c>
      <c r="F90" s="154">
        <f>'[1]功能-行军令'!CV90</f>
        <v>199.91764863688485</v>
      </c>
      <c r="G90" s="154">
        <f>'[1]功能-行军令'!CW90</f>
        <v>109.01050509133734</v>
      </c>
      <c r="I90" s="155">
        <f t="shared" si="6"/>
        <v>8.0423672536393553</v>
      </c>
      <c r="J90" s="155">
        <f t="shared" si="7"/>
        <v>10.101031486048262</v>
      </c>
      <c r="K90" s="155">
        <f t="shared" si="8"/>
        <v>11.172501795089284</v>
      </c>
      <c r="L90" s="155">
        <f t="shared" si="9"/>
        <v>9.2554466961520774</v>
      </c>
      <c r="M90" s="155">
        <f t="shared" si="10"/>
        <v>5.0467826431174698</v>
      </c>
    </row>
    <row r="91" spans="2:13" x14ac:dyDescent="0.15">
      <c r="B91" s="153">
        <v>87</v>
      </c>
      <c r="C91" s="154">
        <f>'[1]功能-行军令'!CS91</f>
        <v>187.27419084479129</v>
      </c>
      <c r="D91" s="154">
        <f>'[1]功能-行军令'!CT91</f>
        <v>235.40224038439987</v>
      </c>
      <c r="E91" s="154">
        <f>'[1]功能-行军令'!CU91</f>
        <v>260.75300184001878</v>
      </c>
      <c r="F91" s="154">
        <f>'[1]功能-行军令'!CV91</f>
        <v>214.29300847874234</v>
      </c>
      <c r="G91" s="154">
        <f>'[1]功能-行军令'!CW91</f>
        <v>116.42629859175277</v>
      </c>
      <c r="I91" s="155">
        <f t="shared" si="6"/>
        <v>8.6701014279995974</v>
      </c>
      <c r="J91" s="155">
        <f t="shared" si="7"/>
        <v>10.898251869648142</v>
      </c>
      <c r="K91" s="155">
        <f t="shared" si="8"/>
        <v>12.071898233334203</v>
      </c>
      <c r="L91" s="155">
        <f t="shared" si="9"/>
        <v>9.9209726147565895</v>
      </c>
      <c r="M91" s="155">
        <f t="shared" si="10"/>
        <v>5.3901064162848504</v>
      </c>
    </row>
    <row r="92" spans="2:13" x14ac:dyDescent="0.15">
      <c r="B92" s="153">
        <v>88</v>
      </c>
      <c r="C92" s="154">
        <f>'[1]功能-行军令'!CS92</f>
        <v>201.80642956429068</v>
      </c>
      <c r="D92" s="154">
        <f>'[1]功能-行军令'!CT92</f>
        <v>254.18623203879781</v>
      </c>
      <c r="E92" s="154">
        <f>'[1]功能-行军令'!CU92</f>
        <v>280.50098890619762</v>
      </c>
      <c r="F92" s="154">
        <f>'[1]功能-行军令'!CV92</f>
        <v>228.93006753156664</v>
      </c>
      <c r="G92" s="154">
        <f>'[1]功能-行军令'!CW92</f>
        <v>124.53521194222778</v>
      </c>
      <c r="I92" s="155">
        <f t="shared" si="6"/>
        <v>9.3428902576060491</v>
      </c>
      <c r="J92" s="155">
        <f t="shared" si="7"/>
        <v>11.767881112907306</v>
      </c>
      <c r="K92" s="155">
        <f t="shared" si="8"/>
        <v>12.986156893805445</v>
      </c>
      <c r="L92" s="155">
        <f t="shared" si="9"/>
        <v>10.59861423757253</v>
      </c>
      <c r="M92" s="155">
        <f t="shared" si="10"/>
        <v>5.7655190713994342</v>
      </c>
    </row>
    <row r="93" spans="2:13" x14ac:dyDescent="0.15">
      <c r="B93" s="153">
        <v>89</v>
      </c>
      <c r="C93" s="154">
        <f>'[1]功能-行军令'!CS93</f>
        <v>217.38169737509236</v>
      </c>
      <c r="D93" s="154">
        <f>'[1]功能-行军令'!CT93</f>
        <v>273.34064301652865</v>
      </c>
      <c r="E93" s="154">
        <f>'[1]功能-行军令'!CU93</f>
        <v>299.47132723875188</v>
      </c>
      <c r="F93" s="154">
        <f>'[1]功能-行军令'!CV93</f>
        <v>244.52284408447883</v>
      </c>
      <c r="G93" s="154">
        <f>'[1]功能-行军令'!CW93</f>
        <v>132.63653396865908</v>
      </c>
      <c r="I93" s="155">
        <f t="shared" si="6"/>
        <v>10.063967471069091</v>
      </c>
      <c r="J93" s="155">
        <f t="shared" si="7"/>
        <v>12.654659398913365</v>
      </c>
      <c r="K93" s="155">
        <f t="shared" si="8"/>
        <v>13.864413298090367</v>
      </c>
      <c r="L93" s="155">
        <f t="shared" si="9"/>
        <v>11.320502040948094</v>
      </c>
      <c r="M93" s="155">
        <f t="shared" si="10"/>
        <v>6.1405802763268094</v>
      </c>
    </row>
    <row r="94" spans="2:13" x14ac:dyDescent="0.15">
      <c r="B94" s="153">
        <v>90</v>
      </c>
      <c r="C94" s="154">
        <f>'[1]功能-行军令'!CS94</f>
        <v>234.07485608660539</v>
      </c>
      <c r="D94" s="154">
        <f>'[1]功能-行军令'!CT94</f>
        <v>292.02389956979232</v>
      </c>
      <c r="E94" s="154">
        <f>'[1]功能-行军令'!CU94</f>
        <v>320.19858628971406</v>
      </c>
      <c r="F94" s="154">
        <f>'[1]功能-行军令'!CV94</f>
        <v>260.41271573954822</v>
      </c>
      <c r="G94" s="154">
        <f>'[1]功能-行军令'!CW94</f>
        <v>141.20694671692692</v>
      </c>
      <c r="I94" s="155">
        <f t="shared" si="6"/>
        <v>10.836798892898399</v>
      </c>
      <c r="J94" s="155">
        <f t="shared" si="7"/>
        <v>13.519624980082979</v>
      </c>
      <c r="K94" s="155">
        <f t="shared" si="8"/>
        <v>14.824008624523799</v>
      </c>
      <c r="L94" s="155">
        <f t="shared" si="9"/>
        <v>12.056144247201308</v>
      </c>
      <c r="M94" s="155">
        <f t="shared" si="10"/>
        <v>6.5373586443021727</v>
      </c>
    </row>
    <row r="95" spans="2:13" x14ac:dyDescent="0.15">
      <c r="B95" s="153">
        <v>91</v>
      </c>
      <c r="C95" s="154">
        <f>'[1]功能-行军令'!CS95</f>
        <v>251.96614059951156</v>
      </c>
      <c r="D95" s="154">
        <f>'[1]功能-行军令'!CT95</f>
        <v>314.36692461047716</v>
      </c>
      <c r="E95" s="154">
        <f>'[1]功能-行军令'!CU95</f>
        <v>343.61849408868329</v>
      </c>
      <c r="F95" s="154">
        <f>'[1]功能-行军令'!CV95</f>
        <v>279.73826102020814</v>
      </c>
      <c r="G95" s="154">
        <f>'[1]功能-行军令'!CW95</f>
        <v>151.46632735588173</v>
      </c>
      <c r="I95" s="155">
        <f t="shared" si="6"/>
        <v>11.66509910182924</v>
      </c>
      <c r="J95" s="155">
        <f t="shared" si="7"/>
        <v>14.554024287522092</v>
      </c>
      <c r="K95" s="155">
        <f t="shared" si="8"/>
        <v>15.90826361521682</v>
      </c>
      <c r="L95" s="155">
        <f t="shared" si="9"/>
        <v>12.950845417602229</v>
      </c>
      <c r="M95" s="155">
        <f t="shared" si="10"/>
        <v>7.0123299701797102</v>
      </c>
    </row>
    <row r="96" spans="2:13" x14ac:dyDescent="0.15">
      <c r="B96" s="153">
        <v>92</v>
      </c>
      <c r="C96" s="154">
        <f>'[1]功能-行军令'!CS96</f>
        <v>271.14154455113072</v>
      </c>
      <c r="D96" s="154">
        <f>'[1]功能-行军令'!CT96</f>
        <v>337.52251551532902</v>
      </c>
      <c r="E96" s="154">
        <f>'[1]功能-行军令'!CU96</f>
        <v>369.31811629179106</v>
      </c>
      <c r="F96" s="154">
        <f>'[1]功能-行军令'!CV96</f>
        <v>300.40355167903459</v>
      </c>
      <c r="G96" s="154">
        <f>'[1]功能-行军令'!CW96</f>
        <v>162.09901238107213</v>
      </c>
      <c r="I96" s="155">
        <f t="shared" si="6"/>
        <v>12.552849284774572</v>
      </c>
      <c r="J96" s="155">
        <f t="shared" si="7"/>
        <v>15.626042384968938</v>
      </c>
      <c r="K96" s="155">
        <f t="shared" si="8"/>
        <v>17.09806093943477</v>
      </c>
      <c r="L96" s="155">
        <f t="shared" si="9"/>
        <v>13.907571836992345</v>
      </c>
      <c r="M96" s="155">
        <f t="shared" si="10"/>
        <v>7.504583906531118</v>
      </c>
    </row>
    <row r="97" spans="2:13" x14ac:dyDescent="0.15">
      <c r="B97" s="153">
        <v>93</v>
      </c>
      <c r="C97" s="154">
        <f>'[1]功能-行军令'!CS97</f>
        <v>291.6932336398902</v>
      </c>
      <c r="D97" s="154">
        <f>'[1]功能-行军令'!CT97</f>
        <v>363.0864083767998</v>
      </c>
      <c r="E97" s="154">
        <f>'[1]功能-行军令'!CU97</f>
        <v>396.8256362088344</v>
      </c>
      <c r="F97" s="154">
        <f>'[1]功能-行军令'!CV97</f>
        <v>322.15831466321384</v>
      </c>
      <c r="G97" s="154">
        <f>'[1]功能-行军令'!CW97</f>
        <v>173.76873915920689</v>
      </c>
      <c r="I97" s="155">
        <f t="shared" si="6"/>
        <v>13.50431637221714</v>
      </c>
      <c r="J97" s="155">
        <f t="shared" si="7"/>
        <v>16.809555943370363</v>
      </c>
      <c r="K97" s="155">
        <f t="shared" si="8"/>
        <v>18.371557231890481</v>
      </c>
      <c r="L97" s="155">
        <f t="shared" si="9"/>
        <v>14.914736789963605</v>
      </c>
      <c r="M97" s="155">
        <f t="shared" si="10"/>
        <v>8.0448490351484683</v>
      </c>
    </row>
    <row r="98" spans="2:13" x14ac:dyDescent="0.15">
      <c r="B98" s="153">
        <v>94</v>
      </c>
      <c r="C98" s="154">
        <f>'[1]功能-行军令'!CS98</f>
        <v>313.71998861551901</v>
      </c>
      <c r="D98" s="154">
        <f>'[1]功能-行军令'!CT98</f>
        <v>390.00352773549679</v>
      </c>
      <c r="E98" s="154">
        <f>'[1]功能-行军令'!CU98</f>
        <v>426.07326903010119</v>
      </c>
      <c r="F98" s="154">
        <f>'[1]功能-行军令'!CV98</f>
        <v>345.24837317669159</v>
      </c>
      <c r="G98" s="154">
        <f>'[1]功能-行军令'!CW98</f>
        <v>186.07956291118603</v>
      </c>
      <c r="I98" s="155">
        <f t="shared" si="6"/>
        <v>14.524073547014771</v>
      </c>
      <c r="J98" s="155">
        <f t="shared" si="7"/>
        <v>18.055718876643372</v>
      </c>
      <c r="K98" s="155">
        <f t="shared" si="8"/>
        <v>19.725614306949129</v>
      </c>
      <c r="L98" s="155">
        <f t="shared" si="9"/>
        <v>15.983720980402389</v>
      </c>
      <c r="M98" s="155">
        <f t="shared" si="10"/>
        <v>8.6147945792215754</v>
      </c>
    </row>
    <row r="99" spans="2:13" x14ac:dyDescent="0.15">
      <c r="B99" s="153">
        <v>95</v>
      </c>
      <c r="C99" s="154">
        <f>'[1]功能-行军令'!CS99</f>
        <v>337.32768006418729</v>
      </c>
      <c r="D99" s="154">
        <f>'[1]功能-行军令'!CT99</f>
        <v>419.68638480272972</v>
      </c>
      <c r="E99" s="154">
        <f>'[1]功能-行军令'!CU99</f>
        <v>456.80683808519069</v>
      </c>
      <c r="F99" s="154">
        <f>'[1]功能-行军令'!CV99</f>
        <v>369.97922146118924</v>
      </c>
      <c r="G99" s="154">
        <f>'[1]功能-行军令'!CW99</f>
        <v>200.47167311746981</v>
      </c>
      <c r="I99" s="155">
        <f t="shared" si="6"/>
        <v>15.617022225193857</v>
      </c>
      <c r="J99" s="155">
        <f t="shared" si="7"/>
        <v>19.429925222348597</v>
      </c>
      <c r="K99" s="155">
        <f t="shared" si="8"/>
        <v>21.148464726166235</v>
      </c>
      <c r="L99" s="155">
        <f t="shared" si="9"/>
        <v>17.128667660240243</v>
      </c>
      <c r="M99" s="155">
        <f t="shared" si="10"/>
        <v>9.2810959776606392</v>
      </c>
    </row>
    <row r="100" spans="2:13" x14ac:dyDescent="0.15">
      <c r="B100" s="153">
        <v>96</v>
      </c>
      <c r="C100" s="154">
        <f>'[1]功能-行军令'!CS100</f>
        <v>362.62977727061485</v>
      </c>
      <c r="D100" s="154">
        <f>'[1]功能-行军令'!CT100</f>
        <v>450.09284631238768</v>
      </c>
      <c r="E100" s="154">
        <f>'[1]功能-行军令'!CU100</f>
        <v>489.57136707804307</v>
      </c>
      <c r="F100" s="154">
        <f>'[1]功能-行军令'!CV100</f>
        <v>397.57152883268077</v>
      </c>
      <c r="G100" s="154">
        <f>'[1]功能-行军令'!CW100</f>
        <v>215.75046430071063</v>
      </c>
      <c r="I100" s="155">
        <f t="shared" si="6"/>
        <v>16.78841561438032</v>
      </c>
      <c r="J100" s="155">
        <f t="shared" si="7"/>
        <v>20.837631773721654</v>
      </c>
      <c r="K100" s="155">
        <f t="shared" si="8"/>
        <v>22.665341068427921</v>
      </c>
      <c r="L100" s="155">
        <f t="shared" si="9"/>
        <v>18.406089297809295</v>
      </c>
      <c r="M100" s="155">
        <f t="shared" si="10"/>
        <v>9.9884474213291963</v>
      </c>
    </row>
    <row r="101" spans="2:13" x14ac:dyDescent="0.15">
      <c r="B101" s="153">
        <v>97</v>
      </c>
      <c r="C101" s="154">
        <f>'[1]功能-行军令'!CS101</f>
        <v>389.74789360297734</v>
      </c>
      <c r="D101" s="154">
        <f>'[1]功能-行军令'!CT101</f>
        <v>483.19169237434033</v>
      </c>
      <c r="E101" s="154">
        <f>'[1]功能-行军令'!CU101</f>
        <v>527.45517897350624</v>
      </c>
      <c r="F101" s="154">
        <f>'[1]功能-行军令'!CV101</f>
        <v>429.29952765013741</v>
      </c>
      <c r="G101" s="154">
        <f>'[1]功能-行军令'!CW101</f>
        <v>233.67761492316345</v>
      </c>
      <c r="I101" s="155">
        <f t="shared" si="6"/>
        <v>18.043883963100804</v>
      </c>
      <c r="J101" s="155">
        <f t="shared" si="7"/>
        <v>22.369985758071312</v>
      </c>
      <c r="K101" s="155">
        <f t="shared" si="8"/>
        <v>24.419221248773439</v>
      </c>
      <c r="L101" s="155">
        <f t="shared" si="9"/>
        <v>19.874978131950808</v>
      </c>
      <c r="M101" s="155">
        <f t="shared" si="10"/>
        <v>10.818408098294604</v>
      </c>
    </row>
    <row r="102" spans="2:13" x14ac:dyDescent="0.15">
      <c r="B102" s="153">
        <v>98</v>
      </c>
      <c r="C102" s="154">
        <f>'[1]功能-行军令'!CS102</f>
        <v>418.81237104197612</v>
      </c>
      <c r="D102" s="154">
        <f>'[1]功能-行军令'!CT102</f>
        <v>520.51808912801403</v>
      </c>
      <c r="E102" s="154">
        <f>'[1]功能-行军令'!CU102</f>
        <v>569.51659352223191</v>
      </c>
      <c r="F102" s="154">
        <f>'[1]功能-行军令'!CV102</f>
        <v>464.3152324998112</v>
      </c>
      <c r="G102" s="154">
        <f>'[1]功能-行军令'!CW102</f>
        <v>252.72404255992305</v>
      </c>
      <c r="I102" s="155">
        <f t="shared" si="6"/>
        <v>19.389461622313711</v>
      </c>
      <c r="J102" s="155">
        <f t="shared" si="7"/>
        <v>24.098059681852501</v>
      </c>
      <c r="K102" s="155">
        <f t="shared" si="8"/>
        <v>26.366508959362591</v>
      </c>
      <c r="L102" s="155">
        <f t="shared" si="9"/>
        <v>21.49607557869496</v>
      </c>
      <c r="M102" s="155">
        <f t="shared" si="10"/>
        <v>11.700187155551994</v>
      </c>
    </row>
    <row r="103" spans="2:13" x14ac:dyDescent="0.15">
      <c r="B103" s="153">
        <v>99</v>
      </c>
      <c r="C103" s="154">
        <f>'[1]功能-行军令'!CS103</f>
        <v>449.96290666357947</v>
      </c>
      <c r="D103" s="154">
        <f>'[1]功能-行军令'!CT103</f>
        <v>560.34365125972897</v>
      </c>
      <c r="E103" s="154">
        <f>'[1]功能-行军令'!CU103</f>
        <v>613.50120052194995</v>
      </c>
      <c r="F103" s="154">
        <f>'[1]功能-行军令'!CV103</f>
        <v>500.80505778689275</v>
      </c>
      <c r="G103" s="154">
        <f>'[1]功能-行军令'!CW103</f>
        <v>271.06423835652487</v>
      </c>
      <c r="I103" s="155">
        <f t="shared" si="6"/>
        <v>20.831616049239791</v>
      </c>
      <c r="J103" s="155">
        <f t="shared" si="7"/>
        <v>25.941835706468936</v>
      </c>
      <c r="K103" s="155">
        <f t="shared" si="8"/>
        <v>28.402833357497684</v>
      </c>
      <c r="L103" s="155">
        <f t="shared" si="9"/>
        <v>23.185419341985774</v>
      </c>
      <c r="M103" s="155">
        <f t="shared" si="10"/>
        <v>12.549270294283559</v>
      </c>
    </row>
    <row r="104" spans="2:13" x14ac:dyDescent="0.15">
      <c r="B104" s="153">
        <v>100</v>
      </c>
      <c r="C104" s="154">
        <f>'[1]功能-行军令'!CS104</f>
        <v>483.34922408660543</v>
      </c>
      <c r="D104" s="154">
        <f>'[1]功能-行军令'!CT104</f>
        <v>602.08990483139235</v>
      </c>
      <c r="E104" s="154">
        <f>'[1]功能-行军令'!CU104</f>
        <v>659.76983590731402</v>
      </c>
      <c r="F104" s="154">
        <f>'[1]功能-行军令'!CV104</f>
        <v>536.59138735874819</v>
      </c>
      <c r="G104" s="154">
        <f>'[1]功能-行军令'!CW104</f>
        <v>289.79117583052698</v>
      </c>
      <c r="I104" s="155">
        <f t="shared" si="6"/>
        <v>22.377278892898399</v>
      </c>
      <c r="J104" s="155">
        <f t="shared" si="7"/>
        <v>27.874532631082982</v>
      </c>
      <c r="K104" s="155">
        <f t="shared" si="8"/>
        <v>30.544899810523798</v>
      </c>
      <c r="L104" s="155">
        <f t="shared" si="9"/>
        <v>24.842193859201306</v>
      </c>
      <c r="M104" s="155">
        <f t="shared" si="10"/>
        <v>13.416258140302176</v>
      </c>
    </row>
    <row r="105" spans="2:13" x14ac:dyDescent="0.15">
      <c r="B105" s="153">
        <v>101</v>
      </c>
      <c r="C105" s="154">
        <f>'[1]功能-行军令'!CS105</f>
        <v>519.13179311241731</v>
      </c>
      <c r="D105" s="154">
        <f>'[1]功能-行军令'!CT105</f>
        <v>647.30939898726024</v>
      </c>
      <c r="E105" s="154">
        <f>'[1]功能-行军令'!CU105</f>
        <v>707.50798050751234</v>
      </c>
      <c r="F105" s="154">
        <f>'[1]功能-行军令'!CV105</f>
        <v>573.40754880471036</v>
      </c>
      <c r="G105" s="154">
        <f>'[1]功能-行军令'!CW105</f>
        <v>310.11655454201929</v>
      </c>
      <c r="I105" s="155">
        <f t="shared" si="6"/>
        <v>24.03387931076006</v>
      </c>
      <c r="J105" s="155">
        <f t="shared" si="7"/>
        <v>29.968027730891681</v>
      </c>
      <c r="K105" s="155">
        <f t="shared" si="8"/>
        <v>32.754999097570014</v>
      </c>
      <c r="L105" s="155">
        <f t="shared" si="9"/>
        <v>26.546645777995852</v>
      </c>
      <c r="M105" s="155">
        <f t="shared" si="10"/>
        <v>14.357247895463855</v>
      </c>
    </row>
    <row r="106" spans="2:13" x14ac:dyDescent="0.15">
      <c r="B106" s="153">
        <v>102</v>
      </c>
      <c r="C106" s="154">
        <f>'[1]功能-行军令'!CS106</f>
        <v>557.48260101565609</v>
      </c>
      <c r="D106" s="154">
        <f>'[1]功能-行军令'!CT106</f>
        <v>693.48561906497355</v>
      </c>
      <c r="E106" s="154">
        <f>'[1]功能-行军令'!CU106</f>
        <v>755.64585248303842</v>
      </c>
      <c r="F106" s="154">
        <f>'[1]功能-行军令'!CV106</f>
        <v>612.65125687204886</v>
      </c>
      <c r="G106" s="154">
        <f>'[1]功能-行军令'!CW106</f>
        <v>332.07104931514175</v>
      </c>
      <c r="I106" s="155">
        <f t="shared" si="6"/>
        <v>25.809379676650746</v>
      </c>
      <c r="J106" s="155">
        <f t="shared" si="7"/>
        <v>32.105815697452478</v>
      </c>
      <c r="K106" s="155">
        <f t="shared" si="8"/>
        <v>34.983604281622149</v>
      </c>
      <c r="L106" s="155">
        <f t="shared" si="9"/>
        <v>28.363484114446706</v>
      </c>
      <c r="M106" s="155">
        <f t="shared" si="10"/>
        <v>15.373659690515824</v>
      </c>
    </row>
    <row r="107" spans="2:13" x14ac:dyDescent="0.15">
      <c r="B107" s="153">
        <v>103</v>
      </c>
      <c r="C107" s="154">
        <f>'[1]功能-行军令'!CS107</f>
        <v>598.58597919317504</v>
      </c>
      <c r="D107" s="154">
        <f>'[1]功能-行军令'!CT107</f>
        <v>742.49891551044084</v>
      </c>
      <c r="E107" s="154">
        <f>'[1]功能-行军令'!CU107</f>
        <v>808.87885505846725</v>
      </c>
      <c r="F107" s="154">
        <f>'[1]功能-行军令'!CV107</f>
        <v>657.36517338284682</v>
      </c>
      <c r="G107" s="154">
        <f>'[1]功能-行军令'!CW107</f>
        <v>356.35155631407872</v>
      </c>
      <c r="I107" s="155">
        <f t="shared" si="6"/>
        <v>27.712313851535882</v>
      </c>
      <c r="J107" s="155">
        <f t="shared" si="7"/>
        <v>34.374949792150041</v>
      </c>
      <c r="K107" s="155">
        <f t="shared" si="8"/>
        <v>37.448095141595708</v>
      </c>
      <c r="L107" s="155">
        <f t="shared" si="9"/>
        <v>30.433572841798465</v>
      </c>
      <c r="M107" s="155">
        <f t="shared" si="10"/>
        <v>16.497757236762904</v>
      </c>
    </row>
    <row r="108" spans="2:13" x14ac:dyDescent="0.15">
      <c r="B108" s="153">
        <v>104</v>
      </c>
      <c r="C108" s="154">
        <f>'[1]功能-行军令'!CS108</f>
        <v>642.63948914443267</v>
      </c>
      <c r="D108" s="154">
        <f>'[1]功能-行军令'!CT108</f>
        <v>797.3653120150243</v>
      </c>
      <c r="E108" s="154">
        <f>'[1]功能-行军令'!CU108</f>
        <v>870.43090621442195</v>
      </c>
      <c r="F108" s="154">
        <f>'[1]功能-行军令'!CV108</f>
        <v>707.60391006796181</v>
      </c>
      <c r="G108" s="154">
        <f>'[1]功能-行军令'!CW108</f>
        <v>383.23815371856415</v>
      </c>
      <c r="I108" s="155">
        <f t="shared" si="6"/>
        <v>29.751828201131143</v>
      </c>
      <c r="J108" s="155">
        <f t="shared" si="7"/>
        <v>36.915060741436314</v>
      </c>
      <c r="K108" s="155">
        <f t="shared" si="8"/>
        <v>40.297727139556571</v>
      </c>
      <c r="L108" s="155">
        <f t="shared" si="9"/>
        <v>32.75944028092416</v>
      </c>
      <c r="M108" s="155">
        <f t="shared" si="10"/>
        <v>17.742507116600194</v>
      </c>
    </row>
    <row r="109" spans="2:13" x14ac:dyDescent="0.15">
      <c r="B109" s="153">
        <v>105</v>
      </c>
      <c r="C109" s="154">
        <f>'[1]功能-行军令'!CS109</f>
        <v>689.85487204176923</v>
      </c>
      <c r="D109" s="154">
        <f>'[1]功能-行军令'!CT109</f>
        <v>857.00439832686754</v>
      </c>
      <c r="E109" s="154">
        <f>'[1]功能-行军令'!CU109</f>
        <v>935.70468040414517</v>
      </c>
      <c r="F109" s="154">
        <f>'[1]功能-行军令'!CV109</f>
        <v>760.47108140809598</v>
      </c>
      <c r="G109" s="154">
        <f>'[1]功能-行军令'!CW109</f>
        <v>411.46576774160013</v>
      </c>
      <c r="I109" s="155">
        <f t="shared" si="6"/>
        <v>31.937725557489316</v>
      </c>
      <c r="J109" s="155">
        <f t="shared" si="7"/>
        <v>39.67612955216979</v>
      </c>
      <c r="K109" s="155">
        <f t="shared" si="8"/>
        <v>43.319661129821533</v>
      </c>
      <c r="L109" s="155">
        <f t="shared" si="9"/>
        <v>35.206994509634079</v>
      </c>
      <c r="M109" s="155">
        <f t="shared" si="10"/>
        <v>19.049341099148155</v>
      </c>
    </row>
    <row r="110" spans="2:13" x14ac:dyDescent="0.15">
      <c r="B110" s="153">
        <v>106</v>
      </c>
      <c r="C110" s="154">
        <f>'[1]功能-行军令'!CS110</f>
        <v>740.45906645462389</v>
      </c>
      <c r="D110" s="154">
        <f>'[1]功能-行军令'!CT110</f>
        <v>920.55777576413595</v>
      </c>
      <c r="E110" s="154">
        <f>'[1]功能-行军令'!CU110</f>
        <v>1004.5583977416469</v>
      </c>
      <c r="F110" s="154">
        <f>'[1]功能-行军令'!CV110</f>
        <v>815.83666413241838</v>
      </c>
      <c r="G110" s="154">
        <f>'[1]功能-行军令'!CW110</f>
        <v>440.02844739307847</v>
      </c>
      <c r="I110" s="155">
        <f t="shared" si="6"/>
        <v>34.28051233586222</v>
      </c>
      <c r="J110" s="155">
        <f t="shared" si="7"/>
        <v>42.618415544635923</v>
      </c>
      <c r="K110" s="155">
        <f t="shared" si="8"/>
        <v>46.507333228779949</v>
      </c>
      <c r="L110" s="155">
        <f t="shared" si="9"/>
        <v>37.770215932056409</v>
      </c>
      <c r="M110" s="155">
        <f t="shared" si="10"/>
        <v>20.37168737930919</v>
      </c>
    </row>
    <row r="111" spans="2:13" x14ac:dyDescent="0.15">
      <c r="B111" s="153">
        <v>107</v>
      </c>
      <c r="C111" s="154">
        <f>'[1]功能-行军令'!CS111</f>
        <v>794.69529911934933</v>
      </c>
      <c r="D111" s="154">
        <f>'[1]功能-行军令'!CT111</f>
        <v>987.54110717437368</v>
      </c>
      <c r="E111" s="154">
        <f>'[1]功能-行军令'!CU111</f>
        <v>1078.6849650492802</v>
      </c>
      <c r="F111" s="154">
        <f>'[1]功能-行军令'!CV111</f>
        <v>872.23977841187252</v>
      </c>
      <c r="G111" s="154">
        <f>'[1]功能-行军令'!CW111</f>
        <v>470.15717522557628</v>
      </c>
      <c r="I111" s="155">
        <f t="shared" si="6"/>
        <v>36.791449033303216</v>
      </c>
      <c r="J111" s="155">
        <f t="shared" si="7"/>
        <v>45.7194957025173</v>
      </c>
      <c r="K111" s="155">
        <f t="shared" si="8"/>
        <v>49.939118752281495</v>
      </c>
      <c r="L111" s="155">
        <f t="shared" si="9"/>
        <v>40.381471222771879</v>
      </c>
      <c r="M111" s="155">
        <f t="shared" si="10"/>
        <v>21.766535890072976</v>
      </c>
    </row>
    <row r="112" spans="2:13" x14ac:dyDescent="0.15">
      <c r="B112" s="153">
        <v>108</v>
      </c>
      <c r="C112" s="154">
        <f>'[1]功能-行军令'!CS112</f>
        <v>852.824253997347</v>
      </c>
      <c r="D112" s="154">
        <f>'[1]功能-行军令'!CT112</f>
        <v>1059.8036119617836</v>
      </c>
      <c r="E112" s="154">
        <f>'[1]功能-行军令'!CU112</f>
        <v>1152.3312431277718</v>
      </c>
      <c r="F112" s="154">
        <f>'[1]功能-行军令'!CV112</f>
        <v>932.83219570068047</v>
      </c>
      <c r="G112" s="154">
        <f>'[1]功能-行军令'!CW112</f>
        <v>503.84608493352721</v>
      </c>
      <c r="I112" s="155">
        <f t="shared" si="6"/>
        <v>39.48260435172903</v>
      </c>
      <c r="J112" s="155">
        <f t="shared" si="7"/>
        <v>49.064982035267768</v>
      </c>
      <c r="K112" s="155">
        <f t="shared" si="8"/>
        <v>53.348668663322769</v>
      </c>
      <c r="L112" s="155">
        <f t="shared" si="9"/>
        <v>43.186675726883351</v>
      </c>
      <c r="M112" s="155">
        <f t="shared" si="10"/>
        <v>23.326207635811446</v>
      </c>
    </row>
    <row r="113" spans="2:13" x14ac:dyDescent="0.15">
      <c r="B113" s="153">
        <v>109</v>
      </c>
      <c r="C113" s="154">
        <f>'[1]功能-行军令'!CS113</f>
        <v>915.12532524055371</v>
      </c>
      <c r="D113" s="154">
        <f>'[1]功能-行军令'!CT113</f>
        <v>1133.4605251083808</v>
      </c>
      <c r="E113" s="154">
        <f>'[1]功能-行军令'!CU113</f>
        <v>1232.7205492755802</v>
      </c>
      <c r="F113" s="154">
        <f>'[1]功能-行军令'!CV113</f>
        <v>998.36906858696068</v>
      </c>
      <c r="G113" s="154">
        <f>'[1]功能-行军令'!CW113</f>
        <v>540.31353865382118</v>
      </c>
      <c r="I113" s="155">
        <f t="shared" si="6"/>
        <v>42.366913205581191</v>
      </c>
      <c r="J113" s="155">
        <f t="shared" si="7"/>
        <v>52.47502431057319</v>
      </c>
      <c r="K113" s="155">
        <f t="shared" si="8"/>
        <v>57.070395799795385</v>
      </c>
      <c r="L113" s="155">
        <f t="shared" si="9"/>
        <v>46.220790212359297</v>
      </c>
      <c r="M113" s="155">
        <f t="shared" si="10"/>
        <v>25.014515678417649</v>
      </c>
    </row>
    <row r="114" spans="2:13" x14ac:dyDescent="0.15">
      <c r="B114" s="153">
        <v>110</v>
      </c>
      <c r="C114" s="154">
        <f>'[1]功能-行军令'!CS114</f>
        <v>981.89796008660551</v>
      </c>
      <c r="D114" s="154">
        <f>'[1]功能-行军令'!CT114</f>
        <v>1216.1960292617925</v>
      </c>
      <c r="E114" s="154">
        <f>'[1]功能-行军令'!CU114</f>
        <v>1324.9111108145144</v>
      </c>
      <c r="F114" s="154">
        <f>'[1]功能-行军令'!CV114</f>
        <v>1074.2172885907485</v>
      </c>
      <c r="G114" s="154">
        <f>'[1]功能-行军令'!CW114</f>
        <v>581.15370253612696</v>
      </c>
      <c r="I114" s="155">
        <f t="shared" si="6"/>
        <v>45.458238892898407</v>
      </c>
      <c r="J114" s="155">
        <f t="shared" si="7"/>
        <v>56.305371725082985</v>
      </c>
      <c r="K114" s="155">
        <f t="shared" si="8"/>
        <v>61.338477352523824</v>
      </c>
      <c r="L114" s="155">
        <f t="shared" si="9"/>
        <v>49.732281879201317</v>
      </c>
      <c r="M114" s="155">
        <f t="shared" si="10"/>
        <v>26.905264006302176</v>
      </c>
    </row>
    <row r="115" spans="2:13" x14ac:dyDescent="0.15">
      <c r="B115" s="153">
        <v>111</v>
      </c>
      <c r="C115" s="154">
        <f>'[1]功能-行军令'!CS115</f>
        <v>1053.4630981382293</v>
      </c>
      <c r="D115" s="154">
        <f>'[1]功能-行军令'!CT115</f>
        <v>1306.7367324573825</v>
      </c>
      <c r="E115" s="154">
        <f>'[1]功能-行军令'!CU115</f>
        <v>1424.2969422287622</v>
      </c>
      <c r="F115" s="154">
        <f>'[1]功能-行军令'!CV115</f>
        <v>1156.1961734354218</v>
      </c>
      <c r="G115" s="154">
        <f>'[1]功能-行军令'!CW115</f>
        <v>625.97801347348627</v>
      </c>
      <c r="I115" s="155">
        <f t="shared" si="6"/>
        <v>48.771439728621722</v>
      </c>
      <c r="J115" s="155">
        <f t="shared" si="7"/>
        <v>60.497070947101037</v>
      </c>
      <c r="K115" s="155">
        <f t="shared" si="8"/>
        <v>65.939673251331584</v>
      </c>
      <c r="L115" s="155">
        <f t="shared" si="9"/>
        <v>53.527600622010262</v>
      </c>
      <c r="M115" s="155">
        <f t="shared" si="10"/>
        <v>28.980463586735478</v>
      </c>
    </row>
    <row r="116" spans="2:13" x14ac:dyDescent="0.15">
      <c r="B116" s="153">
        <v>112</v>
      </c>
      <c r="C116" s="154">
        <f>'[1]功能-行军令'!CS116</f>
        <v>1130.1647139447068</v>
      </c>
      <c r="D116" s="154">
        <f>'[1]功能-行军令'!CT116</f>
        <v>1402.9094543229858</v>
      </c>
      <c r="E116" s="154">
        <f>'[1]功能-行军令'!CU116</f>
        <v>1529.2014924356988</v>
      </c>
      <c r="F116" s="154">
        <f>'[1]功能-行军令'!CV116</f>
        <v>1242.0095246792346</v>
      </c>
      <c r="G116" s="154">
        <f>'[1]功能-行军令'!CW116</f>
        <v>669.57699003790253</v>
      </c>
      <c r="I116" s="155">
        <f t="shared" si="6"/>
        <v>52.322440460403101</v>
      </c>
      <c r="J116" s="155">
        <f t="shared" si="7"/>
        <v>64.949511774212311</v>
      </c>
      <c r="K116" s="155">
        <f t="shared" si="8"/>
        <v>70.796365390541609</v>
      </c>
      <c r="L116" s="155">
        <f t="shared" si="9"/>
        <v>57.500440957371971</v>
      </c>
      <c r="M116" s="155">
        <f t="shared" si="10"/>
        <v>30.998934723976973</v>
      </c>
    </row>
    <row r="117" spans="2:13" x14ac:dyDescent="0.15">
      <c r="B117" s="153">
        <v>113</v>
      </c>
      <c r="C117" s="154">
        <f>'[1]功能-行军令'!CS117</f>
        <v>1212.3714702997447</v>
      </c>
      <c r="D117" s="154">
        <f>'[1]功能-行军令'!CT117</f>
        <v>1505.6992425942246</v>
      </c>
      <c r="E117" s="154">
        <f>'[1]功能-行军令'!CU117</f>
        <v>1642.2022517144921</v>
      </c>
      <c r="F117" s="154">
        <f>'[1]功能-行军令'!CV117</f>
        <v>1329.696324977903</v>
      </c>
      <c r="G117" s="154">
        <f>'[1]功能-行军令'!CW117</f>
        <v>715.88313605860685</v>
      </c>
      <c r="I117" s="155">
        <f t="shared" si="6"/>
        <v>56.128308810173365</v>
      </c>
      <c r="J117" s="155">
        <f t="shared" si="7"/>
        <v>69.708298268251141</v>
      </c>
      <c r="K117" s="155">
        <f t="shared" si="8"/>
        <v>76.027882023819089</v>
      </c>
      <c r="L117" s="155">
        <f t="shared" si="9"/>
        <v>61.560015045273296</v>
      </c>
      <c r="M117" s="155">
        <f t="shared" si="10"/>
        <v>33.142737780491061</v>
      </c>
    </row>
    <row r="118" spans="2:13" x14ac:dyDescent="0.15">
      <c r="B118" s="153">
        <v>114</v>
      </c>
      <c r="C118" s="154">
        <f>'[1]功能-行军令'!CS118</f>
        <v>1300.4784902022602</v>
      </c>
      <c r="D118" s="154">
        <f>'[1]功能-行军令'!CT118</f>
        <v>1615.5348412608782</v>
      </c>
      <c r="E118" s="154">
        <f>'[1]功能-行军令'!CU118</f>
        <v>1757.4514045361175</v>
      </c>
      <c r="F118" s="154">
        <f>'[1]功能-行军令'!CV118</f>
        <v>1420.8289531445491</v>
      </c>
      <c r="G118" s="154">
        <f>'[1]功能-行军令'!CW118</f>
        <v>765.335209297539</v>
      </c>
      <c r="I118" s="155">
        <f t="shared" si="6"/>
        <v>60.207337509363896</v>
      </c>
      <c r="J118" s="155">
        <f t="shared" si="7"/>
        <v>74.793279688003622</v>
      </c>
      <c r="K118" s="155">
        <f t="shared" si="8"/>
        <v>81.363490950746183</v>
      </c>
      <c r="L118" s="155">
        <f t="shared" si="9"/>
        <v>65.779118201136541</v>
      </c>
      <c r="M118" s="155">
        <f t="shared" si="10"/>
        <v>35.432185615626807</v>
      </c>
    </row>
    <row r="119" spans="2:13" x14ac:dyDescent="0.15">
      <c r="B119" s="153">
        <v>115</v>
      </c>
      <c r="C119" s="154">
        <f>'[1]功能-行军令'!CS119</f>
        <v>1394.9092559969329</v>
      </c>
      <c r="D119" s="154">
        <f>'[1]功能-行军令'!CT119</f>
        <v>1727.9430625633436</v>
      </c>
      <c r="E119" s="154">
        <f>'[1]功能-行军令'!CU119</f>
        <v>1876.4904838227887</v>
      </c>
      <c r="F119" s="154">
        <f>'[1]功能-行军令'!CV119</f>
        <v>1516.5224319447129</v>
      </c>
      <c r="G119" s="154">
        <f>'[1]功能-行军令'!CW119</f>
        <v>817.51499466002213</v>
      </c>
      <c r="I119" s="155">
        <f t="shared" si="6"/>
        <v>64.579132222080219</v>
      </c>
      <c r="J119" s="155">
        <f t="shared" si="7"/>
        <v>79.997364007562211</v>
      </c>
      <c r="K119" s="155">
        <f t="shared" si="8"/>
        <v>86.874559436240233</v>
      </c>
      <c r="L119" s="155">
        <f t="shared" si="9"/>
        <v>70.209371849292282</v>
      </c>
      <c r="M119" s="155">
        <f t="shared" si="10"/>
        <v>37.847916419445468</v>
      </c>
    </row>
    <row r="120" spans="2:13" x14ac:dyDescent="0.15">
      <c r="B120" s="153">
        <v>116</v>
      </c>
      <c r="C120" s="154">
        <f>'[1]功能-行军令'!CS120</f>
        <v>1496.1176448226422</v>
      </c>
      <c r="D120" s="154">
        <f>'[1]功能-行军令'!CT120</f>
        <v>1851.1460796817507</v>
      </c>
      <c r="E120" s="154">
        <f>'[1]功能-行军令'!CU120</f>
        <v>2010.3268020962005</v>
      </c>
      <c r="F120" s="154">
        <f>'[1]功能-行军令'!CV120</f>
        <v>1627.6740446378192</v>
      </c>
      <c r="G120" s="154">
        <f>'[1]功能-行军令'!CW120</f>
        <v>876.91177786122842</v>
      </c>
      <c r="I120" s="155">
        <f t="shared" si="6"/>
        <v>69.264705778826027</v>
      </c>
      <c r="J120" s="155">
        <f t="shared" si="7"/>
        <v>85.701207392673652</v>
      </c>
      <c r="K120" s="155">
        <f t="shared" si="8"/>
        <v>93.070685282231508</v>
      </c>
      <c r="L120" s="155">
        <f t="shared" si="9"/>
        <v>75.355279844343485</v>
      </c>
      <c r="M120" s="155">
        <f t="shared" si="10"/>
        <v>40.597767493575397</v>
      </c>
    </row>
    <row r="121" spans="2:13" x14ac:dyDescent="0.15">
      <c r="B121" s="153">
        <v>117</v>
      </c>
      <c r="C121" s="154">
        <f>'[1]功能-行军令'!CS121</f>
        <v>1604.5901101520915</v>
      </c>
      <c r="D121" s="154">
        <f>'[1]功能-行军令'!CT121</f>
        <v>1985.8640201364708</v>
      </c>
      <c r="E121" s="154">
        <f>'[1]功能-行军令'!CU121</f>
        <v>2158.4023964991811</v>
      </c>
      <c r="F121" s="154">
        <f>'[1]功能-行军令'!CV121</f>
        <v>1746.5136991042632</v>
      </c>
      <c r="G121" s="154">
        <f>'[1]功能-行军令'!CW121</f>
        <v>942.02200589178756</v>
      </c>
      <c r="I121" s="155">
        <f t="shared" si="6"/>
        <v>74.286579173707949</v>
      </c>
      <c r="J121" s="155">
        <f t="shared" si="7"/>
        <v>91.938149080392179</v>
      </c>
      <c r="K121" s="155">
        <f t="shared" si="8"/>
        <v>99.926036874962094</v>
      </c>
      <c r="L121" s="155">
        <f t="shared" si="9"/>
        <v>80.857115699271461</v>
      </c>
      <c r="M121" s="155">
        <f t="shared" si="10"/>
        <v>43.612129902397577</v>
      </c>
    </row>
    <row r="122" spans="2:13" x14ac:dyDescent="0.15">
      <c r="B122" s="153">
        <v>118</v>
      </c>
      <c r="C122" s="154">
        <f>'[1]功能-行军令'!CS122</f>
        <v>1720.84801990809</v>
      </c>
      <c r="D122" s="154">
        <f>'[1]功能-行军令'!CT122</f>
        <v>2130.2850102572866</v>
      </c>
      <c r="E122" s="154">
        <f>'[1]功能-行军令'!CU122</f>
        <v>2315.8935726485083</v>
      </c>
      <c r="F122" s="154">
        <f>'[1]功能-行军令'!CV122</f>
        <v>1876.655268730899</v>
      </c>
      <c r="G122" s="154">
        <f>'[1]功能-行军令'!CW122</f>
        <v>1010.743734368013</v>
      </c>
      <c r="I122" s="155">
        <f t="shared" si="6"/>
        <v>79.668889810559719</v>
      </c>
      <c r="J122" s="155">
        <f t="shared" si="7"/>
        <v>98.624306030429935</v>
      </c>
      <c r="K122" s="155">
        <f t="shared" si="8"/>
        <v>107.21729503002354</v>
      </c>
      <c r="L122" s="155">
        <f t="shared" si="9"/>
        <v>86.882188367171253</v>
      </c>
      <c r="M122" s="155">
        <f t="shared" si="10"/>
        <v>46.793691405926523</v>
      </c>
    </row>
    <row r="123" spans="2:13" x14ac:dyDescent="0.15">
      <c r="B123" s="153">
        <v>119</v>
      </c>
      <c r="C123" s="154">
        <f>'[1]功能-行军令'!CS123</f>
        <v>1845.4501623945018</v>
      </c>
      <c r="D123" s="154">
        <f>'[1]功能-行军令'!CT123</f>
        <v>2286.1916492557689</v>
      </c>
      <c r="E123" s="154">
        <f>'[1]功能-行军令'!CU123</f>
        <v>2487.7063150691765</v>
      </c>
      <c r="F123" s="154">
        <f>'[1]功能-行军令'!CV123</f>
        <v>2013.8896319563307</v>
      </c>
      <c r="G123" s="154">
        <f>'[1]功能-行军令'!CW123</f>
        <v>1080.6771346718085</v>
      </c>
      <c r="I123" s="155">
        <f t="shared" si="6"/>
        <v>85.437507518263985</v>
      </c>
      <c r="J123" s="155">
        <f t="shared" si="7"/>
        <v>105.84220598406337</v>
      </c>
      <c r="K123" s="155">
        <f t="shared" si="8"/>
        <v>115.17158866061004</v>
      </c>
      <c r="L123" s="155">
        <f t="shared" si="9"/>
        <v>93.235631109089397</v>
      </c>
      <c r="M123" s="155">
        <f t="shared" si="10"/>
        <v>50.031348827398546</v>
      </c>
    </row>
    <row r="124" spans="2:13" x14ac:dyDescent="0.15">
      <c r="B124" s="153">
        <v>120</v>
      </c>
      <c r="C124" s="154">
        <f>'[1]功能-行军令'!CS124</f>
        <v>1978.9954320866054</v>
      </c>
      <c r="D124" s="154">
        <f>'[1]功能-行军令'!CT124</f>
        <v>2453.404985058592</v>
      </c>
      <c r="E124" s="154">
        <f>'[1]功能-行军令'!CU124</f>
        <v>2668.1972604017146</v>
      </c>
      <c r="F124" s="154">
        <f>'[1]功能-行军令'!CV124</f>
        <v>2150.3494978099484</v>
      </c>
      <c r="G124" s="154">
        <f>'[1]功能-行军令'!CW124</f>
        <v>1154.4977799569272</v>
      </c>
      <c r="I124" s="155">
        <f t="shared" si="6"/>
        <v>91.620158892898402</v>
      </c>
      <c r="J124" s="155">
        <f t="shared" si="7"/>
        <v>113.58356412308297</v>
      </c>
      <c r="K124" s="155">
        <f t="shared" si="8"/>
        <v>123.52765094452383</v>
      </c>
      <c r="L124" s="155">
        <f t="shared" si="9"/>
        <v>99.553217491201323</v>
      </c>
      <c r="M124" s="155">
        <f t="shared" si="10"/>
        <v>53.44897129430219</v>
      </c>
    </row>
    <row r="125" spans="2:13" x14ac:dyDescent="0.15">
      <c r="B125" s="153">
        <v>121</v>
      </c>
      <c r="C125" s="154">
        <f>'[1]功能-行军令'!CS125</f>
        <v>2122.1257081898548</v>
      </c>
      <c r="D125" s="154">
        <f>'[1]功能-行军令'!CT125</f>
        <v>2627.4539173256321</v>
      </c>
      <c r="E125" s="154">
        <f>'[1]功能-行军令'!CU125</f>
        <v>2848.1438717981946</v>
      </c>
      <c r="F125" s="154">
        <f>'[1]功能-行军令'!CV125</f>
        <v>2295.9303729702933</v>
      </c>
      <c r="G125" s="154">
        <f>'[1]功能-行军令'!CW125</f>
        <v>1236.6454848176304</v>
      </c>
      <c r="I125" s="155">
        <f t="shared" si="6"/>
        <v>98.246560564345131</v>
      </c>
      <c r="J125" s="155">
        <f t="shared" si="7"/>
        <v>121.64138506137186</v>
      </c>
      <c r="K125" s="155">
        <f t="shared" si="8"/>
        <v>131.85851258324973</v>
      </c>
      <c r="L125" s="155">
        <f t="shared" si="9"/>
        <v>106.29307282269878</v>
      </c>
      <c r="M125" s="155">
        <f t="shared" si="10"/>
        <v>57.252105778594</v>
      </c>
    </row>
    <row r="126" spans="2:13" x14ac:dyDescent="0.15">
      <c r="B126" s="153">
        <v>122</v>
      </c>
      <c r="C126" s="154">
        <f>'[1]功能-行军令'!CS126</f>
        <v>2275.5289398028081</v>
      </c>
      <c r="D126" s="154">
        <f>'[1]功能-行军令'!CT126</f>
        <v>2810.4133228097544</v>
      </c>
      <c r="E126" s="154">
        <f>'[1]功能-行军令'!CU126</f>
        <v>3045.5017326545767</v>
      </c>
      <c r="F126" s="154">
        <f>'[1]功能-行军令'!CV126</f>
        <v>2458.4180081326094</v>
      </c>
      <c r="G126" s="154">
        <f>'[1]功能-行军令'!CW126</f>
        <v>1324.5861444689895</v>
      </c>
      <c r="I126" s="155">
        <f t="shared" si="6"/>
        <v>105.34856202790779</v>
      </c>
      <c r="J126" s="155">
        <f t="shared" si="7"/>
        <v>130.11172790785901</v>
      </c>
      <c r="K126" s="155">
        <f t="shared" si="8"/>
        <v>140.99545058586006</v>
      </c>
      <c r="L126" s="155">
        <f t="shared" si="9"/>
        <v>113.81564852465785</v>
      </c>
      <c r="M126" s="155">
        <f t="shared" si="10"/>
        <v>61.323432614305069</v>
      </c>
    </row>
    <row r="127" spans="2:13" x14ac:dyDescent="0.15">
      <c r="B127" s="153">
        <v>123</v>
      </c>
      <c r="C127" s="154">
        <f>'[1]功能-行军令'!CS127</f>
        <v>2439.9424525128838</v>
      </c>
      <c r="D127" s="154">
        <f>'[1]功能-行军令'!CT127</f>
        <v>3013.5094034330332</v>
      </c>
      <c r="E127" s="154">
        <f>'[1]功能-行军令'!CU127</f>
        <v>3272.9167624981969</v>
      </c>
      <c r="F127" s="154">
        <f>'[1]功能-行军令'!CV127</f>
        <v>2645.5012914703561</v>
      </c>
      <c r="G127" s="154">
        <f>'[1]功能-行军令'!CW127</f>
        <v>1425.3236948287108</v>
      </c>
      <c r="I127" s="155">
        <f t="shared" si="6"/>
        <v>112.96029872744833</v>
      </c>
      <c r="J127" s="155">
        <f t="shared" si="7"/>
        <v>139.5143242330108</v>
      </c>
      <c r="K127" s="155">
        <f t="shared" si="8"/>
        <v>151.52392418973133</v>
      </c>
      <c r="L127" s="155">
        <f t="shared" si="9"/>
        <v>122.47691164214613</v>
      </c>
      <c r="M127" s="155">
        <f t="shared" si="10"/>
        <v>65.987208093921794</v>
      </c>
    </row>
    <row r="128" spans="2:13" x14ac:dyDescent="0.15">
      <c r="B128" s="153">
        <v>124</v>
      </c>
      <c r="C128" s="154">
        <f>'[1]功能-行军令'!CS128</f>
        <v>2616.1564923179126</v>
      </c>
      <c r="D128" s="154">
        <f>'[1]功能-行军令'!CT128</f>
        <v>3237.3134619430762</v>
      </c>
      <c r="E128" s="154">
        <f>'[1]功能-行军令'!CU128</f>
        <v>3515.0953379789462</v>
      </c>
      <c r="F128" s="154">
        <f>'[1]功能-行军令'!CV128</f>
        <v>2843.1485699268442</v>
      </c>
      <c r="G128" s="154">
        <f>'[1]功能-行军令'!CW128</f>
        <v>1533.6467080023633</v>
      </c>
      <c r="I128" s="155">
        <f t="shared" si="6"/>
        <v>121.11835612582929</v>
      </c>
      <c r="J128" s="155">
        <f t="shared" si="7"/>
        <v>149.87562323810539</v>
      </c>
      <c r="K128" s="155">
        <f t="shared" si="8"/>
        <v>162.73589527680306</v>
      </c>
      <c r="L128" s="155">
        <f t="shared" si="9"/>
        <v>131.62724860772428</v>
      </c>
      <c r="M128" s="155">
        <f t="shared" si="10"/>
        <v>71.002162407516821</v>
      </c>
    </row>
    <row r="129" spans="2:13" x14ac:dyDescent="0.15">
      <c r="B129" s="153">
        <v>125</v>
      </c>
      <c r="C129" s="154">
        <f>'[1]功能-行军令'!CS129</f>
        <v>2805.0180239072611</v>
      </c>
      <c r="D129" s="154">
        <f>'[1]功能-行军令'!CT129</f>
        <v>3469.406925534895</v>
      </c>
      <c r="E129" s="154">
        <f>'[1]功能-行军令'!CU129</f>
        <v>3773.9513309603858</v>
      </c>
      <c r="F129" s="154">
        <f>'[1]功能-行军令'!CV129</f>
        <v>3052.9214402450266</v>
      </c>
      <c r="G129" s="154">
        <f>'[1]功能-行军令'!CW129</f>
        <v>1636.2348678830886</v>
      </c>
      <c r="I129" s="155">
        <f t="shared" si="6"/>
        <v>129.8619455512621</v>
      </c>
      <c r="J129" s="155">
        <f t="shared" si="7"/>
        <v>160.62069099698587</v>
      </c>
      <c r="K129" s="155">
        <f t="shared" si="8"/>
        <v>174.71996902594378</v>
      </c>
      <c r="L129" s="155">
        <f t="shared" si="9"/>
        <v>141.33895556689939</v>
      </c>
      <c r="M129" s="155">
        <f t="shared" si="10"/>
        <v>75.751614253846697</v>
      </c>
    </row>
    <row r="130" spans="2:13" x14ac:dyDescent="0.15">
      <c r="B130" s="153">
        <v>126</v>
      </c>
      <c r="C130" s="154">
        <f>'[1]功能-行军令'!CS130</f>
        <v>3007.4348015586793</v>
      </c>
      <c r="D130" s="154">
        <f>'[1]功能-行军令'!CT130</f>
        <v>3725.0835080417205</v>
      </c>
      <c r="E130" s="154">
        <f>'[1]功能-行军令'!CU130</f>
        <v>4049.355328526703</v>
      </c>
      <c r="F130" s="154">
        <f>'[1]功能-行军令'!CV130</f>
        <v>3260.4736028155148</v>
      </c>
      <c r="G130" s="154">
        <f>'[1]功能-行军令'!CW130</f>
        <v>1745.5968246589439</v>
      </c>
      <c r="I130" s="155">
        <f t="shared" si="6"/>
        <v>139.23309266475368</v>
      </c>
      <c r="J130" s="155">
        <f t="shared" si="7"/>
        <v>172.45756981674631</v>
      </c>
      <c r="K130" s="155">
        <f t="shared" si="8"/>
        <v>187.47015409845847</v>
      </c>
      <c r="L130" s="155">
        <f t="shared" si="9"/>
        <v>150.94785198219975</v>
      </c>
      <c r="M130" s="155">
        <f t="shared" si="10"/>
        <v>80.81466780828444</v>
      </c>
    </row>
    <row r="131" spans="2:13" x14ac:dyDescent="0.15">
      <c r="B131" s="153">
        <v>127</v>
      </c>
      <c r="C131" s="154">
        <f>'[1]功能-行军令'!CS131</f>
        <v>3224.3797322175787</v>
      </c>
      <c r="D131" s="154">
        <f>'[1]功能-行军令'!CT131</f>
        <v>3993.8287570895764</v>
      </c>
      <c r="E131" s="154">
        <f>'[1]功能-行军令'!CU131</f>
        <v>4321.6726750416965</v>
      </c>
      <c r="F131" s="154">
        <f>'[1]功能-行军令'!CV131</f>
        <v>3474.7466445634591</v>
      </c>
      <c r="G131" s="154">
        <f>'[1]功能-行军令'!CW131</f>
        <v>1865.0775677609538</v>
      </c>
      <c r="I131" s="155">
        <f t="shared" si="6"/>
        <v>149.27683945451753</v>
      </c>
      <c r="J131" s="155">
        <f t="shared" si="7"/>
        <v>184.8994794948878</v>
      </c>
      <c r="K131" s="155">
        <f t="shared" si="8"/>
        <v>200.07743865933779</v>
      </c>
      <c r="L131" s="155">
        <f t="shared" si="9"/>
        <v>160.86790021127126</v>
      </c>
      <c r="M131" s="155">
        <f t="shared" si="10"/>
        <v>86.346183692636757</v>
      </c>
    </row>
    <row r="132" spans="2:13" x14ac:dyDescent="0.15">
      <c r="B132" s="153">
        <v>128</v>
      </c>
      <c r="C132" s="154">
        <f>'[1]功能-行军令'!CS132</f>
        <v>3456.895551729569</v>
      </c>
      <c r="D132" s="154">
        <f>'[1]功能-行军令'!CT132</f>
        <v>4261.636891951689</v>
      </c>
      <c r="E132" s="154">
        <f>'[1]功能-行军令'!CU132</f>
        <v>4607.9883895973135</v>
      </c>
      <c r="F132" s="154">
        <f>'[1]功能-行军令'!CV132</f>
        <v>3709.8847863386977</v>
      </c>
      <c r="G132" s="154">
        <f>'[1]功能-行军令'!CW132</f>
        <v>1994.9972322322271</v>
      </c>
      <c r="I132" s="155">
        <f t="shared" si="6"/>
        <v>160.04146072822081</v>
      </c>
      <c r="J132" s="155">
        <f t="shared" si="7"/>
        <v>197.29800425702263</v>
      </c>
      <c r="K132" s="155">
        <f t="shared" si="8"/>
        <v>213.33279581469046</v>
      </c>
      <c r="L132" s="155">
        <f t="shared" si="9"/>
        <v>171.75392529345822</v>
      </c>
      <c r="M132" s="155">
        <f t="shared" si="10"/>
        <v>92.360982973714215</v>
      </c>
    </row>
    <row r="133" spans="2:13" x14ac:dyDescent="0.15">
      <c r="B133" s="153">
        <v>129</v>
      </c>
      <c r="C133" s="154">
        <f>'[1]功能-行军令'!CS133</f>
        <v>3706.099836702399</v>
      </c>
      <c r="D133" s="154">
        <f>'[1]功能-行军令'!CT133</f>
        <v>4568.8922316120488</v>
      </c>
      <c r="E133" s="154">
        <f>'[1]功能-行军令'!CU133</f>
        <v>4948.3611927328257</v>
      </c>
      <c r="F133" s="154">
        <f>'[1]功能-行军令'!CV133</f>
        <v>3990.776432552726</v>
      </c>
      <c r="G133" s="154">
        <f>'[1]功能-行军令'!CW133</f>
        <v>2143.9044947600969</v>
      </c>
      <c r="I133" s="155">
        <f t="shared" si="6"/>
        <v>171.5786961436296</v>
      </c>
      <c r="J133" s="155">
        <f t="shared" si="7"/>
        <v>211.52278850055782</v>
      </c>
      <c r="K133" s="155">
        <f t="shared" si="8"/>
        <v>229.09079595985304</v>
      </c>
      <c r="L133" s="155">
        <f t="shared" si="9"/>
        <v>184.75816817373732</v>
      </c>
      <c r="M133" s="155">
        <f t="shared" si="10"/>
        <v>99.254837720374852</v>
      </c>
    </row>
    <row r="134" spans="2:13" x14ac:dyDescent="0.15">
      <c r="B134" s="153">
        <v>130</v>
      </c>
      <c r="C134" s="154">
        <f>'[1]功能-行军令'!CS134</f>
        <v>3973.1903760866062</v>
      </c>
      <c r="D134" s="154">
        <f>'[1]功能-行军令'!CT134</f>
        <v>4904.0088183305925</v>
      </c>
      <c r="E134" s="154">
        <f>'[1]功能-行军令'!CU134</f>
        <v>5316.9006637841148</v>
      </c>
      <c r="F134" s="154">
        <f>'[1]功能-行军令'!CV134</f>
        <v>4290.1068203827481</v>
      </c>
      <c r="G134" s="154">
        <f>'[1]功能-行军令'!CW134</f>
        <v>2306.5370549057275</v>
      </c>
      <c r="I134" s="155">
        <f t="shared" ref="I134:I164" si="11">C134/(0.3/0.5)/3/12</f>
        <v>183.94399889289843</v>
      </c>
      <c r="J134" s="155">
        <f t="shared" ref="J134:J164" si="12">D134/(0.3/0.5)/3/12</f>
        <v>227.03744529308298</v>
      </c>
      <c r="K134" s="155">
        <f t="shared" ref="K134:K164" si="13">E134/(0.3/0.5)/3/12</f>
        <v>246.1528085085238</v>
      </c>
      <c r="L134" s="155">
        <f t="shared" ref="L134:L164" si="14">F134/(0.3/0.5)/3/12</f>
        <v>198.61605649920128</v>
      </c>
      <c r="M134" s="155">
        <f t="shared" ref="M134:M164" si="15">G134/(0.3/0.5)/3/12</f>
        <v>106.78412291230221</v>
      </c>
    </row>
    <row r="135" spans="2:13" x14ac:dyDescent="0.15">
      <c r="B135" s="153">
        <v>131</v>
      </c>
      <c r="C135" s="154">
        <f>'[1]功能-行军令'!CS135</f>
        <v>4259.4509282931049</v>
      </c>
      <c r="D135" s="154">
        <f>'[1]功能-行军令'!CT135</f>
        <v>5259.8596311459814</v>
      </c>
      <c r="E135" s="154">
        <f>'[1]功能-行军令'!CU135</f>
        <v>5705.1311700220795</v>
      </c>
      <c r="F135" s="154">
        <f>'[1]功能-行军令'!CV135</f>
        <v>4609.8404734866381</v>
      </c>
      <c r="G135" s="154">
        <f>'[1]功能-行军令'!CW135</f>
        <v>2470.8918139555931</v>
      </c>
      <c r="I135" s="155">
        <f t="shared" si="11"/>
        <v>197.19680223579189</v>
      </c>
      <c r="J135" s="155">
        <f t="shared" si="12"/>
        <v>243.51201996046211</v>
      </c>
      <c r="K135" s="155">
        <f t="shared" si="13"/>
        <v>264.12644305657778</v>
      </c>
      <c r="L135" s="155">
        <f t="shared" si="14"/>
        <v>213.41854043919622</v>
      </c>
      <c r="M135" s="155">
        <f t="shared" si="15"/>
        <v>114.39313953498117</v>
      </c>
    </row>
    <row r="136" spans="2:13" x14ac:dyDescent="0.15">
      <c r="B136" s="153">
        <v>132</v>
      </c>
      <c r="C136" s="154">
        <f>'[1]功能-行军令'!CS136</f>
        <v>4566.2573915190114</v>
      </c>
      <c r="D136" s="154">
        <f>'[1]功能-行军令'!CT136</f>
        <v>5642.7643139052134</v>
      </c>
      <c r="E136" s="154">
        <f>'[1]功能-行军令'!CU136</f>
        <v>6129.7466497605928</v>
      </c>
      <c r="F136" s="154">
        <f>'[1]功能-行军令'!CV136</f>
        <v>4936.8664585920942</v>
      </c>
      <c r="G136" s="154">
        <f>'[1]功能-行军令'!CW136</f>
        <v>2640.7510378984357</v>
      </c>
      <c r="I136" s="155">
        <f t="shared" si="11"/>
        <v>211.40080516291721</v>
      </c>
      <c r="J136" s="155">
        <f t="shared" si="12"/>
        <v>261.23908860672287</v>
      </c>
      <c r="K136" s="155">
        <f t="shared" si="13"/>
        <v>283.78456711854597</v>
      </c>
      <c r="L136" s="155">
        <f t="shared" si="14"/>
        <v>228.55863234222659</v>
      </c>
      <c r="M136" s="155">
        <f t="shared" si="15"/>
        <v>122.25699249529795</v>
      </c>
    </row>
    <row r="137" spans="2:13" x14ac:dyDescent="0.15">
      <c r="B137" s="153">
        <v>133</v>
      </c>
      <c r="C137" s="154">
        <f>'[1]功能-行军令'!CS137</f>
        <v>4895.084416939163</v>
      </c>
      <c r="D137" s="154">
        <f>'[1]功能-行军令'!CT137</f>
        <v>6053.4387883319514</v>
      </c>
      <c r="E137" s="154">
        <f>'[1]功能-行军令'!CU137</f>
        <v>6554.7329647597044</v>
      </c>
      <c r="F137" s="154">
        <f>'[1]功能-行军令'!CV137</f>
        <v>5267.2074316999979</v>
      </c>
      <c r="G137" s="154">
        <f>'[1]功能-行军令'!CW137</f>
        <v>2820.0138194045794</v>
      </c>
      <c r="I137" s="155">
        <f t="shared" si="11"/>
        <v>226.6242785619983</v>
      </c>
      <c r="J137" s="155">
        <f t="shared" si="12"/>
        <v>280.25179575610883</v>
      </c>
      <c r="K137" s="155">
        <f t="shared" si="13"/>
        <v>303.459859479616</v>
      </c>
      <c r="L137" s="155">
        <f t="shared" si="14"/>
        <v>243.85219591203693</v>
      </c>
      <c r="M137" s="155">
        <f t="shared" si="15"/>
        <v>130.55619534280461</v>
      </c>
    </row>
    <row r="138" spans="2:13" x14ac:dyDescent="0.15">
      <c r="B138" s="153">
        <v>134</v>
      </c>
      <c r="C138" s="154">
        <f>'[1]功能-行军令'!CS138</f>
        <v>5247.5124965492205</v>
      </c>
      <c r="D138" s="154">
        <f>'[1]功能-行军令'!CT138</f>
        <v>6470.9031778398376</v>
      </c>
      <c r="E138" s="154">
        <f>'[1]功能-行军令'!CU138</f>
        <v>6994.4625949180499</v>
      </c>
      <c r="F138" s="154">
        <f>'[1]功能-行军令'!CV138</f>
        <v>5624.1560590845593</v>
      </c>
      <c r="G138" s="154">
        <f>'[1]功能-行军令'!CW138</f>
        <v>3016.0668241504482</v>
      </c>
      <c r="I138" s="155">
        <f t="shared" si="11"/>
        <v>242.94039335876019</v>
      </c>
      <c r="J138" s="155">
        <f t="shared" si="12"/>
        <v>299.57885082591844</v>
      </c>
      <c r="K138" s="155">
        <f t="shared" si="13"/>
        <v>323.81771272768748</v>
      </c>
      <c r="L138" s="155">
        <f t="shared" si="14"/>
        <v>260.3775953279889</v>
      </c>
      <c r="M138" s="155">
        <f t="shared" si="15"/>
        <v>139.63272334029853</v>
      </c>
    </row>
    <row r="139" spans="2:13" x14ac:dyDescent="0.15">
      <c r="B139" s="153">
        <v>135</v>
      </c>
      <c r="C139" s="154">
        <f>'[1]功能-行军令'!CS139</f>
        <v>5625.2355597279166</v>
      </c>
      <c r="D139" s="154">
        <f>'[1]功能-行军令'!CT139</f>
        <v>6928.5105115104016</v>
      </c>
      <c r="E139" s="154">
        <f>'[1]功能-行军令'!CU139</f>
        <v>7487.9825366337327</v>
      </c>
      <c r="F139" s="154">
        <f>'[1]功能-行军令'!CV139</f>
        <v>6031.6370287807167</v>
      </c>
      <c r="G139" s="154">
        <f>'[1]功能-行军令'!CW139</f>
        <v>3238.3123018995043</v>
      </c>
      <c r="I139" s="155">
        <f t="shared" si="11"/>
        <v>260.42757220962579</v>
      </c>
      <c r="J139" s="155">
        <f t="shared" si="12"/>
        <v>320.76437553288895</v>
      </c>
      <c r="K139" s="155">
        <f t="shared" si="13"/>
        <v>346.66585817748768</v>
      </c>
      <c r="L139" s="155">
        <f t="shared" si="14"/>
        <v>279.24245503614429</v>
      </c>
      <c r="M139" s="155">
        <f t="shared" si="15"/>
        <v>149.92186582868075</v>
      </c>
    </row>
    <row r="140" spans="2:13" x14ac:dyDescent="0.15">
      <c r="B140" s="153">
        <v>136</v>
      </c>
      <c r="C140" s="154">
        <f>'[1]功能-行军令'!CS140</f>
        <v>6030.069115030753</v>
      </c>
      <c r="D140" s="154">
        <f>'[1]功能-行军令'!CT140</f>
        <v>7432.4591779035354</v>
      </c>
      <c r="E140" s="154">
        <f>'[1]功能-行军令'!CU140</f>
        <v>8054.4693681640774</v>
      </c>
      <c r="F140" s="154">
        <f>'[1]功能-行军令'!CV140</f>
        <v>6487.4947060091781</v>
      </c>
      <c r="G140" s="154">
        <f>'[1]功能-行军令'!CW140</f>
        <v>3483.6392558796251</v>
      </c>
      <c r="I140" s="155">
        <f t="shared" si="11"/>
        <v>279.16986643660891</v>
      </c>
      <c r="J140" s="155">
        <f t="shared" si="12"/>
        <v>344.09533231034885</v>
      </c>
      <c r="K140" s="155">
        <f t="shared" si="13"/>
        <v>372.89210037796653</v>
      </c>
      <c r="L140" s="155">
        <f t="shared" si="14"/>
        <v>300.34697713005454</v>
      </c>
      <c r="M140" s="155">
        <f t="shared" si="15"/>
        <v>161.2795951796123</v>
      </c>
    </row>
    <row r="141" spans="2:13" x14ac:dyDescent="0.15">
      <c r="B141" s="153">
        <v>137</v>
      </c>
      <c r="C141" s="154">
        <f>'[1]功能-行军令'!CS141</f>
        <v>6463.9589763485528</v>
      </c>
      <c r="D141" s="154">
        <f>'[1]功能-行军令'!CT141</f>
        <v>7976.7317279960034</v>
      </c>
      <c r="E141" s="154">
        <f>'[1]功能-行军令'!CU141</f>
        <v>8643.082874840713</v>
      </c>
      <c r="F141" s="154">
        <f>'[1]功能-行军令'!CV141</f>
        <v>6967.4708363689715</v>
      </c>
      <c r="G141" s="154">
        <f>'[1]功能-行军令'!CW141</f>
        <v>3738.7446731278965</v>
      </c>
      <c r="I141" s="155">
        <f t="shared" si="11"/>
        <v>299.25736001613672</v>
      </c>
      <c r="J141" s="155">
        <f t="shared" si="12"/>
        <v>369.29313555537055</v>
      </c>
      <c r="K141" s="155">
        <f t="shared" si="13"/>
        <v>400.14272568707003</v>
      </c>
      <c r="L141" s="155">
        <f t="shared" si="14"/>
        <v>322.56809427634124</v>
      </c>
      <c r="M141" s="155">
        <f t="shared" si="15"/>
        <v>173.09003116332858</v>
      </c>
    </row>
    <row r="142" spans="2:13" x14ac:dyDescent="0.15">
      <c r="B142" s="153">
        <v>138</v>
      </c>
      <c r="C142" s="154">
        <f>'[1]功能-行军令'!CS142</f>
        <v>6928.9906153725333</v>
      </c>
      <c r="D142" s="154">
        <f>'[1]功能-行军令'!CT142</f>
        <v>8550.6323284072278</v>
      </c>
      <c r="E142" s="154">
        <f>'[1]功能-行军令'!CU142</f>
        <v>9271.8399358119896</v>
      </c>
      <c r="F142" s="154">
        <f>'[1]功能-行军令'!CV142</f>
        <v>7473.50501142137</v>
      </c>
      <c r="G142" s="154">
        <f>'[1]功能-行军令'!CW142</f>
        <v>3992.2600784068659</v>
      </c>
      <c r="I142" s="155">
        <f t="shared" si="11"/>
        <v>320.78660256354323</v>
      </c>
      <c r="J142" s="155">
        <f t="shared" si="12"/>
        <v>395.86260779663093</v>
      </c>
      <c r="K142" s="155">
        <f t="shared" si="13"/>
        <v>429.2518488801847</v>
      </c>
      <c r="L142" s="155">
        <f t="shared" si="14"/>
        <v>345.995602380619</v>
      </c>
      <c r="M142" s="155">
        <f t="shared" si="15"/>
        <v>184.82685548179936</v>
      </c>
    </row>
    <row r="143" spans="2:13" x14ac:dyDescent="0.15">
      <c r="B143" s="153">
        <v>139</v>
      </c>
      <c r="C143" s="154">
        <f>'[1]功能-行军令'!CS143</f>
        <v>7427.3991853181933</v>
      </c>
      <c r="D143" s="154">
        <f>'[1]功能-行军令'!CT143</f>
        <v>9170.0596011296784</v>
      </c>
      <c r="E143" s="154">
        <f>'[1]功能-行军令'!CU143</f>
        <v>9940.3291183422552</v>
      </c>
      <c r="F143" s="154">
        <f>'[1]功能-行军令'!CV143</f>
        <v>7979.5333453608901</v>
      </c>
      <c r="G143" s="154">
        <f>'[1]功能-行军令'!CW143</f>
        <v>4264.5214679975779</v>
      </c>
      <c r="I143" s="155">
        <f t="shared" si="11"/>
        <v>343.8610733943608</v>
      </c>
      <c r="J143" s="155">
        <f t="shared" si="12"/>
        <v>424.53979634859621</v>
      </c>
      <c r="K143" s="155">
        <f t="shared" si="13"/>
        <v>460.20042214547476</v>
      </c>
      <c r="L143" s="155">
        <f t="shared" si="14"/>
        <v>369.42284006300412</v>
      </c>
      <c r="M143" s="155">
        <f t="shared" si="15"/>
        <v>197.43154944433232</v>
      </c>
    </row>
    <row r="144" spans="2:13" x14ac:dyDescent="0.15">
      <c r="B144" s="153">
        <v>140</v>
      </c>
      <c r="C144" s="154">
        <f>'[1]功能-行军令'!CS144</f>
        <v>7961.5802640866059</v>
      </c>
      <c r="D144" s="154">
        <f>'[1]功能-行军令'!CT144</f>
        <v>9824.9624376857955</v>
      </c>
      <c r="E144" s="154">
        <f>'[1]功能-行军令'!CU144</f>
        <v>10609.566201580117</v>
      </c>
      <c r="F144" s="154">
        <f>'[1]功能-行军令'!CV144</f>
        <v>8516.0363521507479</v>
      </c>
      <c r="G144" s="154">
        <f>'[1]功能-行军令'!CW144</f>
        <v>4560.6054268793278</v>
      </c>
      <c r="I144" s="155">
        <f t="shared" si="11"/>
        <v>368.59167889289841</v>
      </c>
      <c r="J144" s="155">
        <f t="shared" si="12"/>
        <v>454.8593721150832</v>
      </c>
      <c r="K144" s="155">
        <f t="shared" si="13"/>
        <v>491.18362044352398</v>
      </c>
      <c r="L144" s="155">
        <f t="shared" si="14"/>
        <v>394.26094222920125</v>
      </c>
      <c r="M144" s="155">
        <f t="shared" si="15"/>
        <v>211.13914013330222</v>
      </c>
    </row>
    <row r="145" spans="2:13" x14ac:dyDescent="0.15">
      <c r="B145" s="153">
        <v>141</v>
      </c>
      <c r="C145" s="154">
        <f>'[1]功能-行军令'!CS145</f>
        <v>8534.1013684995905</v>
      </c>
      <c r="D145" s="154">
        <f>'[1]功能-行军令'!CT145</f>
        <v>10504.123582088227</v>
      </c>
      <c r="E145" s="154">
        <f>'[1]功能-行军令'!CU145</f>
        <v>11333.699088934038</v>
      </c>
      <c r="F145" s="154">
        <f>'[1]功能-行军令'!CV145</f>
        <v>9118.9808347175458</v>
      </c>
      <c r="G145" s="154">
        <f>'[1]功能-行军令'!CW145</f>
        <v>4884.8279039455883</v>
      </c>
      <c r="I145" s="155">
        <f t="shared" si="11"/>
        <v>395.09728557868476</v>
      </c>
      <c r="J145" s="155">
        <f t="shared" si="12"/>
        <v>486.30201768926969</v>
      </c>
      <c r="K145" s="155">
        <f t="shared" si="13"/>
        <v>524.70829115435356</v>
      </c>
      <c r="L145" s="155">
        <f t="shared" si="14"/>
        <v>422.17503864433087</v>
      </c>
      <c r="M145" s="155">
        <f t="shared" si="15"/>
        <v>226.14943999748095</v>
      </c>
    </row>
    <row r="146" spans="2:13" x14ac:dyDescent="0.15">
      <c r="B146" s="153">
        <v>142</v>
      </c>
      <c r="C146" s="154">
        <f>'[1]功能-行军令'!CS146</f>
        <v>9147.7142949514182</v>
      </c>
      <c r="D146" s="154">
        <f>'[1]功能-行军令'!CT146</f>
        <v>11259.423735081216</v>
      </c>
      <c r="E146" s="154">
        <f>'[1]功能-行军令'!CU146</f>
        <v>12179.516085904886</v>
      </c>
      <c r="F146" s="154">
        <f>'[1]功能-行军令'!CV146</f>
        <v>9797.3391021427378</v>
      </c>
      <c r="G146" s="154">
        <f>'[1]功能-行军令'!CW146</f>
        <v>5248.4588385178386</v>
      </c>
      <c r="I146" s="155">
        <f t="shared" si="11"/>
        <v>423.50529143293602</v>
      </c>
      <c r="J146" s="155">
        <f t="shared" si="12"/>
        <v>521.26961736487112</v>
      </c>
      <c r="K146" s="155">
        <f t="shared" si="13"/>
        <v>563.86648545855962</v>
      </c>
      <c r="L146" s="155">
        <f t="shared" si="14"/>
        <v>453.58051398808971</v>
      </c>
      <c r="M146" s="155">
        <f t="shared" si="15"/>
        <v>242.98420548693699</v>
      </c>
    </row>
    <row r="147" spans="2:13" x14ac:dyDescent="0.15">
      <c r="B147" s="153">
        <v>143</v>
      </c>
      <c r="C147" s="154">
        <f>'[1]功能-行军令'!CS147</f>
        <v>9805.3683457917214</v>
      </c>
      <c r="D147" s="154">
        <f>'[1]功能-行军令'!CT147</f>
        <v>12083.237556756054</v>
      </c>
      <c r="E147" s="154">
        <f>'[1]功能-行军令'!CU147</f>
        <v>13072.710788532273</v>
      </c>
      <c r="F147" s="154">
        <f>'[1]功能-行军令'!CV147</f>
        <v>10523.806563627904</v>
      </c>
      <c r="G147" s="154">
        <f>'[1]功能-行军令'!CW147</f>
        <v>5643.4701036615215</v>
      </c>
      <c r="I147" s="155">
        <f t="shared" si="11"/>
        <v>453.95223823109819</v>
      </c>
      <c r="J147" s="155">
        <f t="shared" si="12"/>
        <v>559.40914614611359</v>
      </c>
      <c r="K147" s="155">
        <f t="shared" si="13"/>
        <v>605.21809206167939</v>
      </c>
      <c r="L147" s="155">
        <f t="shared" si="14"/>
        <v>487.21326683462524</v>
      </c>
      <c r="M147" s="155">
        <f t="shared" si="15"/>
        <v>261.27176405840379</v>
      </c>
    </row>
    <row r="148" spans="2:13" x14ac:dyDescent="0.15">
      <c r="B148" s="153">
        <v>144</v>
      </c>
      <c r="C148" s="154">
        <f>'[1]功能-行军令'!CS148</f>
        <v>10510.224505011834</v>
      </c>
      <c r="D148" s="154">
        <f>'[1]功能-行军令'!CT148</f>
        <v>12951.876238346953</v>
      </c>
      <c r="E148" s="154">
        <f>'[1]功能-行军令'!CU148</f>
        <v>14027.1039660594</v>
      </c>
      <c r="F148" s="154">
        <f>'[1]功能-行军令'!CV148</f>
        <v>11299.280111945376</v>
      </c>
      <c r="G148" s="154">
        <f>'[1]功能-行军令'!CW148</f>
        <v>6037.4586503089113</v>
      </c>
      <c r="I148" s="155">
        <f t="shared" si="11"/>
        <v>486.58446782462192</v>
      </c>
      <c r="J148" s="155">
        <f t="shared" si="12"/>
        <v>599.62389992347005</v>
      </c>
      <c r="K148" s="155">
        <f t="shared" si="13"/>
        <v>649.40296139163888</v>
      </c>
      <c r="L148" s="155">
        <f t="shared" si="14"/>
        <v>523.11481999747116</v>
      </c>
      <c r="M148" s="155">
        <f t="shared" si="15"/>
        <v>279.51197455133848</v>
      </c>
    </row>
    <row r="149" spans="2:13" x14ac:dyDescent="0.15">
      <c r="B149" s="153">
        <v>145</v>
      </c>
      <c r="C149" s="154">
        <f>'[1]功能-行军令'!CS149</f>
        <v>11265.670631369228</v>
      </c>
      <c r="D149" s="154">
        <f>'[1]功能-行军令'!CT149</f>
        <v>13902.576273975013</v>
      </c>
      <c r="E149" s="154">
        <f>'[1]功能-行军令'!CU149</f>
        <v>15053.274977689513</v>
      </c>
      <c r="F149" s="154">
        <f>'[1]功能-行军令'!CV149</f>
        <v>12088.826354278484</v>
      </c>
      <c r="G149" s="154">
        <f>'[1]功能-行军令'!CW149</f>
        <v>6451.301833965169</v>
      </c>
      <c r="I149" s="155">
        <f t="shared" si="11"/>
        <v>521.55882552635319</v>
      </c>
      <c r="J149" s="155">
        <f t="shared" si="12"/>
        <v>643.63779046180628</v>
      </c>
      <c r="K149" s="155">
        <f t="shared" si="13"/>
        <v>696.91087859673678</v>
      </c>
      <c r="L149" s="155">
        <f t="shared" si="14"/>
        <v>559.66788677215209</v>
      </c>
      <c r="M149" s="155">
        <f t="shared" si="15"/>
        <v>298.67138120209114</v>
      </c>
    </row>
    <row r="150" spans="2:13" x14ac:dyDescent="0.15">
      <c r="B150" s="153">
        <v>146</v>
      </c>
      <c r="C150" s="154">
        <f>'[1]功能-行军令'!CS150</f>
        <v>12075.337741974901</v>
      </c>
      <c r="D150" s="154">
        <f>'[1]功能-行军令'!CT150</f>
        <v>14898.273371658926</v>
      </c>
      <c r="E150" s="154">
        <f>'[1]功能-行军令'!CU150</f>
        <v>16082.627456698867</v>
      </c>
      <c r="F150" s="154">
        <f>'[1]功能-行军令'!CV150</f>
        <v>12898.216778872424</v>
      </c>
      <c r="G150" s="154">
        <f>'[1]功能-行军令'!CW150</f>
        <v>6885.2761931129407</v>
      </c>
      <c r="I150" s="155">
        <f t="shared" si="11"/>
        <v>559.04341398031954</v>
      </c>
      <c r="J150" s="155">
        <f t="shared" si="12"/>
        <v>689.73487831754289</v>
      </c>
      <c r="K150" s="155">
        <f t="shared" si="13"/>
        <v>744.56608595828084</v>
      </c>
      <c r="L150" s="155">
        <f t="shared" si="14"/>
        <v>597.13966568853812</v>
      </c>
      <c r="M150" s="155">
        <f t="shared" si="15"/>
        <v>318.76278671819171</v>
      </c>
    </row>
    <row r="151" spans="2:13" x14ac:dyDescent="0.15">
      <c r="B151" s="153">
        <v>147</v>
      </c>
      <c r="C151" s="154">
        <f>'[1]功能-行军令'!CS151</f>
        <v>12943.117464610499</v>
      </c>
      <c r="D151" s="154">
        <f>'[1]功能-行军令'!CT151</f>
        <v>15916.111560243266</v>
      </c>
      <c r="E151" s="154">
        <f>'[1]功能-行军令'!CU151</f>
        <v>17159.012675504448</v>
      </c>
      <c r="F151" s="154">
        <f>'[1]功能-行军令'!CV151</f>
        <v>13752.720744741506</v>
      </c>
      <c r="G151" s="154">
        <f>'[1]功能-行军令'!CW151</f>
        <v>7354.06378376867</v>
      </c>
      <c r="I151" s="155">
        <f t="shared" si="11"/>
        <v>599.21840113937503</v>
      </c>
      <c r="J151" s="155">
        <f t="shared" si="12"/>
        <v>736.85701667792898</v>
      </c>
      <c r="K151" s="155">
        <f t="shared" si="13"/>
        <v>794.39873497705776</v>
      </c>
      <c r="L151" s="155">
        <f t="shared" si="14"/>
        <v>636.70003447877355</v>
      </c>
      <c r="M151" s="155">
        <f t="shared" si="15"/>
        <v>340.46591591521621</v>
      </c>
    </row>
    <row r="152" spans="2:13" x14ac:dyDescent="0.15">
      <c r="B152" s="153">
        <v>148</v>
      </c>
      <c r="C152" s="154">
        <f>'[1]功能-行军令'!CS152</f>
        <v>13873.18074265846</v>
      </c>
      <c r="D152" s="154">
        <f>'[1]功能-行军令'!CT152</f>
        <v>17059.848788915984</v>
      </c>
      <c r="E152" s="154">
        <f>'[1]功能-行军令'!CU152</f>
        <v>18403.10842623622</v>
      </c>
      <c r="F152" s="154">
        <f>'[1]功能-行军令'!CV152</f>
        <v>14772.187707582154</v>
      </c>
      <c r="G152" s="154">
        <f>'[1]功能-行军令'!CW152</f>
        <v>7885.7203376531461</v>
      </c>
      <c r="I152" s="155">
        <f t="shared" si="11"/>
        <v>642.27688623418794</v>
      </c>
      <c r="J152" s="155">
        <f t="shared" si="12"/>
        <v>789.80781430166599</v>
      </c>
      <c r="K152" s="155">
        <f t="shared" si="13"/>
        <v>851.99576047389917</v>
      </c>
      <c r="L152" s="155">
        <f t="shared" si="14"/>
        <v>683.89757905472936</v>
      </c>
      <c r="M152" s="155">
        <f t="shared" si="15"/>
        <v>365.07964526171969</v>
      </c>
    </row>
    <row r="153" spans="2:13" x14ac:dyDescent="0.15">
      <c r="B153" s="153">
        <v>149</v>
      </c>
      <c r="C153" s="154">
        <f>'[1]功能-行军令'!CS153</f>
        <v>14869.997882549782</v>
      </c>
      <c r="D153" s="154">
        <f>'[1]功能-行军令'!CT153</f>
        <v>18290.011979615861</v>
      </c>
      <c r="E153" s="154">
        <f>'[1]功能-行军令'!CU153</f>
        <v>19743.175218192202</v>
      </c>
      <c r="F153" s="154">
        <f>'[1]功能-行军令'!CV153</f>
        <v>15843.727260273881</v>
      </c>
      <c r="G153" s="154">
        <f>'[1]功能-行军令'!CW153</f>
        <v>8459.0918123101765</v>
      </c>
      <c r="I153" s="155">
        <f t="shared" si="11"/>
        <v>688.42582789582332</v>
      </c>
      <c r="J153" s="155">
        <f t="shared" si="12"/>
        <v>846.75981387110471</v>
      </c>
      <c r="K153" s="155">
        <f t="shared" si="13"/>
        <v>914.03588973112039</v>
      </c>
      <c r="L153" s="155">
        <f t="shared" si="14"/>
        <v>733.5058916793464</v>
      </c>
      <c r="M153" s="155">
        <f t="shared" si="15"/>
        <v>391.62462094028592</v>
      </c>
    </row>
    <row r="154" spans="2:13" x14ac:dyDescent="0.15">
      <c r="B154" s="153">
        <v>150</v>
      </c>
      <c r="C154" s="154">
        <f>'[1]功能-行军令'!CS154</f>
        <v>15938.360040086605</v>
      </c>
      <c r="D154" s="154">
        <f>'[1]功能-行军令'!CT154</f>
        <v>19604.132271282597</v>
      </c>
      <c r="E154" s="154">
        <f>'[1]功能-行军令'!CU154</f>
        <v>21164.911715020113</v>
      </c>
      <c r="F154" s="154">
        <f>'[1]功能-行军令'!CV154</f>
        <v>16992.892601046751</v>
      </c>
      <c r="G154" s="154">
        <f>'[1]功能-行军令'!CW154</f>
        <v>9099.0993065249313</v>
      </c>
      <c r="I154" s="155">
        <f t="shared" si="11"/>
        <v>737.88703889289843</v>
      </c>
      <c r="J154" s="155">
        <f t="shared" si="12"/>
        <v>907.59871626308313</v>
      </c>
      <c r="K154" s="155">
        <f t="shared" si="13"/>
        <v>979.85702384352396</v>
      </c>
      <c r="L154" s="155">
        <f t="shared" si="14"/>
        <v>786.70799078920152</v>
      </c>
      <c r="M154" s="155">
        <f t="shared" si="15"/>
        <v>421.25459752430237</v>
      </c>
    </row>
    <row r="155" spans="2:13" x14ac:dyDescent="0.15">
      <c r="B155" s="153">
        <v>151</v>
      </c>
      <c r="C155" s="154">
        <f>'[1]功能-行军令'!CS155</f>
        <v>17083.402248912578</v>
      </c>
      <c r="D155" s="154">
        <f>'[1]功能-行军令'!CT155</f>
        <v>21022.533036889588</v>
      </c>
      <c r="E155" s="154">
        <f>'[1]功能-行军令'!CU155</f>
        <v>22702.44750182944</v>
      </c>
      <c r="F155" s="154">
        <f>'[1]功能-行军令'!CV155</f>
        <v>18301.87652937022</v>
      </c>
      <c r="G155" s="154">
        <f>'[1]功能-行军令'!CW155</f>
        <v>9906.0331533142016</v>
      </c>
      <c r="I155" s="155">
        <f t="shared" si="11"/>
        <v>790.89825226447113</v>
      </c>
      <c r="J155" s="155">
        <f t="shared" si="12"/>
        <v>973.26541837451805</v>
      </c>
      <c r="K155" s="155">
        <f t="shared" si="13"/>
        <v>1051.0392361958075</v>
      </c>
      <c r="L155" s="155">
        <f t="shared" si="14"/>
        <v>847.30909858195457</v>
      </c>
      <c r="M155" s="155">
        <f t="shared" si="15"/>
        <v>458.61264598676865</v>
      </c>
    </row>
    <row r="156" spans="2:13" x14ac:dyDescent="0.15">
      <c r="B156" s="153">
        <v>152</v>
      </c>
      <c r="C156" s="154">
        <f>'[1]功能-行军令'!CS156</f>
        <v>18310.628101816234</v>
      </c>
      <c r="D156" s="154">
        <f>'[1]功能-行军令'!CT156</f>
        <v>22527.437595213058</v>
      </c>
      <c r="E156" s="154">
        <f>'[1]功能-行军令'!CU156</f>
        <v>24467.558851322385</v>
      </c>
      <c r="F156" s="154">
        <f>'[1]功能-行军令'!CV156</f>
        <v>19883.469038179504</v>
      </c>
      <c r="G156" s="154">
        <f>'[1]功能-行军令'!CW156</f>
        <v>15377.552182785515</v>
      </c>
      <c r="I156" s="155">
        <f t="shared" si="11"/>
        <v>847.71426397297375</v>
      </c>
      <c r="J156" s="155">
        <f t="shared" si="12"/>
        <v>1042.9369257043084</v>
      </c>
      <c r="K156" s="155">
        <f t="shared" si="13"/>
        <v>1132.7573542278883</v>
      </c>
      <c r="L156" s="155">
        <f t="shared" si="14"/>
        <v>920.53097398979196</v>
      </c>
      <c r="M156" s="155">
        <f t="shared" si="15"/>
        <v>711.92371216599611</v>
      </c>
    </row>
    <row r="157" spans="2:13" x14ac:dyDescent="0.15">
      <c r="B157" s="153">
        <v>153</v>
      </c>
      <c r="C157" s="154">
        <f>'[1]功能-行军令'!CS157</f>
        <v>19625.93620349684</v>
      </c>
      <c r="D157" s="154">
        <f>'[1]功能-行军令'!CT157</f>
        <v>24325.916907473576</v>
      </c>
      <c r="E157" s="154">
        <f>'[1]功能-行军令'!CU157</f>
        <v>26516.632536223369</v>
      </c>
      <c r="F157" s="154">
        <f>'[1]功能-行军令'!CV157</f>
        <v>26369.332122188393</v>
      </c>
      <c r="G157" s="154">
        <f>'[1]功能-行军令'!CW157</f>
        <v>26377.026368847375</v>
      </c>
      <c r="I157" s="155">
        <f t="shared" si="11"/>
        <v>908.60815756929821</v>
      </c>
      <c r="J157" s="155">
        <f t="shared" si="12"/>
        <v>1126.1998568274805</v>
      </c>
      <c r="K157" s="155">
        <f t="shared" si="13"/>
        <v>1227.6218766770078</v>
      </c>
      <c r="L157" s="155">
        <f t="shared" si="14"/>
        <v>1220.8024130642775</v>
      </c>
      <c r="M157" s="155">
        <f t="shared" si="15"/>
        <v>1221.1586281873786</v>
      </c>
    </row>
    <row r="158" spans="2:13" x14ac:dyDescent="0.15">
      <c r="B158" s="153">
        <v>154</v>
      </c>
      <c r="C158" s="154">
        <f>'[1]功能-行军令'!CS158</f>
        <v>21035.64852193707</v>
      </c>
      <c r="D158" s="154">
        <f>'[1]功能-行军令'!CT158</f>
        <v>26195.896560821984</v>
      </c>
      <c r="E158" s="154">
        <f>'[1]功能-行军令'!CU158</f>
        <v>32668.965190713971</v>
      </c>
      <c r="F158" s="154">
        <f>'[1]功能-行军令'!CV158</f>
        <v>37218.805804222742</v>
      </c>
      <c r="G158" s="154">
        <f>'[1]功能-行军令'!CW158</f>
        <v>37226.500050881725</v>
      </c>
      <c r="I158" s="155">
        <f t="shared" si="11"/>
        <v>973.87261675634591</v>
      </c>
      <c r="J158" s="155">
        <f t="shared" si="12"/>
        <v>1212.7729889269438</v>
      </c>
      <c r="K158" s="155">
        <f t="shared" si="13"/>
        <v>1512.4520921626838</v>
      </c>
      <c r="L158" s="155">
        <f t="shared" si="14"/>
        <v>1723.0928613066083</v>
      </c>
      <c r="M158" s="155">
        <f t="shared" si="15"/>
        <v>1723.4490764297095</v>
      </c>
    </row>
    <row r="159" spans="2:13" x14ac:dyDescent="0.15">
      <c r="B159" s="153">
        <v>155</v>
      </c>
      <c r="C159" s="154">
        <f>'[1]功能-行军令'!CS159</f>
        <v>22546.540774651861</v>
      </c>
      <c r="D159" s="154">
        <f>'[1]功能-行军令'!CT159</f>
        <v>31238.674071834346</v>
      </c>
      <c r="E159" s="154">
        <f>'[1]功能-行军令'!CU159</f>
        <v>42745.552484549109</v>
      </c>
      <c r="F159" s="154">
        <f>'[1]功能-行军令'!CV159</f>
        <v>48388.50131830918</v>
      </c>
      <c r="G159" s="154">
        <f>'[1]功能-行军令'!CW159</f>
        <v>48547.74833252409</v>
      </c>
      <c r="I159" s="155">
        <f t="shared" si="11"/>
        <v>1043.8213321598084</v>
      </c>
      <c r="J159" s="155">
        <f t="shared" si="12"/>
        <v>1446.2349107330717</v>
      </c>
      <c r="K159" s="155">
        <f t="shared" si="13"/>
        <v>1978.9607631735698</v>
      </c>
      <c r="L159" s="155">
        <f t="shared" si="14"/>
        <v>2240.208394366166</v>
      </c>
      <c r="M159" s="155">
        <f t="shared" si="15"/>
        <v>2247.5809413205598</v>
      </c>
    </row>
    <row r="160" spans="2:13" x14ac:dyDescent="0.15">
      <c r="B160" s="153">
        <v>156</v>
      </c>
      <c r="C160" s="154">
        <f>'[1]功能-行军令'!CS160</f>
        <v>24165.874995863207</v>
      </c>
      <c r="D160" s="154">
        <f>'[1]功能-行军令'!CT160</f>
        <v>35200.884224259986</v>
      </c>
      <c r="E160" s="154">
        <f>'[1]功能-行军令'!CU160</f>
        <v>48292.992585740911</v>
      </c>
      <c r="F160" s="154">
        <f>'[1]功能-行军令'!CV160</f>
        <v>54667.471982295494</v>
      </c>
      <c r="G160" s="154">
        <f>'[1]功能-行军令'!CW160</f>
        <v>54837.596698126814</v>
      </c>
      <c r="I160" s="155">
        <f t="shared" si="11"/>
        <v>1118.7905090677411</v>
      </c>
      <c r="J160" s="155">
        <f t="shared" si="12"/>
        <v>1629.6705659379625</v>
      </c>
      <c r="K160" s="155">
        <f t="shared" si="13"/>
        <v>2235.7866937843014</v>
      </c>
      <c r="L160" s="155">
        <f t="shared" si="14"/>
        <v>2530.9014806618284</v>
      </c>
      <c r="M160" s="155">
        <f t="shared" si="15"/>
        <v>2538.7776249132789</v>
      </c>
    </row>
    <row r="161" spans="2:13" x14ac:dyDescent="0.15">
      <c r="B161" s="153">
        <v>157</v>
      </c>
      <c r="C161" s="154">
        <f>'[1]功能-行军令'!CS161</f>
        <v>25901.434441134395</v>
      </c>
      <c r="D161" s="154">
        <f>'[1]功能-行军令'!CT161</f>
        <v>37728.764285850637</v>
      </c>
      <c r="E161" s="154">
        <f>'[1]功能-行军令'!CU161</f>
        <v>51760.715816499076</v>
      </c>
      <c r="F161" s="154">
        <f>'[1]功能-行军令'!CV161</f>
        <v>58592.477397329458</v>
      </c>
      <c r="G161" s="154">
        <f>'[1]功能-行军令'!CW161</f>
        <v>58600.171643988455</v>
      </c>
      <c r="I161" s="155">
        <f t="shared" si="11"/>
        <v>1199.1404833858517</v>
      </c>
      <c r="J161" s="155">
        <f t="shared" si="12"/>
        <v>1746.7020502708629</v>
      </c>
      <c r="K161" s="155">
        <f t="shared" si="13"/>
        <v>2396.3294359490314</v>
      </c>
      <c r="L161" s="155">
        <f t="shared" si="14"/>
        <v>2712.6146943208082</v>
      </c>
      <c r="M161" s="155">
        <f t="shared" si="15"/>
        <v>2712.9709094439099</v>
      </c>
    </row>
    <row r="162" spans="2:13" x14ac:dyDescent="0.15">
      <c r="B162" s="153">
        <v>158</v>
      </c>
      <c r="C162" s="154">
        <f>'[1]功能-行军令'!CS162</f>
        <v>27761.560997230321</v>
      </c>
      <c r="D162" s="154">
        <f>'[1]功能-行军令'!CT162</f>
        <v>40438.07905233818</v>
      </c>
      <c r="E162" s="154">
        <f>'[1]功能-行军令'!CU162</f>
        <v>55477.329550646384</v>
      </c>
      <c r="F162" s="154">
        <f>'[1]功能-行军令'!CV162</f>
        <v>62799.19404147422</v>
      </c>
      <c r="G162" s="154">
        <f>'[1]功能-行军令'!CW162</f>
        <v>62806.888288133217</v>
      </c>
      <c r="I162" s="155">
        <f t="shared" si="11"/>
        <v>1285.2574535754779</v>
      </c>
      <c r="J162" s="155">
        <f t="shared" si="12"/>
        <v>1872.133289460101</v>
      </c>
      <c r="K162" s="155">
        <f t="shared" si="13"/>
        <v>2568.3948866039996</v>
      </c>
      <c r="L162" s="155">
        <f t="shared" si="14"/>
        <v>2907.3700945126952</v>
      </c>
      <c r="M162" s="155">
        <f t="shared" si="15"/>
        <v>2907.726309635797</v>
      </c>
    </row>
    <row r="163" spans="2:13" x14ac:dyDescent="0.15">
      <c r="B163" s="153">
        <v>159</v>
      </c>
      <c r="C163" s="154">
        <f>'[1]功能-行军令'!CS163</f>
        <v>29755.195277012961</v>
      </c>
      <c r="D163" s="154">
        <f>'[1]功能-行军令'!CT163</f>
        <v>43341.850720717244</v>
      </c>
      <c r="E163" s="154">
        <f>'[1]功能-行军令'!CU163</f>
        <v>59460.697521403396</v>
      </c>
      <c r="F163" s="154">
        <f>'[1]功能-行军令'!CV163</f>
        <v>67307.841305078298</v>
      </c>
      <c r="G163" s="154">
        <f>'[1]功能-行军令'!CW163</f>
        <v>67315.535551737295</v>
      </c>
      <c r="I163" s="155">
        <f t="shared" si="11"/>
        <v>1377.5553368987482</v>
      </c>
      <c r="J163" s="155">
        <f t="shared" si="12"/>
        <v>2006.5671629961689</v>
      </c>
      <c r="K163" s="155">
        <f t="shared" si="13"/>
        <v>2752.8100704353424</v>
      </c>
      <c r="L163" s="155">
        <f t="shared" si="14"/>
        <v>3116.1037641239959</v>
      </c>
      <c r="M163" s="155">
        <f t="shared" si="15"/>
        <v>3116.4599792470976</v>
      </c>
    </row>
    <row r="164" spans="2:13" x14ac:dyDescent="0.15">
      <c r="B164" s="153">
        <v>160</v>
      </c>
      <c r="C164" s="154">
        <f>'[1]功能-行军令'!CS164</f>
        <v>31891.919592086608</v>
      </c>
      <c r="D164" s="154">
        <f>'[1]功能-行军令'!CT164</f>
        <v>46454.0361361506</v>
      </c>
      <c r="E164" s="154">
        <f>'[1]功能-行军令'!CU164</f>
        <v>63729.965603977733</v>
      </c>
      <c r="F164" s="154">
        <f>'[1]功能-行军令'!CV164</f>
        <v>72140.089794145955</v>
      </c>
      <c r="G164" s="154">
        <f>'[1]功能-行军令'!CW164</f>
        <v>72147.784040804952</v>
      </c>
      <c r="I164" s="155">
        <f t="shared" si="11"/>
        <v>1476.4777588928985</v>
      </c>
      <c r="J164" s="155">
        <f t="shared" si="12"/>
        <v>2150.6498211180833</v>
      </c>
      <c r="K164" s="155">
        <f t="shared" si="13"/>
        <v>2950.4613705545248</v>
      </c>
      <c r="L164" s="155">
        <f t="shared" si="14"/>
        <v>3339.8189719512015</v>
      </c>
      <c r="M164" s="155">
        <f t="shared" si="15"/>
        <v>3340.1751870743033</v>
      </c>
    </row>
  </sheetData>
  <mergeCells count="2">
    <mergeCell ref="C3:G3"/>
    <mergeCell ref="I3:M3"/>
  </mergeCells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">
    <tabColor theme="0" tint="-0.499984740745262"/>
  </sheetPr>
  <dimension ref="B1:AH51"/>
  <sheetViews>
    <sheetView workbookViewId="0">
      <selection activeCell="E25" sqref="E25"/>
    </sheetView>
  </sheetViews>
  <sheetFormatPr defaultColWidth="6.625" defaultRowHeight="11.25" x14ac:dyDescent="0.15"/>
  <cols>
    <col min="1" max="2" width="6.625" style="25"/>
    <col min="3" max="5" width="6.625" style="25" customWidth="1"/>
    <col min="6" max="7" width="8.25" style="25" bestFit="1" customWidth="1"/>
    <col min="8" max="8" width="6.625" style="25"/>
    <col min="9" max="9" width="6.625" style="103" customWidth="1"/>
    <col min="10" max="15" width="6.625" style="25" customWidth="1"/>
    <col min="16" max="16" width="29.625" style="25" bestFit="1" customWidth="1"/>
    <col min="17" max="32" width="6.625" style="25" customWidth="1"/>
    <col min="33" max="33" width="6.625" style="25"/>
    <col min="34" max="34" width="6.625" style="103" customWidth="1"/>
    <col min="35" max="16384" width="6.625" style="25"/>
  </cols>
  <sheetData>
    <row r="1" spans="2:32" x14ac:dyDescent="0.15">
      <c r="K1" s="25" t="s">
        <v>347</v>
      </c>
    </row>
    <row r="3" spans="2:32" x14ac:dyDescent="0.15">
      <c r="J3" s="36"/>
      <c r="K3" s="36"/>
      <c r="Q3" s="186" t="s">
        <v>346</v>
      </c>
      <c r="R3" s="186"/>
      <c r="S3" s="186"/>
      <c r="T3" s="186"/>
      <c r="U3" s="186"/>
      <c r="V3" s="186"/>
      <c r="W3" s="186"/>
      <c r="X3" s="186"/>
      <c r="Y3" s="186" t="s">
        <v>345</v>
      </c>
      <c r="Z3" s="186"/>
      <c r="AA3" s="186"/>
      <c r="AB3" s="186"/>
      <c r="AC3" s="186"/>
      <c r="AD3" s="186"/>
      <c r="AE3" s="186"/>
      <c r="AF3" s="186"/>
    </row>
    <row r="4" spans="2:32" x14ac:dyDescent="0.15">
      <c r="B4" s="186" t="s">
        <v>344</v>
      </c>
      <c r="C4" s="186"/>
      <c r="D4" s="186"/>
      <c r="E4" s="102" t="s">
        <v>343</v>
      </c>
      <c r="F4" s="102" t="s">
        <v>338</v>
      </c>
      <c r="G4" s="102" t="s">
        <v>342</v>
      </c>
      <c r="J4" s="36"/>
      <c r="K4" s="36" t="s">
        <v>341</v>
      </c>
      <c r="L4" s="102" t="s">
        <v>340</v>
      </c>
      <c r="M4" s="102" t="s">
        <v>339</v>
      </c>
      <c r="N4" s="102" t="s">
        <v>338</v>
      </c>
      <c r="O4" s="102" t="s">
        <v>337</v>
      </c>
      <c r="P4" s="102" t="s">
        <v>336</v>
      </c>
      <c r="Q4" s="102" t="s">
        <v>335</v>
      </c>
      <c r="R4" s="102" t="s">
        <v>334</v>
      </c>
      <c r="S4" s="102" t="s">
        <v>333</v>
      </c>
      <c r="T4" s="102" t="s">
        <v>332</v>
      </c>
      <c r="U4" s="102" t="s">
        <v>331</v>
      </c>
      <c r="V4" s="102" t="s">
        <v>330</v>
      </c>
      <c r="W4" s="102" t="s">
        <v>329</v>
      </c>
      <c r="X4" s="102" t="s">
        <v>328</v>
      </c>
      <c r="Y4" s="102" t="s">
        <v>327</v>
      </c>
      <c r="Z4" s="102" t="s">
        <v>326</v>
      </c>
      <c r="AA4" s="102" t="s">
        <v>325</v>
      </c>
      <c r="AB4" s="102" t="s">
        <v>324</v>
      </c>
      <c r="AC4" s="102" t="s">
        <v>323</v>
      </c>
      <c r="AD4" s="102" t="s">
        <v>322</v>
      </c>
      <c r="AE4" s="102" t="s">
        <v>321</v>
      </c>
      <c r="AF4" s="102" t="s">
        <v>320</v>
      </c>
    </row>
    <row r="5" spans="2:32" x14ac:dyDescent="0.15">
      <c r="B5" s="102" t="s">
        <v>319</v>
      </c>
      <c r="C5" s="102">
        <v>1</v>
      </c>
      <c r="D5" s="102">
        <v>10</v>
      </c>
      <c r="E5" s="102">
        <f>INDEX([2]非r将兵属性验证!$T$7:$ST$106,$D5,1)+INDEX([2]非r将兵属性验证!$AJ$7:$AJ$106,$D5,1)</f>
        <v>0.1102855316021531</v>
      </c>
      <c r="F5" s="102">
        <f>INDEX([2]非r将兵属性验证!AK$7:AK$106,$D5,1)</f>
        <v>0.05</v>
      </c>
      <c r="G5" s="102">
        <f>INDEX([2]非r将兵属性验证!AL$7:AL$106,$D5,1)</f>
        <v>0.05</v>
      </c>
      <c r="J5" s="36"/>
      <c r="K5" s="36">
        <v>45001</v>
      </c>
      <c r="L5" s="102">
        <v>1</v>
      </c>
      <c r="M5" s="104">
        <f t="shared" ref="M5:M35" si="0">INDEX(E$5:E$9,MATCH($L5,$C$5:$C$9,0),1)</f>
        <v>0.1102855316021531</v>
      </c>
      <c r="N5" s="104">
        <f t="shared" ref="N5:N35" si="1">INDEX(F$5:F$9,MATCH($L5,$C$5:$C$9,0),1)</f>
        <v>0.05</v>
      </c>
      <c r="O5" s="104">
        <f t="shared" ref="O5:O35" si="2">INDEX(G$5:G$9,MATCH($L5,$C$5:$C$9,0),1)</f>
        <v>0.05</v>
      </c>
      <c r="P5" s="58" t="s">
        <v>312</v>
      </c>
      <c r="Q5" s="102">
        <v>1</v>
      </c>
      <c r="R5" s="102"/>
      <c r="S5" s="102"/>
      <c r="T5" s="102"/>
      <c r="U5" s="102"/>
      <c r="V5" s="102"/>
      <c r="W5" s="102"/>
      <c r="X5" s="102"/>
      <c r="Y5" s="104">
        <f>IF($P5="","",IF(Q5="","",IF(SUM($W5:$X5)&gt;0,INDEX(装备强化!$D$4:$H$4,1,$L5)*3/SUM($Q5:$S5)*(1-$B$14),INDEX(装备强化!$D$4:$H$4,1,$L5)*3/SUM($Q5:$S5))))</f>
        <v>12</v>
      </c>
      <c r="Z5" s="104" t="str">
        <f>IF($P5="","",IF(R5="","",IF(SUM($W5:$X5)&gt;0,INDEX(装备强化!$D$4:$H$4,1,$L5)*3/SUM($Q5:$S5)*(1-$B$14),INDEX(装备强化!$D$4:$H$4,1,$L5)*3/SUM($Q5:$S5))))</f>
        <v/>
      </c>
      <c r="AA5" s="104" t="str">
        <f>IF($P5="","",IF(S5="","",IF(SUM($W5:$X5)&gt;0,INDEX(装备强化!$D$4:$H$4,1,$L5)*3/SUM($Q5:$S5)*(1-$B$14),INDEX(装备强化!$D$4:$H$4,1,$L5)*3/SUM($Q5:$S5))))</f>
        <v/>
      </c>
      <c r="AB5" s="102"/>
      <c r="AC5" s="102"/>
      <c r="AD5" s="102"/>
      <c r="AE5" s="105" t="str">
        <f t="shared" ref="AE5:AE35" si="3">IF(W5="","",ROUND(SUM($Y5:$AA5)/(1-$B$14)*$M5*$B$14/SUM($W5:$X5)/N5,0))</f>
        <v/>
      </c>
      <c r="AF5" s="105" t="str">
        <f t="shared" ref="AF5:AF35" si="4">IF(X5="","",ROUND(SUM($Y5:$AA5)/(1-$B$14)*$M5*$B$14/SUM($W5:$X5)/O5,0))</f>
        <v/>
      </c>
    </row>
    <row r="6" spans="2:32" x14ac:dyDescent="0.15">
      <c r="B6" s="102" t="s">
        <v>318</v>
      </c>
      <c r="C6" s="102">
        <v>2</v>
      </c>
      <c r="D6" s="102">
        <v>30</v>
      </c>
      <c r="E6" s="102">
        <f>INDEX([2]非r将兵属性验证!$T$7:$ST$106,$D6,1)+INDEX([2]非r将兵属性验证!$AJ$7:$AJ$106,$D6,1)</f>
        <v>0.54211505431069174</v>
      </c>
      <c r="F6" s="102">
        <f>INDEX([2]非r将兵属性验证!AK$7:AK$106,$D6,1)</f>
        <v>5.844614110135362E-2</v>
      </c>
      <c r="G6" s="102">
        <f>INDEX([2]非r将兵属性验证!AL$7:AL$106,$D6,1)</f>
        <v>5.844614110135362E-2</v>
      </c>
      <c r="J6" s="36"/>
      <c r="K6" s="36">
        <v>45201</v>
      </c>
      <c r="L6" s="102">
        <v>2</v>
      </c>
      <c r="M6" s="104">
        <f t="shared" si="0"/>
        <v>0.54211505431069174</v>
      </c>
      <c r="N6" s="104">
        <f t="shared" si="1"/>
        <v>5.844614110135362E-2</v>
      </c>
      <c r="O6" s="104">
        <f t="shared" si="2"/>
        <v>5.844614110135362E-2</v>
      </c>
      <c r="P6" s="58" t="s">
        <v>313</v>
      </c>
      <c r="Q6" s="102"/>
      <c r="R6" s="102">
        <v>1</v>
      </c>
      <c r="S6" s="102"/>
      <c r="T6" s="102"/>
      <c r="U6" s="102"/>
      <c r="V6" s="102"/>
      <c r="W6" s="102"/>
      <c r="X6" s="102"/>
      <c r="Y6" s="104" t="str">
        <f>IF($P6="","",IF(Q6="","",IF(SUM($W6:$X6)&gt;0,INDEX(装备强化!$D$4:$H$4,1,$L6)*3/SUM($Q6:$S6)*(1-$B$14),INDEX(装备强化!$D$4:$H$4,1,$L6)*3/SUM($Q6:$S6))))</f>
        <v/>
      </c>
      <c r="Z6" s="104">
        <f>IF($P6="","",IF(R6="","",IF(SUM($W6:$X6)&gt;0,INDEX(装备强化!$D$4:$H$4,1,$L6)*3/SUM($Q6:$S6)*(1-$B$14),INDEX(装备强化!$D$4:$H$4,1,$L6)*3/SUM($Q6:$S6))))</f>
        <v>24</v>
      </c>
      <c r="AA6" s="104" t="str">
        <f>IF($P6="","",IF(S6="","",IF(SUM($W6:$X6)&gt;0,INDEX(装备强化!$D$4:$H$4,1,$L6)*3/SUM($Q6:$S6)*(1-$B$14),INDEX(装备强化!$D$4:$H$4,1,$L6)*3/SUM($Q6:$S6))))</f>
        <v/>
      </c>
      <c r="AB6" s="102"/>
      <c r="AC6" s="102"/>
      <c r="AD6" s="102"/>
      <c r="AE6" s="105" t="str">
        <f t="shared" si="3"/>
        <v/>
      </c>
      <c r="AF6" s="105" t="str">
        <f t="shared" si="4"/>
        <v/>
      </c>
    </row>
    <row r="7" spans="2:32" x14ac:dyDescent="0.15">
      <c r="B7" s="102" t="s">
        <v>317</v>
      </c>
      <c r="C7" s="102">
        <v>3</v>
      </c>
      <c r="D7" s="102">
        <v>40</v>
      </c>
      <c r="E7" s="102">
        <f>INDEX([2]非r将兵属性验证!$T$7:$ST$106,$D7,1)+INDEX([2]非r将兵属性验证!$AJ$7:$AJ$106,$D7,1)</f>
        <v>0.91806464776014762</v>
      </c>
      <c r="F7" s="102">
        <f>INDEX([2]非r将兵属性验证!AK$7:AK$106,$D7,1)</f>
        <v>8.1453631596761403E-2</v>
      </c>
      <c r="G7" s="102">
        <f>INDEX([2]非r将兵属性验证!AL$7:AL$106,$D7,1)</f>
        <v>8.1453631596761403E-2</v>
      </c>
      <c r="J7" s="36"/>
      <c r="K7" s="36">
        <v>45202</v>
      </c>
      <c r="L7" s="102">
        <v>2</v>
      </c>
      <c r="M7" s="104">
        <f t="shared" si="0"/>
        <v>0.54211505431069174</v>
      </c>
      <c r="N7" s="104">
        <f t="shared" si="1"/>
        <v>5.844614110135362E-2</v>
      </c>
      <c r="O7" s="104">
        <f t="shared" si="2"/>
        <v>5.844614110135362E-2</v>
      </c>
      <c r="P7" s="58" t="s">
        <v>312</v>
      </c>
      <c r="Q7" s="102">
        <v>1</v>
      </c>
      <c r="R7" s="102"/>
      <c r="S7" s="102"/>
      <c r="T7" s="102"/>
      <c r="U7" s="102"/>
      <c r="V7" s="102"/>
      <c r="W7" s="102"/>
      <c r="X7" s="102"/>
      <c r="Y7" s="104">
        <f>IF($P7="","",IF(Q7="","",IF(SUM($W7:$X7)&gt;0,INDEX(装备强化!$D$4:$H$4,1,$L7)*3/SUM($Q7:$S7)*(1-$B$14),INDEX(装备强化!$D$4:$H$4,1,$L7)*3/SUM($Q7:$S7))))</f>
        <v>24</v>
      </c>
      <c r="Z7" s="104" t="str">
        <f>IF($P7="","",IF(R7="","",IF(SUM($W7:$X7)&gt;0,INDEX(装备强化!$D$4:$H$4,1,$L7)*3/SUM($Q7:$S7)*(1-$B$14),INDEX(装备强化!$D$4:$H$4,1,$L7)*3/SUM($Q7:$S7))))</f>
        <v/>
      </c>
      <c r="AA7" s="104" t="str">
        <f>IF($P7="","",IF(S7="","",IF(SUM($W7:$X7)&gt;0,INDEX(装备强化!$D$4:$H$4,1,$L7)*3/SUM($Q7:$S7)*(1-$B$14),INDEX(装备强化!$D$4:$H$4,1,$L7)*3/SUM($Q7:$S7))))</f>
        <v/>
      </c>
      <c r="AB7" s="102"/>
      <c r="AC7" s="102"/>
      <c r="AD7" s="102"/>
      <c r="AE7" s="105" t="str">
        <f t="shared" si="3"/>
        <v/>
      </c>
      <c r="AF7" s="105" t="str">
        <f t="shared" si="4"/>
        <v/>
      </c>
    </row>
    <row r="8" spans="2:32" x14ac:dyDescent="0.15">
      <c r="B8" s="102" t="s">
        <v>316</v>
      </c>
      <c r="C8" s="102">
        <v>4</v>
      </c>
      <c r="D8" s="102">
        <v>60</v>
      </c>
      <c r="E8" s="102">
        <f>INDEX([2]非r将兵属性验证!$T$7:$ST$106,$D8,1)+INDEX([2]非r将兵属性验证!$AJ$7:$AJ$106,$D8,1)</f>
        <v>1.1826358309940741</v>
      </c>
      <c r="F8" s="102">
        <f>INDEX([2]非r将兵属性验证!AK$7:AK$106,$D8,1)</f>
        <v>0.10345998494127398</v>
      </c>
      <c r="G8" s="102">
        <f>INDEX([2]非r将兵属性验证!AL$7:AL$106,$D8,1)</f>
        <v>0.10345998494127398</v>
      </c>
      <c r="J8" s="36"/>
      <c r="K8" s="36">
        <v>45203</v>
      </c>
      <c r="L8" s="102">
        <v>2</v>
      </c>
      <c r="M8" s="104">
        <f t="shared" si="0"/>
        <v>0.54211505431069174</v>
      </c>
      <c r="N8" s="104">
        <f t="shared" si="1"/>
        <v>5.844614110135362E-2</v>
      </c>
      <c r="O8" s="104">
        <f t="shared" si="2"/>
        <v>5.844614110135362E-2</v>
      </c>
      <c r="P8" s="58" t="s">
        <v>311</v>
      </c>
      <c r="Q8" s="102"/>
      <c r="R8" s="102"/>
      <c r="S8" s="102">
        <v>1</v>
      </c>
      <c r="T8" s="102"/>
      <c r="U8" s="102"/>
      <c r="V8" s="102"/>
      <c r="W8" s="102"/>
      <c r="X8" s="102"/>
      <c r="Y8" s="104" t="str">
        <f>IF($P8="","",IF(Q8="","",IF(SUM($W8:$X8)&gt;0,INDEX(装备强化!$D$4:$H$4,1,$L8)*3/SUM($Q8:$S8)*(1-$B$14),INDEX(装备强化!$D$4:$H$4,1,$L8)*3/SUM($Q8:$S8))))</f>
        <v/>
      </c>
      <c r="Z8" s="104" t="str">
        <f>IF($P8="","",IF(R8="","",IF(SUM($W8:$X8)&gt;0,INDEX(装备强化!$D$4:$H$4,1,$L8)*3/SUM($Q8:$S8)*(1-$B$14),INDEX(装备强化!$D$4:$H$4,1,$L8)*3/SUM($Q8:$S8))))</f>
        <v/>
      </c>
      <c r="AA8" s="104">
        <f>IF($P8="","",IF(S8="","",IF(SUM($W8:$X8)&gt;0,INDEX(装备强化!$D$4:$H$4,1,$L8)*3/SUM($Q8:$S8)*(1-$B$14),INDEX(装备强化!$D$4:$H$4,1,$L8)*3/SUM($Q8:$S8))))</f>
        <v>24</v>
      </c>
      <c r="AB8" s="102"/>
      <c r="AC8" s="102"/>
      <c r="AD8" s="102"/>
      <c r="AE8" s="105" t="str">
        <f t="shared" si="3"/>
        <v/>
      </c>
      <c r="AF8" s="105" t="str">
        <f t="shared" si="4"/>
        <v/>
      </c>
    </row>
    <row r="9" spans="2:32" x14ac:dyDescent="0.15">
      <c r="B9" s="102" t="s">
        <v>315</v>
      </c>
      <c r="C9" s="102">
        <v>5</v>
      </c>
      <c r="D9" s="102">
        <v>80</v>
      </c>
      <c r="E9" s="102">
        <f>INDEX([2]非r将兵属性验证!$T$7:$ST$106,$D9,1)+INDEX([2]非r将兵属性验证!$AJ$7:$AJ$106,$D9,1)</f>
        <v>1.5560745719370601</v>
      </c>
      <c r="F9" s="102">
        <f>INDEX([2]非r将兵属性验证!AK$7:AK$106,$D9,1)</f>
        <v>0.12837590524908224</v>
      </c>
      <c r="G9" s="102">
        <f>INDEX([2]非r将兵属性验证!AL$7:AL$106,$D9,1)</f>
        <v>0.12837590524908224</v>
      </c>
      <c r="J9" s="36"/>
      <c r="K9" s="36">
        <v>45401</v>
      </c>
      <c r="L9" s="102">
        <v>3</v>
      </c>
      <c r="M9" s="104">
        <f t="shared" si="0"/>
        <v>0.91806464776014762</v>
      </c>
      <c r="N9" s="104">
        <f t="shared" si="1"/>
        <v>8.1453631596761403E-2</v>
      </c>
      <c r="O9" s="104">
        <f t="shared" si="2"/>
        <v>8.1453631596761403E-2</v>
      </c>
      <c r="P9" s="58" t="s">
        <v>308</v>
      </c>
      <c r="Q9" s="102">
        <v>1</v>
      </c>
      <c r="R9" s="102">
        <v>1</v>
      </c>
      <c r="S9" s="102"/>
      <c r="T9" s="102"/>
      <c r="U9" s="102"/>
      <c r="V9" s="102"/>
      <c r="W9" s="102"/>
      <c r="X9" s="102"/>
      <c r="Y9" s="104">
        <f>IF($P9="","",IF(Q9="","",IF(SUM($W9:$X9)&gt;0,INDEX(装备强化!$D$4:$H$4,1,$L9)*3/SUM($Q9:$S9)*(1-$B$14),INDEX(装备强化!$D$4:$H$4,1,$L9)*3/SUM($Q9:$S9))))</f>
        <v>27</v>
      </c>
      <c r="Z9" s="104">
        <f>IF($P9="","",IF(R9="","",IF(SUM($W9:$X9)&gt;0,INDEX(装备强化!$D$4:$H$4,1,$L9)*3/SUM($Q9:$S9)*(1-$B$14),INDEX(装备强化!$D$4:$H$4,1,$L9)*3/SUM($Q9:$S9))))</f>
        <v>27</v>
      </c>
      <c r="AA9" s="104" t="str">
        <f>IF($P9="","",IF(S9="","",IF(SUM($W9:$X9)&gt;0,INDEX(装备强化!$D$4:$H$4,1,$L9)*3/SUM($Q9:$S9)*(1-$B$14),INDEX(装备强化!$D$4:$H$4,1,$L9)*3/SUM($Q9:$S9))))</f>
        <v/>
      </c>
      <c r="AB9" s="102"/>
      <c r="AC9" s="102"/>
      <c r="AD9" s="102"/>
      <c r="AE9" s="105" t="str">
        <f t="shared" si="3"/>
        <v/>
      </c>
      <c r="AF9" s="105" t="str">
        <f t="shared" si="4"/>
        <v/>
      </c>
    </row>
    <row r="10" spans="2:32" x14ac:dyDescent="0.15">
      <c r="J10" s="36"/>
      <c r="K10" s="36">
        <v>45402</v>
      </c>
      <c r="L10" s="102">
        <v>3</v>
      </c>
      <c r="M10" s="104">
        <f t="shared" si="0"/>
        <v>0.91806464776014762</v>
      </c>
      <c r="N10" s="104">
        <f t="shared" si="1"/>
        <v>8.1453631596761403E-2</v>
      </c>
      <c r="O10" s="104">
        <f t="shared" si="2"/>
        <v>8.1453631596761403E-2</v>
      </c>
      <c r="P10" s="58" t="s">
        <v>307</v>
      </c>
      <c r="Q10" s="102"/>
      <c r="R10" s="102">
        <v>1</v>
      </c>
      <c r="S10" s="102">
        <v>1</v>
      </c>
      <c r="T10" s="102"/>
      <c r="U10" s="102"/>
      <c r="V10" s="102"/>
      <c r="W10" s="102"/>
      <c r="X10" s="102"/>
      <c r="Y10" s="104" t="str">
        <f>IF($P10="","",IF(Q10="","",IF(SUM($W10:$X10)&gt;0,INDEX(装备强化!$D$4:$H$4,1,$L10)*3/SUM($Q10:$S10)*(1-$B$14),INDEX(装备强化!$D$4:$H$4,1,$L10)*3/SUM($Q10:$S10))))</f>
        <v/>
      </c>
      <c r="Z10" s="104">
        <f>IF($P10="","",IF(R10="","",IF(SUM($W10:$X10)&gt;0,INDEX(装备强化!$D$4:$H$4,1,$L10)*3/SUM($Q10:$S10)*(1-$B$14),INDEX(装备强化!$D$4:$H$4,1,$L10)*3/SUM($Q10:$S10))))</f>
        <v>27</v>
      </c>
      <c r="AA10" s="104">
        <f>IF($P10="","",IF(S10="","",IF(SUM($W10:$X10)&gt;0,INDEX(装备强化!$D$4:$H$4,1,$L10)*3/SUM($Q10:$S10)*(1-$B$14),INDEX(装备强化!$D$4:$H$4,1,$L10)*3/SUM($Q10:$S10))))</f>
        <v>27</v>
      </c>
      <c r="AB10" s="102"/>
      <c r="AC10" s="102"/>
      <c r="AD10" s="102"/>
      <c r="AE10" s="105" t="str">
        <f t="shared" si="3"/>
        <v/>
      </c>
      <c r="AF10" s="105" t="str">
        <f t="shared" si="4"/>
        <v/>
      </c>
    </row>
    <row r="11" spans="2:32" x14ac:dyDescent="0.15">
      <c r="J11" s="36"/>
      <c r="K11" s="36">
        <v>45403</v>
      </c>
      <c r="L11" s="102">
        <v>3</v>
      </c>
      <c r="M11" s="104">
        <f t="shared" si="0"/>
        <v>0.91806464776014762</v>
      </c>
      <c r="N11" s="104">
        <f t="shared" si="1"/>
        <v>8.1453631596761403E-2</v>
      </c>
      <c r="O11" s="104">
        <f t="shared" si="2"/>
        <v>8.1453631596761403E-2</v>
      </c>
      <c r="P11" s="58" t="s">
        <v>306</v>
      </c>
      <c r="Q11" s="102">
        <v>1</v>
      </c>
      <c r="R11" s="102"/>
      <c r="S11" s="102">
        <v>1</v>
      </c>
      <c r="T11" s="102"/>
      <c r="U11" s="102"/>
      <c r="V11" s="102"/>
      <c r="W11" s="102"/>
      <c r="X11" s="102"/>
      <c r="Y11" s="104">
        <f>IF($P11="","",IF(Q11="","",IF(SUM($W11:$X11)&gt;0,INDEX(装备强化!$D$4:$H$4,1,$L11)*3/SUM($Q11:$S11)*(1-$B$14),INDEX(装备强化!$D$4:$H$4,1,$L11)*3/SUM($Q11:$S11))))</f>
        <v>27</v>
      </c>
      <c r="Z11" s="104" t="str">
        <f>IF($P11="","",IF(R11="","",IF(SUM($W11:$X11)&gt;0,INDEX(装备强化!$D$4:$H$4,1,$L11)*3/SUM($Q11:$S11)*(1-$B$14),INDEX(装备强化!$D$4:$H$4,1,$L11)*3/SUM($Q11:$S11))))</f>
        <v/>
      </c>
      <c r="AA11" s="104">
        <f>IF($P11="","",IF(S11="","",IF(SUM($W11:$X11)&gt;0,INDEX(装备强化!$D$4:$H$4,1,$L11)*3/SUM($Q11:$S11)*(1-$B$14),INDEX(装备强化!$D$4:$H$4,1,$L11)*3/SUM($Q11:$S11))))</f>
        <v>27</v>
      </c>
      <c r="AB11" s="102"/>
      <c r="AC11" s="102"/>
      <c r="AD11" s="102"/>
      <c r="AE11" s="105" t="str">
        <f t="shared" si="3"/>
        <v/>
      </c>
      <c r="AF11" s="105" t="str">
        <f t="shared" si="4"/>
        <v/>
      </c>
    </row>
    <row r="12" spans="2:32" x14ac:dyDescent="0.15">
      <c r="J12" s="36"/>
      <c r="K12" s="36">
        <v>45404</v>
      </c>
      <c r="L12" s="102">
        <v>3</v>
      </c>
      <c r="M12" s="104">
        <f t="shared" si="0"/>
        <v>0.91806464776014762</v>
      </c>
      <c r="N12" s="104">
        <f t="shared" si="1"/>
        <v>8.1453631596761403E-2</v>
      </c>
      <c r="O12" s="104">
        <f t="shared" si="2"/>
        <v>8.1453631596761403E-2</v>
      </c>
      <c r="P12" s="58" t="s">
        <v>313</v>
      </c>
      <c r="Q12" s="102"/>
      <c r="R12" s="102">
        <v>1</v>
      </c>
      <c r="S12" s="102"/>
      <c r="T12" s="102"/>
      <c r="U12" s="102"/>
      <c r="V12" s="102"/>
      <c r="W12" s="102"/>
      <c r="X12" s="102"/>
      <c r="Y12" s="104" t="str">
        <f>IF($P12="","",IF(Q12="","",IF(SUM($W12:$X12)&gt;0,INDEX(装备强化!$D$4:$H$4,1,$L12)*3/SUM($Q12:$S12)*(1-$B$14),INDEX(装备强化!$D$4:$H$4,1,$L12)*3/SUM($Q12:$S12))))</f>
        <v/>
      </c>
      <c r="Z12" s="104">
        <f>IF($P12="","",IF(R12="","",IF(SUM($W12:$X12)&gt;0,INDEX(装备强化!$D$4:$H$4,1,$L12)*3/SUM($Q12:$S12)*(1-$B$14),INDEX(装备强化!$D$4:$H$4,1,$L12)*3/SUM($Q12:$S12))))</f>
        <v>54</v>
      </c>
      <c r="AA12" s="104" t="str">
        <f>IF($P12="","",IF(S12="","",IF(SUM($W12:$X12)&gt;0,INDEX(装备强化!$D$4:$H$4,1,$L12)*3/SUM($Q12:$S12)*(1-$B$14),INDEX(装备强化!$D$4:$H$4,1,$L12)*3/SUM($Q12:$S12))))</f>
        <v/>
      </c>
      <c r="AB12" s="102"/>
      <c r="AC12" s="102"/>
      <c r="AD12" s="102"/>
      <c r="AE12" s="105" t="str">
        <f t="shared" si="3"/>
        <v/>
      </c>
      <c r="AF12" s="105" t="str">
        <f t="shared" si="4"/>
        <v/>
      </c>
    </row>
    <row r="13" spans="2:32" x14ac:dyDescent="0.15">
      <c r="B13" s="186" t="s">
        <v>314</v>
      </c>
      <c r="C13" s="186"/>
      <c r="J13" s="36"/>
      <c r="K13" s="36">
        <v>45405</v>
      </c>
      <c r="L13" s="102">
        <v>3</v>
      </c>
      <c r="M13" s="104">
        <f t="shared" si="0"/>
        <v>0.91806464776014762</v>
      </c>
      <c r="N13" s="104">
        <f t="shared" si="1"/>
        <v>8.1453631596761403E-2</v>
      </c>
      <c r="O13" s="104">
        <f t="shared" si="2"/>
        <v>8.1453631596761403E-2</v>
      </c>
      <c r="P13" s="58" t="s">
        <v>312</v>
      </c>
      <c r="Q13" s="102">
        <v>1</v>
      </c>
      <c r="R13" s="102"/>
      <c r="S13" s="102"/>
      <c r="T13" s="102"/>
      <c r="U13" s="102"/>
      <c r="V13" s="102"/>
      <c r="W13" s="102"/>
      <c r="X13" s="102"/>
      <c r="Y13" s="104">
        <f>IF($P13="","",IF(Q13="","",IF(SUM($W13:$X13)&gt;0,INDEX(装备强化!$D$4:$H$4,1,$L13)*3/SUM($Q13:$S13)*(1-$B$14),INDEX(装备强化!$D$4:$H$4,1,$L13)*3/SUM($Q13:$S13))))</f>
        <v>54</v>
      </c>
      <c r="Z13" s="104" t="str">
        <f>IF($P13="","",IF(R13="","",IF(SUM($W13:$X13)&gt;0,INDEX(装备强化!$D$4:$H$4,1,$L13)*3/SUM($Q13:$S13)*(1-$B$14),INDEX(装备强化!$D$4:$H$4,1,$L13)*3/SUM($Q13:$S13))))</f>
        <v/>
      </c>
      <c r="AA13" s="104" t="str">
        <f>IF($P13="","",IF(S13="","",IF(SUM($W13:$X13)&gt;0,INDEX(装备强化!$D$4:$H$4,1,$L13)*3/SUM($Q13:$S13)*(1-$B$14),INDEX(装备强化!$D$4:$H$4,1,$L13)*3/SUM($Q13:$S13))))</f>
        <v/>
      </c>
      <c r="AB13" s="102"/>
      <c r="AC13" s="102"/>
      <c r="AD13" s="102"/>
      <c r="AE13" s="105" t="str">
        <f t="shared" si="3"/>
        <v/>
      </c>
      <c r="AF13" s="105" t="str">
        <f t="shared" si="4"/>
        <v/>
      </c>
    </row>
    <row r="14" spans="2:32" x14ac:dyDescent="0.15">
      <c r="B14" s="186">
        <v>0.2</v>
      </c>
      <c r="C14" s="186"/>
      <c r="J14" s="36"/>
      <c r="K14" s="36">
        <v>45406</v>
      </c>
      <c r="L14" s="102">
        <v>3</v>
      </c>
      <c r="M14" s="104">
        <f t="shared" si="0"/>
        <v>0.91806464776014762</v>
      </c>
      <c r="N14" s="104">
        <f t="shared" si="1"/>
        <v>8.1453631596761403E-2</v>
      </c>
      <c r="O14" s="104">
        <f t="shared" si="2"/>
        <v>8.1453631596761403E-2</v>
      </c>
      <c r="P14" s="58" t="s">
        <v>311</v>
      </c>
      <c r="Q14" s="102"/>
      <c r="R14" s="102"/>
      <c r="S14" s="102">
        <v>1</v>
      </c>
      <c r="T14" s="102"/>
      <c r="U14" s="102"/>
      <c r="V14" s="102"/>
      <c r="W14" s="102"/>
      <c r="X14" s="102"/>
      <c r="Y14" s="104" t="str">
        <f>IF($P14="","",IF(Q14="","",IF(SUM($W14:$X14)&gt;0,INDEX(装备强化!$D$4:$H$4,1,$L14)*3/SUM($Q14:$S14)*(1-$B$14),INDEX(装备强化!$D$4:$H$4,1,$L14)*3/SUM($Q14:$S14))))</f>
        <v/>
      </c>
      <c r="Z14" s="104" t="str">
        <f>IF($P14="","",IF(R14="","",IF(SUM($W14:$X14)&gt;0,INDEX(装备强化!$D$4:$H$4,1,$L14)*3/SUM($Q14:$S14)*(1-$B$14),INDEX(装备强化!$D$4:$H$4,1,$L14)*3/SUM($Q14:$S14))))</f>
        <v/>
      </c>
      <c r="AA14" s="104">
        <f>IF($P14="","",IF(S14="","",IF(SUM($W14:$X14)&gt;0,INDEX(装备强化!$D$4:$H$4,1,$L14)*3/SUM($Q14:$S14)*(1-$B$14),INDEX(装备强化!$D$4:$H$4,1,$L14)*3/SUM($Q14:$S14))))</f>
        <v>54</v>
      </c>
      <c r="AB14" s="102"/>
      <c r="AC14" s="102"/>
      <c r="AD14" s="102"/>
      <c r="AE14" s="105" t="str">
        <f t="shared" si="3"/>
        <v/>
      </c>
      <c r="AF14" s="105" t="str">
        <f t="shared" si="4"/>
        <v/>
      </c>
    </row>
    <row r="15" spans="2:32" x14ac:dyDescent="0.15">
      <c r="J15" s="36"/>
      <c r="K15" s="36">
        <v>45407</v>
      </c>
      <c r="L15" s="102">
        <v>3</v>
      </c>
      <c r="M15" s="104">
        <f t="shared" si="0"/>
        <v>0.91806464776014762</v>
      </c>
      <c r="N15" s="104">
        <f t="shared" si="1"/>
        <v>8.1453631596761403E-2</v>
      </c>
      <c r="O15" s="104">
        <f t="shared" si="2"/>
        <v>8.1453631596761403E-2</v>
      </c>
      <c r="P15" s="58" t="s">
        <v>248</v>
      </c>
      <c r="Q15" s="102"/>
      <c r="R15" s="102"/>
      <c r="S15" s="102"/>
      <c r="T15" s="102">
        <v>1</v>
      </c>
      <c r="U15" s="102"/>
      <c r="V15" s="102"/>
      <c r="W15" s="102"/>
      <c r="X15" s="102"/>
      <c r="Y15" s="104" t="str">
        <f>IF($P15="","",IF(Q15="","",IF(SUM($W15:$X15)&gt;0,INDEX(装备强化!$D$4:$H$4,1,$L15)*3/SUM($Q15:$S15)*(1-$B$14),INDEX(装备强化!$D$4:$H$4,1,$L15)*3/SUM($Q15:$S15))))</f>
        <v/>
      </c>
      <c r="Z15" s="104" t="str">
        <f>IF($P15="","",IF(R15="","",IF(SUM($W15:$X15)&gt;0,INDEX(装备强化!$D$4:$H$4,1,$L15)*3/SUM($Q15:$S15)*(1-$B$14),INDEX(装备强化!$D$4:$H$4,1,$L15)*3/SUM($Q15:$S15))))</f>
        <v/>
      </c>
      <c r="AA15" s="104" t="str">
        <f>IF($P15="","",IF(S15="","",IF(SUM($W15:$X15)&gt;0,INDEX(装备强化!$D$4:$H$4,1,$L15)*3/SUM($Q15:$S15)*(1-$B$14),INDEX(装备强化!$D$4:$H$4,1,$L15)*3/SUM($Q15:$S15))))</f>
        <v/>
      </c>
      <c r="AB15" s="102">
        <v>10</v>
      </c>
      <c r="AC15" s="102"/>
      <c r="AD15" s="102"/>
      <c r="AE15" s="105" t="str">
        <f t="shared" si="3"/>
        <v/>
      </c>
      <c r="AF15" s="105" t="str">
        <f t="shared" si="4"/>
        <v/>
      </c>
    </row>
    <row r="16" spans="2:32" x14ac:dyDescent="0.15">
      <c r="J16" s="36"/>
      <c r="K16" s="36">
        <v>45601</v>
      </c>
      <c r="L16" s="102">
        <v>4</v>
      </c>
      <c r="M16" s="104">
        <f t="shared" si="0"/>
        <v>1.1826358309940741</v>
      </c>
      <c r="N16" s="104">
        <f t="shared" si="1"/>
        <v>0.10345998494127398</v>
      </c>
      <c r="O16" s="104">
        <f t="shared" si="2"/>
        <v>0.10345998494127398</v>
      </c>
      <c r="P16" s="58" t="s">
        <v>308</v>
      </c>
      <c r="Q16" s="102">
        <v>1</v>
      </c>
      <c r="R16" s="102">
        <v>1</v>
      </c>
      <c r="S16" s="102"/>
      <c r="T16" s="102"/>
      <c r="U16" s="102"/>
      <c r="V16" s="102"/>
      <c r="W16" s="102"/>
      <c r="X16" s="102"/>
      <c r="Y16" s="104">
        <f>IF($P16="","",IF(Q16="","",IF(SUM($W16:$X16)&gt;0,INDEX(装备强化!$D$4:$H$4,1,$L16)*3/SUM($Q16:$S16)*(1-$B$14),INDEX(装备强化!$D$4:$H$4,1,$L16)*3/SUM($Q16:$S16))))</f>
        <v>51</v>
      </c>
      <c r="Z16" s="104">
        <f>IF($P16="","",IF(R16="","",IF(SUM($W16:$X16)&gt;0,INDEX(装备强化!$D$4:$H$4,1,$L16)*3/SUM($Q16:$S16)*(1-$B$14),INDEX(装备强化!$D$4:$H$4,1,$L16)*3/SUM($Q16:$S16))))</f>
        <v>51</v>
      </c>
      <c r="AA16" s="104" t="str">
        <f>IF($P16="","",IF(S16="","",IF(SUM($W16:$X16)&gt;0,INDEX(装备强化!$D$4:$H$4,1,$L16)*3/SUM($Q16:$S16)*(1-$B$14),INDEX(装备强化!$D$4:$H$4,1,$L16)*3/SUM($Q16:$S16))))</f>
        <v/>
      </c>
      <c r="AB16" s="102"/>
      <c r="AC16" s="102"/>
      <c r="AD16" s="102"/>
      <c r="AE16" s="105" t="str">
        <f t="shared" si="3"/>
        <v/>
      </c>
      <c r="AF16" s="105" t="str">
        <f t="shared" si="4"/>
        <v/>
      </c>
    </row>
    <row r="17" spans="10:32" x14ac:dyDescent="0.15">
      <c r="J17" s="36"/>
      <c r="K17" s="36">
        <v>45602</v>
      </c>
      <c r="L17" s="102">
        <v>4</v>
      </c>
      <c r="M17" s="104">
        <f t="shared" si="0"/>
        <v>1.1826358309940741</v>
      </c>
      <c r="N17" s="104">
        <f t="shared" si="1"/>
        <v>0.10345998494127398</v>
      </c>
      <c r="O17" s="104">
        <f t="shared" si="2"/>
        <v>0.10345998494127398</v>
      </c>
      <c r="P17" s="58" t="s">
        <v>307</v>
      </c>
      <c r="Q17" s="102"/>
      <c r="R17" s="102">
        <v>1</v>
      </c>
      <c r="S17" s="102">
        <v>1</v>
      </c>
      <c r="T17" s="102"/>
      <c r="U17" s="102"/>
      <c r="V17" s="102"/>
      <c r="W17" s="102"/>
      <c r="X17" s="102"/>
      <c r="Y17" s="104" t="str">
        <f>IF($P17="","",IF(Q17="","",IF(SUM($W17:$X17)&gt;0,INDEX(装备强化!$D$4:$H$4,1,$L17)*3/SUM($Q17:$S17)*(1-$B$14),INDEX(装备强化!$D$4:$H$4,1,$L17)*3/SUM($Q17:$S17))))</f>
        <v/>
      </c>
      <c r="Z17" s="104">
        <f>IF($P17="","",IF(R17="","",IF(SUM($W17:$X17)&gt;0,INDEX(装备强化!$D$4:$H$4,1,$L17)*3/SUM($Q17:$S17)*(1-$B$14),INDEX(装备强化!$D$4:$H$4,1,$L17)*3/SUM($Q17:$S17))))</f>
        <v>51</v>
      </c>
      <c r="AA17" s="104">
        <f>IF($P17="","",IF(S17="","",IF(SUM($W17:$X17)&gt;0,INDEX(装备强化!$D$4:$H$4,1,$L17)*3/SUM($Q17:$S17)*(1-$B$14),INDEX(装备强化!$D$4:$H$4,1,$L17)*3/SUM($Q17:$S17))))</f>
        <v>51</v>
      </c>
      <c r="AB17" s="102"/>
      <c r="AC17" s="102"/>
      <c r="AD17" s="102"/>
      <c r="AE17" s="105" t="str">
        <f t="shared" si="3"/>
        <v/>
      </c>
      <c r="AF17" s="105" t="str">
        <f t="shared" si="4"/>
        <v/>
      </c>
    </row>
    <row r="18" spans="10:32" x14ac:dyDescent="0.15">
      <c r="J18" s="36"/>
      <c r="K18" s="36">
        <v>45603</v>
      </c>
      <c r="L18" s="102">
        <v>4</v>
      </c>
      <c r="M18" s="104">
        <f t="shared" si="0"/>
        <v>1.1826358309940741</v>
      </c>
      <c r="N18" s="104">
        <f t="shared" si="1"/>
        <v>0.10345998494127398</v>
      </c>
      <c r="O18" s="104">
        <f t="shared" si="2"/>
        <v>0.10345998494127398</v>
      </c>
      <c r="P18" s="58" t="s">
        <v>306</v>
      </c>
      <c r="Q18" s="102">
        <v>1</v>
      </c>
      <c r="R18" s="102"/>
      <c r="S18" s="102">
        <v>1</v>
      </c>
      <c r="T18" s="102"/>
      <c r="U18" s="102"/>
      <c r="V18" s="102"/>
      <c r="W18" s="102"/>
      <c r="X18" s="102"/>
      <c r="Y18" s="104">
        <f>IF($P18="","",IF(Q18="","",IF(SUM($W18:$X18)&gt;0,INDEX(装备强化!$D$4:$H$4,1,$L18)*3/SUM($Q18:$S18)*(1-$B$14),INDEX(装备强化!$D$4:$H$4,1,$L18)*3/SUM($Q18:$S18))))</f>
        <v>51</v>
      </c>
      <c r="Z18" s="104" t="str">
        <f>IF($P18="","",IF(R18="","",IF(SUM($W18:$X18)&gt;0,INDEX(装备强化!$D$4:$H$4,1,$L18)*3/SUM($Q18:$S18)*(1-$B$14),INDEX(装备强化!$D$4:$H$4,1,$L18)*3/SUM($Q18:$S18))))</f>
        <v/>
      </c>
      <c r="AA18" s="104">
        <f>IF($P18="","",IF(S18="","",IF(SUM($W18:$X18)&gt;0,INDEX(装备强化!$D$4:$H$4,1,$L18)*3/SUM($Q18:$S18)*(1-$B$14),INDEX(装备强化!$D$4:$H$4,1,$L18)*3/SUM($Q18:$S18))))</f>
        <v>51</v>
      </c>
      <c r="AB18" s="102"/>
      <c r="AC18" s="102"/>
      <c r="AD18" s="102"/>
      <c r="AE18" s="105" t="str">
        <f t="shared" si="3"/>
        <v/>
      </c>
      <c r="AF18" s="105" t="str">
        <f t="shared" si="4"/>
        <v/>
      </c>
    </row>
    <row r="19" spans="10:32" x14ac:dyDescent="0.15">
      <c r="J19" s="36"/>
      <c r="K19" s="36">
        <v>45604</v>
      </c>
      <c r="L19" s="102">
        <v>4</v>
      </c>
      <c r="M19" s="104">
        <f t="shared" si="0"/>
        <v>1.1826358309940741</v>
      </c>
      <c r="N19" s="104">
        <f t="shared" si="1"/>
        <v>0.10345998494127398</v>
      </c>
      <c r="O19" s="104">
        <f t="shared" si="2"/>
        <v>0.10345998494127398</v>
      </c>
      <c r="P19" s="58" t="s">
        <v>313</v>
      </c>
      <c r="Q19" s="102"/>
      <c r="R19" s="102">
        <v>1</v>
      </c>
      <c r="S19" s="102"/>
      <c r="T19" s="102"/>
      <c r="U19" s="102"/>
      <c r="V19" s="102"/>
      <c r="W19" s="102"/>
      <c r="X19" s="102"/>
      <c r="Y19" s="104" t="str">
        <f>IF($P19="","",IF(Q19="","",IF(SUM($W19:$X19)&gt;0,INDEX(装备强化!$D$4:$H$4,1,$L19)*3/SUM($Q19:$S19)*(1-$B$14),INDEX(装备强化!$D$4:$H$4,1,$L19)*3/SUM($Q19:$S19))))</f>
        <v/>
      </c>
      <c r="Z19" s="104">
        <f>IF($P19="","",IF(R19="","",IF(SUM($W19:$X19)&gt;0,INDEX(装备强化!$D$4:$H$4,1,$L19)*3/SUM($Q19:$S19)*(1-$B$14),INDEX(装备强化!$D$4:$H$4,1,$L19)*3/SUM($Q19:$S19))))</f>
        <v>102</v>
      </c>
      <c r="AA19" s="104" t="str">
        <f>IF($P19="","",IF(S19="","",IF(SUM($W19:$X19)&gt;0,INDEX(装备强化!$D$4:$H$4,1,$L19)*3/SUM($Q19:$S19)*(1-$B$14),INDEX(装备强化!$D$4:$H$4,1,$L19)*3/SUM($Q19:$S19))))</f>
        <v/>
      </c>
      <c r="AB19" s="102"/>
      <c r="AC19" s="102"/>
      <c r="AD19" s="102"/>
      <c r="AE19" s="105" t="str">
        <f t="shared" si="3"/>
        <v/>
      </c>
      <c r="AF19" s="105" t="str">
        <f t="shared" si="4"/>
        <v/>
      </c>
    </row>
    <row r="20" spans="10:32" x14ac:dyDescent="0.15">
      <c r="J20" s="36"/>
      <c r="K20" s="36">
        <v>45605</v>
      </c>
      <c r="L20" s="102">
        <v>4</v>
      </c>
      <c r="M20" s="104">
        <f t="shared" si="0"/>
        <v>1.1826358309940741</v>
      </c>
      <c r="N20" s="104">
        <f t="shared" si="1"/>
        <v>0.10345998494127398</v>
      </c>
      <c r="O20" s="104">
        <f t="shared" si="2"/>
        <v>0.10345998494127398</v>
      </c>
      <c r="P20" s="58" t="s">
        <v>312</v>
      </c>
      <c r="Q20" s="102">
        <v>1</v>
      </c>
      <c r="R20" s="102"/>
      <c r="S20" s="102"/>
      <c r="T20" s="102"/>
      <c r="U20" s="102"/>
      <c r="V20" s="102"/>
      <c r="W20" s="102"/>
      <c r="X20" s="102"/>
      <c r="Y20" s="104">
        <f>IF($P20="","",IF(Q20="","",IF(SUM($W20:$X20)&gt;0,INDEX(装备强化!$D$4:$H$4,1,$L20)*3/SUM($Q20:$S20)*(1-$B$14),INDEX(装备强化!$D$4:$H$4,1,$L20)*3/SUM($Q20:$S20))))</f>
        <v>102</v>
      </c>
      <c r="Z20" s="104" t="str">
        <f>IF($P20="","",IF(R20="","",IF(SUM($W20:$X20)&gt;0,INDEX(装备强化!$D$4:$H$4,1,$L20)*3/SUM($Q20:$S20)*(1-$B$14),INDEX(装备强化!$D$4:$H$4,1,$L20)*3/SUM($Q20:$S20))))</f>
        <v/>
      </c>
      <c r="AA20" s="104" t="str">
        <f>IF($P20="","",IF(S20="","",IF(SUM($W20:$X20)&gt;0,INDEX(装备强化!$D$4:$H$4,1,$L20)*3/SUM($Q20:$S20)*(1-$B$14),INDEX(装备强化!$D$4:$H$4,1,$L20)*3/SUM($Q20:$S20))))</f>
        <v/>
      </c>
      <c r="AB20" s="102"/>
      <c r="AC20" s="102"/>
      <c r="AD20" s="102"/>
      <c r="AE20" s="105" t="str">
        <f t="shared" si="3"/>
        <v/>
      </c>
      <c r="AF20" s="105" t="str">
        <f t="shared" si="4"/>
        <v/>
      </c>
    </row>
    <row r="21" spans="10:32" x14ac:dyDescent="0.15">
      <c r="J21" s="36"/>
      <c r="K21" s="36">
        <v>45606</v>
      </c>
      <c r="L21" s="102">
        <v>4</v>
      </c>
      <c r="M21" s="104">
        <f t="shared" si="0"/>
        <v>1.1826358309940741</v>
      </c>
      <c r="N21" s="104">
        <f t="shared" si="1"/>
        <v>0.10345998494127398</v>
      </c>
      <c r="O21" s="104">
        <f t="shared" si="2"/>
        <v>0.10345998494127398</v>
      </c>
      <c r="P21" s="58" t="s">
        <v>311</v>
      </c>
      <c r="Q21" s="102"/>
      <c r="R21" s="102"/>
      <c r="S21" s="102">
        <v>1</v>
      </c>
      <c r="T21" s="102"/>
      <c r="U21" s="102"/>
      <c r="V21" s="102"/>
      <c r="W21" s="102"/>
      <c r="X21" s="102"/>
      <c r="Y21" s="104" t="str">
        <f>IF($P21="","",IF(Q21="","",IF(SUM($W21:$X21)&gt;0,INDEX(装备强化!$D$4:$H$4,1,$L21)*3/SUM($Q21:$S21)*(1-$B$14),INDEX(装备强化!$D$4:$H$4,1,$L21)*3/SUM($Q21:$S21))))</f>
        <v/>
      </c>
      <c r="Z21" s="104" t="str">
        <f>IF($P21="","",IF(R21="","",IF(SUM($W21:$X21)&gt;0,INDEX(装备强化!$D$4:$H$4,1,$L21)*3/SUM($Q21:$S21)*(1-$B$14),INDEX(装备强化!$D$4:$H$4,1,$L21)*3/SUM($Q21:$S21))))</f>
        <v/>
      </c>
      <c r="AA21" s="104">
        <f>IF($P21="","",IF(S21="","",IF(SUM($W21:$X21)&gt;0,INDEX(装备强化!$D$4:$H$4,1,$L21)*3/SUM($Q21:$S21)*(1-$B$14),INDEX(装备强化!$D$4:$H$4,1,$L21)*3/SUM($Q21:$S21))))</f>
        <v>102</v>
      </c>
      <c r="AB21" s="102"/>
      <c r="AC21" s="102"/>
      <c r="AD21" s="102"/>
      <c r="AE21" s="105" t="str">
        <f t="shared" si="3"/>
        <v/>
      </c>
      <c r="AF21" s="105" t="str">
        <f t="shared" si="4"/>
        <v/>
      </c>
    </row>
    <row r="22" spans="10:32" x14ac:dyDescent="0.15">
      <c r="J22" s="36"/>
      <c r="K22" s="36">
        <v>45607</v>
      </c>
      <c r="L22" s="102">
        <v>4</v>
      </c>
      <c r="M22" s="104">
        <f t="shared" si="0"/>
        <v>1.1826358309940741</v>
      </c>
      <c r="N22" s="104">
        <f t="shared" si="1"/>
        <v>0.10345998494127398</v>
      </c>
      <c r="O22" s="104">
        <f t="shared" si="2"/>
        <v>0.10345998494127398</v>
      </c>
      <c r="P22" s="58" t="s">
        <v>310</v>
      </c>
      <c r="Q22" s="102"/>
      <c r="R22" s="102"/>
      <c r="S22" s="102"/>
      <c r="T22" s="102"/>
      <c r="U22" s="102">
        <v>1</v>
      </c>
      <c r="V22" s="102"/>
      <c r="W22" s="102"/>
      <c r="X22" s="102"/>
      <c r="Y22" s="104" t="str">
        <f>IF($P22="","",IF(Q22="","",IF(SUM($W22:$X22)&gt;0,INDEX(装备强化!$D$4:$H$4,1,$L22)*3/SUM($Q22:$S22)*(1-$B$14),INDEX(装备强化!$D$4:$H$4,1,$L22)*3/SUM($Q22:$S22))))</f>
        <v/>
      </c>
      <c r="Z22" s="104" t="str">
        <f>IF($P22="","",IF(R22="","",IF(SUM($W22:$X22)&gt;0,INDEX(装备强化!$D$4:$H$4,1,$L22)*3/SUM($Q22:$S22)*(1-$B$14),INDEX(装备强化!$D$4:$H$4,1,$L22)*3/SUM($Q22:$S22))))</f>
        <v/>
      </c>
      <c r="AA22" s="104" t="str">
        <f>IF($P22="","",IF(S22="","",IF(SUM($W22:$X22)&gt;0,INDEX(装备强化!$D$4:$H$4,1,$L22)*3/SUM($Q22:$S22)*(1-$B$14),INDEX(装备强化!$D$4:$H$4,1,$L22)*3/SUM($Q22:$S22))))</f>
        <v/>
      </c>
      <c r="AB22" s="102"/>
      <c r="AC22" s="102">
        <v>50</v>
      </c>
      <c r="AD22" s="102"/>
      <c r="AE22" s="105" t="str">
        <f t="shared" si="3"/>
        <v/>
      </c>
      <c r="AF22" s="105" t="str">
        <f t="shared" si="4"/>
        <v/>
      </c>
    </row>
    <row r="23" spans="10:32" x14ac:dyDescent="0.15">
      <c r="J23" s="36"/>
      <c r="K23" s="36">
        <v>45608</v>
      </c>
      <c r="L23" s="102">
        <v>4</v>
      </c>
      <c r="M23" s="104">
        <f t="shared" si="0"/>
        <v>1.1826358309940741</v>
      </c>
      <c r="N23" s="104">
        <f t="shared" si="1"/>
        <v>0.10345998494127398</v>
      </c>
      <c r="O23" s="104">
        <f t="shared" si="2"/>
        <v>0.10345998494127398</v>
      </c>
      <c r="P23" s="58" t="s">
        <v>309</v>
      </c>
      <c r="Q23" s="102"/>
      <c r="R23" s="102"/>
      <c r="S23" s="102"/>
      <c r="T23" s="102"/>
      <c r="U23" s="102"/>
      <c r="V23" s="102">
        <v>1</v>
      </c>
      <c r="W23" s="102"/>
      <c r="X23" s="102"/>
      <c r="Y23" s="104" t="str">
        <f>IF($P23="","",IF(Q23="","",IF(SUM($W23:$X23)&gt;0,INDEX(装备强化!$D$4:$H$4,1,$L23)*3/SUM($Q23:$S23)*(1-$B$14),INDEX(装备强化!$D$4:$H$4,1,$L23)*3/SUM($Q23:$S23))))</f>
        <v/>
      </c>
      <c r="Z23" s="104" t="str">
        <f>IF($P23="","",IF(R23="","",IF(SUM($W23:$X23)&gt;0,INDEX(装备强化!$D$4:$H$4,1,$L23)*3/SUM($Q23:$S23)*(1-$B$14),INDEX(装备强化!$D$4:$H$4,1,$L23)*3/SUM($Q23:$S23))))</f>
        <v/>
      </c>
      <c r="AA23" s="104" t="str">
        <f>IF($P23="","",IF(S23="","",IF(SUM($W23:$X23)&gt;0,INDEX(装备强化!$D$4:$H$4,1,$L23)*3/SUM($Q23:$S23)*(1-$B$14),INDEX(装备强化!$D$4:$H$4,1,$L23)*3/SUM($Q23:$S23))))</f>
        <v/>
      </c>
      <c r="AB23" s="102"/>
      <c r="AC23" s="102"/>
      <c r="AD23" s="106">
        <v>0.2</v>
      </c>
      <c r="AE23" s="105" t="str">
        <f t="shared" si="3"/>
        <v/>
      </c>
      <c r="AF23" s="105" t="str">
        <f t="shared" si="4"/>
        <v/>
      </c>
    </row>
    <row r="24" spans="10:32" x14ac:dyDescent="0.15">
      <c r="J24" s="36"/>
      <c r="K24" s="36">
        <v>45801</v>
      </c>
      <c r="L24" s="102">
        <v>5</v>
      </c>
      <c r="M24" s="104">
        <f t="shared" si="0"/>
        <v>1.5560745719370601</v>
      </c>
      <c r="N24" s="104">
        <f t="shared" si="1"/>
        <v>0.12837590524908224</v>
      </c>
      <c r="O24" s="104">
        <f t="shared" si="2"/>
        <v>0.12837590524908224</v>
      </c>
      <c r="P24" s="58" t="s">
        <v>308</v>
      </c>
      <c r="Q24" s="102">
        <v>1</v>
      </c>
      <c r="R24" s="102">
        <v>1</v>
      </c>
      <c r="S24" s="102"/>
      <c r="T24" s="102"/>
      <c r="U24" s="102"/>
      <c r="V24" s="102"/>
      <c r="W24" s="102"/>
      <c r="X24" s="102"/>
      <c r="Y24" s="104">
        <f>IF($P24="","",IF(Q24="","",IF(SUM($W24:$X24)&gt;0,INDEX(装备强化!$D$4:$H$4,1,$L24)*3/SUM($Q24:$S24)*(1-$B$14),INDEX(装备强化!$D$4:$H$4,1,$L24)*3/SUM($Q24:$S24))))</f>
        <v>99</v>
      </c>
      <c r="Z24" s="104">
        <f>IF($P24="","",IF(R24="","",IF(SUM($W24:$X24)&gt;0,INDEX(装备强化!$D$4:$H$4,1,$L24)*3/SUM($Q24:$S24)*(1-$B$14),INDEX(装备强化!$D$4:$H$4,1,$L24)*3/SUM($Q24:$S24))))</f>
        <v>99</v>
      </c>
      <c r="AA24" s="104" t="str">
        <f>IF($P24="","",IF(S24="","",IF(SUM($W24:$X24)&gt;0,INDEX(装备强化!$D$4:$H$4,1,$L24)*3/SUM($Q24:$S24)*(1-$B$14),INDEX(装备强化!$D$4:$H$4,1,$L24)*3/SUM($Q24:$S24))))</f>
        <v/>
      </c>
      <c r="AB24" s="102"/>
      <c r="AC24" s="102"/>
      <c r="AD24" s="102"/>
      <c r="AE24" s="105" t="str">
        <f t="shared" si="3"/>
        <v/>
      </c>
      <c r="AF24" s="105" t="str">
        <f t="shared" si="4"/>
        <v/>
      </c>
    </row>
    <row r="25" spans="10:32" x14ac:dyDescent="0.15">
      <c r="J25" s="36"/>
      <c r="K25" s="36">
        <v>45802</v>
      </c>
      <c r="L25" s="102">
        <v>5</v>
      </c>
      <c r="M25" s="104">
        <f t="shared" si="0"/>
        <v>1.5560745719370601</v>
      </c>
      <c r="N25" s="104">
        <f t="shared" si="1"/>
        <v>0.12837590524908224</v>
      </c>
      <c r="O25" s="104">
        <f t="shared" si="2"/>
        <v>0.12837590524908224</v>
      </c>
      <c r="P25" s="58" t="s">
        <v>307</v>
      </c>
      <c r="Q25" s="102"/>
      <c r="R25" s="102">
        <v>1</v>
      </c>
      <c r="S25" s="102">
        <v>1</v>
      </c>
      <c r="T25" s="102"/>
      <c r="U25" s="102"/>
      <c r="V25" s="102"/>
      <c r="W25" s="102"/>
      <c r="X25" s="102"/>
      <c r="Y25" s="104" t="str">
        <f>IF($P25="","",IF(Q25="","",IF(SUM($W25:$X25)&gt;0,INDEX(装备强化!$D$4:$H$4,1,$L25)*3/SUM($Q25:$S25)*(1-$B$14),INDEX(装备强化!$D$4:$H$4,1,$L25)*3/SUM($Q25:$S25))))</f>
        <v/>
      </c>
      <c r="Z25" s="104">
        <f>IF($P25="","",IF(R25="","",IF(SUM($W25:$X25)&gt;0,INDEX(装备强化!$D$4:$H$4,1,$L25)*3/SUM($Q25:$S25)*(1-$B$14),INDEX(装备强化!$D$4:$H$4,1,$L25)*3/SUM($Q25:$S25))))</f>
        <v>99</v>
      </c>
      <c r="AA25" s="104">
        <f>IF($P25="","",IF(S25="","",IF(SUM($W25:$X25)&gt;0,INDEX(装备强化!$D$4:$H$4,1,$L25)*3/SUM($Q25:$S25)*(1-$B$14),INDEX(装备强化!$D$4:$H$4,1,$L25)*3/SUM($Q25:$S25))))</f>
        <v>99</v>
      </c>
      <c r="AB25" s="102"/>
      <c r="AC25" s="102"/>
      <c r="AD25" s="102"/>
      <c r="AE25" s="105" t="str">
        <f t="shared" si="3"/>
        <v/>
      </c>
      <c r="AF25" s="105" t="str">
        <f t="shared" si="4"/>
        <v/>
      </c>
    </row>
    <row r="26" spans="10:32" x14ac:dyDescent="0.15">
      <c r="J26" s="36"/>
      <c r="K26" s="36">
        <v>45803</v>
      </c>
      <c r="L26" s="102">
        <v>5</v>
      </c>
      <c r="M26" s="104">
        <f t="shared" si="0"/>
        <v>1.5560745719370601</v>
      </c>
      <c r="N26" s="104">
        <f t="shared" si="1"/>
        <v>0.12837590524908224</v>
      </c>
      <c r="O26" s="104">
        <f t="shared" si="2"/>
        <v>0.12837590524908224</v>
      </c>
      <c r="P26" s="58" t="s">
        <v>306</v>
      </c>
      <c r="Q26" s="102">
        <v>1</v>
      </c>
      <c r="R26" s="102"/>
      <c r="S26" s="102">
        <v>1</v>
      </c>
      <c r="T26" s="102"/>
      <c r="U26" s="102"/>
      <c r="V26" s="102"/>
      <c r="W26" s="102"/>
      <c r="X26" s="102"/>
      <c r="Y26" s="104">
        <f>IF($P26="","",IF(Q26="","",IF(SUM($W26:$X26)&gt;0,INDEX(装备强化!$D$4:$H$4,1,$L26)*3/SUM($Q26:$S26)*(1-$B$14),INDEX(装备强化!$D$4:$H$4,1,$L26)*3/SUM($Q26:$S26))))</f>
        <v>99</v>
      </c>
      <c r="Z26" s="104" t="str">
        <f>IF($P26="","",IF(R26="","",IF(SUM($W26:$X26)&gt;0,INDEX(装备强化!$D$4:$H$4,1,$L26)*3/SUM($Q26:$S26)*(1-$B$14),INDEX(装备强化!$D$4:$H$4,1,$L26)*3/SUM($Q26:$S26))))</f>
        <v/>
      </c>
      <c r="AA26" s="104">
        <f>IF($P26="","",IF(S26="","",IF(SUM($W26:$X26)&gt;0,INDEX(装备强化!$D$4:$H$4,1,$L26)*3/SUM($Q26:$S26)*(1-$B$14),INDEX(装备强化!$D$4:$H$4,1,$L26)*3/SUM($Q26:$S26))))</f>
        <v>99</v>
      </c>
      <c r="AB26" s="102"/>
      <c r="AC26" s="102"/>
      <c r="AD26" s="102"/>
      <c r="AE26" s="105" t="str">
        <f t="shared" si="3"/>
        <v/>
      </c>
      <c r="AF26" s="105" t="str">
        <f t="shared" si="4"/>
        <v/>
      </c>
    </row>
    <row r="27" spans="10:32" x14ac:dyDescent="0.15">
      <c r="J27" s="36"/>
      <c r="K27" s="36">
        <v>45804</v>
      </c>
      <c r="L27" s="102">
        <v>5</v>
      </c>
      <c r="M27" s="104">
        <f t="shared" si="0"/>
        <v>1.5560745719370601</v>
      </c>
      <c r="N27" s="104">
        <f t="shared" si="1"/>
        <v>0.12837590524908224</v>
      </c>
      <c r="O27" s="104">
        <f t="shared" si="2"/>
        <v>0.12837590524908224</v>
      </c>
      <c r="P27" s="58" t="s">
        <v>305</v>
      </c>
      <c r="Q27" s="102">
        <v>1</v>
      </c>
      <c r="R27" s="102">
        <v>1</v>
      </c>
      <c r="S27" s="102">
        <v>1</v>
      </c>
      <c r="T27" s="102"/>
      <c r="U27" s="102"/>
      <c r="V27" s="102"/>
      <c r="W27" s="102"/>
      <c r="X27" s="102"/>
      <c r="Y27" s="104">
        <f>IF($P27="","",IF(Q27="","",IF(SUM($W27:$X27)&gt;0,INDEX(装备强化!$D$4:$H$4,1,$L27)*3/SUM($Q27:$S27)*(1-$B$14),INDEX(装备强化!$D$4:$H$4,1,$L27)*3/SUM($Q27:$S27))))</f>
        <v>66</v>
      </c>
      <c r="Z27" s="104">
        <f>IF($P27="","",IF(R27="","",IF(SUM($W27:$X27)&gt;0,INDEX(装备强化!$D$4:$H$4,1,$L27)*3/SUM($Q27:$S27)*(1-$B$14),INDEX(装备强化!$D$4:$H$4,1,$L27)*3/SUM($Q27:$S27))))</f>
        <v>66</v>
      </c>
      <c r="AA27" s="104">
        <f>IF($P27="","",IF(S27="","",IF(SUM($W27:$X27)&gt;0,INDEX(装备强化!$D$4:$H$4,1,$L27)*3/SUM($Q27:$S27)*(1-$B$14),INDEX(装备强化!$D$4:$H$4,1,$L27)*3/SUM($Q27:$S27))))</f>
        <v>66</v>
      </c>
      <c r="AB27" s="102"/>
      <c r="AC27" s="102"/>
      <c r="AD27" s="102"/>
      <c r="AE27" s="105" t="str">
        <f t="shared" si="3"/>
        <v/>
      </c>
      <c r="AF27" s="105" t="str">
        <f t="shared" si="4"/>
        <v/>
      </c>
    </row>
    <row r="28" spans="10:32" x14ac:dyDescent="0.15">
      <c r="J28" s="36"/>
      <c r="K28" s="36">
        <v>45805</v>
      </c>
      <c r="L28" s="102">
        <v>5</v>
      </c>
      <c r="M28" s="104">
        <f t="shared" si="0"/>
        <v>1.5560745719370601</v>
      </c>
      <c r="N28" s="104">
        <f t="shared" si="1"/>
        <v>0.12837590524908224</v>
      </c>
      <c r="O28" s="104">
        <f t="shared" si="2"/>
        <v>0.12837590524908224</v>
      </c>
      <c r="P28" s="58" t="s">
        <v>304</v>
      </c>
      <c r="Q28" s="102">
        <v>1</v>
      </c>
      <c r="R28" s="102">
        <v>1</v>
      </c>
      <c r="S28" s="102">
        <v>1</v>
      </c>
      <c r="T28" s="102"/>
      <c r="U28" s="102"/>
      <c r="V28" s="102"/>
      <c r="W28" s="102">
        <v>1</v>
      </c>
      <c r="X28" s="102">
        <v>1</v>
      </c>
      <c r="Y28" s="104">
        <f>IF($P28="","",IF(Q28="","",IF(SUM($W28:$X28)&gt;0,INDEX(装备强化!$D$4:$H$4,1,$L28)*3/SUM($Q28:$S28)*(1-$B$14),INDEX(装备强化!$D$4:$H$4,1,$L28)*3/SUM($Q28:$S28))))</f>
        <v>52.800000000000004</v>
      </c>
      <c r="Z28" s="104">
        <f>IF($P28="","",IF(R28="","",IF(SUM($W28:$X28)&gt;0,INDEX(装备强化!$D$4:$H$4,1,$L28)*3/SUM($Q28:$S28)*(1-$B$14),INDEX(装备强化!$D$4:$H$4,1,$L28)*3/SUM($Q28:$S28))))</f>
        <v>52.800000000000004</v>
      </c>
      <c r="AA28" s="104">
        <f>IF($P28="","",IF(S28="","",IF(SUM($W28:$X28)&gt;0,INDEX(装备强化!$D$4:$H$4,1,$L28)*3/SUM($Q28:$S28)*(1-$B$14),INDEX(装备强化!$D$4:$H$4,1,$L28)*3/SUM($Q28:$S28))))</f>
        <v>52.800000000000004</v>
      </c>
      <c r="AB28" s="102"/>
      <c r="AC28" s="102"/>
      <c r="AD28" s="102"/>
      <c r="AE28" s="105">
        <f t="shared" si="3"/>
        <v>240</v>
      </c>
      <c r="AF28" s="105">
        <f t="shared" si="4"/>
        <v>240</v>
      </c>
    </row>
    <row r="29" spans="10:32" x14ac:dyDescent="0.15">
      <c r="J29" s="36"/>
      <c r="K29" s="36">
        <v>45806</v>
      </c>
      <c r="L29" s="102">
        <v>5</v>
      </c>
      <c r="M29" s="104">
        <f t="shared" si="0"/>
        <v>1.5560745719370601</v>
      </c>
      <c r="N29" s="104">
        <f t="shared" si="1"/>
        <v>0.12837590524908224</v>
      </c>
      <c r="O29" s="104">
        <f t="shared" si="2"/>
        <v>0.12837590524908224</v>
      </c>
      <c r="P29" s="58" t="s">
        <v>303</v>
      </c>
      <c r="Q29" s="102">
        <v>1</v>
      </c>
      <c r="R29" s="102">
        <v>1</v>
      </c>
      <c r="S29" s="102">
        <v>1</v>
      </c>
      <c r="T29" s="102"/>
      <c r="U29" s="102"/>
      <c r="V29" s="102"/>
      <c r="W29" s="102">
        <v>1</v>
      </c>
      <c r="X29" s="102">
        <v>1</v>
      </c>
      <c r="Y29" s="104">
        <f>IF($P29="","",IF(Q29="","",IF(SUM($W29:$X29)&gt;0,INDEX(装备强化!$D$4:$H$4,1,$L29)*3/SUM($Q29:$S29)*(1-$B$14),INDEX(装备强化!$D$4:$H$4,1,$L29)*3/SUM($Q29:$S29))))</f>
        <v>52.800000000000004</v>
      </c>
      <c r="Z29" s="104">
        <f>IF($P29="","",IF(R29="","",IF(SUM($W29:$X29)&gt;0,INDEX(装备强化!$D$4:$H$4,1,$L29)*3/SUM($Q29:$S29)*(1-$B$14),INDEX(装备强化!$D$4:$H$4,1,$L29)*3/SUM($Q29:$S29))))</f>
        <v>52.800000000000004</v>
      </c>
      <c r="AA29" s="104">
        <f>IF($P29="","",IF(S29="","",IF(SUM($W29:$X29)&gt;0,INDEX(装备强化!$D$4:$H$4,1,$L29)*3/SUM($Q29:$S29)*(1-$B$14),INDEX(装备强化!$D$4:$H$4,1,$L29)*3/SUM($Q29:$S29))))</f>
        <v>52.800000000000004</v>
      </c>
      <c r="AB29" s="102"/>
      <c r="AC29" s="102"/>
      <c r="AD29" s="102"/>
      <c r="AE29" s="105">
        <f t="shared" si="3"/>
        <v>240</v>
      </c>
      <c r="AF29" s="105">
        <f t="shared" si="4"/>
        <v>240</v>
      </c>
    </row>
    <row r="30" spans="10:32" x14ac:dyDescent="0.15">
      <c r="J30" s="36"/>
      <c r="K30" s="36">
        <v>45807</v>
      </c>
      <c r="L30" s="102">
        <v>5</v>
      </c>
      <c r="M30" s="104">
        <f t="shared" si="0"/>
        <v>1.5560745719370601</v>
      </c>
      <c r="N30" s="104">
        <f t="shared" si="1"/>
        <v>0.12837590524908224</v>
      </c>
      <c r="O30" s="104">
        <f t="shared" si="2"/>
        <v>0.12837590524908224</v>
      </c>
      <c r="P30" s="58" t="s">
        <v>302</v>
      </c>
      <c r="Q30" s="102">
        <v>1</v>
      </c>
      <c r="R30" s="102">
        <v>1</v>
      </c>
      <c r="S30" s="102">
        <v>1</v>
      </c>
      <c r="T30" s="102"/>
      <c r="U30" s="102"/>
      <c r="V30" s="102"/>
      <c r="W30" s="102">
        <v>1</v>
      </c>
      <c r="X30" s="102">
        <v>1</v>
      </c>
      <c r="Y30" s="104">
        <f>IF($P30="","",IF(Q30="","",IF(SUM($W30:$X30)&gt;0,INDEX(装备强化!$D$4:$H$4,1,$L30)*3/SUM($Q30:$S30)*(1-$B$14),INDEX(装备强化!$D$4:$H$4,1,$L30)*3/SUM($Q30:$S30))))</f>
        <v>52.800000000000004</v>
      </c>
      <c r="Z30" s="104">
        <f>IF($P30="","",IF(R30="","",IF(SUM($W30:$X30)&gt;0,INDEX(装备强化!$D$4:$H$4,1,$L30)*3/SUM($Q30:$S30)*(1-$B$14),INDEX(装备强化!$D$4:$H$4,1,$L30)*3/SUM($Q30:$S30))))</f>
        <v>52.800000000000004</v>
      </c>
      <c r="AA30" s="104">
        <f>IF($P30="","",IF(S30="","",IF(SUM($W30:$X30)&gt;0,INDEX(装备强化!$D$4:$H$4,1,$L30)*3/SUM($Q30:$S30)*(1-$B$14),INDEX(装备强化!$D$4:$H$4,1,$L30)*3/SUM($Q30:$S30))))</f>
        <v>52.800000000000004</v>
      </c>
      <c r="AB30" s="102"/>
      <c r="AC30" s="102"/>
      <c r="AD30" s="102"/>
      <c r="AE30" s="105">
        <f t="shared" si="3"/>
        <v>240</v>
      </c>
      <c r="AF30" s="105">
        <f t="shared" si="4"/>
        <v>240</v>
      </c>
    </row>
    <row r="31" spans="10:32" x14ac:dyDescent="0.15">
      <c r="J31" s="36"/>
      <c r="K31" s="36">
        <v>45808</v>
      </c>
      <c r="L31" s="102">
        <v>5</v>
      </c>
      <c r="M31" s="104">
        <f t="shared" si="0"/>
        <v>1.5560745719370601</v>
      </c>
      <c r="N31" s="104">
        <f t="shared" si="1"/>
        <v>0.12837590524908224</v>
      </c>
      <c r="O31" s="104">
        <f t="shared" si="2"/>
        <v>0.12837590524908224</v>
      </c>
      <c r="P31" s="58" t="s">
        <v>301</v>
      </c>
      <c r="Q31" s="102">
        <v>1</v>
      </c>
      <c r="R31" s="102">
        <v>1</v>
      </c>
      <c r="S31" s="102">
        <v>1</v>
      </c>
      <c r="T31" s="102"/>
      <c r="U31" s="102"/>
      <c r="V31" s="102"/>
      <c r="W31" s="102">
        <v>1</v>
      </c>
      <c r="X31" s="102">
        <v>1</v>
      </c>
      <c r="Y31" s="104">
        <f>IF($P31="","",IF(Q31="","",IF(SUM($W31:$X31)&gt;0,INDEX(装备强化!$D$4:$H$4,1,$L31)*3/SUM($Q31:$S31)*(1-$B$14),INDEX(装备强化!$D$4:$H$4,1,$L31)*3/SUM($Q31:$S31))))</f>
        <v>52.800000000000004</v>
      </c>
      <c r="Z31" s="104">
        <f>IF($P31="","",IF(R31="","",IF(SUM($W31:$X31)&gt;0,INDEX(装备强化!$D$4:$H$4,1,$L31)*3/SUM($Q31:$S31)*(1-$B$14),INDEX(装备强化!$D$4:$H$4,1,$L31)*3/SUM($Q31:$S31))))</f>
        <v>52.800000000000004</v>
      </c>
      <c r="AA31" s="104">
        <f>IF($P31="","",IF(S31="","",IF(SUM($W31:$X31)&gt;0,INDEX(装备强化!$D$4:$H$4,1,$L31)*3/SUM($Q31:$S31)*(1-$B$14),INDEX(装备强化!$D$4:$H$4,1,$L31)*3/SUM($Q31:$S31))))</f>
        <v>52.800000000000004</v>
      </c>
      <c r="AB31" s="102"/>
      <c r="AC31" s="102"/>
      <c r="AD31" s="102"/>
      <c r="AE31" s="105">
        <f t="shared" si="3"/>
        <v>240</v>
      </c>
      <c r="AF31" s="105">
        <f t="shared" si="4"/>
        <v>240</v>
      </c>
    </row>
    <row r="32" spans="10:32" x14ac:dyDescent="0.15">
      <c r="J32" s="36"/>
      <c r="K32" s="36">
        <v>45809</v>
      </c>
      <c r="L32" s="102">
        <v>5</v>
      </c>
      <c r="M32" s="104">
        <f t="shared" si="0"/>
        <v>1.5560745719370601</v>
      </c>
      <c r="N32" s="104">
        <f t="shared" si="1"/>
        <v>0.12837590524908224</v>
      </c>
      <c r="O32" s="104">
        <f t="shared" si="2"/>
        <v>0.12837590524908224</v>
      </c>
      <c r="P32" s="58" t="s">
        <v>300</v>
      </c>
      <c r="Q32" s="102">
        <v>1</v>
      </c>
      <c r="R32" s="102">
        <v>1</v>
      </c>
      <c r="S32" s="102">
        <v>1</v>
      </c>
      <c r="T32" s="102"/>
      <c r="U32" s="102"/>
      <c r="V32" s="102"/>
      <c r="W32" s="102">
        <v>1</v>
      </c>
      <c r="X32" s="102">
        <v>1</v>
      </c>
      <c r="Y32" s="104">
        <f>IF($P32="","",IF(Q32="","",IF(SUM($W32:$X32)&gt;0,INDEX(装备强化!$D$4:$H$4,1,$L32)*3/SUM($Q32:$S32)*(1-$B$14),INDEX(装备强化!$D$4:$H$4,1,$L32)*3/SUM($Q32:$S32))))</f>
        <v>52.800000000000004</v>
      </c>
      <c r="Z32" s="104">
        <f>IF($P32="","",IF(R32="","",IF(SUM($W32:$X32)&gt;0,INDEX(装备强化!$D$4:$H$4,1,$L32)*3/SUM($Q32:$S32)*(1-$B$14),INDEX(装备强化!$D$4:$H$4,1,$L32)*3/SUM($Q32:$S32))))</f>
        <v>52.800000000000004</v>
      </c>
      <c r="AA32" s="104">
        <f>IF($P32="","",IF(S32="","",IF(SUM($W32:$X32)&gt;0,INDEX(装备强化!$D$4:$H$4,1,$L32)*3/SUM($Q32:$S32)*(1-$B$14),INDEX(装备强化!$D$4:$H$4,1,$L32)*3/SUM($Q32:$S32))))</f>
        <v>52.800000000000004</v>
      </c>
      <c r="AB32" s="102"/>
      <c r="AC32" s="102"/>
      <c r="AD32" s="102"/>
      <c r="AE32" s="105">
        <f t="shared" si="3"/>
        <v>240</v>
      </c>
      <c r="AF32" s="105">
        <f t="shared" si="4"/>
        <v>240</v>
      </c>
    </row>
    <row r="33" spans="10:32" x14ac:dyDescent="0.15">
      <c r="J33" s="36"/>
      <c r="K33" s="36">
        <v>45810</v>
      </c>
      <c r="L33" s="102">
        <v>5</v>
      </c>
      <c r="M33" s="104">
        <f t="shared" si="0"/>
        <v>1.5560745719370601</v>
      </c>
      <c r="N33" s="104">
        <f t="shared" si="1"/>
        <v>0.12837590524908224</v>
      </c>
      <c r="O33" s="104">
        <f t="shared" si="2"/>
        <v>0.12837590524908224</v>
      </c>
      <c r="P33" s="58" t="s">
        <v>299</v>
      </c>
      <c r="Q33" s="102">
        <v>1</v>
      </c>
      <c r="R33" s="102">
        <v>1</v>
      </c>
      <c r="S33" s="102">
        <v>1</v>
      </c>
      <c r="T33" s="102"/>
      <c r="U33" s="102"/>
      <c r="V33" s="102"/>
      <c r="W33" s="102">
        <v>1</v>
      </c>
      <c r="X33" s="102">
        <v>1</v>
      </c>
      <c r="Y33" s="104">
        <f>IF($P33="","",IF(Q33="","",IF(SUM($W33:$X33)&gt;0,INDEX(装备强化!$D$4:$H$4,1,$L33)*3/SUM($Q33:$S33)*(1-$B$14),INDEX(装备强化!$D$4:$H$4,1,$L33)*3/SUM($Q33:$S33))))</f>
        <v>52.800000000000004</v>
      </c>
      <c r="Z33" s="104">
        <f>IF($P33="","",IF(R33="","",IF(SUM($W33:$X33)&gt;0,INDEX(装备强化!$D$4:$H$4,1,$L33)*3/SUM($Q33:$S33)*(1-$B$14),INDEX(装备强化!$D$4:$H$4,1,$L33)*3/SUM($Q33:$S33))))</f>
        <v>52.800000000000004</v>
      </c>
      <c r="AA33" s="104">
        <f>IF($P33="","",IF(S33="","",IF(SUM($W33:$X33)&gt;0,INDEX(装备强化!$D$4:$H$4,1,$L33)*3/SUM($Q33:$S33)*(1-$B$14),INDEX(装备强化!$D$4:$H$4,1,$L33)*3/SUM($Q33:$S33))))</f>
        <v>52.800000000000004</v>
      </c>
      <c r="AB33" s="102"/>
      <c r="AC33" s="102"/>
      <c r="AD33" s="102"/>
      <c r="AE33" s="105">
        <f t="shared" si="3"/>
        <v>240</v>
      </c>
      <c r="AF33" s="105">
        <f t="shared" si="4"/>
        <v>240</v>
      </c>
    </row>
    <row r="34" spans="10:32" x14ac:dyDescent="0.15">
      <c r="J34" s="36"/>
      <c r="K34" s="36">
        <v>45811</v>
      </c>
      <c r="L34" s="102">
        <v>5</v>
      </c>
      <c r="M34" s="104">
        <f t="shared" si="0"/>
        <v>1.5560745719370601</v>
      </c>
      <c r="N34" s="104">
        <f t="shared" si="1"/>
        <v>0.12837590524908224</v>
      </c>
      <c r="O34" s="104">
        <f t="shared" si="2"/>
        <v>0.12837590524908224</v>
      </c>
      <c r="P34" s="58" t="s">
        <v>298</v>
      </c>
      <c r="Q34" s="102">
        <v>1</v>
      </c>
      <c r="R34" s="102">
        <v>1</v>
      </c>
      <c r="S34" s="102">
        <v>1</v>
      </c>
      <c r="T34" s="102"/>
      <c r="U34" s="102"/>
      <c r="V34" s="102"/>
      <c r="W34" s="102">
        <v>1</v>
      </c>
      <c r="X34" s="102">
        <v>1</v>
      </c>
      <c r="Y34" s="104">
        <f>IF($P34="","",IF(Q34="","",IF(SUM($W34:$X34)&gt;0,INDEX(装备强化!$D$4:$H$4,1,$L34)*3/SUM($Q34:$S34)*(1-$B$14),INDEX(装备强化!$D$4:$H$4,1,$L34)*3/SUM($Q34:$S34))))</f>
        <v>52.800000000000004</v>
      </c>
      <c r="Z34" s="104">
        <f>IF($P34="","",IF(R34="","",IF(SUM($W34:$X34)&gt;0,INDEX(装备强化!$D$4:$H$4,1,$L34)*3/SUM($Q34:$S34)*(1-$B$14),INDEX(装备强化!$D$4:$H$4,1,$L34)*3/SUM($Q34:$S34))))</f>
        <v>52.800000000000004</v>
      </c>
      <c r="AA34" s="104">
        <f>IF($P34="","",IF(S34="","",IF(SUM($W34:$X34)&gt;0,INDEX(装备强化!$D$4:$H$4,1,$L34)*3/SUM($Q34:$S34)*(1-$B$14),INDEX(装备强化!$D$4:$H$4,1,$L34)*3/SUM($Q34:$S34))))</f>
        <v>52.800000000000004</v>
      </c>
      <c r="AB34" s="102"/>
      <c r="AC34" s="102"/>
      <c r="AD34" s="102"/>
      <c r="AE34" s="105">
        <f t="shared" si="3"/>
        <v>240</v>
      </c>
      <c r="AF34" s="105">
        <f t="shared" si="4"/>
        <v>240</v>
      </c>
    </row>
    <row r="35" spans="10:32" x14ac:dyDescent="0.15">
      <c r="J35" s="36"/>
      <c r="K35" s="36">
        <v>45812</v>
      </c>
      <c r="L35" s="102">
        <v>5</v>
      </c>
      <c r="M35" s="104">
        <f t="shared" si="0"/>
        <v>1.5560745719370601</v>
      </c>
      <c r="N35" s="104">
        <f t="shared" si="1"/>
        <v>0.12837590524908224</v>
      </c>
      <c r="O35" s="104">
        <f t="shared" si="2"/>
        <v>0.12837590524908224</v>
      </c>
      <c r="P35" s="58" t="s">
        <v>297</v>
      </c>
      <c r="Q35" s="102">
        <v>1</v>
      </c>
      <c r="R35" s="102">
        <v>1</v>
      </c>
      <c r="S35" s="102">
        <v>1</v>
      </c>
      <c r="T35" s="102"/>
      <c r="U35" s="102"/>
      <c r="V35" s="102"/>
      <c r="W35" s="102">
        <v>1</v>
      </c>
      <c r="X35" s="102">
        <v>1</v>
      </c>
      <c r="Y35" s="104">
        <f>IF($P35="","",IF(Q35="","",IF(SUM($W35:$X35)&gt;0,INDEX(装备强化!$D$4:$H$4,1,$L35)*3/SUM($Q35:$S35)*(1-$B$14),INDEX(装备强化!$D$4:$H$4,1,$L35)*3/SUM($Q35:$S35))))</f>
        <v>52.800000000000004</v>
      </c>
      <c r="Z35" s="104">
        <f>IF($P35="","",IF(R35="","",IF(SUM($W35:$X35)&gt;0,INDEX(装备强化!$D$4:$H$4,1,$L35)*3/SUM($Q35:$S35)*(1-$B$14),INDEX(装备强化!$D$4:$H$4,1,$L35)*3/SUM($Q35:$S35))))</f>
        <v>52.800000000000004</v>
      </c>
      <c r="AA35" s="104">
        <f>IF($P35="","",IF(S35="","",IF(SUM($W35:$X35)&gt;0,INDEX(装备强化!$D$4:$H$4,1,$L35)*3/SUM($Q35:$S35)*(1-$B$14),INDEX(装备强化!$D$4:$H$4,1,$L35)*3/SUM($Q35:$S35))))</f>
        <v>52.800000000000004</v>
      </c>
      <c r="AB35" s="102"/>
      <c r="AC35" s="102"/>
      <c r="AD35" s="102"/>
      <c r="AE35" s="105">
        <f t="shared" si="3"/>
        <v>240</v>
      </c>
      <c r="AF35" s="105">
        <f t="shared" si="4"/>
        <v>240</v>
      </c>
    </row>
    <row r="36" spans="10:32" x14ac:dyDescent="0.15">
      <c r="J36" s="36"/>
      <c r="K36" s="36"/>
    </row>
    <row r="37" spans="10:32" x14ac:dyDescent="0.15">
      <c r="J37" s="36"/>
      <c r="K37" s="36"/>
    </row>
    <row r="38" spans="10:32" x14ac:dyDescent="0.15">
      <c r="J38" s="36"/>
      <c r="K38" s="36"/>
    </row>
    <row r="39" spans="10:32" x14ac:dyDescent="0.15">
      <c r="J39" s="36"/>
    </row>
    <row r="40" spans="10:32" x14ac:dyDescent="0.15">
      <c r="J40" s="36"/>
    </row>
    <row r="41" spans="10:32" x14ac:dyDescent="0.15">
      <c r="J41" s="36"/>
    </row>
    <row r="42" spans="10:32" x14ac:dyDescent="0.15">
      <c r="J42" s="36"/>
    </row>
    <row r="43" spans="10:32" x14ac:dyDescent="0.15">
      <c r="J43" s="36"/>
    </row>
    <row r="44" spans="10:32" x14ac:dyDescent="0.15">
      <c r="J44" s="36"/>
    </row>
    <row r="45" spans="10:32" x14ac:dyDescent="0.15">
      <c r="J45" s="36"/>
    </row>
    <row r="46" spans="10:32" x14ac:dyDescent="0.15">
      <c r="J46" s="36"/>
    </row>
    <row r="47" spans="10:32" x14ac:dyDescent="0.15">
      <c r="J47" s="36"/>
    </row>
    <row r="48" spans="10:32" x14ac:dyDescent="0.15">
      <c r="J48" s="36"/>
    </row>
    <row r="49" spans="10:10" x14ac:dyDescent="0.15">
      <c r="J49" s="36"/>
    </row>
    <row r="50" spans="10:10" x14ac:dyDescent="0.15">
      <c r="J50" s="36"/>
    </row>
    <row r="51" spans="10:10" x14ac:dyDescent="0.15">
      <c r="J51" s="36"/>
    </row>
  </sheetData>
  <mergeCells count="5">
    <mergeCell ref="Y3:AF3"/>
    <mergeCell ref="B14:C14"/>
    <mergeCell ref="B13:C13"/>
    <mergeCell ref="B4:D4"/>
    <mergeCell ref="Q3:X3"/>
  </mergeCells>
  <phoneticPr fontId="1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23DD2-CB3A-43FA-8C08-0BA03E7FE641}">
  <sheetPr>
    <tabColor theme="0" tint="-0.499984740745262"/>
  </sheetPr>
  <dimension ref="C2:AN103"/>
  <sheetViews>
    <sheetView topLeftCell="Q1" workbookViewId="0">
      <selection activeCell="AJ3" sqref="AJ3:AJ13"/>
    </sheetView>
  </sheetViews>
  <sheetFormatPr defaultRowHeight="11.25" x14ac:dyDescent="0.15"/>
  <cols>
    <col min="1" max="2" width="9" style="25"/>
    <col min="3" max="9" width="9.125" style="25" bestFit="1" customWidth="1"/>
    <col min="10" max="13" width="9.375" style="25" bestFit="1" customWidth="1"/>
    <col min="14" max="22" width="9" style="25"/>
    <col min="23" max="23" width="9.125" style="25" bestFit="1" customWidth="1"/>
    <col min="24" max="16384" width="9" style="25"/>
  </cols>
  <sheetData>
    <row r="2" spans="3:40" x14ac:dyDescent="0.15">
      <c r="D2" s="25" t="s">
        <v>204</v>
      </c>
      <c r="E2" s="25" t="s">
        <v>205</v>
      </c>
      <c r="F2" s="25" t="s">
        <v>206</v>
      </c>
      <c r="G2" s="25" t="s">
        <v>207</v>
      </c>
      <c r="H2" s="25" t="s">
        <v>208</v>
      </c>
      <c r="I2" s="25" t="s">
        <v>204</v>
      </c>
      <c r="J2" s="25" t="s">
        <v>205</v>
      </c>
      <c r="K2" s="25" t="s">
        <v>206</v>
      </c>
      <c r="L2" s="25" t="s">
        <v>207</v>
      </c>
      <c r="M2" s="25" t="s">
        <v>208</v>
      </c>
      <c r="O2" s="25" t="s">
        <v>460</v>
      </c>
      <c r="Q2" s="25" t="s">
        <v>204</v>
      </c>
      <c r="R2" s="25" t="s">
        <v>205</v>
      </c>
      <c r="S2" s="25" t="s">
        <v>206</v>
      </c>
      <c r="T2" s="25" t="s">
        <v>207</v>
      </c>
      <c r="U2" s="25" t="s">
        <v>208</v>
      </c>
      <c r="X2" s="25" t="s">
        <v>204</v>
      </c>
      <c r="Y2" s="25" t="s">
        <v>205</v>
      </c>
      <c r="Z2" s="25" t="s">
        <v>206</v>
      </c>
      <c r="AA2" s="25" t="s">
        <v>207</v>
      </c>
      <c r="AB2" s="25" t="s">
        <v>208</v>
      </c>
      <c r="AC2" s="25" t="s">
        <v>204</v>
      </c>
      <c r="AD2" s="25" t="s">
        <v>205</v>
      </c>
      <c r="AE2" s="25" t="s">
        <v>206</v>
      </c>
      <c r="AF2" s="25" t="s">
        <v>207</v>
      </c>
      <c r="AG2" s="25" t="s">
        <v>208</v>
      </c>
    </row>
    <row r="3" spans="3:40" x14ac:dyDescent="0.15">
      <c r="C3" s="25">
        <v>60</v>
      </c>
      <c r="D3" s="25">
        <f>'[1]功能-行军令'!S63</f>
        <v>197.15087291563759</v>
      </c>
      <c r="E3" s="25">
        <f>'[1]功能-行军令'!T63</f>
        <v>244.49217221494973</v>
      </c>
      <c r="F3" s="25">
        <f>'[1]功能-行军令'!U63</f>
        <v>272.02456977574093</v>
      </c>
      <c r="G3" s="25">
        <f>'[1]功能-行军令'!V63</f>
        <v>226.88157076619473</v>
      </c>
      <c r="H3" s="25">
        <f>'[1]功能-行军令'!W63</f>
        <v>131.08741213099938</v>
      </c>
      <c r="I3" s="25">
        <f>'[1]功能-实力'!BF64</f>
        <v>2673294</v>
      </c>
      <c r="J3" s="25">
        <f>'[1]功能-实力'!BG64</f>
        <v>2833296</v>
      </c>
      <c r="K3" s="25">
        <f>'[1]功能-实力'!BH64</f>
        <v>3115266</v>
      </c>
      <c r="L3" s="25">
        <f>'[1]功能-实力'!BI64</f>
        <v>3799488</v>
      </c>
      <c r="M3" s="25">
        <f>'[1]功能-实力'!BJ64</f>
        <v>4178838</v>
      </c>
      <c r="O3" s="25">
        <f>INDEX('[1]功能-行军令'!$KF$5:$KF$164,$Q3)*0.2</f>
        <v>3.9786307191760999</v>
      </c>
      <c r="P3" s="25">
        <v>3685164</v>
      </c>
      <c r="Q3" s="25">
        <v>65</v>
      </c>
      <c r="R3" s="25">
        <f>求节点(J$3:J$103,$C$3:$C$103,$P3)</f>
        <v>63.525381465467937</v>
      </c>
      <c r="S3" s="25">
        <f>求节点(K$3:K$103,$C$3:$C$103,$P3)</f>
        <v>62.16878791735607</v>
      </c>
      <c r="T3" s="25">
        <f>求节点(L$3:L$103,$C$3:$C$103,$P3)</f>
        <v>58.194640962150693</v>
      </c>
      <c r="U3" s="25">
        <f>求节点(M$3:M$103,$C$3:$C$103,$P3)</f>
        <v>52.911799883125404</v>
      </c>
      <c r="W3" s="25">
        <v>60</v>
      </c>
      <c r="X3" s="25">
        <f>D3*求节点(Q$3:Q$13,$O$3:$O$13,$W3)</f>
        <v>724.05278704111299</v>
      </c>
      <c r="Y3" s="25">
        <f t="shared" ref="Y3:AB3" si="0">E3*求节点(R$3:R$13,$O$3:$O$13,$W3)</f>
        <v>918.76101602123003</v>
      </c>
      <c r="Z3" s="25">
        <f t="shared" si="0"/>
        <v>1044.5292687248386</v>
      </c>
      <c r="AA3" s="25">
        <f t="shared" si="0"/>
        <v>958.92734493348678</v>
      </c>
      <c r="AB3" s="25">
        <f t="shared" si="0"/>
        <v>599.95397457458489</v>
      </c>
      <c r="AC3" s="25">
        <f>求节点(装备熔炼!$J$37:$J$62,装备熔炼!$H$37:$H$62,X3/18)</f>
        <v>2.0112577417808697</v>
      </c>
      <c r="AD3" s="25">
        <f>求节点(装备熔炼!$J$37:$J$62,装备熔炼!$H$37:$H$62,Y3/18)</f>
        <v>2.552113933392306</v>
      </c>
      <c r="AE3" s="25">
        <f>求节点(装备熔炼!$J$37:$J$62,装备熔炼!$H$37:$H$62,Z3/18)</f>
        <v>2.9014701909023297</v>
      </c>
      <c r="AF3" s="25">
        <f>求节点(装备熔炼!$J$37:$J$62,装备熔炼!$H$37:$H$62,AA3/18)</f>
        <v>2.6636870692596855</v>
      </c>
      <c r="AG3" s="25">
        <f>求节点(装备熔炼!$J$37:$J$62,装备熔炼!$H$37:$H$62,AB3/18)</f>
        <v>1.6665388182627359</v>
      </c>
      <c r="AI3" s="25">
        <v>60</v>
      </c>
      <c r="AJ3" s="25">
        <f>INDEX(AC$3:AC$103,$AI3-59)/10</f>
        <v>0.20112577417808697</v>
      </c>
      <c r="AK3" s="25">
        <f t="shared" ref="AK3:AN13" si="1">INDEX(AD$3:AD$103,$AI3-59)/10</f>
        <v>0.2552113933392306</v>
      </c>
      <c r="AL3" s="25">
        <f t="shared" si="1"/>
        <v>0.29014701909023299</v>
      </c>
      <c r="AM3" s="25">
        <f t="shared" si="1"/>
        <v>0.26636870692596853</v>
      </c>
      <c r="AN3" s="25">
        <f t="shared" si="1"/>
        <v>0.16665388182627358</v>
      </c>
    </row>
    <row r="4" spans="3:40" x14ac:dyDescent="0.15">
      <c r="C4" s="25">
        <v>61</v>
      </c>
      <c r="D4" s="25">
        <f>'[1]功能-行军令'!S64</f>
        <v>211.30107370684573</v>
      </c>
      <c r="E4" s="25">
        <f>'[1]功能-行军令'!T64</f>
        <v>268.4895381165893</v>
      </c>
      <c r="F4" s="25">
        <f>'[1]功能-行军令'!U64</f>
        <v>296.7025367969095</v>
      </c>
      <c r="G4" s="25">
        <f>'[1]功能-行军令'!V64</f>
        <v>249.19130261845248</v>
      </c>
      <c r="H4" s="25">
        <f>'[1]功能-行军令'!W64</f>
        <v>136.55899286137969</v>
      </c>
      <c r="I4" s="25">
        <f>'[1]功能-实力'!BF65</f>
        <v>2855010</v>
      </c>
      <c r="J4" s="25">
        <f>'[1]功能-实力'!BG65</f>
        <v>3060660</v>
      </c>
      <c r="K4" s="25">
        <f>'[1]功能-实力'!BH65</f>
        <v>3368904</v>
      </c>
      <c r="L4" s="25">
        <f>'[1]功能-实力'!BI65</f>
        <v>4100670</v>
      </c>
      <c r="M4" s="25">
        <f>'[1]功能-实力'!BJ65</f>
        <v>4487586</v>
      </c>
      <c r="O4" s="25">
        <f>INDEX('[1]功能-行军令'!$KF$5:$KF$164,$Q4)*0.2</f>
        <v>4.8932139416912399</v>
      </c>
      <c r="P4" s="25">
        <v>5424306</v>
      </c>
      <c r="Q4" s="25">
        <v>72</v>
      </c>
      <c r="R4" s="25">
        <f t="shared" ref="R4:R13" si="2">求节点(J$3:J$103,$C$3:$C$103,$P4)</f>
        <v>69.450779735605892</v>
      </c>
      <c r="S4" s="25">
        <f t="shared" ref="S4:S13" si="3">求节点(K$3:K$103,$C$3:$C$103,$P4)</f>
        <v>67.587017479053685</v>
      </c>
      <c r="T4" s="25">
        <f t="shared" ref="T4:T13" si="4">求节点(L$3:L$103,$C$3:$C$103,$P4)</f>
        <v>64.854552582573746</v>
      </c>
      <c r="U4" s="25">
        <f t="shared" ref="U4:U13" si="5">求节点(M$3:M$103,$C$3:$C$103,$P4)</f>
        <v>63.750402036987403</v>
      </c>
      <c r="W4" s="25">
        <v>61</v>
      </c>
      <c r="X4" s="25">
        <f t="shared" ref="X4:X67" si="6">D4*求节点(Q$3:Q$13,$O$3:$O$13,$W4)</f>
        <v>788.95423866987585</v>
      </c>
      <c r="Y4" s="25">
        <f t="shared" ref="Y4:Y67" si="7">E4*求节点(R$3:R$13,$O$3:$O$13,$W4)</f>
        <v>1025.7547875920015</v>
      </c>
      <c r="Z4" s="25">
        <f t="shared" ref="Z4:Z67" si="8">F4*求节点(S$3:S$13,$O$3:$O$13,$W4)</f>
        <v>1158.2767153920047</v>
      </c>
      <c r="AA4" s="25">
        <f t="shared" ref="AA4:AA67" si="9">G4*求节点(T$3:T$13,$O$3:$O$13,$W4)</f>
        <v>1087.441246504821</v>
      </c>
      <c r="AB4" s="25">
        <f t="shared" ref="AB4:AB67" si="10">H4*求节点(U$3:U$13,$O$3:$O$13,$W4)</f>
        <v>636.51914219643925</v>
      </c>
      <c r="AC4" s="25">
        <f>求节点(装备熔炼!$J$37:$J$62,装备熔炼!$H$37:$H$62,X4/18)</f>
        <v>2.1915395518607665</v>
      </c>
      <c r="AD4" s="25">
        <f>求节点(装备熔炼!$J$37:$J$62,装备熔炼!$H$37:$H$62,Y4/18)</f>
        <v>2.8493188544222265</v>
      </c>
      <c r="AE4" s="25">
        <f>求节点(装备熔炼!$J$37:$J$62,装备熔炼!$H$37:$H$62,Z4/18)</f>
        <v>3.2174353205333461</v>
      </c>
      <c r="AF4" s="25">
        <f>求节点(装备熔炼!$J$37:$J$62,装备熔炼!$H$37:$H$62,AA4/18)</f>
        <v>3.0206701291800586</v>
      </c>
      <c r="AG4" s="25">
        <f>求节点(装备熔炼!$J$37:$J$62,装备熔炼!$H$37:$H$62,AB4/18)</f>
        <v>1.7681087283234422</v>
      </c>
      <c r="AI4" s="25">
        <v>70</v>
      </c>
      <c r="AJ4" s="25">
        <f t="shared" ref="AJ4:AJ13" si="11">INDEX(AC$3:AC$103,$AI4-59)/10</f>
        <v>0.50732444749413619</v>
      </c>
      <c r="AK4" s="25">
        <f t="shared" si="1"/>
        <v>0.69124451688101129</v>
      </c>
      <c r="AL4" s="25">
        <f t="shared" si="1"/>
        <v>0.82900037479283795</v>
      </c>
      <c r="AM4" s="25">
        <f t="shared" si="1"/>
        <v>0.72764683702848165</v>
      </c>
      <c r="AN4" s="25">
        <f t="shared" si="1"/>
        <v>0.41878234469964781</v>
      </c>
    </row>
    <row r="5" spans="3:40" x14ac:dyDescent="0.15">
      <c r="C5" s="25">
        <v>62</v>
      </c>
      <c r="D5" s="25">
        <f>'[1]功能-行军令'!S65</f>
        <v>226.46688340442415</v>
      </c>
      <c r="E5" s="25">
        <f>'[1]功能-行军令'!T65</f>
        <v>284.49279404397521</v>
      </c>
      <c r="F5" s="25">
        <f>'[1]功能-行军令'!U65</f>
        <v>321.29741481588007</v>
      </c>
      <c r="G5" s="25">
        <f>'[1]功能-行军令'!V65</f>
        <v>269.52318373124945</v>
      </c>
      <c r="H5" s="25">
        <f>'[1]功能-行军令'!W65</f>
        <v>156.76576384233385</v>
      </c>
      <c r="I5" s="25">
        <f>'[1]功能-实力'!BF66</f>
        <v>3047298</v>
      </c>
      <c r="J5" s="25">
        <f>'[1]功能-实力'!BG66</f>
        <v>3297498</v>
      </c>
      <c r="K5" s="25">
        <f>'[1]功能-实力'!BH66</f>
        <v>3637422</v>
      </c>
      <c r="L5" s="25">
        <f>'[1]功能-实力'!BI66</f>
        <v>4418736</v>
      </c>
      <c r="M5" s="25">
        <f>'[1]功能-实力'!BJ66</f>
        <v>4813566</v>
      </c>
      <c r="O5" s="25">
        <f>INDEX('[1]功能-行军令'!$KF$5:$KF$164,$Q5)*0.2</f>
        <v>6.0180359448186715</v>
      </c>
      <c r="P5" s="25">
        <v>8159304</v>
      </c>
      <c r="Q5" s="25">
        <v>79</v>
      </c>
      <c r="R5" s="25">
        <f t="shared" si="2"/>
        <v>76.552668101198137</v>
      </c>
      <c r="S5" s="25">
        <f t="shared" si="3"/>
        <v>74.614391756410427</v>
      </c>
      <c r="T5" s="25">
        <f t="shared" si="4"/>
        <v>71.288899068560085</v>
      </c>
      <c r="U5" s="25">
        <f t="shared" si="5"/>
        <v>70.106563127464497</v>
      </c>
      <c r="W5" s="25">
        <v>62</v>
      </c>
      <c r="X5" s="25">
        <f t="shared" si="6"/>
        <v>859.44218691865649</v>
      </c>
      <c r="Y5" s="25">
        <f t="shared" si="7"/>
        <v>1104.7126063105839</v>
      </c>
      <c r="Z5" s="25">
        <f t="shared" si="8"/>
        <v>1274.8531225864515</v>
      </c>
      <c r="AA5" s="25">
        <f t="shared" si="9"/>
        <v>1213.1798714009506</v>
      </c>
      <c r="AB5" s="25">
        <f t="shared" si="10"/>
        <v>743.93373030311</v>
      </c>
      <c r="AC5" s="25">
        <f>求节点(装备熔炼!$J$37:$J$62,装备熔炼!$H$37:$H$62,X5/18)</f>
        <v>2.3873394081073793</v>
      </c>
      <c r="AD5" s="25">
        <f>求节点(装备熔炼!$J$37:$J$62,装备熔炼!$H$37:$H$62,Y5/18)</f>
        <v>3.0686461286405109</v>
      </c>
      <c r="AE5" s="25">
        <f>求节点(装备熔炼!$J$37:$J$62,装备熔炼!$H$37:$H$62,Z5/18)</f>
        <v>3.5412586738512548</v>
      </c>
      <c r="AF5" s="25">
        <f>求节点(装备熔炼!$J$37:$J$62,装备熔炼!$H$37:$H$62,AA5/18)</f>
        <v>3.3699440872248632</v>
      </c>
      <c r="AG5" s="25">
        <f>求节点(装备熔炼!$J$37:$J$62,装备熔炼!$H$37:$H$62,AB5/18)</f>
        <v>2.0664825841753056</v>
      </c>
      <c r="AI5" s="25">
        <v>80</v>
      </c>
      <c r="AJ5" s="25">
        <f t="shared" si="11"/>
        <v>1.1807907669600168</v>
      </c>
      <c r="AK5" s="25">
        <f t="shared" si="1"/>
        <v>1.4460665247733113</v>
      </c>
      <c r="AL5" s="25">
        <f t="shared" si="1"/>
        <v>1.55336442775066</v>
      </c>
      <c r="AM5" s="25">
        <f t="shared" si="1"/>
        <v>1.529596814603801</v>
      </c>
      <c r="AN5" s="25">
        <f t="shared" si="1"/>
        <v>1.1030411449101476</v>
      </c>
    </row>
    <row r="6" spans="3:40" x14ac:dyDescent="0.15">
      <c r="C6" s="25">
        <v>63</v>
      </c>
      <c r="D6" s="25">
        <f>'[1]功能-行军令'!S66</f>
        <v>242.7211957761624</v>
      </c>
      <c r="E6" s="25">
        <f>'[1]功能-行军令'!T66</f>
        <v>310.01647292750204</v>
      </c>
      <c r="F6" s="25">
        <f>'[1]功能-行军令'!U66</f>
        <v>343.18555438296426</v>
      </c>
      <c r="G6" s="25">
        <f>'[1]功能-行军令'!V66</f>
        <v>291.65722101156689</v>
      </c>
      <c r="H6" s="25">
        <f>'[1]功能-行军令'!W66</f>
        <v>162.3233625504804</v>
      </c>
      <c r="I6" s="25">
        <f>'[1]功能-实力'!BF67</f>
        <v>3248862</v>
      </c>
      <c r="J6" s="25">
        <f>'[1]功能-实力'!BG67</f>
        <v>3547368</v>
      </c>
      <c r="K6" s="25">
        <f>'[1]功能-实力'!BH67</f>
        <v>3920274</v>
      </c>
      <c r="L6" s="25">
        <f>'[1]功能-实力'!BI67</f>
        <v>4755456</v>
      </c>
      <c r="M6" s="25">
        <f>'[1]功能-实力'!BJ67</f>
        <v>5155530</v>
      </c>
      <c r="O6" s="25">
        <f>INDEX('[1]功能-行军令'!$KF$5:$KF$164,$Q6)*0.2</f>
        <v>7.4014251297199509</v>
      </c>
      <c r="P6" s="25">
        <v>11620392</v>
      </c>
      <c r="Q6" s="25">
        <v>86</v>
      </c>
      <c r="R6" s="25">
        <f t="shared" si="2"/>
        <v>82.852830385558505</v>
      </c>
      <c r="S6" s="25">
        <f t="shared" si="3"/>
        <v>81.002334763296759</v>
      </c>
      <c r="T6" s="25">
        <f t="shared" si="4"/>
        <v>76.954806375732886</v>
      </c>
      <c r="U6" s="25">
        <f t="shared" si="5"/>
        <v>75.59266397593457</v>
      </c>
      <c r="W6" s="25">
        <v>63</v>
      </c>
      <c r="X6" s="25">
        <f t="shared" si="6"/>
        <v>935.984220919113</v>
      </c>
      <c r="Y6" s="25">
        <f t="shared" si="7"/>
        <v>1223.2399893349727</v>
      </c>
      <c r="Z6" s="25">
        <f t="shared" si="8"/>
        <v>1413.5597403092715</v>
      </c>
      <c r="AA6" s="25">
        <f t="shared" si="9"/>
        <v>1352.8620772777933</v>
      </c>
      <c r="AB6" s="25">
        <f t="shared" si="10"/>
        <v>784.00455311951714</v>
      </c>
      <c r="AC6" s="25">
        <f>求节点(装备熔炼!$J$37:$J$62,装备熔炼!$H$37:$H$62,X6/18)</f>
        <v>2.5999561692197588</v>
      </c>
      <c r="AD6" s="25">
        <f>求节点(装备熔炼!$J$37:$J$62,装备熔炼!$H$37:$H$62,Y6/18)</f>
        <v>3.397888859263813</v>
      </c>
      <c r="AE6" s="25">
        <f>求节点(装备熔炼!$J$37:$J$62,装备熔炼!$H$37:$H$62,Z6/18)</f>
        <v>3.9265548341924212</v>
      </c>
      <c r="AF6" s="25">
        <f>求节点(装备熔炼!$J$37:$J$62,装备熔炼!$H$37:$H$62,AA6/18)</f>
        <v>3.7579502146605375</v>
      </c>
      <c r="AG6" s="25">
        <f>求节点(装备熔炼!$J$37:$J$62,装备熔炼!$H$37:$H$62,AB6/18)</f>
        <v>2.1777904253319922</v>
      </c>
      <c r="AI6" s="25">
        <v>90</v>
      </c>
      <c r="AJ6" s="25">
        <f t="shared" si="11"/>
        <v>2.2228685064710874</v>
      </c>
      <c r="AK6" s="25">
        <f t="shared" si="1"/>
        <v>2.5778458801239497</v>
      </c>
      <c r="AL6" s="25">
        <f t="shared" si="1"/>
        <v>2.9401424412321653</v>
      </c>
      <c r="AM6" s="25">
        <f t="shared" si="1"/>
        <v>2.7966623346986124</v>
      </c>
      <c r="AN6" s="25">
        <f t="shared" si="1"/>
        <v>2.0340963849919858</v>
      </c>
    </row>
    <row r="7" spans="3:40" x14ac:dyDescent="0.15">
      <c r="C7" s="25">
        <v>64</v>
      </c>
      <c r="D7" s="25">
        <f>'[1]功能-行军令'!S67</f>
        <v>260.14213642796676</v>
      </c>
      <c r="E7" s="25">
        <f>'[1]功能-行军令'!T67</f>
        <v>330.29960671351364</v>
      </c>
      <c r="F7" s="25">
        <f>'[1]功能-行军令'!U67</f>
        <v>371.77042506787166</v>
      </c>
      <c r="G7" s="25">
        <f>'[1]功能-行军令'!V67</f>
        <v>313.18035447896546</v>
      </c>
      <c r="H7" s="25">
        <f>'[1]功能-行军令'!W67</f>
        <v>169.11169706341661</v>
      </c>
      <c r="I7" s="25">
        <f>'[1]功能-实力'!BF68</f>
        <v>3461508</v>
      </c>
      <c r="J7" s="25">
        <f>'[1]功能-实力'!BG68</f>
        <v>3809646</v>
      </c>
      <c r="K7" s="25">
        <f>'[1]功能-实力'!BH68</f>
        <v>4220718</v>
      </c>
      <c r="L7" s="25">
        <f>'[1]功能-实力'!BI68</f>
        <v>5110422</v>
      </c>
      <c r="M7" s="25">
        <f>'[1]功能-实力'!BJ68</f>
        <v>5513706</v>
      </c>
      <c r="O7" s="25">
        <f>INDEX('[1]功能-行军令'!$KF$5:$KF$164,$Q7)*0.2</f>
        <v>9.1028193339414472</v>
      </c>
      <c r="P7" s="25">
        <v>15521562</v>
      </c>
      <c r="Q7" s="25">
        <v>93</v>
      </c>
      <c r="R7" s="25">
        <f t="shared" si="2"/>
        <v>88.472317970641825</v>
      </c>
      <c r="S7" s="25">
        <f t="shared" si="3"/>
        <v>86.276067565489313</v>
      </c>
      <c r="T7" s="25">
        <f t="shared" si="4"/>
        <v>81.663372191743122</v>
      </c>
      <c r="U7" s="25">
        <f t="shared" si="5"/>
        <v>80.125048150025336</v>
      </c>
      <c r="W7" s="25">
        <v>64</v>
      </c>
      <c r="X7" s="25">
        <f t="shared" si="6"/>
        <v>1019.0862723391099</v>
      </c>
      <c r="Y7" s="25">
        <f t="shared" si="7"/>
        <v>1338.3369896418756</v>
      </c>
      <c r="Z7" s="25">
        <f t="shared" si="8"/>
        <v>1594.0529191386702</v>
      </c>
      <c r="AA7" s="25">
        <f t="shared" si="9"/>
        <v>1495.7058769093951</v>
      </c>
      <c r="AB7" s="25">
        <f t="shared" si="10"/>
        <v>834.96942120959011</v>
      </c>
      <c r="AC7" s="25">
        <f>求节点(装备熔炼!$J$37:$J$62,装备熔炼!$H$37:$H$62,X7/18)</f>
        <v>2.8307952009419721</v>
      </c>
      <c r="AD7" s="25">
        <f>求节点(装备熔炼!$J$37:$J$62,装备熔炼!$H$37:$H$62,Y7/18)</f>
        <v>3.7176027490052101</v>
      </c>
      <c r="AE7" s="25">
        <f>求节点(装备熔炼!$J$37:$J$62,装备熔炼!$H$37:$H$62,Z7/18)</f>
        <v>4.4279247753851951</v>
      </c>
      <c r="AF7" s="25">
        <f>求节点(装备熔炼!$J$37:$J$62,装备熔炼!$H$37:$H$62,AA7/18)</f>
        <v>4.1547385469705418</v>
      </c>
      <c r="AG7" s="25">
        <f>求节点(装备熔炼!$J$37:$J$62,装备熔炼!$H$37:$H$62,AB7/18)</f>
        <v>2.3193595033599723</v>
      </c>
      <c r="AI7" s="25">
        <v>100</v>
      </c>
      <c r="AJ7" s="25">
        <f t="shared" si="11"/>
        <v>3.9524078131198928</v>
      </c>
      <c r="AK7" s="25">
        <f t="shared" si="1"/>
        <v>4.9610117586135303</v>
      </c>
      <c r="AL7" s="25">
        <f t="shared" si="1"/>
        <v>5.6417595823446627</v>
      </c>
      <c r="AM7" s="25">
        <f t="shared" si="1"/>
        <v>5.4289136117136518</v>
      </c>
      <c r="AN7" s="25">
        <f t="shared" si="1"/>
        <v>3.8867068935586708</v>
      </c>
    </row>
    <row r="8" spans="3:40" x14ac:dyDescent="0.15">
      <c r="C8" s="25">
        <v>65</v>
      </c>
      <c r="D8" s="25">
        <f>'[1]功能-行军令'!S68</f>
        <v>278.81343831099184</v>
      </c>
      <c r="E8" s="25">
        <f>'[1]功能-行军令'!T68</f>
        <v>351.73076605635197</v>
      </c>
      <c r="F8" s="25">
        <f>'[1]功能-行军令'!U68</f>
        <v>403.78738129594694</v>
      </c>
      <c r="G8" s="25">
        <f>'[1]功能-行军令'!V68</f>
        <v>330.75838775835746</v>
      </c>
      <c r="H8" s="25">
        <f>'[1]功能-行军令'!W68</f>
        <v>170.12286492105204</v>
      </c>
      <c r="I8" s="25">
        <f>'[1]功能-实力'!BF69</f>
        <v>3685164</v>
      </c>
      <c r="J8" s="25">
        <f>'[1]功能-实力'!BG69</f>
        <v>4088886</v>
      </c>
      <c r="K8" s="25">
        <f>'[1]功能-实力'!BH69</f>
        <v>4542276</v>
      </c>
      <c r="L8" s="25">
        <f>'[1]功能-实力'!BI69</f>
        <v>5477730</v>
      </c>
      <c r="M8" s="25">
        <f>'[1]功能-实力'!BJ69</f>
        <v>5880936</v>
      </c>
      <c r="O8" s="25">
        <f>INDEX('[1]功能-行军令'!$KF$5:$KF$164,$Q8)*0.2</f>
        <v>11.195319600498811</v>
      </c>
      <c r="P8" s="25">
        <v>20580660</v>
      </c>
      <c r="Q8" s="25">
        <v>100</v>
      </c>
      <c r="R8" s="25">
        <f t="shared" si="2"/>
        <v>94.277085621970926</v>
      </c>
      <c r="S8" s="25">
        <f t="shared" si="3"/>
        <v>91.156259342420796</v>
      </c>
      <c r="T8" s="25">
        <f t="shared" si="4"/>
        <v>86.574680476459591</v>
      </c>
      <c r="U8" s="25">
        <f t="shared" si="5"/>
        <v>84.482118230656809</v>
      </c>
      <c r="W8" s="25">
        <v>65</v>
      </c>
      <c r="X8" s="25">
        <f t="shared" si="6"/>
        <v>1109.2957105832227</v>
      </c>
      <c r="Y8" s="25">
        <f t="shared" si="7"/>
        <v>1479.4631704961175</v>
      </c>
      <c r="Z8" s="25">
        <f t="shared" si="8"/>
        <v>1799.4914025481191</v>
      </c>
      <c r="AA8" s="25">
        <f t="shared" si="9"/>
        <v>1626.8815590414645</v>
      </c>
      <c r="AB8" s="25">
        <f t="shared" si="10"/>
        <v>870.06784408055239</v>
      </c>
      <c r="AC8" s="25">
        <f>求节点(装备熔炼!$J$37:$J$62,装备熔炼!$H$37:$H$62,X8/18)</f>
        <v>3.0813769738422856</v>
      </c>
      <c r="AD8" s="25">
        <f>求节点(装备熔炼!$J$37:$J$62,装备熔炼!$H$37:$H$62,Y8/18)</f>
        <v>4.1096199180447712</v>
      </c>
      <c r="AE8" s="25">
        <f>求节点(装备熔炼!$J$37:$J$62,装备熔炼!$H$37:$H$62,Z8/18)</f>
        <v>4.9985872293003313</v>
      </c>
      <c r="AF8" s="25">
        <f>求节点(装备熔炼!$J$37:$J$62,装备熔炼!$H$37:$H$62,AA8/18)</f>
        <v>4.519115441781846</v>
      </c>
      <c r="AG8" s="25">
        <f>求节点(装备熔炼!$J$37:$J$62,装备熔炼!$H$37:$H$62,AB8/18)</f>
        <v>2.4168551224459791</v>
      </c>
      <c r="AI8" s="25">
        <v>110</v>
      </c>
      <c r="AJ8" s="25">
        <f t="shared" si="11"/>
        <v>6.7866236219948117</v>
      </c>
      <c r="AK8" s="25">
        <f t="shared" si="1"/>
        <v>8.4414209449299342</v>
      </c>
      <c r="AL8" s="25">
        <f t="shared" si="1"/>
        <v>9.5511879784044034</v>
      </c>
      <c r="AM8" s="25">
        <f t="shared" si="1"/>
        <v>9.4253590078047758</v>
      </c>
      <c r="AN8" s="25">
        <f t="shared" si="1"/>
        <v>6.9175888776805339</v>
      </c>
    </row>
    <row r="9" spans="3:40" x14ac:dyDescent="0.15">
      <c r="C9" s="25">
        <v>66</v>
      </c>
      <c r="D9" s="25">
        <f>'[1]功能-行军令'!S69</f>
        <v>298.82484418021977</v>
      </c>
      <c r="E9" s="25">
        <f>'[1]功能-行军令'!T69</f>
        <v>382.07760975614201</v>
      </c>
      <c r="F9" s="25">
        <f>'[1]功能-行军令'!U69</f>
        <v>426.61613198699433</v>
      </c>
      <c r="G9" s="25">
        <f>'[1]功能-行军令'!V69</f>
        <v>333.01373476450044</v>
      </c>
      <c r="H9" s="25">
        <f>'[1]功能-行军令'!W69</f>
        <v>191.34232498857773</v>
      </c>
      <c r="I9" s="25">
        <f>'[1]功能-实力'!BF70</f>
        <v>3897204</v>
      </c>
      <c r="J9" s="25">
        <f>'[1]功能-实力'!BG70</f>
        <v>4364706</v>
      </c>
      <c r="K9" s="25">
        <f>'[1]功能-实力'!BH70</f>
        <v>4872480</v>
      </c>
      <c r="L9" s="25">
        <f>'[1]功能-实力'!BI70</f>
        <v>5848440</v>
      </c>
      <c r="M9" s="25">
        <f>'[1]功能-实力'!BJ70</f>
        <v>6269262</v>
      </c>
      <c r="O9" s="25">
        <f>INDEX('[1]功能-行军令'!$KF$5:$KF$164,$Q9)*0.2</f>
        <v>13.768830991732285</v>
      </c>
      <c r="P9" s="25">
        <v>26451780</v>
      </c>
      <c r="Q9" s="25">
        <v>107</v>
      </c>
      <c r="R9" s="25">
        <f t="shared" si="2"/>
        <v>100.63229015186225</v>
      </c>
      <c r="S9" s="25">
        <f t="shared" si="3"/>
        <v>96.702425678343772</v>
      </c>
      <c r="T9" s="25">
        <f t="shared" si="4"/>
        <v>91.672010012515642</v>
      </c>
      <c r="U9" s="25">
        <f t="shared" si="5"/>
        <v>89.95989607477442</v>
      </c>
      <c r="W9" s="25">
        <v>66</v>
      </c>
      <c r="X9" s="25">
        <f t="shared" si="6"/>
        <v>1227.9565888452807</v>
      </c>
      <c r="Y9" s="25">
        <f t="shared" si="7"/>
        <v>1666.0827553409631</v>
      </c>
      <c r="Z9" s="25">
        <f t="shared" si="8"/>
        <v>1973.2401679290058</v>
      </c>
      <c r="AA9" s="25">
        <f t="shared" si="9"/>
        <v>1696.1906850516377</v>
      </c>
      <c r="AB9" s="25">
        <f t="shared" si="10"/>
        <v>1012.4525995423052</v>
      </c>
      <c r="AC9" s="25">
        <f>求节点(装备熔炼!$J$37:$J$62,装备熔炼!$H$37:$H$62,X9/18)</f>
        <v>3.4109905245702246</v>
      </c>
      <c r="AD9" s="25">
        <f>求节点(装备熔炼!$J$37:$J$62,装备熔炼!$H$37:$H$62,Y9/18)</f>
        <v>4.6280076537248975</v>
      </c>
      <c r="AE9" s="25">
        <f>求节点(装备熔炼!$J$37:$J$62,装备熔炼!$H$37:$H$62,Z9/18)</f>
        <v>5.4812226886916831</v>
      </c>
      <c r="AF9" s="25">
        <f>求节点(装备熔炼!$J$37:$J$62,装备熔炼!$H$37:$H$62,AA9/18)</f>
        <v>4.7116407918101046</v>
      </c>
      <c r="AG9" s="25">
        <f>求节点(装备熔炼!$J$37:$J$62,装备熔炼!$H$37:$H$62,AB9/18)</f>
        <v>2.812368332061959</v>
      </c>
      <c r="AI9" s="25">
        <v>120</v>
      </c>
      <c r="AJ9" s="25">
        <f t="shared" si="11"/>
        <v>11.420512859708348</v>
      </c>
      <c r="AK9" s="25">
        <f t="shared" si="1"/>
        <v>14.222928671793531</v>
      </c>
      <c r="AL9" s="25">
        <f t="shared" si="1"/>
        <v>15.828511099852268</v>
      </c>
      <c r="AM9" s="25">
        <f t="shared" si="1"/>
        <v>14.521435055208954</v>
      </c>
      <c r="AN9" s="25">
        <f t="shared" si="1"/>
        <v>10.548456441477018</v>
      </c>
    </row>
    <row r="10" spans="3:40" x14ac:dyDescent="0.15">
      <c r="C10" s="25">
        <v>67</v>
      </c>
      <c r="D10" s="25">
        <f>'[1]功能-行军令'!S70</f>
        <v>320.27253793890213</v>
      </c>
      <c r="E10" s="25">
        <f>'[1]功能-行军令'!T70</f>
        <v>409.83054768109287</v>
      </c>
      <c r="F10" s="25">
        <f>'[1]功能-行军令'!U70</f>
        <v>437.00566235417045</v>
      </c>
      <c r="G10" s="25">
        <f>'[1]功能-行军令'!V70</f>
        <v>356.6717127632719</v>
      </c>
      <c r="H10" s="25">
        <f>'[1]功能-行军令'!W70</f>
        <v>200.61597454919865</v>
      </c>
      <c r="I10" s="25">
        <f>'[1]功能-实力'!BF71</f>
        <v>4116558</v>
      </c>
      <c r="J10" s="25">
        <f>'[1]功能-实力'!BG71</f>
        <v>4653282</v>
      </c>
      <c r="K10" s="25">
        <f>'[1]功能-实力'!BH71</f>
        <v>5214540</v>
      </c>
      <c r="L10" s="25">
        <f>'[1]功能-实力'!BI71</f>
        <v>6242808</v>
      </c>
      <c r="M10" s="25">
        <f>'[1]功能-实力'!BJ71</f>
        <v>6685326</v>
      </c>
      <c r="O10" s="25">
        <f>INDEX('[1]功能-行军令'!$KF$5:$KF$164,$Q10)*0.2</f>
        <v>16.933925394183529</v>
      </c>
      <c r="P10" s="25">
        <v>32818512</v>
      </c>
      <c r="Q10" s="25">
        <v>114</v>
      </c>
      <c r="R10" s="25">
        <f t="shared" si="2"/>
        <v>107.30540393809727</v>
      </c>
      <c r="S10" s="25">
        <f t="shared" si="3"/>
        <v>102.65060894296796</v>
      </c>
      <c r="T10" s="25">
        <f t="shared" si="4"/>
        <v>96.748323037487353</v>
      </c>
      <c r="U10" s="25">
        <f t="shared" si="5"/>
        <v>95.396570484954864</v>
      </c>
      <c r="W10" s="25">
        <v>67</v>
      </c>
      <c r="X10" s="25">
        <f t="shared" si="6"/>
        <v>1357.9364121897129</v>
      </c>
      <c r="Y10" s="25">
        <f t="shared" si="7"/>
        <v>1850.3590694032564</v>
      </c>
      <c r="Z10" s="25">
        <f t="shared" si="8"/>
        <v>2095.0606014095351</v>
      </c>
      <c r="AA10" s="25">
        <f t="shared" si="9"/>
        <v>1879.0432074176151</v>
      </c>
      <c r="AB10" s="25">
        <f t="shared" si="10"/>
        <v>1097.0245354855349</v>
      </c>
      <c r="AC10" s="25">
        <f>求节点(装备熔炼!$J$37:$J$62,装备熔炼!$H$37:$H$62,X10/18)</f>
        <v>3.7720455894158693</v>
      </c>
      <c r="AD10" s="25">
        <f>求节点(装备熔炼!$J$37:$J$62,装备熔炼!$H$37:$H$62,Y10/18)</f>
        <v>5.139886303897935</v>
      </c>
      <c r="AE10" s="25">
        <f>求节点(装备熔炼!$J$37:$J$62,装备熔炼!$H$37:$H$62,Z10/18)</f>
        <v>5.8196127816931531</v>
      </c>
      <c r="AF10" s="25">
        <f>求节点(装备熔炼!$J$37:$J$62,装备熔炼!$H$37:$H$62,AA10/18)</f>
        <v>5.219564465048931</v>
      </c>
      <c r="AG10" s="25">
        <f>求节点(装备熔炼!$J$37:$J$62,装备熔炼!$H$37:$H$62,AB10/18)</f>
        <v>3.0472903763487085</v>
      </c>
      <c r="AI10" s="25">
        <v>130</v>
      </c>
      <c r="AJ10" s="25">
        <f t="shared" si="11"/>
        <v>17.87807772578244</v>
      </c>
      <c r="AK10" s="25">
        <f t="shared" si="1"/>
        <v>20.141316402063577</v>
      </c>
      <c r="AL10" s="25">
        <f t="shared" si="1"/>
        <v>20.693980115223404</v>
      </c>
      <c r="AM10" s="25">
        <f t="shared" si="1"/>
        <v>19.43696766086828</v>
      </c>
      <c r="AN10" s="25">
        <f t="shared" si="1"/>
        <v>15.723021992652587</v>
      </c>
    </row>
    <row r="11" spans="3:40" x14ac:dyDescent="0.15">
      <c r="C11" s="25">
        <v>68</v>
      </c>
      <c r="D11" s="25">
        <f>'[1]功能-行军令'!S71</f>
        <v>343.25960694206515</v>
      </c>
      <c r="E11" s="25">
        <f>'[1]功能-行军令'!T71</f>
        <v>426.28093193698805</v>
      </c>
      <c r="F11" s="25">
        <f>'[1]功能-行军令'!U71</f>
        <v>451.19545365748945</v>
      </c>
      <c r="G11" s="25">
        <f>'[1]功能-行军令'!V71</f>
        <v>390.05155478895722</v>
      </c>
      <c r="H11" s="25">
        <f>'[1]功能-行军令'!W71</f>
        <v>212.19681296768476</v>
      </c>
      <c r="I11" s="25">
        <f>'[1]功能-实力'!BF72</f>
        <v>4343016</v>
      </c>
      <c r="J11" s="25">
        <f>'[1]功能-实力'!BG72</f>
        <v>4954650</v>
      </c>
      <c r="K11" s="25">
        <f>'[1]功能-实力'!BH72</f>
        <v>5571882</v>
      </c>
      <c r="L11" s="25">
        <f>'[1]功能-实力'!BI72</f>
        <v>6674442</v>
      </c>
      <c r="M11" s="25">
        <f>'[1]功能-实力'!BJ72</f>
        <v>7132548</v>
      </c>
      <c r="O11" s="25">
        <f>INDEX('[1]功能-行军令'!$KF$5:$KF$164,$Q11)*0.2</f>
        <v>20.826592281360867</v>
      </c>
      <c r="P11" s="25">
        <v>40600698</v>
      </c>
      <c r="Q11" s="25">
        <v>121</v>
      </c>
      <c r="R11" s="25">
        <f t="shared" si="2"/>
        <v>114.41743335633817</v>
      </c>
      <c r="S11" s="25">
        <f t="shared" si="3"/>
        <v>109.93283190584263</v>
      </c>
      <c r="T11" s="25">
        <f t="shared" si="4"/>
        <v>103.87178666790768</v>
      </c>
      <c r="U11" s="25">
        <f t="shared" si="5"/>
        <v>102.59221545017591</v>
      </c>
      <c r="W11" s="25">
        <v>68</v>
      </c>
      <c r="X11" s="25">
        <f t="shared" si="6"/>
        <v>1500.2487071790231</v>
      </c>
      <c r="Y11" s="25">
        <f t="shared" si="7"/>
        <v>1990.4278345048397</v>
      </c>
      <c r="Z11" s="25">
        <f t="shared" si="8"/>
        <v>2237.6213411007593</v>
      </c>
      <c r="AA11" s="25">
        <f t="shared" si="9"/>
        <v>2123.0842249646653</v>
      </c>
      <c r="AB11" s="25">
        <f t="shared" si="10"/>
        <v>1197.9033560236014</v>
      </c>
      <c r="AC11" s="25">
        <f>求节点(装备熔炼!$J$37:$J$62,装备熔炼!$H$37:$H$62,X11/18)</f>
        <v>4.1673575199417305</v>
      </c>
      <c r="AD11" s="25">
        <f>求节点(装备熔炼!$J$37:$J$62,装备熔炼!$H$37:$H$62,Y11/18)</f>
        <v>5.5289662069578887</v>
      </c>
      <c r="AE11" s="25">
        <f>求节点(装备熔炼!$J$37:$J$62,装备熔炼!$H$37:$H$62,Z11/18)</f>
        <v>6.2156148363909978</v>
      </c>
      <c r="AF11" s="25">
        <f>求节点(装备熔炼!$J$37:$J$62,装备熔炼!$H$37:$H$62,AA11/18)</f>
        <v>5.8974561804574037</v>
      </c>
      <c r="AG11" s="25">
        <f>求节点(装备熔炼!$J$37:$J$62,装备熔炼!$H$37:$H$62,AB11/18)</f>
        <v>3.3275093222877814</v>
      </c>
      <c r="AI11" s="25">
        <v>140</v>
      </c>
      <c r="AJ11" s="25">
        <f t="shared" si="11"/>
        <v>22.880674988018662</v>
      </c>
      <c r="AK11" s="25">
        <f t="shared" si="1"/>
        <v>24.12729899880469</v>
      </c>
      <c r="AL11" s="25">
        <f t="shared" si="1"/>
        <v>24.25897887015693</v>
      </c>
      <c r="AM11" s="25">
        <f t="shared" si="1"/>
        <v>22.908099426343306</v>
      </c>
      <c r="AN11" s="25">
        <f t="shared" si="1"/>
        <v>19.369866050965339</v>
      </c>
    </row>
    <row r="12" spans="3:40" x14ac:dyDescent="0.15">
      <c r="C12" s="25">
        <v>69</v>
      </c>
      <c r="D12" s="25">
        <f>'[1]功能-行军令'!S72</f>
        <v>367.89653748114324</v>
      </c>
      <c r="E12" s="25">
        <f>'[1]功能-行军令'!T72</f>
        <v>447.55370646710162</v>
      </c>
      <c r="F12" s="25">
        <f>'[1]功能-行军令'!U72</f>
        <v>513.56037303381891</v>
      </c>
      <c r="G12" s="25">
        <f>'[1]功能-行军令'!V72</f>
        <v>424.61772471956829</v>
      </c>
      <c r="H12" s="25">
        <f>'[1]功能-行军令'!W72</f>
        <v>226.67886807303194</v>
      </c>
      <c r="I12" s="25">
        <f>'[1]功能-实力'!BF73</f>
        <v>4578750</v>
      </c>
      <c r="J12" s="25">
        <f>'[1]功能-实力'!BG73</f>
        <v>5269428</v>
      </c>
      <c r="K12" s="25">
        <f>'[1]功能-实力'!BH73</f>
        <v>5960226</v>
      </c>
      <c r="L12" s="25">
        <f>'[1]功能-实力'!BI73</f>
        <v>7123656</v>
      </c>
      <c r="M12" s="25">
        <f>'[1]功能-实力'!BJ73</f>
        <v>7604436</v>
      </c>
      <c r="O12" s="25">
        <f>INDEX('[1]功能-行军令'!$KF$5:$KF$164,$Q12)*0.2</f>
        <v>25.614081552705059</v>
      </c>
      <c r="P12" s="25">
        <v>48350964</v>
      </c>
      <c r="Q12" s="25">
        <v>128</v>
      </c>
      <c r="R12" s="25">
        <f t="shared" si="2"/>
        <v>121.33885722215106</v>
      </c>
      <c r="S12" s="25">
        <f t="shared" si="3"/>
        <v>116.3654424008115</v>
      </c>
      <c r="T12" s="25">
        <f t="shared" si="4"/>
        <v>111.36384817345643</v>
      </c>
      <c r="U12" s="25">
        <f t="shared" si="5"/>
        <v>110.0456119441447</v>
      </c>
      <c r="W12" s="25">
        <v>69</v>
      </c>
      <c r="X12" s="25">
        <f t="shared" si="6"/>
        <v>1655.994180244807</v>
      </c>
      <c r="Y12" s="25">
        <f t="shared" si="7"/>
        <v>2158.8362786168377</v>
      </c>
      <c r="Z12" s="25">
        <f t="shared" si="8"/>
        <v>2629.1107236237935</v>
      </c>
      <c r="AA12" s="25">
        <f t="shared" si="9"/>
        <v>2385.4605277948558</v>
      </c>
      <c r="AB12" s="25">
        <f t="shared" si="10"/>
        <v>1319.7724966326591</v>
      </c>
      <c r="AC12" s="25">
        <f>求节点(装备熔炼!$J$37:$J$62,装备熔炼!$H$37:$H$62,X12/18)</f>
        <v>4.5999838340133534</v>
      </c>
      <c r="AD12" s="25">
        <f>求节点(装备熔炼!$J$37:$J$62,装备熔炼!$H$37:$H$62,Y12/18)</f>
        <v>5.9967674406023272</v>
      </c>
      <c r="AE12" s="25">
        <f>求节点(装备熔炼!$J$37:$J$62,装备熔炼!$H$37:$H$62,Z12/18)</f>
        <v>7.3030853433994274</v>
      </c>
      <c r="AF12" s="25">
        <f>求节点(装备熔炼!$J$37:$J$62,装备熔炼!$H$37:$H$62,AA12/18)</f>
        <v>6.626279243874599</v>
      </c>
      <c r="AG12" s="25">
        <f>求节点(装备熔炼!$J$37:$J$62,装备熔炼!$H$37:$H$62,AB12/18)</f>
        <v>3.6660347128684978</v>
      </c>
      <c r="AI12" s="25">
        <v>150</v>
      </c>
      <c r="AJ12" s="25">
        <f t="shared" si="11"/>
        <v>25</v>
      </c>
      <c r="AK12" s="25">
        <f t="shared" si="1"/>
        <v>25</v>
      </c>
      <c r="AL12" s="25">
        <f t="shared" si="1"/>
        <v>25</v>
      </c>
      <c r="AM12" s="25">
        <f t="shared" si="1"/>
        <v>25</v>
      </c>
      <c r="AN12" s="25">
        <f t="shared" si="1"/>
        <v>23.989272774183878</v>
      </c>
    </row>
    <row r="13" spans="3:40" x14ac:dyDescent="0.15">
      <c r="C13" s="25">
        <v>70</v>
      </c>
      <c r="D13" s="25">
        <f>'[1]功能-行军令'!S73</f>
        <v>394.30174583127882</v>
      </c>
      <c r="E13" s="25">
        <f>'[1]功能-行军令'!T73</f>
        <v>499.67462630074351</v>
      </c>
      <c r="F13" s="25">
        <f>'[1]功能-行军令'!U73</f>
        <v>565.28716660795362</v>
      </c>
      <c r="G13" s="25">
        <f>'[1]功能-行军令'!V73</f>
        <v>452.21072336511133</v>
      </c>
      <c r="H13" s="25">
        <f>'[1]功能-行军令'!W73</f>
        <v>251.30383818284417</v>
      </c>
      <c r="I13" s="25">
        <f>'[1]功能-实力'!BF74</f>
        <v>4831320</v>
      </c>
      <c r="J13" s="25">
        <f>'[1]功能-实力'!BG74</f>
        <v>5613006</v>
      </c>
      <c r="K13" s="25">
        <f>'[1]功能-实力'!BH74</f>
        <v>6350298</v>
      </c>
      <c r="L13" s="25">
        <f>'[1]功能-实力'!BI74</f>
        <v>7578774</v>
      </c>
      <c r="M13" s="25">
        <f>'[1]功能-实力'!BJ74</f>
        <v>8106444</v>
      </c>
      <c r="O13" s="25">
        <f>INDEX('[1]功能-行军令'!$KF$5:$KF$164,$Q13)*0.2</f>
        <v>31.50208948853323</v>
      </c>
      <c r="P13" s="25">
        <v>57011634</v>
      </c>
      <c r="Q13" s="25">
        <v>135</v>
      </c>
      <c r="R13" s="25">
        <f t="shared" si="2"/>
        <v>128.80531256830045</v>
      </c>
      <c r="S13" s="25">
        <f t="shared" si="3"/>
        <v>123.01879661203388</v>
      </c>
      <c r="T13" s="25">
        <f t="shared" si="4"/>
        <v>119.25500023616965</v>
      </c>
      <c r="U13" s="25">
        <f t="shared" si="5"/>
        <v>117.47548274951812</v>
      </c>
      <c r="W13" s="25">
        <v>70</v>
      </c>
      <c r="X13" s="25">
        <f t="shared" si="6"/>
        <v>1826.36801097889</v>
      </c>
      <c r="Y13" s="25">
        <f t="shared" si="7"/>
        <v>2488.4802607716401</v>
      </c>
      <c r="Z13" s="25">
        <f t="shared" si="8"/>
        <v>2984.4013492542163</v>
      </c>
      <c r="AA13" s="25">
        <f t="shared" si="9"/>
        <v>2619.5286133025338</v>
      </c>
      <c r="AB13" s="25">
        <f t="shared" si="10"/>
        <v>1507.616440918732</v>
      </c>
      <c r="AC13" s="25">
        <f>求节点(装备熔炼!$J$37:$J$62,装备熔炼!$H$37:$H$62,X13/18)</f>
        <v>5.0732444749413617</v>
      </c>
      <c r="AD13" s="25">
        <f>求节点(装备熔炼!$J$37:$J$62,装备熔炼!$H$37:$H$62,Y13/18)</f>
        <v>6.9124451688101125</v>
      </c>
      <c r="AE13" s="25">
        <f>求节点(装备熔炼!$J$37:$J$62,装备熔炼!$H$37:$H$62,Z13/18)</f>
        <v>8.2900037479283792</v>
      </c>
      <c r="AF13" s="25">
        <f>求节点(装备熔炼!$J$37:$J$62,装备熔炼!$H$37:$H$62,AA13/18)</f>
        <v>7.2764683702848165</v>
      </c>
      <c r="AG13" s="25">
        <f>求节点(装备熔炼!$J$37:$J$62,装备熔炼!$H$37:$H$62,AB13/18)</f>
        <v>4.1878234469964779</v>
      </c>
      <c r="AI13" s="25">
        <v>160</v>
      </c>
      <c r="AJ13" s="25">
        <f t="shared" si="11"/>
        <v>25</v>
      </c>
      <c r="AK13" s="25">
        <f t="shared" si="1"/>
        <v>25</v>
      </c>
      <c r="AL13" s="25">
        <f t="shared" si="1"/>
        <v>25</v>
      </c>
      <c r="AM13" s="25">
        <f t="shared" si="1"/>
        <v>25</v>
      </c>
      <c r="AN13" s="25">
        <f t="shared" si="1"/>
        <v>25</v>
      </c>
    </row>
    <row r="14" spans="3:40" x14ac:dyDescent="0.15">
      <c r="C14" s="25">
        <v>71</v>
      </c>
      <c r="D14" s="25">
        <f>'[1]功能-行军令'!S74</f>
        <v>422.60214741369236</v>
      </c>
      <c r="E14" s="25">
        <f>'[1]功能-行军令'!T74</f>
        <v>540.28637039023852</v>
      </c>
      <c r="F14" s="25">
        <f>'[1]功能-行军令'!U74</f>
        <v>589.43636321884878</v>
      </c>
      <c r="G14" s="25">
        <f>'[1]功能-行军令'!V74</f>
        <v>482.78789964569296</v>
      </c>
      <c r="H14" s="25">
        <f>'[1]功能-行军令'!W74</f>
        <v>270.55278013154839</v>
      </c>
      <c r="I14" s="25">
        <f>'[1]功能-实力'!BF75</f>
        <v>5116296</v>
      </c>
      <c r="J14" s="25">
        <f>'[1]功能-实力'!BG75</f>
        <v>5944506</v>
      </c>
      <c r="K14" s="25">
        <f>'[1]功能-实力'!BH75</f>
        <v>6699006</v>
      </c>
      <c r="L14" s="25">
        <f>'[1]功能-实力'!BI75</f>
        <v>8023080</v>
      </c>
      <c r="M14" s="25">
        <f>'[1]功能-实力'!BJ75</f>
        <v>8602488</v>
      </c>
      <c r="W14" s="25">
        <v>71</v>
      </c>
      <c r="X14" s="25">
        <f t="shared" si="6"/>
        <v>2012.6677432528456</v>
      </c>
      <c r="Y14" s="25">
        <f t="shared" si="7"/>
        <v>2776.3073759675285</v>
      </c>
      <c r="Z14" s="25">
        <f t="shared" si="8"/>
        <v>3206.2425569592074</v>
      </c>
      <c r="AA14" s="25">
        <f t="shared" si="9"/>
        <v>2881.0522291590296</v>
      </c>
      <c r="AB14" s="25">
        <f t="shared" si="10"/>
        <v>1689.1495490169664</v>
      </c>
      <c r="AC14" s="25">
        <f>求节点(装备熔炼!$J$37:$J$62,装备熔炼!$H$37:$H$62,X14/18)</f>
        <v>5.5907437312579056</v>
      </c>
      <c r="AD14" s="25">
        <f>求节点(装备熔炼!$J$37:$J$62,装备熔炼!$H$37:$H$62,Y14/18)</f>
        <v>7.7119649332431353</v>
      </c>
      <c r="AE14" s="25">
        <f>求节点(装备熔炼!$J$37:$J$62,装备熔炼!$H$37:$H$62,Z14/18)</f>
        <v>8.9062293248866862</v>
      </c>
      <c r="AF14" s="25">
        <f>求节点(装备熔炼!$J$37:$J$62,装备熔炼!$H$37:$H$62,AA14/18)</f>
        <v>8.0029228587750829</v>
      </c>
      <c r="AG14" s="25">
        <f>求节点(装备熔炼!$J$37:$J$62,装备熔炼!$H$37:$H$62,AB14/18)</f>
        <v>4.6920820806026846</v>
      </c>
    </row>
    <row r="15" spans="3:40" x14ac:dyDescent="0.15">
      <c r="C15" s="25">
        <v>72</v>
      </c>
      <c r="D15" s="25">
        <f>'[1]功能-行军令'!S75</f>
        <v>452.93376680884739</v>
      </c>
      <c r="E15" s="25">
        <f>'[1]功能-行军令'!T75</f>
        <v>572.74724134938151</v>
      </c>
      <c r="F15" s="25">
        <f>'[1]功能-行军令'!U75</f>
        <v>612.86683237751458</v>
      </c>
      <c r="G15" s="25">
        <f>'[1]功能-行军令'!V75</f>
        <v>512.31388487090226</v>
      </c>
      <c r="H15" s="25">
        <f>'[1]功能-行军令'!W75</f>
        <v>285.35670118184225</v>
      </c>
      <c r="I15" s="25">
        <f>'[1]功能-实力'!BF76</f>
        <v>5424306</v>
      </c>
      <c r="J15" s="25">
        <f>'[1]功能-实力'!BG76</f>
        <v>6291930</v>
      </c>
      <c r="K15" s="25">
        <f>'[1]功能-实力'!BH76</f>
        <v>7062402</v>
      </c>
      <c r="L15" s="25">
        <f>'[1]功能-实力'!BI76</f>
        <v>8494608</v>
      </c>
      <c r="M15" s="25">
        <f>'[1]功能-实力'!BJ76</f>
        <v>9139560</v>
      </c>
      <c r="W15" s="25">
        <v>72</v>
      </c>
      <c r="X15" s="25">
        <f t="shared" si="6"/>
        <v>2216.3018224117809</v>
      </c>
      <c r="Y15" s="25">
        <f t="shared" si="7"/>
        <v>3033.824034920387</v>
      </c>
      <c r="Z15" s="25">
        <f t="shared" si="8"/>
        <v>3431.78998241003</v>
      </c>
      <c r="AA15" s="25">
        <f t="shared" si="9"/>
        <v>3172.0726229883467</v>
      </c>
      <c r="AB15" s="25">
        <f t="shared" si="10"/>
        <v>1853.5315466602858</v>
      </c>
      <c r="AC15" s="25">
        <f>求节点(装备熔炼!$J$37:$J$62,装备熔炼!$H$37:$H$62,X15/18)</f>
        <v>6.1563939511438361</v>
      </c>
      <c r="AD15" s="25">
        <f>求节点(装备熔炼!$J$37:$J$62,装备熔炼!$H$37:$H$62,Y15/18)</f>
        <v>8.4272889858899642</v>
      </c>
      <c r="AE15" s="25">
        <f>求节点(装备熔炼!$J$37:$J$62,装备熔炼!$H$37:$H$62,Z15/18)</f>
        <v>9.5327499511389728</v>
      </c>
      <c r="AF15" s="25">
        <f>求节点(装备熔炼!$J$37:$J$62,装备熔炼!$H$37:$H$62,AA15/18)</f>
        <v>8.8113128416342956</v>
      </c>
      <c r="AG15" s="25">
        <f>求节点(装备熔炼!$J$37:$J$62,装备熔炼!$H$37:$H$62,AB15/18)</f>
        <v>5.1486987407230167</v>
      </c>
    </row>
    <row r="16" spans="3:40" x14ac:dyDescent="0.15">
      <c r="C16" s="25">
        <v>73</v>
      </c>
      <c r="D16" s="25">
        <f>'[1]功能-行军令'!S76</f>
        <v>485.44239155232663</v>
      </c>
      <c r="E16" s="25">
        <f>'[1]功能-行军令'!T76</f>
        <v>591.89476221440054</v>
      </c>
      <c r="F16" s="25">
        <f>'[1]功能-行军令'!U76</f>
        <v>660.91048783792394</v>
      </c>
      <c r="G16" s="25">
        <f>'[1]功能-行军令'!V76</f>
        <v>552.93802332726045</v>
      </c>
      <c r="H16" s="25">
        <f>'[1]功能-行军令'!W76</f>
        <v>307.01283587819398</v>
      </c>
      <c r="I16" s="25">
        <f>'[1]功能-实力'!BF77</f>
        <v>5755602</v>
      </c>
      <c r="J16" s="25">
        <f>'[1]功能-实力'!BG77</f>
        <v>6650886</v>
      </c>
      <c r="K16" s="25">
        <f>'[1]功能-实力'!BH77</f>
        <v>7457790</v>
      </c>
      <c r="L16" s="25">
        <f>'[1]功能-实力'!BI77</f>
        <v>9063222</v>
      </c>
      <c r="M16" s="25">
        <f>'[1]功能-实力'!BJ77</f>
        <v>9748110</v>
      </c>
      <c r="W16" s="25">
        <v>73</v>
      </c>
      <c r="X16" s="25">
        <f t="shared" si="6"/>
        <v>2453.3786615559052</v>
      </c>
      <c r="Y16" s="25">
        <f t="shared" si="7"/>
        <v>3228.9942174270486</v>
      </c>
      <c r="Z16" s="25">
        <f t="shared" si="8"/>
        <v>3806.60099416105</v>
      </c>
      <c r="AA16" s="25">
        <f t="shared" si="9"/>
        <v>3558.6088858348385</v>
      </c>
      <c r="AB16" s="25">
        <f t="shared" si="10"/>
        <v>2071.6158889296471</v>
      </c>
      <c r="AC16" s="25">
        <f>求节点(装备熔炼!$J$37:$J$62,装备熔炼!$H$37:$H$62,X16/18)</f>
        <v>6.8149407265441813</v>
      </c>
      <c r="AD16" s="25">
        <f>求节点(装备熔炼!$J$37:$J$62,装备熔炼!$H$37:$H$62,Y16/18)</f>
        <v>8.9694283817418015</v>
      </c>
      <c r="AE16" s="25">
        <f>求节点(装备熔炼!$J$37:$J$62,装备熔炼!$H$37:$H$62,Z16/18)</f>
        <v>10.286945825223681</v>
      </c>
      <c r="AF16" s="25">
        <f>求节点(装备熔炼!$J$37:$J$62,装备熔炼!$H$37:$H$62,AA16/18)</f>
        <v>9.8850246828745512</v>
      </c>
      <c r="AG16" s="25">
        <f>求节点(装备熔炼!$J$37:$J$62,装备熔炼!$H$37:$H$62,AB16/18)</f>
        <v>5.7544885803601318</v>
      </c>
    </row>
    <row r="17" spans="3:33" x14ac:dyDescent="0.15">
      <c r="C17" s="25">
        <v>74</v>
      </c>
      <c r="D17" s="25">
        <f>'[1]功能-行军令'!S77</f>
        <v>520.28427285593352</v>
      </c>
      <c r="E17" s="25">
        <f>'[1]功能-行军令'!T77</f>
        <v>653.10025012077676</v>
      </c>
      <c r="F17" s="25">
        <f>'[1]功能-行军令'!U77</f>
        <v>739.08491485635932</v>
      </c>
      <c r="G17" s="25">
        <f>'[1]功能-行军令'!V77</f>
        <v>609.21426591501768</v>
      </c>
      <c r="H17" s="25">
        <f>'[1]功能-行军令'!W77</f>
        <v>339.07253242461411</v>
      </c>
      <c r="I17" s="25">
        <f>'[1]功能-实力'!BF78</f>
        <v>6107268</v>
      </c>
      <c r="J17" s="25">
        <f>'[1]功能-实力'!BG78</f>
        <v>7029636</v>
      </c>
      <c r="K17" s="25">
        <f>'[1]功能-实力'!BH78</f>
        <v>7881696</v>
      </c>
      <c r="L17" s="25">
        <f>'[1]功能-实力'!BI78</f>
        <v>9669342</v>
      </c>
      <c r="M17" s="25">
        <f>'[1]功能-实力'!BJ78</f>
        <v>10430796</v>
      </c>
      <c r="W17" s="25">
        <v>74</v>
      </c>
      <c r="X17" s="25">
        <f t="shared" si="6"/>
        <v>2713.0700284354889</v>
      </c>
      <c r="Y17" s="25">
        <f t="shared" si="7"/>
        <v>3666.3320019942344</v>
      </c>
      <c r="Z17" s="25">
        <f t="shared" si="8"/>
        <v>4375.1569868658808</v>
      </c>
      <c r="AA17" s="25">
        <f t="shared" si="9"/>
        <v>4069.5384721091214</v>
      </c>
      <c r="AB17" s="25">
        <f t="shared" si="10"/>
        <v>2373.4449709835594</v>
      </c>
      <c r="AC17" s="25">
        <f>求节点(装备熔炼!$J$37:$J$62,装备熔炼!$H$37:$H$62,X17/18)</f>
        <v>7.5363056345430257</v>
      </c>
      <c r="AD17" s="25">
        <f>求节点(装备熔炼!$J$37:$J$62,装备熔炼!$H$37:$H$62,Y17/18)</f>
        <v>10.092127780547548</v>
      </c>
      <c r="AE17" s="25">
        <f>求节点(装备熔炼!$J$37:$J$62,装备熔炼!$H$37:$H$62,Z17/18)</f>
        <v>11.076606926202611</v>
      </c>
      <c r="AF17" s="25">
        <f>求节点(装备熔炼!$J$37:$J$62,装备熔炼!$H$37:$H$62,AA17/18)</f>
        <v>10.652136766818224</v>
      </c>
      <c r="AG17" s="25">
        <f>求节点(装备熔炼!$J$37:$J$62,装备熔炼!$H$37:$H$62,AB17/18)</f>
        <v>6.5929026971765543</v>
      </c>
    </row>
    <row r="18" spans="3:33" x14ac:dyDescent="0.15">
      <c r="C18" s="25">
        <v>75</v>
      </c>
      <c r="D18" s="25">
        <f>'[1]功能-行军令'!S78</f>
        <v>557.62687662198186</v>
      </c>
      <c r="E18" s="25">
        <f>'[1]功能-行军令'!T78</f>
        <v>709.4611519659702</v>
      </c>
      <c r="F18" s="25">
        <f>'[1]功能-行军令'!U78</f>
        <v>789.74297664098412</v>
      </c>
      <c r="G18" s="25">
        <f>'[1]功能-行军令'!V78</f>
        <v>653.44207999718674</v>
      </c>
      <c r="H18" s="25">
        <f>'[1]功能-行军令'!W78</f>
        <v>369.34833720277857</v>
      </c>
      <c r="I18" s="25">
        <f>'[1]功能-实力'!BF79</f>
        <v>6479832</v>
      </c>
      <c r="J18" s="25">
        <f>'[1]功能-实力'!BG79</f>
        <v>7450092</v>
      </c>
      <c r="K18" s="25">
        <f>'[1]功能-实力'!BH79</f>
        <v>8333538</v>
      </c>
      <c r="L18" s="25">
        <f>'[1]功能-实力'!BI79</f>
        <v>10304964</v>
      </c>
      <c r="M18" s="25">
        <f>'[1]功能-实力'!BJ79</f>
        <v>11149914</v>
      </c>
      <c r="W18" s="25">
        <v>75</v>
      </c>
      <c r="X18" s="25">
        <f t="shared" si="6"/>
        <v>2997.4008842454073</v>
      </c>
      <c r="Y18" s="25">
        <f t="shared" si="7"/>
        <v>4095.0941396342728</v>
      </c>
      <c r="Z18" s="25">
        <f t="shared" si="8"/>
        <v>4818.6517155908241</v>
      </c>
      <c r="AA18" s="25">
        <f t="shared" si="9"/>
        <v>4524.5239023601125</v>
      </c>
      <c r="AB18" s="25">
        <f t="shared" si="10"/>
        <v>2678.5058198555316</v>
      </c>
      <c r="AC18" s="25">
        <f>求节点(装备熔炼!$J$37:$J$62,装备熔炼!$H$37:$H$62,X18/18)</f>
        <v>8.3261135673483544</v>
      </c>
      <c r="AD18" s="25">
        <f>求节点(装备熔炼!$J$37:$J$62,装备熔炼!$H$37:$H$62,Y18/18)</f>
        <v>10.687630749492046</v>
      </c>
      <c r="AE18" s="25">
        <f>求节点(装备熔炼!$J$37:$J$62,装备熔炼!$H$37:$H$62,Z18/18)</f>
        <v>11.692571827209479</v>
      </c>
      <c r="AF18" s="25">
        <f>求节点(装备熔炼!$J$37:$J$62,装备熔炼!$H$37:$H$62,AA18/18)</f>
        <v>11.284060975500157</v>
      </c>
      <c r="AG18" s="25">
        <f>求节点(装备熔炼!$J$37:$J$62,装备熔炼!$H$37:$H$62,AB18/18)</f>
        <v>7.4402939440431446</v>
      </c>
    </row>
    <row r="19" spans="3:33" x14ac:dyDescent="0.15">
      <c r="C19" s="25">
        <v>76</v>
      </c>
      <c r="D19" s="25">
        <f>'[1]功能-行军令'!S79</f>
        <v>597.64968836043954</v>
      </c>
      <c r="E19" s="25">
        <f>'[1]功能-行军令'!T79</f>
        <v>751.85456483676353</v>
      </c>
      <c r="F19" s="25">
        <f>'[1]功能-行军令'!U79</f>
        <v>831.33120770455571</v>
      </c>
      <c r="G19" s="25">
        <f>'[1]功能-行军令'!V79</f>
        <v>702.86814467605836</v>
      </c>
      <c r="H19" s="25">
        <f>'[1]功能-行军令'!W79</f>
        <v>402.62917337361978</v>
      </c>
      <c r="I19" s="25">
        <f>'[1]功能-实力'!BF80</f>
        <v>6900798</v>
      </c>
      <c r="J19" s="25">
        <f>'[1]功能-实力'!BG80</f>
        <v>7898868</v>
      </c>
      <c r="K19" s="25">
        <f>'[1]功能-实力'!BH80</f>
        <v>8832876</v>
      </c>
      <c r="L19" s="25">
        <f>'[1]功能-实力'!BI80</f>
        <v>10967694</v>
      </c>
      <c r="M19" s="25">
        <f>'[1]功能-实力'!BJ80</f>
        <v>11943750</v>
      </c>
      <c r="W19" s="25">
        <v>76</v>
      </c>
      <c r="X19" s="25">
        <f t="shared" si="6"/>
        <v>3308.5703699784845</v>
      </c>
      <c r="Y19" s="25">
        <f t="shared" si="7"/>
        <v>4458.875324812303</v>
      </c>
      <c r="Z19" s="25">
        <f t="shared" si="8"/>
        <v>5252.4393483511785</v>
      </c>
      <c r="AA19" s="25">
        <f t="shared" si="9"/>
        <v>5038.3692950026789</v>
      </c>
      <c r="AB19" s="25">
        <f t="shared" si="10"/>
        <v>3041.5950234425068</v>
      </c>
      <c r="AC19" s="25">
        <f>求节点(装备熔炼!$J$37:$J$62,装备熔炼!$H$37:$H$62,X19/18)</f>
        <v>9.1904732499402346</v>
      </c>
      <c r="AD19" s="25">
        <f>求节点(装备熔炼!$J$37:$J$62,装备熔炼!$H$37:$H$62,Y19/18)</f>
        <v>11.192882395572642</v>
      </c>
      <c r="AE19" s="25">
        <f>求节点(装备熔炼!$J$37:$J$62,装备熔炼!$H$37:$H$62,Z19/18)</f>
        <v>12.295054650487748</v>
      </c>
      <c r="AF19" s="25">
        <f>求节点(装备熔炼!$J$37:$J$62,装备熔炼!$H$37:$H$62,AA19/18)</f>
        <v>11.997735131948165</v>
      </c>
      <c r="AG19" s="25">
        <f>求节点(装备熔炼!$J$37:$J$62,装备熔炼!$H$37:$H$62,AB19/18)</f>
        <v>8.4488750651180737</v>
      </c>
    </row>
    <row r="20" spans="3:33" x14ac:dyDescent="0.15">
      <c r="C20" s="25">
        <v>77</v>
      </c>
      <c r="D20" s="25">
        <f>'[1]功能-行军令'!S80</f>
        <v>640.54507587780608</v>
      </c>
      <c r="E20" s="25">
        <f>'[1]功能-行军令'!T80</f>
        <v>814.04284447520877</v>
      </c>
      <c r="F20" s="25">
        <f>'[1]功能-行军令'!U80</f>
        <v>911.33097301088492</v>
      </c>
      <c r="G20" s="25">
        <f>'[1]功能-行军令'!V80</f>
        <v>760.43059480250304</v>
      </c>
      <c r="H20" s="25">
        <f>'[1]功能-行军令'!W80</f>
        <v>398.72160034217632</v>
      </c>
      <c r="I20" s="25">
        <f>'[1]功能-实力'!BF81</f>
        <v>7346616</v>
      </c>
      <c r="J20" s="25">
        <f>'[1]功能-实力'!BG81</f>
        <v>8370102</v>
      </c>
      <c r="K20" s="25">
        <f>'[1]功能-实力'!BH81</f>
        <v>9366564</v>
      </c>
      <c r="L20" s="25">
        <f>'[1]功能-实力'!BI81</f>
        <v>11651286</v>
      </c>
      <c r="M20" s="25">
        <f>'[1]功能-实力'!BJ81</f>
        <v>12767796</v>
      </c>
      <c r="W20" s="25">
        <v>77</v>
      </c>
      <c r="X20" s="25">
        <f t="shared" si="6"/>
        <v>3648.9663779543016</v>
      </c>
      <c r="Y20" s="25">
        <f t="shared" si="7"/>
        <v>4978.8985437057509</v>
      </c>
      <c r="Z20" s="25">
        <f t="shared" si="8"/>
        <v>5955.2465621801739</v>
      </c>
      <c r="AA20" s="25">
        <f t="shared" si="9"/>
        <v>5640.6881538266889</v>
      </c>
      <c r="AB20" s="25">
        <f t="shared" si="10"/>
        <v>3161.7504767181758</v>
      </c>
      <c r="AC20" s="25">
        <f>求节点(装备熔炼!$J$37:$J$62,装备熔炼!$H$37:$H$62,X20/18)</f>
        <v>10.068008858269863</v>
      </c>
      <c r="AD20" s="25">
        <f>求节点(装备熔炼!$J$37:$J$62,装备熔炼!$H$37:$H$62,Y20/18)</f>
        <v>11.915136866257987</v>
      </c>
      <c r="AE20" s="25">
        <f>求节点(装备熔炼!$J$37:$J$62,装备熔炼!$H$37:$H$62,Z20/18)</f>
        <v>13.271175780805796</v>
      </c>
      <c r="AF20" s="25">
        <f>求节点(装备熔炼!$J$37:$J$62,装备熔炼!$H$37:$H$62,AA20/18)</f>
        <v>12.834289102537067</v>
      </c>
      <c r="AG20" s="25">
        <f>求节点(装备熔炼!$J$37:$J$62,装备熔炼!$H$37:$H$62,AB20/18)</f>
        <v>8.7826402131060437</v>
      </c>
    </row>
    <row r="21" spans="3:33" x14ac:dyDescent="0.15">
      <c r="C21" s="25">
        <v>78</v>
      </c>
      <c r="D21" s="25">
        <f>'[1]功能-行军令'!S81</f>
        <v>686.51921388412848</v>
      </c>
      <c r="E21" s="25">
        <f>'[1]功能-行军令'!T81</f>
        <v>865.53954593593153</v>
      </c>
      <c r="F21" s="25">
        <f>'[1]功能-行军令'!U81</f>
        <v>973.79419966163732</v>
      </c>
      <c r="G21" s="25">
        <f>'[1]功能-行军令'!V81</f>
        <v>797.96366879362722</v>
      </c>
      <c r="H21" s="25">
        <f>'[1]功能-行军令'!W81</f>
        <v>423.97284334868709</v>
      </c>
      <c r="I21" s="25">
        <f>'[1]功能-实力'!BF82</f>
        <v>7749738</v>
      </c>
      <c r="J21" s="25">
        <f>'[1]功能-实力'!BG82</f>
        <v>8820960</v>
      </c>
      <c r="K21" s="25">
        <f>'[1]功能-实力'!BH82</f>
        <v>9901866</v>
      </c>
      <c r="L21" s="25">
        <f>'[1]功能-实力'!BI82</f>
        <v>12375630</v>
      </c>
      <c r="M21" s="25">
        <f>'[1]功能-实力'!BJ82</f>
        <v>13586334</v>
      </c>
      <c r="W21" s="25">
        <v>78</v>
      </c>
      <c r="X21" s="25">
        <f t="shared" si="6"/>
        <v>4021.1813177709691</v>
      </c>
      <c r="Y21" s="25">
        <f t="shared" si="7"/>
        <v>5483.920924860231</v>
      </c>
      <c r="Z21" s="25">
        <f t="shared" si="8"/>
        <v>6574.3104425212805</v>
      </c>
      <c r="AA21" s="25">
        <f t="shared" si="9"/>
        <v>6207.4356832667363</v>
      </c>
      <c r="AB21" s="25">
        <f t="shared" si="10"/>
        <v>3521.1392820364431</v>
      </c>
      <c r="AC21" s="25">
        <f>求节点(装备熔炼!$J$37:$J$62,装备熔炼!$H$37:$H$62,X21/18)</f>
        <v>10.58497405245968</v>
      </c>
      <c r="AD21" s="25">
        <f>求节点(装备熔炼!$J$37:$J$62,装备熔炼!$H$37:$H$62,Y21/18)</f>
        <v>12.616556840083655</v>
      </c>
      <c r="AE21" s="25">
        <f>求节点(装备熔炼!$J$37:$J$62,装备熔炼!$H$37:$H$62,Z21/18)</f>
        <v>14.130986725724</v>
      </c>
      <c r="AF21" s="25">
        <f>求节点(装备熔炼!$J$37:$J$62,装备熔炼!$H$37:$H$62,AA21/18)</f>
        <v>13.621438448981579</v>
      </c>
      <c r="AG21" s="25">
        <f>求节点(装备熔炼!$J$37:$J$62,装备熔炼!$H$37:$H$62,AB21/18)</f>
        <v>9.7809424501012305</v>
      </c>
    </row>
    <row r="22" spans="3:33" x14ac:dyDescent="0.15">
      <c r="C22" s="25">
        <v>79</v>
      </c>
      <c r="D22" s="25">
        <f>'[1]功能-行军令'!S82</f>
        <v>735.79307496228648</v>
      </c>
      <c r="E22" s="25">
        <f>'[1]功能-行军令'!T82</f>
        <v>940.41142160650998</v>
      </c>
      <c r="F22" s="25">
        <f>'[1]功能-行军令'!U82</f>
        <v>1046.7285480462251</v>
      </c>
      <c r="G22" s="25">
        <f>'[1]功能-行军令'!V82</f>
        <v>818.48746339984427</v>
      </c>
      <c r="H22" s="25">
        <f>'[1]功能-行军令'!W82</f>
        <v>460.42866304583913</v>
      </c>
      <c r="I22" s="25">
        <f>'[1]功能-实力'!BF83</f>
        <v>8159304</v>
      </c>
      <c r="J22" s="25">
        <f>'[1]功能-实力'!BG83</f>
        <v>9333510</v>
      </c>
      <c r="K22" s="25">
        <f>'[1]功能-实力'!BH83</f>
        <v>10451232</v>
      </c>
      <c r="L22" s="25">
        <f>'[1]功能-实力'!BI83</f>
        <v>13115316</v>
      </c>
      <c r="M22" s="25">
        <f>'[1]功能-实力'!BJ83</f>
        <v>14448732</v>
      </c>
      <c r="W22" s="25">
        <v>79</v>
      </c>
      <c r="X22" s="25">
        <f t="shared" si="6"/>
        <v>4428.029173071699</v>
      </c>
      <c r="Y22" s="25">
        <f t="shared" si="7"/>
        <v>6164.7926958361459</v>
      </c>
      <c r="Z22" s="25">
        <f t="shared" si="8"/>
        <v>7293.3893369260204</v>
      </c>
      <c r="AA22" s="25">
        <f t="shared" si="9"/>
        <v>6662.8446835192281</v>
      </c>
      <c r="AB22" s="25">
        <f t="shared" si="10"/>
        <v>3996.7472573375471</v>
      </c>
      <c r="AC22" s="25">
        <f>求节点(装备熔炼!$J$37:$J$62,装备熔炼!$H$37:$H$62,X22/18)</f>
        <v>11.150040518155137</v>
      </c>
      <c r="AD22" s="25">
        <f>求节点(装备熔炼!$J$37:$J$62,装备熔炼!$H$37:$H$62,Y22/18)</f>
        <v>13.562212077550203</v>
      </c>
      <c r="AE22" s="25">
        <f>求节点(装备熔炼!$J$37:$J$62,装备熔炼!$H$37:$H$62,Z22/18)</f>
        <v>15.129707412397252</v>
      </c>
      <c r="AF22" s="25">
        <f>求节点(装备熔炼!$J$37:$J$62,装备熔炼!$H$37:$H$62,AA22/18)</f>
        <v>14.25395094933226</v>
      </c>
      <c r="AG22" s="25">
        <f>求节点(装备熔炼!$J$37:$J$62,装备熔炼!$H$37:$H$62,AB22/18)</f>
        <v>10.55103785741326</v>
      </c>
    </row>
    <row r="23" spans="3:33" x14ac:dyDescent="0.15">
      <c r="C23" s="25">
        <v>80</v>
      </c>
      <c r="D23" s="25">
        <f>'[1]功能-行军令'!S83</f>
        <v>788.60349166255764</v>
      </c>
      <c r="E23" s="25">
        <f>'[1]功能-行军令'!T83</f>
        <v>1005.413747104818</v>
      </c>
      <c r="F23" s="25">
        <f>'[1]功能-行军令'!U83</f>
        <v>1055.6579966450681</v>
      </c>
      <c r="G23" s="25">
        <f>'[1]功能-行军令'!V83</f>
        <v>871.94687457190776</v>
      </c>
      <c r="H23" s="25">
        <f>'[1]功能-行军令'!W83</f>
        <v>479.45613307070016</v>
      </c>
      <c r="I23" s="25">
        <f>'[1]功能-实力'!BF84</f>
        <v>8585118</v>
      </c>
      <c r="J23" s="25">
        <f>'[1]功能-实力'!BG84</f>
        <v>9889398</v>
      </c>
      <c r="K23" s="25">
        <f>'[1]功能-实力'!BH84</f>
        <v>11015052</v>
      </c>
      <c r="L23" s="25">
        <f>'[1]功能-实力'!BI84</f>
        <v>13866504</v>
      </c>
      <c r="M23" s="25">
        <f>'[1]功能-实力'!BJ84</f>
        <v>15373530</v>
      </c>
      <c r="W23" s="25">
        <v>80</v>
      </c>
      <c r="X23" s="25">
        <f t="shared" si="6"/>
        <v>4901.6935221121221</v>
      </c>
      <c r="Y23" s="25">
        <f t="shared" si="7"/>
        <v>6811.6789783678405</v>
      </c>
      <c r="Z23" s="25">
        <f t="shared" si="8"/>
        <v>7584.223879804751</v>
      </c>
      <c r="AA23" s="25">
        <f t="shared" si="9"/>
        <v>7413.0970651473681</v>
      </c>
      <c r="AB23" s="25">
        <f t="shared" si="10"/>
        <v>4341.8962433530614</v>
      </c>
      <c r="AC23" s="25">
        <f>求节点(装备熔炼!$J$37:$J$62,装备熔炼!$H$37:$H$62,X23/18)</f>
        <v>11.807907669600169</v>
      </c>
      <c r="AD23" s="25">
        <f>求节点(装备熔炼!$J$37:$J$62,装备熔炼!$H$37:$H$62,Y23/18)</f>
        <v>14.460665247733113</v>
      </c>
      <c r="AE23" s="25">
        <f>求节点(装备熔炼!$J$37:$J$62,装备熔炼!$H$37:$H$62,Z23/18)</f>
        <v>15.5336442775066</v>
      </c>
      <c r="AF23" s="25">
        <f>求节点(装备熔炼!$J$37:$J$62,装备熔炼!$H$37:$H$62,AA23/18)</f>
        <v>15.29596814603801</v>
      </c>
      <c r="AG23" s="25">
        <f>求节点(装备熔炼!$J$37:$J$62,装备熔炼!$H$37:$H$62,AB23/18)</f>
        <v>11.030411449101475</v>
      </c>
    </row>
    <row r="24" spans="3:33" x14ac:dyDescent="0.15">
      <c r="C24" s="25">
        <v>81</v>
      </c>
      <c r="D24" s="25">
        <f>'[1]功能-行军令'!S84</f>
        <v>845.20429482738473</v>
      </c>
      <c r="E24" s="25">
        <f>'[1]功能-行军令'!T84</f>
        <v>1023.3691180786918</v>
      </c>
      <c r="F24" s="25">
        <f>'[1]功能-行军令'!U84</f>
        <v>1122.7579742714115</v>
      </c>
      <c r="G24" s="25">
        <f>'[1]功能-行军令'!V84</f>
        <v>945.56841771482323</v>
      </c>
      <c r="H24" s="25">
        <f>'[1]功能-行军令'!W84</f>
        <v>523.23145361270599</v>
      </c>
      <c r="I24" s="25">
        <f>'[1]功能-实力'!BF85</f>
        <v>9032556</v>
      </c>
      <c r="J24" s="25">
        <f>'[1]功能-实力'!BG85</f>
        <v>10518918</v>
      </c>
      <c r="K24" s="25">
        <f>'[1]功能-实力'!BH85</f>
        <v>11618916</v>
      </c>
      <c r="L24" s="25">
        <f>'[1]功能-实力'!BI85</f>
        <v>14841774</v>
      </c>
      <c r="M24" s="25">
        <f>'[1]功能-实力'!BJ85</f>
        <v>16557330</v>
      </c>
      <c r="W24" s="25">
        <v>81</v>
      </c>
      <c r="X24" s="25">
        <f t="shared" si="6"/>
        <v>5420.5402499852671</v>
      </c>
      <c r="Y24" s="25">
        <f t="shared" si="7"/>
        <v>7158.0379496813348</v>
      </c>
      <c r="Z24" s="25">
        <f t="shared" si="8"/>
        <v>8309.4413939214446</v>
      </c>
      <c r="AA24" s="25">
        <f t="shared" si="9"/>
        <v>8380.6828376066624</v>
      </c>
      <c r="AB24" s="25">
        <f t="shared" si="10"/>
        <v>4982.7427843098467</v>
      </c>
      <c r="AC24" s="25">
        <f>求节点(装备熔炼!$J$37:$J$62,装备熔炼!$H$37:$H$62,X24/18)</f>
        <v>12.528528124979537</v>
      </c>
      <c r="AD24" s="25">
        <f>求节点(装备熔炼!$J$37:$J$62,装备熔炼!$H$37:$H$62,Y24/18)</f>
        <v>14.94171937455741</v>
      </c>
      <c r="AE24" s="25">
        <f>求节点(装备熔炼!$J$37:$J$62,装备熔炼!$H$37:$H$62,Z24/18)</f>
        <v>16.540890824890894</v>
      </c>
      <c r="AF24" s="25">
        <f>求节点(装备熔炼!$J$37:$J$62,装备熔炼!$H$37:$H$62,AA24/18)</f>
        <v>16.639837274453697</v>
      </c>
      <c r="AG24" s="25">
        <f>求节点(装备熔炼!$J$37:$J$62,装备熔炼!$H$37:$H$62,AB24/18)</f>
        <v>11.920476089319232</v>
      </c>
    </row>
    <row r="25" spans="3:33" x14ac:dyDescent="0.15">
      <c r="C25" s="25">
        <v>82</v>
      </c>
      <c r="D25" s="25">
        <f>'[1]功能-行军令'!S85</f>
        <v>905.86753361768569</v>
      </c>
      <c r="E25" s="25">
        <f>'[1]功能-行军令'!T85</f>
        <v>1125.0584828458086</v>
      </c>
      <c r="F25" s="25">
        <f>'[1]功能-行军令'!U85</f>
        <v>1247.0299632238639</v>
      </c>
      <c r="G25" s="25">
        <f>'[1]功能-行军令'!V85</f>
        <v>1035.3445166446691</v>
      </c>
      <c r="H25" s="25">
        <f>'[1]功能-行军令'!W85</f>
        <v>553.5269621628413</v>
      </c>
      <c r="I25" s="25">
        <f>'[1]功能-实力'!BF86</f>
        <v>9551280</v>
      </c>
      <c r="J25" s="25">
        <f>'[1]功能-实力'!BG86</f>
        <v>11130006</v>
      </c>
      <c r="K25" s="25">
        <f>'[1]功能-实力'!BH86</f>
        <v>12251100</v>
      </c>
      <c r="L25" s="25">
        <f>'[1]功能-实力'!BI86</f>
        <v>15866520</v>
      </c>
      <c r="M25" s="25">
        <f>'[1]功能-实力'!BJ86</f>
        <v>17776638</v>
      </c>
      <c r="W25" s="25">
        <v>82</v>
      </c>
      <c r="X25" s="25">
        <f t="shared" si="6"/>
        <v>5988.615099538285</v>
      </c>
      <c r="Y25" s="25">
        <f t="shared" si="7"/>
        <v>8116.3526859668136</v>
      </c>
      <c r="Z25" s="25">
        <f t="shared" si="8"/>
        <v>9631.1722776471051</v>
      </c>
      <c r="AA25" s="25">
        <f t="shared" si="9"/>
        <v>9573.046133557591</v>
      </c>
      <c r="AB25" s="25">
        <f t="shared" si="10"/>
        <v>5537.0810001199861</v>
      </c>
      <c r="AC25" s="25">
        <f>求节点(装备熔炼!$J$37:$J$62,装备熔炼!$H$37:$H$62,X25/18)</f>
        <v>13.317520971580951</v>
      </c>
      <c r="AD25" s="25">
        <f>求节点(装备熔炼!$J$37:$J$62,装备熔炼!$H$37:$H$62,Y25/18)</f>
        <v>16.272712063842796</v>
      </c>
      <c r="AE25" s="25">
        <f>求节点(装备熔炼!$J$37:$J$62,装备熔炼!$H$37:$H$62,Z25/18)</f>
        <v>18.376628163398756</v>
      </c>
      <c r="AF25" s="25">
        <f>求节点(装备熔炼!$J$37:$J$62,装备熔炼!$H$37:$H$62,AA25/18)</f>
        <v>18.295897407718876</v>
      </c>
      <c r="AG25" s="25">
        <f>求节点(装备熔炼!$J$37:$J$62,装备熔炼!$H$37:$H$62,AB25/18)</f>
        <v>12.690390277944426</v>
      </c>
    </row>
    <row r="26" spans="3:33" x14ac:dyDescent="0.15">
      <c r="C26" s="25">
        <v>83</v>
      </c>
      <c r="D26" s="25">
        <f>'[1]功能-行军令'!S86</f>
        <v>970.88478310467508</v>
      </c>
      <c r="E26" s="25">
        <f>'[1]功能-行军令'!T86</f>
        <v>1232.0371524947113</v>
      </c>
      <c r="F26" s="25">
        <f>'[1]功能-行军令'!U86</f>
        <v>1381.1208891200295</v>
      </c>
      <c r="G26" s="25">
        <f>'[1]功能-行军令'!V86</f>
        <v>1109.0003784223209</v>
      </c>
      <c r="H26" s="25">
        <f>'[1]功能-行军令'!W86</f>
        <v>614.1623157017184</v>
      </c>
      <c r="I26" s="25">
        <f>'[1]功能-实力'!BF87</f>
        <v>10067082</v>
      </c>
      <c r="J26" s="25">
        <f>'[1]功能-实力'!BG87</f>
        <v>11705016</v>
      </c>
      <c r="K26" s="25">
        <f>'[1]功能-实力'!BH87</f>
        <v>12941712</v>
      </c>
      <c r="L26" s="25">
        <f>'[1]功能-实力'!BI87</f>
        <v>16870758</v>
      </c>
      <c r="M26" s="25">
        <f>'[1]功能-实力'!BJ87</f>
        <v>18872622</v>
      </c>
      <c r="W26" s="25">
        <v>83</v>
      </c>
      <c r="X26" s="25">
        <f t="shared" si="6"/>
        <v>6610.3118137055462</v>
      </c>
      <c r="Y26" s="25">
        <f t="shared" si="7"/>
        <v>9173.7279406314356</v>
      </c>
      <c r="Z26" s="25">
        <f t="shared" si="8"/>
        <v>11112.367840158799</v>
      </c>
      <c r="AA26" s="25">
        <f t="shared" si="9"/>
        <v>10726.584119023755</v>
      </c>
      <c r="AB26" s="25">
        <f t="shared" si="10"/>
        <v>6438.5868596741211</v>
      </c>
      <c r="AC26" s="25">
        <f>求节点(装备熔炼!$J$37:$J$62,装备熔炼!$H$37:$H$62,X26/18)</f>
        <v>14.180988630146594</v>
      </c>
      <c r="AD26" s="25">
        <f>求节点(装备熔炼!$J$37:$J$62,装备熔炼!$H$37:$H$62,Y26/18)</f>
        <v>17.74128880643255</v>
      </c>
      <c r="AE26" s="25">
        <f>求节点(装备熔炼!$J$37:$J$62,装备熔炼!$H$37:$H$62,Z26/18)</f>
        <v>20.289229481628517</v>
      </c>
      <c r="AF26" s="25">
        <f>求节点(装备熔炼!$J$37:$J$62,装备熔炼!$H$37:$H$62,AA26/18)</f>
        <v>19.898033498644104</v>
      </c>
      <c r="AG26" s="25">
        <f>求节点(装备熔炼!$J$37:$J$62,装备熔炼!$H$37:$H$62,AB26/18)</f>
        <v>13.94248174954739</v>
      </c>
    </row>
    <row r="27" spans="3:33" x14ac:dyDescent="0.15">
      <c r="C27" s="25">
        <v>84</v>
      </c>
      <c r="D27" s="25">
        <f>'[1]功能-行军令'!S87</f>
        <v>1040.5685457118543</v>
      </c>
      <c r="E27" s="25">
        <f>'[1]功能-行军令'!T87</f>
        <v>1321.2249346675017</v>
      </c>
      <c r="F27" s="25">
        <f>'[1]功能-行军令'!U87</f>
        <v>1430.2117292425755</v>
      </c>
      <c r="G27" s="25">
        <f>'[1]功能-行军令'!V87</f>
        <v>1174.0200532891467</v>
      </c>
      <c r="H27" s="25">
        <f>'[1]功能-行军令'!W87</f>
        <v>664.94709244047954</v>
      </c>
      <c r="I27" s="25">
        <f>'[1]功能-实力'!BF88</f>
        <v>10589772</v>
      </c>
      <c r="J27" s="25">
        <f>'[1]功能-实力'!BG88</f>
        <v>12304122</v>
      </c>
      <c r="K27" s="25">
        <f>'[1]功能-实力'!BH88</f>
        <v>13668792</v>
      </c>
      <c r="L27" s="25">
        <f>'[1]功能-实力'!BI88</f>
        <v>17894034</v>
      </c>
      <c r="M27" s="25">
        <f>'[1]功能-实力'!BJ88</f>
        <v>20018514</v>
      </c>
      <c r="W27" s="25">
        <v>84</v>
      </c>
      <c r="X27" s="25">
        <f t="shared" si="6"/>
        <v>7290.4012484889381</v>
      </c>
      <c r="Y27" s="25">
        <f t="shared" si="7"/>
        <v>10237.841697631522</v>
      </c>
      <c r="Z27" s="25">
        <f t="shared" si="8"/>
        <v>11968.758259054241</v>
      </c>
      <c r="AA27" s="25">
        <f t="shared" si="9"/>
        <v>11855.674083328375</v>
      </c>
      <c r="AB27" s="25">
        <f t="shared" si="10"/>
        <v>7290.3338986513954</v>
      </c>
      <c r="AC27" s="25">
        <f>求节点(装备熔炼!$J$37:$J$62,装备熔炼!$H$37:$H$62,X27/18)</f>
        <v>15.125557289567968</v>
      </c>
      <c r="AD27" s="25">
        <f>求节点(装备熔炼!$J$37:$J$62,装备熔炼!$H$37:$H$62,Y27/18)</f>
        <v>19.219224580043779</v>
      </c>
      <c r="AE27" s="25">
        <f>求节点(装备熔炼!$J$37:$J$62,装备熔炼!$H$37:$H$62,Z27/18)</f>
        <v>21.082183573198371</v>
      </c>
      <c r="AF27" s="25">
        <f>求节点(装备熔炼!$J$37:$J$62,装备熔炼!$H$37:$H$62,AA27/18)</f>
        <v>20.977476003081829</v>
      </c>
      <c r="AG27" s="25">
        <f>求节点(装备熔炼!$J$37:$J$62,装备熔炼!$H$37:$H$62,AB27/18)</f>
        <v>15.12546374812694</v>
      </c>
    </row>
    <row r="28" spans="3:33" x14ac:dyDescent="0.15">
      <c r="C28" s="25">
        <v>85</v>
      </c>
      <c r="D28" s="25">
        <f>'[1]功能-行军令'!S88</f>
        <v>1115.2537532439674</v>
      </c>
      <c r="E28" s="25">
        <f>'[1]功能-行军令'!T88</f>
        <v>1370.9082001555435</v>
      </c>
      <c r="F28" s="25">
        <f>'[1]功能-行军令'!U88</f>
        <v>1514.8867616644966</v>
      </c>
      <c r="G28" s="25">
        <f>'[1]功能-行军令'!V88</f>
        <v>1297.436005233074</v>
      </c>
      <c r="H28" s="25">
        <f>'[1]功能-行军令'!W88</f>
        <v>709.20440847592363</v>
      </c>
      <c r="I28" s="25">
        <f>'[1]功能-实力'!BF89</f>
        <v>11070060</v>
      </c>
      <c r="J28" s="25">
        <f>'[1]功能-实力'!BG89</f>
        <v>12962562</v>
      </c>
      <c r="K28" s="25">
        <f>'[1]功能-实力'!BH89</f>
        <v>14440398</v>
      </c>
      <c r="L28" s="25">
        <f>'[1]功能-实力'!BI89</f>
        <v>18858894</v>
      </c>
      <c r="M28" s="25">
        <f>'[1]功能-实力'!BJ89</f>
        <v>21184506</v>
      </c>
      <c r="W28" s="25">
        <v>85</v>
      </c>
      <c r="X28" s="25">
        <f t="shared" si="6"/>
        <v>8034.0628723232121</v>
      </c>
      <c r="Y28" s="25">
        <f t="shared" si="7"/>
        <v>11037.890372409445</v>
      </c>
      <c r="Z28" s="25">
        <f t="shared" si="8"/>
        <v>13166.090875142499</v>
      </c>
      <c r="AA28" s="25">
        <f t="shared" si="9"/>
        <v>13654.754956586828</v>
      </c>
      <c r="AB28" s="25">
        <f t="shared" si="10"/>
        <v>8112.323497774416</v>
      </c>
      <c r="AC28" s="25">
        <f>求节点(装备熔炼!$J$37:$J$62,装备熔炼!$H$37:$H$62,X28/18)</f>
        <v>16.158420656004459</v>
      </c>
      <c r="AD28" s="25">
        <f>求节点(装备熔炼!$J$37:$J$62,装备熔炼!$H$37:$H$62,Y28/18)</f>
        <v>20.220268863342078</v>
      </c>
      <c r="AE28" s="25">
        <f>求节点(装备熔炼!$J$37:$J$62,装备熔炼!$H$37:$H$62,Z28/18)</f>
        <v>22.190824884391205</v>
      </c>
      <c r="AF28" s="25">
        <f>求节点(装备熔炼!$J$37:$J$62,装备熔炼!$H$37:$H$62,AA28/18)</f>
        <v>22.643291626469285</v>
      </c>
      <c r="AG28" s="25">
        <f>求节点(装备熔炼!$J$37:$J$62,装备熔炼!$H$37:$H$62,AB28/18)</f>
        <v>16.267115969131133</v>
      </c>
    </row>
    <row r="29" spans="3:33" x14ac:dyDescent="0.15">
      <c r="C29" s="25">
        <v>86</v>
      </c>
      <c r="D29" s="25">
        <f>'[1]功能-行军令'!S89</f>
        <v>1195.2993767208791</v>
      </c>
      <c r="E29" s="25">
        <f>'[1]功能-行军令'!T89</f>
        <v>1492.7894953603609</v>
      </c>
      <c r="F29" s="25">
        <f>'[1]功能-行军令'!U89</f>
        <v>1666.5549285296329</v>
      </c>
      <c r="G29" s="25">
        <f>'[1]功能-行军令'!V89</f>
        <v>1423.5217408403914</v>
      </c>
      <c r="H29" s="25">
        <f>'[1]功能-行军令'!W89</f>
        <v>660.44792845387747</v>
      </c>
      <c r="I29" s="25">
        <f>'[1]功能-实力'!BF90</f>
        <v>11620392</v>
      </c>
      <c r="J29" s="25">
        <f>'[1]功能-实力'!BG90</f>
        <v>13692966</v>
      </c>
      <c r="K29" s="25">
        <f>'[1]功能-实力'!BH90</f>
        <v>15263070</v>
      </c>
      <c r="L29" s="25">
        <f>'[1]功能-实力'!BI90</f>
        <v>19946130</v>
      </c>
      <c r="M29" s="25">
        <f>'[1]功能-实力'!BJ90</f>
        <v>22195416</v>
      </c>
      <c r="W29" s="25">
        <v>86</v>
      </c>
      <c r="X29" s="25">
        <f t="shared" si="6"/>
        <v>8846.9188444005085</v>
      </c>
      <c r="Y29" s="25">
        <f t="shared" si="7"/>
        <v>12471.186745583409</v>
      </c>
      <c r="Z29" s="25">
        <f t="shared" si="8"/>
        <v>15021.918370777785</v>
      </c>
      <c r="AA29" s="25">
        <f t="shared" si="9"/>
        <v>15588.235833608634</v>
      </c>
      <c r="AB29" s="25">
        <f t="shared" si="10"/>
        <v>7864.9010204960177</v>
      </c>
      <c r="AC29" s="25">
        <f>求节点(装备熔炼!$J$37:$J$62,装备熔炼!$H$37:$H$62,X29/18)</f>
        <v>17.287387283889593</v>
      </c>
      <c r="AD29" s="25">
        <f>求节点(装备熔炼!$J$37:$J$62,装备熔炼!$H$37:$H$62,Y29/18)</f>
        <v>21.547395134799451</v>
      </c>
      <c r="AE29" s="25">
        <f>求节点(装备熔炼!$J$37:$J$62,装备熔炼!$H$37:$H$62,Z29/18)</f>
        <v>23.909183676646098</v>
      </c>
      <c r="AF29" s="25">
        <f>求节点(装备熔炼!$J$37:$J$62,装备熔炼!$H$37:$H$62,AA29/18)</f>
        <v>24.433551697785774</v>
      </c>
      <c r="AG29" s="25">
        <f>求节点(装备熔炼!$J$37:$J$62,装备熔炼!$H$37:$H$62,AB29/18)</f>
        <v>15.923473639577804</v>
      </c>
    </row>
    <row r="30" spans="3:33" x14ac:dyDescent="0.15">
      <c r="C30" s="25">
        <v>87</v>
      </c>
      <c r="D30" s="25">
        <f>'[1]功能-行军令'!S90</f>
        <v>1281.090151755594</v>
      </c>
      <c r="E30" s="25">
        <f>'[1]功能-行军令'!T90</f>
        <v>1626.9803746936341</v>
      </c>
      <c r="F30" s="25">
        <f>'[1]功能-行军令'!U90</f>
        <v>1835.5029351937119</v>
      </c>
      <c r="G30" s="25">
        <f>'[1]功能-行军令'!V90</f>
        <v>1358.2161604173743</v>
      </c>
      <c r="H30" s="25">
        <f>'[1]功能-行军令'!W90</f>
        <v>700.66076156608324</v>
      </c>
      <c r="I30" s="25">
        <f>'[1]功能-实力'!BF91</f>
        <v>12210270</v>
      </c>
      <c r="J30" s="25">
        <f>'[1]功能-实力'!BG91</f>
        <v>14431140</v>
      </c>
      <c r="K30" s="25">
        <f>'[1]功能-实力'!BH91</f>
        <v>16199406</v>
      </c>
      <c r="L30" s="25">
        <f>'[1]功能-实力'!BI91</f>
        <v>21050274</v>
      </c>
      <c r="M30" s="25">
        <f>'[1]功能-实力'!BJ91</f>
        <v>23265480</v>
      </c>
      <c r="W30" s="25">
        <v>87</v>
      </c>
      <c r="X30" s="25">
        <f t="shared" si="6"/>
        <v>9793.2698939666279</v>
      </c>
      <c r="Y30" s="25">
        <f t="shared" si="7"/>
        <v>14084.851024805726</v>
      </c>
      <c r="Z30" s="25">
        <f t="shared" si="8"/>
        <v>17277.998218041113</v>
      </c>
      <c r="AA30" s="25">
        <f t="shared" si="9"/>
        <v>15497.317773384795</v>
      </c>
      <c r="AB30" s="25">
        <f t="shared" si="10"/>
        <v>8672.9499124455833</v>
      </c>
      <c r="AC30" s="25">
        <f>求节点(装备熔炼!$J$37:$J$62,装备熔炼!$H$37:$H$62,X30/18)</f>
        <v>18.601763741620317</v>
      </c>
      <c r="AD30" s="25">
        <f>求节点(装备熔炼!$J$37:$J$62,装备熔炼!$H$37:$H$62,Y30/18)</f>
        <v>23.04152872667197</v>
      </c>
      <c r="AE30" s="25">
        <f>求节点(装备熔炼!$J$37:$J$62,装备熔炼!$H$37:$H$62,Z30/18)</f>
        <v>25.998146498186216</v>
      </c>
      <c r="AF30" s="25">
        <f>求节点(装备熔炼!$J$37:$J$62,装备熔炼!$H$37:$H$62,AA30/18)</f>
        <v>24.349368308689623</v>
      </c>
      <c r="AG30" s="25">
        <f>求节点(装备熔炼!$J$37:$J$62,装备熔炼!$H$37:$H$62,AB30/18)</f>
        <v>17.045763767285532</v>
      </c>
    </row>
    <row r="31" spans="3:33" x14ac:dyDescent="0.15">
      <c r="C31" s="25">
        <v>88</v>
      </c>
      <c r="D31" s="25">
        <f>'[1]功能-行军令'!S91</f>
        <v>1373.0384277682715</v>
      </c>
      <c r="E31" s="25">
        <f>'[1]功能-行军令'!T91</f>
        <v>1774.7535576717637</v>
      </c>
      <c r="F31" s="25">
        <f>'[1]功能-行军令'!U91</f>
        <v>1865.8340009617204</v>
      </c>
      <c r="G31" s="25">
        <f>'[1]功能-行军令'!V91</f>
        <v>1382.9420873794697</v>
      </c>
      <c r="H31" s="25">
        <f>'[1]功能-行军令'!W91</f>
        <v>766.14827574404808</v>
      </c>
      <c r="I31" s="25">
        <f>'[1]功能-实力'!BF92</f>
        <v>12711492</v>
      </c>
      <c r="J31" s="25">
        <f>'[1]功能-实力'!BG92</f>
        <v>15162282</v>
      </c>
      <c r="K31" s="25">
        <f>'[1]功能-实力'!BH92</f>
        <v>17213202</v>
      </c>
      <c r="L31" s="25">
        <f>'[1]功能-实力'!BI92</f>
        <v>22183902</v>
      </c>
      <c r="M31" s="25">
        <f>'[1]功能-实力'!BJ92</f>
        <v>24325464</v>
      </c>
      <c r="W31" s="25">
        <v>88</v>
      </c>
      <c r="X31" s="25">
        <f t="shared" si="6"/>
        <v>10829.892444263351</v>
      </c>
      <c r="Y31" s="25">
        <f t="shared" si="7"/>
        <v>15901.467343943516</v>
      </c>
      <c r="Z31" s="25">
        <f t="shared" si="8"/>
        <v>18363.532758924666</v>
      </c>
      <c r="AA31" s="25">
        <f t="shared" si="9"/>
        <v>16477.654010422364</v>
      </c>
      <c r="AB31" s="25">
        <f t="shared" si="10"/>
        <v>9843.5139894680233</v>
      </c>
      <c r="AC31" s="25">
        <f>求节点(装备熔炼!$J$37:$J$62,装备熔炼!$H$37:$H$62,X31/18)</f>
        <v>20.027678189132732</v>
      </c>
      <c r="AD31" s="25">
        <f>求节点(装备熔炼!$J$37:$J$62,装备熔炼!$H$37:$H$62,Y31/18)</f>
        <v>24.723580874021774</v>
      </c>
      <c r="AE31" s="25">
        <f>求节点(装备熔炼!$J$37:$J$62,装备熔炼!$H$37:$H$62,Z31/18)</f>
        <v>27.003271073078395</v>
      </c>
      <c r="AF31" s="25">
        <f>求节点(装备熔炼!$J$37:$J$62,装备熔炼!$H$37:$H$62,AA31/18)</f>
        <v>25.257087046687374</v>
      </c>
      <c r="AG31" s="25">
        <f>求节点(装备熔炼!$J$37:$J$62,装备熔炼!$H$37:$H$62,AB31/18)</f>
        <v>18.671547207594479</v>
      </c>
    </row>
    <row r="32" spans="3:33" x14ac:dyDescent="0.15">
      <c r="C32" s="25">
        <v>89</v>
      </c>
      <c r="D32" s="25">
        <f>'[1]功能-行军令'!S92</f>
        <v>1471.586149924573</v>
      </c>
      <c r="E32" s="25">
        <f>'[1]功能-行军令'!T92</f>
        <v>1809.7516040939954</v>
      </c>
      <c r="F32" s="25">
        <f>'[1]功能-行军令'!U92</f>
        <v>1792.3600087447339</v>
      </c>
      <c r="G32" s="25">
        <f>'[1]功能-行军令'!V92</f>
        <v>1473.2404150521725</v>
      </c>
      <c r="H32" s="25">
        <f>'[1]功能-行军令'!W92</f>
        <v>765.43103046403121</v>
      </c>
      <c r="I32" s="25">
        <f>'[1]功能-实力'!BF93</f>
        <v>13209786</v>
      </c>
      <c r="J32" s="25">
        <f>'[1]功能-实力'!BG93</f>
        <v>15922956</v>
      </c>
      <c r="K32" s="25">
        <f>'[1]功能-实力'!BH93</f>
        <v>18263388</v>
      </c>
      <c r="L32" s="25">
        <f>'[1]功能-实力'!BI93</f>
        <v>23358312</v>
      </c>
      <c r="M32" s="25">
        <f>'[1]功能-实力'!BJ93</f>
        <v>25383312</v>
      </c>
      <c r="W32" s="25">
        <v>89</v>
      </c>
      <c r="X32" s="25">
        <f t="shared" si="6"/>
        <v>11964.869630525693</v>
      </c>
      <c r="Y32" s="25">
        <f t="shared" si="7"/>
        <v>16818.090311326381</v>
      </c>
      <c r="Z32" s="25">
        <f t="shared" si="8"/>
        <v>18408.919650659529</v>
      </c>
      <c r="AA32" s="25">
        <f t="shared" si="9"/>
        <v>18297.353420920219</v>
      </c>
      <c r="AB32" s="25">
        <f t="shared" si="10"/>
        <v>10193.905458633324</v>
      </c>
      <c r="AC32" s="25">
        <f>求节点(装备熔炼!$J$37:$J$62,装备熔炼!$H$37:$H$62,X32/18)</f>
        <v>21.078582991227492</v>
      </c>
      <c r="AD32" s="25">
        <f>求节点(装备熔炼!$J$37:$J$62,装备熔炼!$H$37:$H$62,Y32/18)</f>
        <v>25.572305843820725</v>
      </c>
      <c r="AE32" s="25">
        <f>求节点(装备熔炼!$J$37:$J$62,装备熔炼!$H$37:$H$62,Z32/18)</f>
        <v>27.045295972832896</v>
      </c>
      <c r="AF32" s="25">
        <f>求节点(装备熔炼!$J$37:$J$62,装备熔炼!$H$37:$H$62,AA32/18)</f>
        <v>26.941993908259462</v>
      </c>
      <c r="AG32" s="25">
        <f>求节点(装备熔炼!$J$37:$J$62,装备熔炼!$H$37:$H$62,AB32/18)</f>
        <v>19.158202025879618</v>
      </c>
    </row>
    <row r="33" spans="3:33" x14ac:dyDescent="0.15">
      <c r="C33" s="25">
        <v>90</v>
      </c>
      <c r="D33" s="25">
        <f>'[1]功能-行军令'!S93</f>
        <v>1577.2069833251153</v>
      </c>
      <c r="E33" s="25">
        <f>'[1]功能-行军令'!T93</f>
        <v>1765.2358799379908</v>
      </c>
      <c r="F33" s="25">
        <f>'[1]功能-行军令'!U93</f>
        <v>1958.3578090478222</v>
      </c>
      <c r="G33" s="25">
        <f>'[1]功能-行军令'!V93</f>
        <v>1501.3106250065575</v>
      </c>
      <c r="H33" s="25">
        <f>'[1]功能-行军令'!W93</f>
        <v>809.75177137829269</v>
      </c>
      <c r="I33" s="25">
        <f>'[1]功能-实力'!BF94</f>
        <v>13730598</v>
      </c>
      <c r="J33" s="25">
        <f>'[1]功能-实力'!BG94</f>
        <v>16711368</v>
      </c>
      <c r="K33" s="25">
        <f>'[1]功能-实力'!BH94</f>
        <v>19435230</v>
      </c>
      <c r="L33" s="25">
        <f>'[1]功能-实力'!BI94</f>
        <v>24530754</v>
      </c>
      <c r="M33" s="25">
        <f>'[1]功能-实力'!BJ94</f>
        <v>26496420</v>
      </c>
      <c r="W33" s="25">
        <v>90</v>
      </c>
      <c r="X33" s="25">
        <f t="shared" si="6"/>
        <v>13206.979869887744</v>
      </c>
      <c r="Y33" s="25">
        <f t="shared" si="7"/>
        <v>17040.735505338653</v>
      </c>
      <c r="Z33" s="25">
        <f t="shared" si="8"/>
        <v>20953.538365307384</v>
      </c>
      <c r="AA33" s="25">
        <f t="shared" si="9"/>
        <v>19403.953214745012</v>
      </c>
      <c r="AB33" s="25">
        <f t="shared" si="10"/>
        <v>11168.240957913447</v>
      </c>
      <c r="AC33" s="25">
        <f>求节点(装备熔炼!$J$37:$J$62,装备熔炼!$H$37:$H$62,X33/18)</f>
        <v>22.228685064710874</v>
      </c>
      <c r="AD33" s="25">
        <f>求节点(装备熔炼!$J$37:$J$62,装备熔炼!$H$37:$H$62,Y33/18)</f>
        <v>25.778458801239495</v>
      </c>
      <c r="AE33" s="25">
        <f>求节点(装备熔炼!$J$37:$J$62,装备熔炼!$H$37:$H$62,Z33/18)</f>
        <v>29.401424412321653</v>
      </c>
      <c r="AF33" s="25">
        <f>求节点(装备熔炼!$J$37:$J$62,装备熔炼!$H$37:$H$62,AA33/18)</f>
        <v>27.966623346986122</v>
      </c>
      <c r="AG33" s="25">
        <f>求节点(装备熔炼!$J$37:$J$62,装备熔炼!$H$37:$H$62,AB33/18)</f>
        <v>20.340963849919859</v>
      </c>
    </row>
    <row r="34" spans="3:33" x14ac:dyDescent="0.15">
      <c r="C34" s="25">
        <v>91</v>
      </c>
      <c r="D34" s="25">
        <f>'[1]功能-行军令'!S94</f>
        <v>1690.4085896547767</v>
      </c>
      <c r="E34" s="25">
        <f>'[1]功能-行军令'!T94</f>
        <v>2111.0189947737017</v>
      </c>
      <c r="F34" s="25">
        <f>'[1]功能-行军令'!U94</f>
        <v>2212.7652871286118</v>
      </c>
      <c r="G34" s="25">
        <f>'[1]功能-行军令'!V94</f>
        <v>1825.9207559202514</v>
      </c>
      <c r="H34" s="25">
        <f>'[1]功能-行军令'!W94</f>
        <v>969.32923648476935</v>
      </c>
      <c r="I34" s="25">
        <f>'[1]功能-实力'!BF95</f>
        <v>14279574</v>
      </c>
      <c r="J34" s="25">
        <f>'[1]功能-实力'!BG95</f>
        <v>17621064</v>
      </c>
      <c r="K34" s="25">
        <f>'[1]功能-实力'!BH95</f>
        <v>20433264</v>
      </c>
      <c r="L34" s="25">
        <f>'[1]功能-实力'!BI95</f>
        <v>25646376</v>
      </c>
      <c r="M34" s="25">
        <f>'[1]功能-实力'!BJ95</f>
        <v>27645096</v>
      </c>
      <c r="W34" s="25">
        <v>91</v>
      </c>
      <c r="X34" s="25">
        <f t="shared" si="6"/>
        <v>14565.755027254518</v>
      </c>
      <c r="Y34" s="25">
        <f t="shared" si="7"/>
        <v>21139.738127776534</v>
      </c>
      <c r="Z34" s="25">
        <f t="shared" si="8"/>
        <v>24624.35937653665</v>
      </c>
      <c r="AA34" s="25">
        <f t="shared" si="9"/>
        <v>24521.29466007154</v>
      </c>
      <c r="AB34" s="25">
        <f t="shared" si="10"/>
        <v>13933.480815387566</v>
      </c>
      <c r="AC34" s="25">
        <f>求节点(装备熔炼!$J$37:$J$62,装备熔炼!$H$37:$H$62,X34/18)</f>
        <v>23.486810210420849</v>
      </c>
      <c r="AD34" s="25">
        <f>求节点(装备熔炼!$J$37:$J$62,装备熔炼!$H$37:$H$62,Y34/18)</f>
        <v>29.573831599793088</v>
      </c>
      <c r="AE34" s="25">
        <f>求节点(装备熔炼!$J$37:$J$62,装备熔炼!$H$37:$H$62,Z34/18)</f>
        <v>32.100249567039342</v>
      </c>
      <c r="AF34" s="25">
        <f>求节点(装备熔炼!$J$37:$J$62,装备熔炼!$H$37:$H$62,AA34/18)</f>
        <v>32.028676847271903</v>
      </c>
      <c r="AG34" s="25">
        <f>求节点(装备熔炼!$J$37:$J$62,装备熔炼!$H$37:$H$62,AB34/18)</f>
        <v>22.901371125358857</v>
      </c>
    </row>
    <row r="35" spans="3:33" x14ac:dyDescent="0.15">
      <c r="C35" s="25">
        <v>92</v>
      </c>
      <c r="D35" s="25">
        <f>'[1]功能-行军令'!S95</f>
        <v>1811.7350672353678</v>
      </c>
      <c r="E35" s="25">
        <f>'[1]功能-行军令'!T95</f>
        <v>2187.7920356058094</v>
      </c>
      <c r="F35" s="25">
        <f>'[1]功能-行军令'!U95</f>
        <v>2428.1578045264323</v>
      </c>
      <c r="G35" s="25">
        <f>'[1]功能-行军令'!V95</f>
        <v>1952.502896714519</v>
      </c>
      <c r="H35" s="25">
        <f>'[1]功能-行军令'!W95</f>
        <v>1004.599870104912</v>
      </c>
      <c r="I35" s="25">
        <f>'[1]功能-实力'!BF96</f>
        <v>14905848</v>
      </c>
      <c r="J35" s="25">
        <f>'[1]功能-实力'!BG96</f>
        <v>18521040</v>
      </c>
      <c r="K35" s="25">
        <f>'[1]功能-实力'!BH96</f>
        <v>21376542</v>
      </c>
      <c r="L35" s="25">
        <f>'[1]功能-实力'!BI96</f>
        <v>26844876</v>
      </c>
      <c r="M35" s="25">
        <f>'[1]功能-实力'!BJ96</f>
        <v>28834728</v>
      </c>
      <c r="W35" s="25">
        <v>92</v>
      </c>
      <c r="X35" s="25">
        <f t="shared" si="6"/>
        <v>16051.5433490128</v>
      </c>
      <c r="Y35" s="25">
        <f t="shared" si="7"/>
        <v>22697.197514681717</v>
      </c>
      <c r="Z35" s="25">
        <f t="shared" si="8"/>
        <v>28134.649240589752</v>
      </c>
      <c r="AA35" s="25">
        <f t="shared" si="9"/>
        <v>27282.974338241951</v>
      </c>
      <c r="AB35" s="25">
        <f t="shared" si="10"/>
        <v>15025.326008828391</v>
      </c>
      <c r="AC35" s="25">
        <f>求节点(装备熔炼!$J$37:$J$62,装备熔炼!$H$37:$H$62,X35/18)</f>
        <v>24.862540137974815</v>
      </c>
      <c r="AD35" s="25">
        <f>求节点(装备熔炼!$J$37:$J$62,装备熔炼!$H$37:$H$62,Y35/18)</f>
        <v>30.761942718528971</v>
      </c>
      <c r="AE35" s="25">
        <f>求节点(装备熔炼!$J$37:$J$62,装备熔炼!$H$37:$H$62,Z35/18)</f>
        <v>34.537950861520663</v>
      </c>
      <c r="AF35" s="25">
        <f>求节点(装备熔炼!$J$37:$J$62,装备熔炼!$H$37:$H$62,AA35/18)</f>
        <v>33.946509957112468</v>
      </c>
      <c r="AG35" s="25">
        <f>求节点(装备熔炼!$J$37:$J$62,装备熔炼!$H$37:$H$62,AB35/18)</f>
        <v>23.912338897063325</v>
      </c>
    </row>
    <row r="36" spans="3:33" x14ac:dyDescent="0.15">
      <c r="C36" s="25">
        <v>93</v>
      </c>
      <c r="D36" s="25">
        <f>'[1]功能-行军令'!S96</f>
        <v>1941.7695662093211</v>
      </c>
      <c r="E36" s="25">
        <f>'[1]功能-行军令'!T96</f>
        <v>2415.3337926559689</v>
      </c>
      <c r="F36" s="25">
        <f>'[1]功能-行军令'!U96</f>
        <v>2598.9720254198182</v>
      </c>
      <c r="G36" s="25">
        <f>'[1]功能-行军令'!V96</f>
        <v>2055.4386795331884</v>
      </c>
      <c r="H36" s="25">
        <f>'[1]功能-行军令'!W96</f>
        <v>1102.5818951374476</v>
      </c>
      <c r="I36" s="25">
        <f>'[1]功能-实力'!BF97</f>
        <v>15521562</v>
      </c>
      <c r="J36" s="25">
        <f>'[1]功能-实力'!BG97</f>
        <v>19447848</v>
      </c>
      <c r="K36" s="25">
        <f>'[1]功能-实力'!BH97</f>
        <v>22384092</v>
      </c>
      <c r="L36" s="25">
        <f>'[1]功能-实力'!BI97</f>
        <v>28139034</v>
      </c>
      <c r="M36" s="25">
        <f>'[1]功能-实力'!BJ97</f>
        <v>30055830</v>
      </c>
      <c r="W36" s="25">
        <v>93</v>
      </c>
      <c r="X36" s="25">
        <f t="shared" si="6"/>
        <v>17675.577549349306</v>
      </c>
      <c r="Y36" s="25">
        <f t="shared" si="7"/>
        <v>25928.502709998964</v>
      </c>
      <c r="Z36" s="25">
        <f t="shared" si="8"/>
        <v>31319.809700524096</v>
      </c>
      <c r="AA36" s="25">
        <f t="shared" si="9"/>
        <v>30002.901745517218</v>
      </c>
      <c r="AB36" s="25">
        <f t="shared" si="10"/>
        <v>17132.692208268702</v>
      </c>
      <c r="AC36" s="25">
        <f>求节点(装备熔炼!$J$37:$J$62,装备熔炼!$H$37:$H$62,X36/18)</f>
        <v>26.366275508656763</v>
      </c>
      <c r="AD36" s="25">
        <f>求节点(装备熔炼!$J$37:$J$62,装备熔炼!$H$37:$H$62,Y36/18)</f>
        <v>33.005904659721502</v>
      </c>
      <c r="AE36" s="25">
        <f>求节点(装备熔炼!$J$37:$J$62,装备熔炼!$H$37:$H$62,Z36/18)</f>
        <v>36.749867847586174</v>
      </c>
      <c r="AF36" s="25">
        <f>求节点(装备熔炼!$J$37:$J$62,装备熔炼!$H$37:$H$62,AA36/18)</f>
        <v>35.835348434386958</v>
      </c>
      <c r="AG36" s="25">
        <f>求节点(装备熔炼!$J$37:$J$62,装备熔炼!$H$37:$H$62,AB36/18)</f>
        <v>25.863603896545094</v>
      </c>
    </row>
    <row r="37" spans="3:33" x14ac:dyDescent="0.15">
      <c r="C37" s="25">
        <v>94</v>
      </c>
      <c r="D37" s="25">
        <f>'[1]功能-行军令'!S97</f>
        <v>2081.1370914237377</v>
      </c>
      <c r="E37" s="25">
        <f>'[1]功能-行军令'!T97</f>
        <v>2543.189659740834</v>
      </c>
      <c r="F37" s="25">
        <f>'[1]功能-行军令'!U97</f>
        <v>2763.3817858339753</v>
      </c>
      <c r="G37" s="25">
        <f>'[1]功能-行军令'!V97</f>
        <v>2181.6003886505823</v>
      </c>
      <c r="H37" s="25">
        <f>'[1]功能-行军令'!W97</f>
        <v>1163.1541715777712</v>
      </c>
      <c r="I37" s="25">
        <f>'[1]功能-实力'!BF98</f>
        <v>16137900</v>
      </c>
      <c r="J37" s="25">
        <f>'[1]功能-实力'!BG98</f>
        <v>20323386</v>
      </c>
      <c r="K37" s="25">
        <f>'[1]功能-实力'!BH98</f>
        <v>23501910</v>
      </c>
      <c r="L37" s="25">
        <f>'[1]功能-实力'!BI98</f>
        <v>29479620</v>
      </c>
      <c r="M37" s="25">
        <f>'[1]功能-实力'!BJ98</f>
        <v>31307322</v>
      </c>
      <c r="W37" s="25">
        <v>94</v>
      </c>
      <c r="X37" s="25">
        <f t="shared" si="6"/>
        <v>19566.326369329898</v>
      </c>
      <c r="Y37" s="25">
        <f t="shared" si="7"/>
        <v>28217.797823033587</v>
      </c>
      <c r="Z37" s="25">
        <f t="shared" si="8"/>
        <v>34583.340378205459</v>
      </c>
      <c r="AA37" s="25">
        <f t="shared" si="9"/>
        <v>33204.697078171557</v>
      </c>
      <c r="AB37" s="25">
        <f t="shared" si="10"/>
        <v>18751.065754443363</v>
      </c>
      <c r="AC37" s="25">
        <f>求节点(装备熔炼!$J$37:$J$62,装备熔炼!$H$37:$H$62,X37/18)</f>
        <v>28.116968860490648</v>
      </c>
      <c r="AD37" s="25">
        <f>求节点(装备熔炼!$J$37:$J$62,装备熔炼!$H$37:$H$62,Y37/18)</f>
        <v>34.59569293266221</v>
      </c>
      <c r="AE37" s="25">
        <f>求节点(装备熔炼!$J$37:$J$62,装备熔炼!$H$37:$H$62,Z37/18)</f>
        <v>39.016208595976011</v>
      </c>
      <c r="AF37" s="25">
        <f>求节点(装备熔炼!$J$37:$J$62,装备熔炼!$H$37:$H$62,AA37/18)</f>
        <v>38.058817415396916</v>
      </c>
      <c r="AG37" s="25">
        <f>求节点(装备熔炼!$J$37:$J$62,装备熔炼!$H$37:$H$62,AB37/18)</f>
        <v>27.362097920780894</v>
      </c>
    </row>
    <row r="38" spans="3:33" x14ac:dyDescent="0.15">
      <c r="C38" s="25">
        <v>95</v>
      </c>
      <c r="D38" s="25">
        <f>'[1]功能-行军令'!S98</f>
        <v>2230.5075064879311</v>
      </c>
      <c r="E38" s="25">
        <f>'[1]功能-行军令'!T98</f>
        <v>2804.5027463372026</v>
      </c>
      <c r="F38" s="25">
        <f>'[1]功能-行军令'!U98</f>
        <v>2903.776365749196</v>
      </c>
      <c r="G38" s="25">
        <f>'[1]功能-行军令'!V98</f>
        <v>2336.6258772201109</v>
      </c>
      <c r="H38" s="25">
        <f>'[1]功能-行军令'!W98</f>
        <v>1359.7987723246188</v>
      </c>
      <c r="I38" s="25">
        <f>'[1]功能-实力'!BF99</f>
        <v>16790994</v>
      </c>
      <c r="J38" s="25">
        <f>'[1]功能-实力'!BG99</f>
        <v>21251886</v>
      </c>
      <c r="K38" s="25">
        <f>'[1]功能-实力'!BH99</f>
        <v>24624138</v>
      </c>
      <c r="L38" s="25">
        <f>'[1]功能-实力'!BI99</f>
        <v>30713328</v>
      </c>
      <c r="M38" s="25">
        <f>'[1]功能-实力'!BJ99</f>
        <v>32383356</v>
      </c>
      <c r="W38" s="25">
        <v>95</v>
      </c>
      <c r="X38" s="25">
        <f t="shared" si="6"/>
        <v>21637.431869383923</v>
      </c>
      <c r="Y38" s="25">
        <f t="shared" si="7"/>
        <v>32218.297264768131</v>
      </c>
      <c r="Z38" s="25">
        <f t="shared" si="8"/>
        <v>37687.758569269528</v>
      </c>
      <c r="AA38" s="25">
        <f t="shared" si="9"/>
        <v>37021.129864292052</v>
      </c>
      <c r="AB38" s="25">
        <f t="shared" si="10"/>
        <v>22712.789716736934</v>
      </c>
      <c r="AC38" s="25">
        <f>求节点(装备熔炼!$J$37:$J$62,装备熔炼!$H$37:$H$62,X38/18)</f>
        <v>30.025994353738835</v>
      </c>
      <c r="AD38" s="25">
        <f>求节点(装备熔炼!$J$37:$J$62,装备熔炼!$H$37:$H$62,Y38/18)</f>
        <v>37.373817544977868</v>
      </c>
      <c r="AE38" s="25">
        <f>求节点(装备熔炼!$J$37:$J$62,装备熔炼!$H$37:$H$62,Z38/18)</f>
        <v>40.937643649594186</v>
      </c>
      <c r="AF38" s="25">
        <f>求节点(装备熔炼!$J$37:$J$62,装备熔炼!$H$37:$H$62,AA38/18)</f>
        <v>40.56729436905114</v>
      </c>
      <c r="AG38" s="25">
        <f>求节点(装备熔炼!$J$37:$J$62,装备熔炼!$H$37:$H$62,AB38/18)</f>
        <v>30.772770636622873</v>
      </c>
    </row>
    <row r="39" spans="3:33" x14ac:dyDescent="0.15">
      <c r="C39" s="25">
        <v>96</v>
      </c>
      <c r="D39" s="25">
        <f>'[1]功能-行军令'!S99</f>
        <v>2390.5987534417582</v>
      </c>
      <c r="E39" s="25">
        <f>'[1]功能-行军令'!T99</f>
        <v>2872.8705130062299</v>
      </c>
      <c r="F39" s="25">
        <f>'[1]功能-行军令'!U99</f>
        <v>3095.6660046156831</v>
      </c>
      <c r="G39" s="25">
        <f>'[1]功能-行军令'!V99</f>
        <v>2606.98293381439</v>
      </c>
      <c r="H39" s="25">
        <f>'[1]功能-行军令'!W99</f>
        <v>1443.5743748337882</v>
      </c>
      <c r="I39" s="25">
        <f>'[1]功能-实力'!BF100</f>
        <v>17494338</v>
      </c>
      <c r="J39" s="25">
        <f>'[1]功能-实力'!BG100</f>
        <v>22346790</v>
      </c>
      <c r="K39" s="25">
        <f>'[1]功能-实力'!BH100</f>
        <v>25704666</v>
      </c>
      <c r="L39" s="25">
        <f>'[1]功能-实力'!BI100</f>
        <v>31904172</v>
      </c>
      <c r="M39" s="25">
        <f>'[1]功能-实力'!BJ100</f>
        <v>33480654</v>
      </c>
      <c r="W39" s="25">
        <v>96</v>
      </c>
      <c r="X39" s="25">
        <f t="shared" si="6"/>
        <v>23905.043636301067</v>
      </c>
      <c r="Y39" s="25">
        <f t="shared" si="7"/>
        <v>34167.066253570498</v>
      </c>
      <c r="Z39" s="25">
        <f t="shared" si="8"/>
        <v>41614.710119346368</v>
      </c>
      <c r="AA39" s="25">
        <f t="shared" si="9"/>
        <v>42930.084850965919</v>
      </c>
      <c r="AB39" s="25">
        <f t="shared" si="10"/>
        <v>24916.621935530628</v>
      </c>
      <c r="AC39" s="25">
        <f>求节点(装备熔炼!$J$37:$J$62,装备熔炼!$H$37:$H$62,X39/18)</f>
        <v>31.600724747431297</v>
      </c>
      <c r="AD39" s="25">
        <f>求节点(装备熔炼!$J$37:$J$62,装备熔炼!$H$37:$H$62,Y39/18)</f>
        <v>38.727129342757294</v>
      </c>
      <c r="AE39" s="25">
        <f>求节点(装备熔炼!$J$37:$J$62,装备熔炼!$H$37:$H$62,Z39/18)</f>
        <v>43.119283399636871</v>
      </c>
      <c r="AF39" s="25">
        <f>求节点(装备熔炼!$J$37:$J$62,装备熔炼!$H$37:$H$62,AA39/18)</f>
        <v>43.850047139425513</v>
      </c>
      <c r="AG39" s="25">
        <f>求节点(装备熔炼!$J$37:$J$62,装备熔炼!$H$37:$H$62,AB39/18)</f>
        <v>32.303209677451825</v>
      </c>
    </row>
    <row r="40" spans="3:33" x14ac:dyDescent="0.15">
      <c r="C40" s="25">
        <v>97</v>
      </c>
      <c r="D40" s="25">
        <f>'[1]功能-行军令'!S100</f>
        <v>2562.1803035111952</v>
      </c>
      <c r="E40" s="25">
        <f>'[1]功能-行军令'!T100</f>
        <v>3127.2530292850206</v>
      </c>
      <c r="F40" s="25">
        <f>'[1]功能-行军令'!U100</f>
        <v>3579.3473068275853</v>
      </c>
      <c r="G40" s="25">
        <f>'[1]功能-行军令'!V100</f>
        <v>2997.7323145745104</v>
      </c>
      <c r="H40" s="25">
        <f>'[1]功能-行军令'!W100</f>
        <v>1693.7972999294034</v>
      </c>
      <c r="I40" s="25">
        <f>'[1]功能-实力'!BF101</f>
        <v>18330234</v>
      </c>
      <c r="J40" s="25">
        <f>'[1]功能-实力'!BG101</f>
        <v>23309400</v>
      </c>
      <c r="K40" s="25">
        <f>'[1]功能-实力'!BH101</f>
        <v>26768286</v>
      </c>
      <c r="L40" s="25">
        <f>'[1]功能-实力'!BI101</f>
        <v>33126024</v>
      </c>
      <c r="M40" s="25">
        <f>'[1]功能-实力'!BJ101</f>
        <v>34634418</v>
      </c>
      <c r="W40" s="25">
        <v>97</v>
      </c>
      <c r="X40" s="25">
        <f t="shared" si="6"/>
        <v>26386.700385597218</v>
      </c>
      <c r="Y40" s="25">
        <f t="shared" si="7"/>
        <v>38458.806046305297</v>
      </c>
      <c r="Z40" s="25">
        <f t="shared" si="8"/>
        <v>49850.191297150144</v>
      </c>
      <c r="AA40" s="25">
        <f t="shared" si="9"/>
        <v>51175.655438339112</v>
      </c>
      <c r="AB40" s="25">
        <f t="shared" si="10"/>
        <v>30151.863848763631</v>
      </c>
      <c r="AC40" s="25">
        <f>求节点(装备熔炼!$J$37:$J$62,装备熔炼!$H$37:$H$62,X40/18)</f>
        <v>33.324097489998067</v>
      </c>
      <c r="AD40" s="25">
        <f>求节点(装备熔炼!$J$37:$J$62,装备熔炼!$H$37:$H$62,Y40/18)</f>
        <v>41.366003359058503</v>
      </c>
      <c r="AE40" s="25">
        <f>求节点(装备熔炼!$J$37:$J$62,装备熔炼!$H$37:$H$62,Z40/18)</f>
        <v>47.694550720638965</v>
      </c>
      <c r="AF40" s="25">
        <f>求节点(装备熔炼!$J$37:$J$62,装备熔炼!$H$37:$H$62,AA40/18)</f>
        <v>48.430919687966174</v>
      </c>
      <c r="AG40" s="25">
        <f>求节点(装备熔炼!$J$37:$J$62,装备熔炼!$H$37:$H$62,AB40/18)</f>
        <v>35.938794339419189</v>
      </c>
    </row>
    <row r="41" spans="3:33" x14ac:dyDescent="0.15">
      <c r="C41" s="25">
        <v>98</v>
      </c>
      <c r="D41" s="25">
        <f>'[1]功能-行军令'!S101</f>
        <v>2746.076855536543</v>
      </c>
      <c r="E41" s="25">
        <f>'[1]功能-行军令'!T101</f>
        <v>3526.6814771044665</v>
      </c>
      <c r="F41" s="25">
        <f>'[1]功能-行军令'!U101</f>
        <v>3974.0565522227625</v>
      </c>
      <c r="G41" s="25">
        <f>'[1]功能-行军令'!V101</f>
        <v>3308.3621362125632</v>
      </c>
      <c r="H41" s="25">
        <f>'[1]功能-行军令'!W101</f>
        <v>1799.5490964436503</v>
      </c>
      <c r="I41" s="25">
        <f>'[1]功能-实力'!BF102</f>
        <v>19087248</v>
      </c>
      <c r="J41" s="25">
        <f>'[1]功能-实力'!BG102</f>
        <v>24215544</v>
      </c>
      <c r="K41" s="25">
        <f>'[1]功能-实力'!BH102</f>
        <v>27831810</v>
      </c>
      <c r="L41" s="25">
        <f>'[1]功能-实力'!BI102</f>
        <v>34348854</v>
      </c>
      <c r="M41" s="25">
        <f>'[1]功能-实力'!BJ102</f>
        <v>35819406</v>
      </c>
      <c r="W41" s="25">
        <v>98</v>
      </c>
      <c r="X41" s="25">
        <f t="shared" si="6"/>
        <v>29101.446173208053</v>
      </c>
      <c r="Y41" s="25">
        <f t="shared" si="7"/>
        <v>44799.071467772257</v>
      </c>
      <c r="Z41" s="25">
        <f t="shared" si="8"/>
        <v>57462.015122347562</v>
      </c>
      <c r="AA41" s="25">
        <f t="shared" si="9"/>
        <v>58286.43658167962</v>
      </c>
      <c r="AB41" s="25">
        <f t="shared" si="10"/>
        <v>33007.899458562621</v>
      </c>
      <c r="AC41" s="25">
        <f>求节点(装备熔炼!$J$37:$J$62,装备熔炼!$H$37:$H$62,X41/18)</f>
        <v>35.209337620283371</v>
      </c>
      <c r="AD41" s="25">
        <f>求节点(装备熔炼!$J$37:$J$62,装备熔炼!$H$37:$H$62,Y41/18)</f>
        <v>44.888373037651256</v>
      </c>
      <c r="AE41" s="25">
        <f>求节点(装备熔炼!$J$37:$J$62,装备熔炼!$H$37:$H$62,Z41/18)</f>
        <v>51.60278477886461</v>
      </c>
      <c r="AF41" s="25">
        <f>求节点(装备熔炼!$J$37:$J$62,装备熔炼!$H$37:$H$62,AA41/18)</f>
        <v>51.984461380407232</v>
      </c>
      <c r="AG41" s="25">
        <f>求节点(装备熔炼!$J$37:$J$62,装备熔炼!$H$37:$H$62,AB41/18)</f>
        <v>37.922152401779599</v>
      </c>
    </row>
    <row r="42" spans="3:33" x14ac:dyDescent="0.15">
      <c r="C42" s="25">
        <v>99</v>
      </c>
      <c r="D42" s="25">
        <f>'[1]功能-行军令'!S102</f>
        <v>2943.1722998491459</v>
      </c>
      <c r="E42" s="25">
        <f>'[1]功能-行军令'!T102</f>
        <v>3762.8082135029254</v>
      </c>
      <c r="F42" s="25">
        <f>'[1]功能-行军令'!U102</f>
        <v>4155.7640778267232</v>
      </c>
      <c r="G42" s="25">
        <f>'[1]功能-行军令'!V102</f>
        <v>3447.6403332465561</v>
      </c>
      <c r="H42" s="25">
        <f>'[1]功能-行军令'!W102</f>
        <v>1732.8227321052364</v>
      </c>
      <c r="I42" s="25">
        <f>'[1]功能-实力'!BF103</f>
        <v>19824708</v>
      </c>
      <c r="J42" s="25">
        <f>'[1]功能-实力'!BG103</f>
        <v>25047012</v>
      </c>
      <c r="K42" s="25">
        <f>'[1]功能-实力'!BH103</f>
        <v>28925640</v>
      </c>
      <c r="L42" s="25">
        <f>'[1]功能-实力'!BI103</f>
        <v>35600952</v>
      </c>
      <c r="M42" s="25">
        <f>'[1]功能-实力'!BJ103</f>
        <v>37009260</v>
      </c>
      <c r="W42" s="25">
        <v>99</v>
      </c>
      <c r="X42" s="25">
        <f t="shared" si="6"/>
        <v>32069.956133009367</v>
      </c>
      <c r="Y42" s="25">
        <f t="shared" si="7"/>
        <v>49322.297276573008</v>
      </c>
      <c r="Z42" s="25">
        <f t="shared" si="8"/>
        <v>62300.704206562245</v>
      </c>
      <c r="AA42" s="25">
        <f t="shared" si="9"/>
        <v>62624.215101643465</v>
      </c>
      <c r="AB42" s="25">
        <f t="shared" si="10"/>
        <v>32721.397815428649</v>
      </c>
      <c r="AC42" s="25">
        <f>求节点(装备熔炼!$J$37:$J$62,装备熔炼!$H$37:$H$62,X42/18)</f>
        <v>37.270802870145396</v>
      </c>
      <c r="AD42" s="25">
        <f>求节点(装备熔炼!$J$37:$J$62,装备熔炼!$H$37:$H$62,Y42/18)</f>
        <v>47.401276264762785</v>
      </c>
      <c r="AE42" s="25">
        <f>求节点(装备熔炼!$J$37:$J$62,装备熔炼!$H$37:$H$62,Z42/18)</f>
        <v>53.842918614149184</v>
      </c>
      <c r="AF42" s="25">
        <f>求节点(装备熔炼!$J$37:$J$62,装备熔炼!$H$37:$H$62,AA42/18)</f>
        <v>53.992692176686788</v>
      </c>
      <c r="AG42" s="25">
        <f>求节点(装备熔炼!$J$37:$J$62,装备熔炼!$H$37:$H$62,AB42/18)</f>
        <v>37.723192927381007</v>
      </c>
    </row>
    <row r="43" spans="3:33" x14ac:dyDescent="0.15">
      <c r="C43" s="25">
        <v>100</v>
      </c>
      <c r="D43" s="25">
        <f>'[1]功能-行军令'!S103</f>
        <v>3154.4139666502233</v>
      </c>
      <c r="E43" s="25">
        <f>'[1]功能-行军令'!T103</f>
        <v>3944.2794379878469</v>
      </c>
      <c r="F43" s="25">
        <f>'[1]功能-行军令'!U103</f>
        <v>4371.5641898492104</v>
      </c>
      <c r="G43" s="25">
        <f>'[1]功能-行军令'!V103</f>
        <v>3381.1724841133255</v>
      </c>
      <c r="H43" s="25">
        <f>'[1]功能-行军令'!W103</f>
        <v>1769.3629510584033</v>
      </c>
      <c r="I43" s="25">
        <f>'[1]功能-实力'!BF104</f>
        <v>20580660</v>
      </c>
      <c r="J43" s="25">
        <f>'[1]功能-实力'!BG104</f>
        <v>25880454</v>
      </c>
      <c r="K43" s="25">
        <f>'[1]功能-实力'!BH104</f>
        <v>30048066</v>
      </c>
      <c r="L43" s="25">
        <f>'[1]功能-实力'!BI104</f>
        <v>36868446</v>
      </c>
      <c r="M43" s="25">
        <f>'[1]功能-实力'!BJ104</f>
        <v>38228802</v>
      </c>
      <c r="W43" s="25">
        <v>100</v>
      </c>
      <c r="X43" s="25">
        <f t="shared" si="6"/>
        <v>35314.672508926451</v>
      </c>
      <c r="Y43" s="25">
        <f t="shared" si="7"/>
        <v>53298.211655043546</v>
      </c>
      <c r="Z43" s="25">
        <f t="shared" si="8"/>
        <v>67862.006978644713</v>
      </c>
      <c r="AA43" s="25">
        <f t="shared" si="9"/>
        <v>63264.534013014876</v>
      </c>
      <c r="AB43" s="25">
        <f t="shared" si="10"/>
        <v>34368.579267244859</v>
      </c>
      <c r="AC43" s="25">
        <f>求节点(装备熔炼!$J$37:$J$62,装备熔炼!$H$37:$H$62,X43/18)</f>
        <v>39.524078131198927</v>
      </c>
      <c r="AD43" s="25">
        <f>求节点(装备熔炼!$J$37:$J$62,装备熔炼!$H$37:$H$62,Y43/18)</f>
        <v>49.610117586135303</v>
      </c>
      <c r="AE43" s="25">
        <f>求节点(装备熔炼!$J$37:$J$62,装备熔炼!$H$37:$H$62,Z43/18)</f>
        <v>56.417595823446625</v>
      </c>
      <c r="AF43" s="25">
        <f>求节点(装备熔炼!$J$37:$J$62,装备熔炼!$H$37:$H$62,AA43/18)</f>
        <v>54.289136117136515</v>
      </c>
      <c r="AG43" s="25">
        <f>求节点(装备熔炼!$J$37:$J$62,装备熔炼!$H$37:$H$62,AB43/18)</f>
        <v>38.867068935586708</v>
      </c>
    </row>
    <row r="44" spans="3:33" x14ac:dyDescent="0.15">
      <c r="C44" s="25">
        <v>101</v>
      </c>
      <c r="D44" s="25">
        <f>'[1]功能-行军令'!S104</f>
        <v>3380.8171793095098</v>
      </c>
      <c r="E44" s="25">
        <f>'[1]功能-行军令'!T104</f>
        <v>4272.4389792014263</v>
      </c>
      <c r="F44" s="25">
        <f>'[1]功能-行军令'!U104</f>
        <v>4510.4067082575857</v>
      </c>
      <c r="G44" s="25">
        <f>'[1]功能-行军令'!V104</f>
        <v>3478.4733036623365</v>
      </c>
      <c r="H44" s="25">
        <f>'[1]功能-行军令'!W104</f>
        <v>1920.3872554320005</v>
      </c>
      <c r="I44" s="25">
        <f>'[1]功能-实力'!BF105</f>
        <v>21402186</v>
      </c>
      <c r="J44" s="25">
        <f>'[1]功能-实力'!BG105</f>
        <v>26784036</v>
      </c>
      <c r="K44" s="25">
        <f>'[1]功能-实力'!BH105</f>
        <v>31073868</v>
      </c>
      <c r="L44" s="25">
        <f>'[1]功能-实力'!BI105</f>
        <v>37781832</v>
      </c>
      <c r="M44" s="25">
        <f>'[1]功能-实力'!BJ105</f>
        <v>39115530</v>
      </c>
      <c r="W44" s="25">
        <v>101</v>
      </c>
      <c r="X44" s="25">
        <f t="shared" si="6"/>
        <v>39092.26762217412</v>
      </c>
      <c r="Y44" s="25">
        <f t="shared" si="7"/>
        <v>59571.632612428977</v>
      </c>
      <c r="Z44" s="25">
        <f t="shared" si="8"/>
        <v>72417.367297161501</v>
      </c>
      <c r="AA44" s="25">
        <f t="shared" si="9"/>
        <v>66985.94907536167</v>
      </c>
      <c r="AB44" s="25">
        <f t="shared" si="10"/>
        <v>38340.998011195377</v>
      </c>
      <c r="AC44" s="25">
        <f>求节点(装备熔炼!$J$37:$J$62,装备熔炼!$H$37:$H$62,X44/18)</f>
        <v>41.717926456763401</v>
      </c>
      <c r="AD44" s="25">
        <f>求节点(装备熔炼!$J$37:$J$62,装备熔炼!$H$37:$H$62,Y44/18)</f>
        <v>52.579459542791191</v>
      </c>
      <c r="AE44" s="25">
        <f>求节点(装备熔炼!$J$37:$J$62,装备熔炼!$H$37:$H$62,Z44/18)</f>
        <v>58.526558933871065</v>
      </c>
      <c r="AF44" s="25">
        <f>求节点(装备熔炼!$J$37:$J$62,装备熔炼!$H$37:$H$62,AA44/18)</f>
        <v>56.012013460815588</v>
      </c>
      <c r="AG44" s="25">
        <f>求节点(装备熔炼!$J$37:$J$62,装备熔炼!$H$37:$H$62,AB44/18)</f>
        <v>41.300554450664102</v>
      </c>
    </row>
    <row r="45" spans="3:33" x14ac:dyDescent="0.15">
      <c r="C45" s="25">
        <v>102</v>
      </c>
      <c r="D45" s="25">
        <f>'[1]功能-行军令'!S105</f>
        <v>3623.4701344707792</v>
      </c>
      <c r="E45" s="25">
        <f>'[1]功能-行军令'!T105</f>
        <v>4362.8325848179593</v>
      </c>
      <c r="F45" s="25">
        <f>'[1]功能-行军令'!U105</f>
        <v>4548.1738450043485</v>
      </c>
      <c r="G45" s="25">
        <f>'[1]功能-行军令'!V105</f>
        <v>3707.8333396956223</v>
      </c>
      <c r="H45" s="25">
        <f>'[1]功能-行军令'!W105</f>
        <v>2074.3097858203364</v>
      </c>
      <c r="I45" s="25">
        <f>'[1]功能-实力'!BF106</f>
        <v>22216464</v>
      </c>
      <c r="J45" s="25">
        <f>'[1]功能-实力'!BG106</f>
        <v>27711084</v>
      </c>
      <c r="K45" s="25">
        <f>'[1]功能-实力'!BH106</f>
        <v>32113032</v>
      </c>
      <c r="L45" s="25">
        <f>'[1]功能-实力'!BI106</f>
        <v>38723994</v>
      </c>
      <c r="M45" s="25">
        <f>'[1]功能-实力'!BJ106</f>
        <v>40027026</v>
      </c>
      <c r="W45" s="25">
        <v>102</v>
      </c>
      <c r="X45" s="25">
        <f t="shared" si="6"/>
        <v>43230.203837364163</v>
      </c>
      <c r="Y45" s="25">
        <f t="shared" si="7"/>
        <v>62901.327530261864</v>
      </c>
      <c r="Z45" s="25">
        <f t="shared" si="8"/>
        <v>75443.875854554732</v>
      </c>
      <c r="AA45" s="25">
        <f t="shared" si="9"/>
        <v>73428.972129917107</v>
      </c>
      <c r="AB45" s="25">
        <f t="shared" si="10"/>
        <v>42536.249276307084</v>
      </c>
      <c r="AC45" s="25">
        <f>求节点(装备熔炼!$J$37:$J$62,装备熔炼!$H$37:$H$62,X45/18)</f>
        <v>44.016779909646758</v>
      </c>
      <c r="AD45" s="25">
        <f>求节点(装备熔炼!$J$37:$J$62,装备熔炼!$H$37:$H$62,Y45/18)</f>
        <v>54.120984967713824</v>
      </c>
      <c r="AE45" s="25">
        <f>求节点(装备熔炼!$J$37:$J$62,装备熔炼!$H$37:$H$62,Z45/18)</f>
        <v>59.927720303034597</v>
      </c>
      <c r="AF45" s="25">
        <f>求节点(装备熔炼!$J$37:$J$62,装备熔炼!$H$37:$H$62,AA45/18)</f>
        <v>58.994894504591251</v>
      </c>
      <c r="AG45" s="25">
        <f>求节点(装备熔炼!$J$37:$J$62,装备熔炼!$H$37:$H$62,AB45/18)</f>
        <v>43.631249597948383</v>
      </c>
    </row>
    <row r="46" spans="3:33" x14ac:dyDescent="0.15">
      <c r="C46" s="25">
        <v>103</v>
      </c>
      <c r="D46" s="25">
        <f>'[1]功能-行军令'!S106</f>
        <v>3883.5391324186494</v>
      </c>
      <c r="E46" s="25">
        <f>'[1]功能-行军令'!T106</f>
        <v>4630.885907546035</v>
      </c>
      <c r="F46" s="25">
        <f>'[1]功能-行军令'!U106</f>
        <v>5029.5731836195046</v>
      </c>
      <c r="G46" s="25">
        <f>'[1]功能-行军令'!V106</f>
        <v>4224.6708721464456</v>
      </c>
      <c r="H46" s="25">
        <f>'[1]功能-行军令'!W106</f>
        <v>2294.0766249940425</v>
      </c>
      <c r="I46" s="25">
        <f>'[1]功能-实力'!BF107</f>
        <v>23055606</v>
      </c>
      <c r="J46" s="25">
        <f>'[1]功能-实力'!BG107</f>
        <v>28664076</v>
      </c>
      <c r="K46" s="25">
        <f>'[1]功能-实力'!BH107</f>
        <v>33197370</v>
      </c>
      <c r="L46" s="25">
        <f>'[1]功能-实力'!BI107</f>
        <v>39701532</v>
      </c>
      <c r="M46" s="25">
        <f>'[1]功能-实力'!BJ107</f>
        <v>40995714</v>
      </c>
      <c r="W46" s="25">
        <v>103</v>
      </c>
      <c r="X46" s="25">
        <f t="shared" si="6"/>
        <v>47760.746995147951</v>
      </c>
      <c r="Y46" s="25">
        <f t="shared" si="7"/>
        <v>68962.452445733768</v>
      </c>
      <c r="Z46" s="25">
        <f t="shared" si="8"/>
        <v>86109.764343163944</v>
      </c>
      <c r="AA46" s="25">
        <f t="shared" si="9"/>
        <v>85972.890062761973</v>
      </c>
      <c r="AB46" s="25">
        <f t="shared" si="10"/>
        <v>48378.684794375775</v>
      </c>
      <c r="AC46" s="25">
        <f>求节点(装备熔炼!$J$37:$J$62,装备熔炼!$H$37:$H$62,X46/18)</f>
        <v>46.533748330637749</v>
      </c>
      <c r="AD46" s="25">
        <f>求节点(装备熔炼!$J$37:$J$62,装备熔炼!$H$37:$H$62,Y46/18)</f>
        <v>56.927061317469338</v>
      </c>
      <c r="AE46" s="25">
        <f>求节点(装备熔炼!$J$37:$J$62,装备熔炼!$H$37:$H$62,Z46/18)</f>
        <v>64.170541406017435</v>
      </c>
      <c r="AF46" s="25">
        <f>求节点(装备熔炼!$J$37:$J$62,装备熔炼!$H$37:$H$62,AA46/18)</f>
        <v>64.11622621538173</v>
      </c>
      <c r="AG46" s="25">
        <f>求节点(装备熔炼!$J$37:$J$62,装备熔炼!$H$37:$H$62,AB46/18)</f>
        <v>46.877047107986542</v>
      </c>
    </row>
    <row r="47" spans="3:33" x14ac:dyDescent="0.15">
      <c r="C47" s="25">
        <v>104</v>
      </c>
      <c r="D47" s="25">
        <f>'[1]功能-行军令'!S107</f>
        <v>4162.2741828474682</v>
      </c>
      <c r="E47" s="25">
        <f>'[1]功能-行军令'!T107</f>
        <v>5183.8998965025967</v>
      </c>
      <c r="F47" s="25">
        <f>'[1]功能-行军令'!U107</f>
        <v>5815.5755060425872</v>
      </c>
      <c r="G47" s="25">
        <f>'[1]功能-行军令'!V107</f>
        <v>4746.6682431136578</v>
      </c>
      <c r="H47" s="25">
        <f>'[1]功能-行军令'!W107</f>
        <v>2540.3058772189543</v>
      </c>
      <c r="I47" s="25">
        <f>'[1]功能-实力'!BF108</f>
        <v>23917386</v>
      </c>
      <c r="J47" s="25">
        <f>'[1]功能-实力'!BG108</f>
        <v>29583930</v>
      </c>
      <c r="K47" s="25">
        <f>'[1]功能-实力'!BH108</f>
        <v>34329012</v>
      </c>
      <c r="L47" s="25">
        <f>'[1]功能-实力'!BI108</f>
        <v>40732938</v>
      </c>
      <c r="M47" s="25">
        <f>'[1]功能-实力'!BJ108</f>
        <v>42040824</v>
      </c>
      <c r="W47" s="25">
        <v>104</v>
      </c>
      <c r="X47" s="25">
        <f t="shared" si="6"/>
        <v>52718.938326450974</v>
      </c>
      <c r="Y47" s="25">
        <f t="shared" si="7"/>
        <v>79656.605219269884</v>
      </c>
      <c r="Z47" s="25">
        <f t="shared" si="8"/>
        <v>102675.34623851316</v>
      </c>
      <c r="AA47" s="25">
        <f t="shared" si="9"/>
        <v>99245.815779018856</v>
      </c>
      <c r="AB47" s="25">
        <f t="shared" si="10"/>
        <v>55202.993061126603</v>
      </c>
      <c r="AC47" s="25">
        <f>求节点(装备熔炼!$J$37:$J$62,装备熔炼!$H$37:$H$62,X47/18)</f>
        <v>49.288299070250545</v>
      </c>
      <c r="AD47" s="25">
        <f>求节点(装备熔炼!$J$37:$J$62,装备熔炼!$H$37:$H$62,Y47/18)</f>
        <v>61.609763975900748</v>
      </c>
      <c r="AE47" s="25">
        <f>求节点(装备熔炼!$J$37:$J$62,装备熔炼!$H$37:$H$62,Z47/18)</f>
        <v>70.651161888372627</v>
      </c>
      <c r="AF47" s="25">
        <f>求节点(装备熔炼!$J$37:$J$62,装备熔炼!$H$37:$H$62,AA47/18)</f>
        <v>69.383260229769391</v>
      </c>
      <c r="AG47" s="25">
        <f>求节点(装备熔炼!$J$37:$J$62,装备熔炼!$H$37:$H$62,AB47/18)</f>
        <v>50.556941232003055</v>
      </c>
    </row>
    <row r="48" spans="3:33" x14ac:dyDescent="0.15">
      <c r="C48" s="25">
        <v>105</v>
      </c>
      <c r="D48" s="25">
        <f>'[1]功能-行军令'!S108</f>
        <v>4461.0150129758622</v>
      </c>
      <c r="E48" s="25">
        <f>'[1]功能-行军令'!T108</f>
        <v>5634.834307619356</v>
      </c>
      <c r="F48" s="25">
        <f>'[1]功能-行军令'!U108</f>
        <v>6167.2122250305401</v>
      </c>
      <c r="G48" s="25">
        <f>'[1]功能-行军令'!V108</f>
        <v>4995.0086300202383</v>
      </c>
      <c r="H48" s="25">
        <f>'[1]功能-行军令'!W108</f>
        <v>2667.0081276489</v>
      </c>
      <c r="I48" s="25">
        <f>'[1]功能-实力'!BF109</f>
        <v>24738678</v>
      </c>
      <c r="J48" s="25">
        <f>'[1]功能-实力'!BG109</f>
        <v>30513312</v>
      </c>
      <c r="K48" s="25">
        <f>'[1]功能-实力'!BH109</f>
        <v>35502138</v>
      </c>
      <c r="L48" s="25">
        <f>'[1]功能-实力'!BI109</f>
        <v>41774250</v>
      </c>
      <c r="M48" s="25">
        <f>'[1]功能-实力'!BJ109</f>
        <v>43128846</v>
      </c>
      <c r="W48" s="25">
        <v>105</v>
      </c>
      <c r="X48" s="25">
        <f t="shared" si="6"/>
        <v>58142.826636000216</v>
      </c>
      <c r="Y48" s="25">
        <f t="shared" si="7"/>
        <v>89258.365680542702</v>
      </c>
      <c r="Z48" s="25">
        <f t="shared" si="8"/>
        <v>112180.21963351854</v>
      </c>
      <c r="AA48" s="25">
        <f t="shared" si="9"/>
        <v>107630.09796790968</v>
      </c>
      <c r="AB48" s="25">
        <f t="shared" si="10"/>
        <v>59669.421133786658</v>
      </c>
      <c r="AC48" s="25">
        <f>求节点(装备熔炼!$J$37:$J$62,装备熔炼!$H$37:$H$62,X48/18)</f>
        <v>51.917975294444545</v>
      </c>
      <c r="AD48" s="25">
        <f>求节点(装备熔炼!$J$37:$J$62,装备熔炼!$H$37:$H$62,Y48/18)</f>
        <v>65.419986381167746</v>
      </c>
      <c r="AE48" s="25">
        <f>求节点(装备熔炼!$J$37:$J$62,装备熔炼!$H$37:$H$62,Z48/18)</f>
        <v>73.95146515052727</v>
      </c>
      <c r="AF48" s="25">
        <f>求节点(装备熔炼!$J$37:$J$62,装备熔炼!$H$37:$H$62,AA48/18)</f>
        <v>72.371561794413083</v>
      </c>
      <c r="AG48" s="25">
        <f>求节点(装备熔炼!$J$37:$J$62,装备熔炼!$H$37:$H$62,AB48/18)</f>
        <v>52.624732006382708</v>
      </c>
    </row>
    <row r="49" spans="3:33" x14ac:dyDescent="0.15">
      <c r="C49" s="25">
        <v>106</v>
      </c>
      <c r="D49" s="25">
        <f>'[1]功能-行军令'!S109</f>
        <v>4781.1975068834727</v>
      </c>
      <c r="E49" s="25">
        <f>'[1]功能-行军令'!T109</f>
        <v>6004.6652907472017</v>
      </c>
      <c r="F49" s="25">
        <f>'[1]功能-行军令'!U109</f>
        <v>6505.4532631804323</v>
      </c>
      <c r="G49" s="25">
        <f>'[1]功能-行军令'!V109</f>
        <v>5231.0641273925139</v>
      </c>
      <c r="H49" s="25">
        <f>'[1]功能-行军令'!W109</f>
        <v>2698.6658778796627</v>
      </c>
      <c r="I49" s="25">
        <f>'[1]功能-实力'!BF110</f>
        <v>25578666</v>
      </c>
      <c r="J49" s="25">
        <f>'[1]功能-实力'!BG110</f>
        <v>31501242</v>
      </c>
      <c r="K49" s="25">
        <f>'[1]功能-实力'!BH110</f>
        <v>36578010</v>
      </c>
      <c r="L49" s="25">
        <f>'[1]功能-实力'!BI110</f>
        <v>42872874</v>
      </c>
      <c r="M49" s="25">
        <f>'[1]功能-实力'!BJ110</f>
        <v>44138472</v>
      </c>
      <c r="W49" s="25">
        <v>106</v>
      </c>
      <c r="X49" s="25">
        <f t="shared" si="6"/>
        <v>64073.719517841477</v>
      </c>
      <c r="Y49" s="25">
        <f t="shared" si="7"/>
        <v>97964.704080432421</v>
      </c>
      <c r="Z49" s="25">
        <f t="shared" si="8"/>
        <v>121810.19842579312</v>
      </c>
      <c r="AA49" s="25">
        <f t="shared" si="9"/>
        <v>116059.2041084954</v>
      </c>
      <c r="AB49" s="25">
        <f t="shared" si="10"/>
        <v>62111.120925382107</v>
      </c>
      <c r="AC49" s="25">
        <f>求节点(装备熔炼!$J$37:$J$62,装备熔炼!$H$37:$H$62,X49/18)</f>
        <v>54.663759036037717</v>
      </c>
      <c r="AD49" s="25">
        <f>求节点(装备熔炼!$J$37:$J$62,装备熔炼!$H$37:$H$62,Y49/18)</f>
        <v>68.874882571600168</v>
      </c>
      <c r="AE49" s="25">
        <f>求节点(装备熔炼!$J$37:$J$62,装备熔炼!$H$37:$H$62,Z49/18)</f>
        <v>77.295207786733727</v>
      </c>
      <c r="AF49" s="25">
        <f>求节点(装备熔炼!$J$37:$J$62,装备熔炼!$H$37:$H$62,AA49/18)</f>
        <v>75.298334759894232</v>
      </c>
      <c r="AG49" s="25">
        <f>求节点(装备熔炼!$J$37:$J$62,装备熔炼!$H$37:$H$62,AB49/18)</f>
        <v>53.755148576565794</v>
      </c>
    </row>
    <row r="50" spans="3:33" x14ac:dyDescent="0.15">
      <c r="C50" s="25">
        <v>107</v>
      </c>
      <c r="D50" s="25">
        <f>'[1]功能-行军令'!S110</f>
        <v>5124.3606070224341</v>
      </c>
      <c r="E50" s="25">
        <f>'[1]功能-行军令'!T110</f>
        <v>6328.7350160844362</v>
      </c>
      <c r="F50" s="25">
        <f>'[1]功能-行军令'!U110</f>
        <v>7003.6439255133446</v>
      </c>
      <c r="G50" s="25">
        <f>'[1]功能-行军令'!V110</f>
        <v>5329.0924300315673</v>
      </c>
      <c r="H50" s="25">
        <f>'[1]功能-行军令'!W110</f>
        <v>2846.6296138036487</v>
      </c>
      <c r="I50" s="25">
        <f>'[1]功能-实力'!BF111</f>
        <v>26451780</v>
      </c>
      <c r="J50" s="25">
        <f>'[1]功能-实力'!BG111</f>
        <v>32504616</v>
      </c>
      <c r="K50" s="25">
        <f>'[1]功能-实力'!BH111</f>
        <v>37603110</v>
      </c>
      <c r="L50" s="25">
        <f>'[1]功能-实力'!BI111</f>
        <v>43931376</v>
      </c>
      <c r="M50" s="25">
        <f>'[1]功能-实力'!BJ111</f>
        <v>45140322</v>
      </c>
      <c r="W50" s="25">
        <v>107</v>
      </c>
      <c r="X50" s="25">
        <f t="shared" si="6"/>
        <v>70556.455138782563</v>
      </c>
      <c r="Y50" s="25">
        <f t="shared" si="7"/>
        <v>106253.57921102017</v>
      </c>
      <c r="Z50" s="25">
        <f t="shared" si="8"/>
        <v>134882.23475678402</v>
      </c>
      <c r="AA50" s="25">
        <f t="shared" si="9"/>
        <v>121639.44693150435</v>
      </c>
      <c r="AB50" s="25">
        <f t="shared" si="10"/>
        <v>67345.035156740545</v>
      </c>
      <c r="AC50" s="25">
        <f>求节点(装备熔炼!$J$37:$J$62,装备熔炼!$H$37:$H$62,X50/18)</f>
        <v>57.665025527214148</v>
      </c>
      <c r="AD50" s="25">
        <f>求节点(装备熔炼!$J$37:$J$62,装备熔炼!$H$37:$H$62,Y50/18)</f>
        <v>71.893603892715333</v>
      </c>
      <c r="AE50" s="25">
        <f>求节点(装备熔炼!$J$37:$J$62,装备熔炼!$H$37:$H$62,Z50/18)</f>
        <v>81.630319369377787</v>
      </c>
      <c r="AF50" s="25">
        <f>求节点(装备熔炼!$J$37:$J$62,装备熔炼!$H$37:$H$62,AA50/18)</f>
        <v>77.235919073439007</v>
      </c>
      <c r="AG50" s="25">
        <f>求节点(装备熔炼!$J$37:$J$62,装备熔炼!$H$37:$H$62,AB50/18)</f>
        <v>56.178257017009514</v>
      </c>
    </row>
    <row r="51" spans="3:33" x14ac:dyDescent="0.15">
      <c r="C51" s="25">
        <v>108</v>
      </c>
      <c r="D51" s="25">
        <f>'[1]功能-行军令'!S111</f>
        <v>5492.1537110731006</v>
      </c>
      <c r="E51" s="25">
        <f>'[1]功能-行军令'!T111</f>
        <v>6827.5231280621665</v>
      </c>
      <c r="F51" s="25">
        <f>'[1]功能-行军令'!U111</f>
        <v>6958.2651245740271</v>
      </c>
      <c r="G51" s="25">
        <f>'[1]功能-行军令'!V111</f>
        <v>5724.9071512479131</v>
      </c>
      <c r="H51" s="25">
        <f>'[1]功能-行军令'!W111</f>
        <v>3183.0035627315665</v>
      </c>
      <c r="I51" s="25">
        <f>'[1]功能-实力'!BF112</f>
        <v>27282672</v>
      </c>
      <c r="J51" s="25">
        <f>'[1]功能-实力'!BG112</f>
        <v>33532422</v>
      </c>
      <c r="K51" s="25">
        <f>'[1]功能-实力'!BH112</f>
        <v>38595042</v>
      </c>
      <c r="L51" s="25">
        <f>'[1]功能-实力'!BI112</f>
        <v>44928306</v>
      </c>
      <c r="M51" s="25">
        <f>'[1]功能-实力'!BJ112</f>
        <v>46143978</v>
      </c>
      <c r="W51" s="25">
        <v>108</v>
      </c>
      <c r="X51" s="25">
        <f t="shared" si="6"/>
        <v>78103.848366712118</v>
      </c>
      <c r="Y51" s="25">
        <f t="shared" si="7"/>
        <v>118212.43557663496</v>
      </c>
      <c r="Z51" s="25">
        <f t="shared" si="8"/>
        <v>137727.78778768168</v>
      </c>
      <c r="AA51" s="25">
        <f t="shared" si="9"/>
        <v>134332.39726836822</v>
      </c>
      <c r="AB51" s="25">
        <f t="shared" si="10"/>
        <v>77347.424561832711</v>
      </c>
      <c r="AC51" s="25">
        <f>求节点(装备熔炼!$J$37:$J$62,装备熔炼!$H$37:$H$62,X51/18)</f>
        <v>60.993590621711157</v>
      </c>
      <c r="AD51" s="25">
        <f>求节点(装备熔炼!$J$37:$J$62,装备熔炼!$H$37:$H$62,Y51/18)</f>
        <v>76.045984575220473</v>
      </c>
      <c r="AE51" s="25">
        <f>求节点(装备熔炼!$J$37:$J$62,装备熔炼!$H$37:$H$62,Z51/18)</f>
        <v>82.508576477679526</v>
      </c>
      <c r="AF51" s="25">
        <f>求节点(装备熔炼!$J$37:$J$62,装备熔炼!$H$37:$H$62,AA51/18)</f>
        <v>81.460616440854395</v>
      </c>
      <c r="AG51" s="25">
        <f>求节点(装备熔炼!$J$37:$J$62,装备熔炼!$H$37:$H$62,AB51/18)</f>
        <v>60.693422445171713</v>
      </c>
    </row>
    <row r="52" spans="3:33" x14ac:dyDescent="0.15">
      <c r="C52" s="25">
        <v>109</v>
      </c>
      <c r="D52" s="25">
        <f>'[1]功能-行军令'!S112</f>
        <v>5886.3445996982919</v>
      </c>
      <c r="E52" s="25">
        <f>'[1]功能-行军令'!T112</f>
        <v>6959.269949602909</v>
      </c>
      <c r="F52" s="25">
        <f>'[1]功能-行军令'!U112</f>
        <v>7595.3615030053188</v>
      </c>
      <c r="G52" s="25">
        <f>'[1]功能-行军令'!V112</f>
        <v>6192.0703785223159</v>
      </c>
      <c r="H52" s="25">
        <f>'[1]功能-行军令'!W112</f>
        <v>3445.5266175636789</v>
      </c>
      <c r="I52" s="25">
        <f>'[1]功能-实力'!BF113</f>
        <v>28088160</v>
      </c>
      <c r="J52" s="25">
        <f>'[1]功能-实力'!BG113</f>
        <v>34560978</v>
      </c>
      <c r="K52" s="25">
        <f>'[1]功能-实力'!BH113</f>
        <v>39619176</v>
      </c>
      <c r="L52" s="25">
        <f>'[1]功能-实力'!BI113</f>
        <v>45934956</v>
      </c>
      <c r="M52" s="25">
        <f>'[1]功能-实力'!BJ113</f>
        <v>47174412</v>
      </c>
      <c r="W52" s="25">
        <v>109</v>
      </c>
      <c r="X52" s="25">
        <f t="shared" si="6"/>
        <v>86371.180050457289</v>
      </c>
      <c r="Y52" s="25">
        <f t="shared" si="7"/>
        <v>124302.56974673363</v>
      </c>
      <c r="Z52" s="25">
        <f t="shared" si="8"/>
        <v>154398.15014265303</v>
      </c>
      <c r="AA52" s="25">
        <f t="shared" si="9"/>
        <v>149250.95857876271</v>
      </c>
      <c r="AB52" s="25">
        <f t="shared" si="10"/>
        <v>85939.912500977938</v>
      </c>
      <c r="AC52" s="25">
        <f>求节点(装备熔炼!$J$37:$J$62,装备熔炼!$H$37:$H$62,X52/18)</f>
        <v>64.274277797800508</v>
      </c>
      <c r="AD52" s="25">
        <f>求节点(装备熔炼!$J$37:$J$62,装备熔炼!$H$37:$H$62,Y52/18)</f>
        <v>78.160614495393617</v>
      </c>
      <c r="AE52" s="25">
        <f>求节点(装备熔炼!$J$37:$J$62,装备熔炼!$H$37:$H$62,Z52/18)</f>
        <v>87.653750044028712</v>
      </c>
      <c r="AF52" s="25">
        <f>求节点(装备熔炼!$J$37:$J$62,装备熔炼!$H$37:$H$62,AA52/18)</f>
        <v>86.065110672457635</v>
      </c>
      <c r="AG52" s="25">
        <f>求节点(装备熔炼!$J$37:$J$62,装备熔炼!$H$37:$H$62,AB52/18)</f>
        <v>64.103139881340454</v>
      </c>
    </row>
    <row r="53" spans="3:33" x14ac:dyDescent="0.15">
      <c r="C53" s="25">
        <v>110</v>
      </c>
      <c r="D53" s="25">
        <f>'[1]功能-行军令'!S113</f>
        <v>6308.8279333004321</v>
      </c>
      <c r="E53" s="25">
        <f>'[1]功能-行军令'!T113</f>
        <v>7817.0355398159154</v>
      </c>
      <c r="F53" s="25">
        <f>'[1]功能-行军令'!U113</f>
        <v>8710.3705157723016</v>
      </c>
      <c r="G53" s="25">
        <f>'[1]功能-行军令'!V113</f>
        <v>7166.3095241674018</v>
      </c>
      <c r="H53" s="25">
        <f>'[1]功能-行军令'!W113</f>
        <v>3858.6700569071982</v>
      </c>
      <c r="I53" s="25">
        <f>'[1]功能-实力'!BF114</f>
        <v>28899660</v>
      </c>
      <c r="J53" s="25">
        <f>'[1]功能-实力'!BG114</f>
        <v>35622468</v>
      </c>
      <c r="K53" s="25">
        <f>'[1]功能-实力'!BH114</f>
        <v>40671372</v>
      </c>
      <c r="L53" s="25">
        <f>'[1]功能-实力'!BI114</f>
        <v>46981776</v>
      </c>
      <c r="M53" s="25">
        <f>'[1]功能-实力'!BJ114</f>
        <v>48299988</v>
      </c>
      <c r="W53" s="25">
        <v>110</v>
      </c>
      <c r="X53" s="25">
        <f t="shared" si="6"/>
        <v>95422.915274269282</v>
      </c>
      <c r="Y53" s="25">
        <f t="shared" si="7"/>
        <v>143902.03861572989</v>
      </c>
      <c r="Z53" s="25">
        <f t="shared" si="8"/>
        <v>181842.7672225585</v>
      </c>
      <c r="AA53" s="25">
        <f t="shared" si="9"/>
        <v>177312.92428097187</v>
      </c>
      <c r="AB53" s="25">
        <f t="shared" si="10"/>
        <v>98723.239717549455</v>
      </c>
      <c r="AC53" s="25">
        <f>求节点(装备熔炼!$J$37:$J$62,装备熔炼!$H$37:$H$62,X53/18)</f>
        <v>67.866236219948121</v>
      </c>
      <c r="AD53" s="25">
        <f>求节点(装备熔炼!$J$37:$J$62,装备熔炼!$H$37:$H$62,Y53/18)</f>
        <v>84.414209449299349</v>
      </c>
      <c r="AE53" s="25">
        <f>求节点(装备熔炼!$J$37:$J$62,装备熔炼!$H$37:$H$62,Z53/18)</f>
        <v>95.511879784044027</v>
      </c>
      <c r="AF53" s="25">
        <f>求节点(装备熔炼!$J$37:$J$62,装备熔炼!$H$37:$H$62,AA53/18)</f>
        <v>94.25359007804775</v>
      </c>
      <c r="AG53" s="25">
        <f>求节点(装备熔炼!$J$37:$J$62,装备熔炼!$H$37:$H$62,AB53/18)</f>
        <v>69.175888776805337</v>
      </c>
    </row>
    <row r="54" spans="3:33" x14ac:dyDescent="0.15">
      <c r="C54" s="25">
        <v>111</v>
      </c>
      <c r="D54" s="25">
        <f>'[1]功能-行军令'!S114</f>
        <v>6761.6343586190196</v>
      </c>
      <c r="E54" s="25">
        <f>'[1]功能-行军令'!T114</f>
        <v>8554.4882082000986</v>
      </c>
      <c r="F54" s="25">
        <f>'[1]功能-行军令'!U114</f>
        <v>9390.1957118525897</v>
      </c>
      <c r="G54" s="25">
        <f>'[1]功能-行军令'!V114</f>
        <v>7745.548454712145</v>
      </c>
      <c r="H54" s="25">
        <f>'[1]功能-行军令'!W114</f>
        <v>4235.1011845577596</v>
      </c>
      <c r="I54" s="25">
        <f>'[1]功能-实力'!BF115</f>
        <v>29832252</v>
      </c>
      <c r="J54" s="25">
        <f>'[1]功能-实力'!BG115</f>
        <v>36672396</v>
      </c>
      <c r="K54" s="25">
        <f>'[1]功能-实力'!BH115</f>
        <v>41756442</v>
      </c>
      <c r="L54" s="25">
        <f>'[1]功能-实力'!BI115</f>
        <v>47974296</v>
      </c>
      <c r="M54" s="25">
        <f>'[1]功能-实力'!BJ115</f>
        <v>49417590</v>
      </c>
      <c r="W54" s="25">
        <v>111</v>
      </c>
      <c r="X54" s="25">
        <f t="shared" si="6"/>
        <v>105329.06417450801</v>
      </c>
      <c r="Y54" s="25">
        <f t="shared" si="7"/>
        <v>162159.81387040237</v>
      </c>
      <c r="Z54" s="25">
        <f t="shared" si="8"/>
        <v>203023.87466416805</v>
      </c>
      <c r="AA54" s="25">
        <f t="shared" si="9"/>
        <v>196594.25434189042</v>
      </c>
      <c r="AB54" s="25">
        <f t="shared" si="10"/>
        <v>111681.36705272946</v>
      </c>
      <c r="AC54" s="25">
        <f>求节点(装备熔炼!$J$37:$J$62,装备熔炼!$H$37:$H$62,X54/18)</f>
        <v>71.57259172725972</v>
      </c>
      <c r="AD54" s="25">
        <f>求节点(装备熔炼!$J$37:$J$62,装备熔炼!$H$37:$H$62,Y54/18)</f>
        <v>90.044392741778438</v>
      </c>
      <c r="AE54" s="25">
        <f>求节点(装备熔炼!$J$37:$J$62,装备熔炼!$H$37:$H$62,Z54/18)</f>
        <v>101.26865521822425</v>
      </c>
      <c r="AF54" s="25">
        <f>求节点(装备熔炼!$J$37:$J$62,装备熔炼!$H$37:$H$62,AA54/18)</f>
        <v>99.609515094969566</v>
      </c>
      <c r="AG54" s="25">
        <f>求节点(装备熔炼!$J$37:$J$62,装备熔炼!$H$37:$H$62,AB54/18)</f>
        <v>73.778252448864393</v>
      </c>
    </row>
    <row r="55" spans="3:33" x14ac:dyDescent="0.15">
      <c r="C55" s="25">
        <v>112</v>
      </c>
      <c r="D55" s="25">
        <f>'[1]功能-行军令'!S115</f>
        <v>7246.9402689415583</v>
      </c>
      <c r="E55" s="25">
        <f>'[1]功能-行军令'!T115</f>
        <v>9086.6139328801364</v>
      </c>
      <c r="F55" s="25">
        <f>'[1]功能-行军令'!U115</f>
        <v>9911.6166106327146</v>
      </c>
      <c r="G55" s="25">
        <f>'[1]功能-行军令'!V115</f>
        <v>8107.8374191055191</v>
      </c>
      <c r="H55" s="25">
        <f>'[1]功能-行军令'!W115</f>
        <v>4119.3288515132517</v>
      </c>
      <c r="I55" s="25">
        <f>'[1]功能-实力'!BF116</f>
        <v>30783354</v>
      </c>
      <c r="J55" s="25">
        <f>'[1]功能-实力'!BG116</f>
        <v>37746588</v>
      </c>
      <c r="K55" s="25">
        <f>'[1]功能-实力'!BH116</f>
        <v>42914430</v>
      </c>
      <c r="L55" s="25">
        <f>'[1]功能-实力'!BI116</f>
        <v>49009530</v>
      </c>
      <c r="M55" s="25">
        <f>'[1]功能-实力'!BJ116</f>
        <v>50528982</v>
      </c>
      <c r="W55" s="25">
        <v>112</v>
      </c>
      <c r="X55" s="25">
        <f t="shared" si="6"/>
        <v>116165.64582746768</v>
      </c>
      <c r="Y55" s="25">
        <f t="shared" si="7"/>
        <v>177220.27457983454</v>
      </c>
      <c r="Z55" s="25">
        <f t="shared" si="8"/>
        <v>221674.1798248663</v>
      </c>
      <c r="AA55" s="25">
        <f t="shared" si="9"/>
        <v>211523.32919227649</v>
      </c>
      <c r="AB55" s="25">
        <f t="shared" si="10"/>
        <v>111892.87963708579</v>
      </c>
      <c r="AC55" s="25">
        <f>求节点(装备熔炼!$J$37:$J$62,装备熔炼!$H$37:$H$62,X55/18)</f>
        <v>75.335293690092954</v>
      </c>
      <c r="AD55" s="25">
        <f>求节点(装备熔炼!$J$37:$J$62,装备熔炼!$H$37:$H$62,Y55/18)</f>
        <v>94.227854049954033</v>
      </c>
      <c r="AE55" s="25">
        <f>求节点(装备熔炼!$J$37:$J$62,装备熔炼!$H$37:$H$62,Z55/18)</f>
        <v>105.9783282386026</v>
      </c>
      <c r="AF55" s="25">
        <f>求节点(装备熔炼!$J$37:$J$62,装备熔炼!$H$37:$H$62,AA55/18)</f>
        <v>103.41498211926174</v>
      </c>
      <c r="AG55" s="25">
        <f>求节点(装备熔炼!$J$37:$J$62,装备熔炼!$H$37:$H$62,AB55/18)</f>
        <v>73.851694318432564</v>
      </c>
    </row>
    <row r="56" spans="3:33" x14ac:dyDescent="0.15">
      <c r="C56" s="25">
        <v>113</v>
      </c>
      <c r="D56" s="25">
        <f>'[1]功能-行军令'!S116</f>
        <v>7767.0782648372988</v>
      </c>
      <c r="E56" s="25">
        <f>'[1]功能-行军令'!T116</f>
        <v>9711.8091715078335</v>
      </c>
      <c r="F56" s="25">
        <f>'[1]功能-行军令'!U116</f>
        <v>10676.56455770912</v>
      </c>
      <c r="G56" s="25">
        <f>'[1]功能-行军令'!V116</f>
        <v>8284.8450773496297</v>
      </c>
      <c r="H56" s="25">
        <f>'[1]功能-行军令'!W116</f>
        <v>4375.1082786001862</v>
      </c>
      <c r="I56" s="25">
        <f>'[1]功能-实力'!BF117</f>
        <v>31764828</v>
      </c>
      <c r="J56" s="25">
        <f>'[1]功能-实力'!BG117</f>
        <v>38894664</v>
      </c>
      <c r="K56" s="25">
        <f>'[1]功能-实力'!BH117</f>
        <v>44130450</v>
      </c>
      <c r="L56" s="25">
        <f>'[1]功能-实力'!BI117</f>
        <v>50049072</v>
      </c>
      <c r="M56" s="25">
        <f>'[1]功能-实力'!BJ117</f>
        <v>51666240</v>
      </c>
      <c r="W56" s="25">
        <v>113</v>
      </c>
      <c r="X56" s="25">
        <f t="shared" si="6"/>
        <v>128015.19016190538</v>
      </c>
      <c r="Y56" s="25">
        <f t="shared" si="7"/>
        <v>194729.35439421033</v>
      </c>
      <c r="Z56" s="25">
        <f t="shared" si="8"/>
        <v>246728.37269800139</v>
      </c>
      <c r="AA56" s="25">
        <f t="shared" si="9"/>
        <v>222323.00064182738</v>
      </c>
      <c r="AB56" s="25">
        <f t="shared" si="10"/>
        <v>122307.7646159662</v>
      </c>
      <c r="AC56" s="25">
        <f>求节点(装备熔炼!$J$37:$J$62,装备熔炼!$H$37:$H$62,X56/18)</f>
        <v>79.449718806217149</v>
      </c>
      <c r="AD56" s="25">
        <f>求节点(装备熔炼!$J$37:$J$62,装备熔炼!$H$37:$H$62,Y56/18)</f>
        <v>99.091487331725091</v>
      </c>
      <c r="AE56" s="25">
        <f>求节点(装备熔炼!$J$37:$J$62,装备熔炼!$H$37:$H$62,Z56/18)</f>
        <v>112.11304923564848</v>
      </c>
      <c r="AF56" s="25">
        <f>求节点(装备熔炼!$J$37:$J$62,装备熔炼!$H$37:$H$62,AA56/18)</f>
        <v>106.14217187924935</v>
      </c>
      <c r="AG56" s="25">
        <f>求节点(装备熔炼!$J$37:$J$62,装备熔炼!$H$37:$H$62,AB56/18)</f>
        <v>77.467973824988263</v>
      </c>
    </row>
    <row r="57" spans="3:33" x14ac:dyDescent="0.15">
      <c r="C57" s="25">
        <v>114</v>
      </c>
      <c r="D57" s="25">
        <f>'[1]功能-行军令'!S117</f>
        <v>8324.5483656949655</v>
      </c>
      <c r="E57" s="25">
        <f>'[1]功能-行军令'!T117</f>
        <v>10377.513101535675</v>
      </c>
      <c r="F57" s="25">
        <f>'[1]功能-行军令'!U117</f>
        <v>10888.997810055298</v>
      </c>
      <c r="G57" s="25">
        <f>'[1]功能-行军令'!V117</f>
        <v>8610.4146038025356</v>
      </c>
      <c r="H57" s="25">
        <f>'[1]功能-行军令'!W117</f>
        <v>4672.3425206851971</v>
      </c>
      <c r="I57" s="25">
        <f>'[1]功能-实力'!BF118</f>
        <v>32818512</v>
      </c>
      <c r="J57" s="25">
        <f>'[1]功能-实力'!BG118</f>
        <v>40096254</v>
      </c>
      <c r="K57" s="25">
        <f>'[1]功能-实力'!BH118</f>
        <v>45357378</v>
      </c>
      <c r="L57" s="25">
        <f>'[1]功能-实力'!BI118</f>
        <v>51104160</v>
      </c>
      <c r="M57" s="25">
        <f>'[1]功能-实力'!BJ118</f>
        <v>52829544</v>
      </c>
      <c r="W57" s="25">
        <v>114</v>
      </c>
      <c r="X57" s="25">
        <f t="shared" si="6"/>
        <v>140967.28096495097</v>
      </c>
      <c r="Y57" s="25">
        <f t="shared" si="7"/>
        <v>213757.22016073327</v>
      </c>
      <c r="Z57" s="25">
        <f t="shared" si="8"/>
        <v>259741.73382994716</v>
      </c>
      <c r="AA57" s="25">
        <f t="shared" si="9"/>
        <v>237484.31472173808</v>
      </c>
      <c r="AB57" s="25">
        <f t="shared" si="10"/>
        <v>134319.78530427034</v>
      </c>
      <c r="AC57" s="25">
        <f>求节点(装备熔炼!$J$37:$J$62,装备熔炼!$H$37:$H$62,X57/18)</f>
        <v>83.5084200509108</v>
      </c>
      <c r="AD57" s="25">
        <f>求节点(装备熔炼!$J$37:$J$62,装备熔炼!$H$37:$H$62,Y57/18)</f>
        <v>103.97909600018517</v>
      </c>
      <c r="AE57" s="25">
        <f>求节点(装备熔炼!$J$37:$J$62,装备熔炼!$H$37:$H$62,Z57/18)</f>
        <v>115.12540134952481</v>
      </c>
      <c r="AF57" s="25">
        <f>求节点(装备熔炼!$J$37:$J$62,装备熔炼!$H$37:$H$62,AA57/18)</f>
        <v>109.97078654589346</v>
      </c>
      <c r="AG57" s="25">
        <f>求节点(装备熔炼!$J$37:$J$62,装备熔炼!$H$37:$H$62,AB57/18)</f>
        <v>81.456723859342688</v>
      </c>
    </row>
    <row r="58" spans="3:33" x14ac:dyDescent="0.15">
      <c r="C58" s="25">
        <v>115</v>
      </c>
      <c r="D58" s="25">
        <f>'[1]功能-行军令'!S118</f>
        <v>8922.0300259516953</v>
      </c>
      <c r="E58" s="25">
        <f>'[1]功能-行军令'!T118</f>
        <v>10620.580243997101</v>
      </c>
      <c r="F58" s="25">
        <f>'[1]功能-行军令'!U118</f>
        <v>11247.078541824565</v>
      </c>
      <c r="G58" s="25">
        <f>'[1]功能-行军令'!V118</f>
        <v>9041.3339758280199</v>
      </c>
      <c r="H58" s="25">
        <f>'[1]功能-行军令'!W118</f>
        <v>4930.0628649360442</v>
      </c>
      <c r="I58" s="25">
        <f>'[1]功能-实力'!BF119</f>
        <v>33901584</v>
      </c>
      <c r="J58" s="25">
        <f>'[1]功能-实力'!BG119</f>
        <v>41304696</v>
      </c>
      <c r="K58" s="25">
        <f>'[1]功能-实力'!BH119</f>
        <v>46604286</v>
      </c>
      <c r="L58" s="25">
        <f>'[1]功能-实力'!BI119</f>
        <v>52195860</v>
      </c>
      <c r="M58" s="25">
        <f>'[1]功能-实力'!BJ119</f>
        <v>54026616</v>
      </c>
      <c r="W58" s="25">
        <v>115</v>
      </c>
      <c r="X58" s="25">
        <f t="shared" si="6"/>
        <v>156046.48951676337</v>
      </c>
      <c r="Y58" s="25">
        <f t="shared" si="7"/>
        <v>225470.12456624053</v>
      </c>
      <c r="Z58" s="25">
        <f t="shared" si="8"/>
        <v>276653.91752644087</v>
      </c>
      <c r="AA58" s="25">
        <f t="shared" si="9"/>
        <v>256115.74520860158</v>
      </c>
      <c r="AB58" s="25">
        <f t="shared" si="10"/>
        <v>145635.65573487899</v>
      </c>
      <c r="AC58" s="25">
        <f>求节点(装备熔炼!$J$37:$J$62,装备熔炼!$H$37:$H$62,X58/18)</f>
        <v>88.162496764433143</v>
      </c>
      <c r="AD58" s="25">
        <f>求节点(装备熔炼!$J$37:$J$62,装备熔炼!$H$37:$H$62,Y58/18)</f>
        <v>106.93690014299003</v>
      </c>
      <c r="AE58" s="25">
        <f>求节点(装备熔炼!$J$37:$J$62,装备熔炼!$H$37:$H$62,Z58/18)</f>
        <v>119.04025868667613</v>
      </c>
      <c r="AF58" s="25">
        <f>求节点(装备熔炼!$J$37:$J$62,装备熔炼!$H$37:$H$62,AA58/18)</f>
        <v>114.28605213162074</v>
      </c>
      <c r="AG58" s="25">
        <f>求节点(装备熔炼!$J$37:$J$62,装备熔炼!$H$37:$H$62,AB58/18)</f>
        <v>84.949276461382411</v>
      </c>
    </row>
    <row r="59" spans="3:33" x14ac:dyDescent="0.15">
      <c r="C59" s="25">
        <v>116</v>
      </c>
      <c r="D59" s="25">
        <f>'[1]功能-行军令'!S119</f>
        <v>9562.3950137669453</v>
      </c>
      <c r="E59" s="25">
        <f>'[1]功能-行军令'!T119</f>
        <v>11640.496704309073</v>
      </c>
      <c r="F59" s="25">
        <f>'[1]功能-行军令'!U119</f>
        <v>12645.154787737323</v>
      </c>
      <c r="G59" s="25">
        <f>'[1]功能-行军令'!V119</f>
        <v>10501.853051124926</v>
      </c>
      <c r="H59" s="25">
        <f>'[1]功能-行军令'!W119</f>
        <v>5611.9409676120849</v>
      </c>
      <c r="I59" s="25">
        <f>'[1]功能-实力'!BF120</f>
        <v>34990368</v>
      </c>
      <c r="J59" s="25">
        <f>'[1]功能-实力'!BG120</f>
        <v>42385992</v>
      </c>
      <c r="K59" s="25">
        <f>'[1]功能-实力'!BH120</f>
        <v>47892708</v>
      </c>
      <c r="L59" s="25">
        <f>'[1]功能-实力'!BI120</f>
        <v>53335218</v>
      </c>
      <c r="M59" s="25">
        <f>'[1]功能-实力'!BJ120</f>
        <v>55240440</v>
      </c>
      <c r="W59" s="25">
        <v>116</v>
      </c>
      <c r="X59" s="25">
        <f t="shared" si="6"/>
        <v>172564.08901918496</v>
      </c>
      <c r="Y59" s="25">
        <f t="shared" si="7"/>
        <v>255174.12194623443</v>
      </c>
      <c r="Z59" s="25">
        <f t="shared" si="8"/>
        <v>320454.77678695048</v>
      </c>
      <c r="AA59" s="25">
        <f t="shared" si="9"/>
        <v>305324.1630616241</v>
      </c>
      <c r="AB59" s="25">
        <f t="shared" si="10"/>
        <v>170225.89483756438</v>
      </c>
      <c r="AC59" s="25">
        <f>求节点(装备熔炼!$J$37:$J$62,装备熔炼!$H$37:$H$62,X59/18)</f>
        <v>92.934469171995829</v>
      </c>
      <c r="AD59" s="25">
        <f>求节点(装备熔炼!$J$37:$J$62,装备熔炼!$H$37:$H$62,Y59/18)</f>
        <v>114.06808378385057</v>
      </c>
      <c r="AE59" s="25">
        <f>求节点(装备熔炼!$J$37:$J$62,装备熔炼!$H$37:$H$62,Z59/18)</f>
        <v>128.47324290319455</v>
      </c>
      <c r="AF59" s="25">
        <f>求节点(装备熔炼!$J$37:$J$62,装备熔炼!$H$37:$H$62,AA59/18)</f>
        <v>125.24020578239831</v>
      </c>
      <c r="AG59" s="25">
        <f>求节点(装备熔炼!$J$37:$J$62,装备熔炼!$H$37:$H$62,AB59/18)</f>
        <v>92.284970788212334</v>
      </c>
    </row>
    <row r="60" spans="3:33" x14ac:dyDescent="0.15">
      <c r="C60" s="25">
        <v>117</v>
      </c>
      <c r="D60" s="25">
        <f>'[1]功能-行军令'!S120</f>
        <v>10248.721214044723</v>
      </c>
      <c r="E60" s="25">
        <f>'[1]功能-行军令'!T120</f>
        <v>12728.452423915354</v>
      </c>
      <c r="F60" s="25">
        <f>'[1]功能-行军令'!U120</f>
        <v>13990.513454552216</v>
      </c>
      <c r="G60" s="25">
        <f>'[1]功能-行军令'!V120</f>
        <v>11228.23643862849</v>
      </c>
      <c r="H60" s="25">
        <f>'[1]功能-行军令'!W120</f>
        <v>6151.7600180044537</v>
      </c>
      <c r="I60" s="25">
        <f>'[1]功能-实力'!BF121</f>
        <v>36089166</v>
      </c>
      <c r="J60" s="25">
        <f>'[1]功能-实力'!BG121</f>
        <v>43479444</v>
      </c>
      <c r="K60" s="25">
        <f>'[1]功能-实力'!BH121</f>
        <v>49146684</v>
      </c>
      <c r="L60" s="25">
        <f>'[1]功能-实力'!BI121</f>
        <v>54444894</v>
      </c>
      <c r="M60" s="25">
        <f>'[1]功能-实力'!BJ121</f>
        <v>56438838</v>
      </c>
      <c r="W60" s="25">
        <v>117</v>
      </c>
      <c r="X60" s="25">
        <f t="shared" si="6"/>
        <v>190648.87658405816</v>
      </c>
      <c r="Y60" s="25">
        <f t="shared" si="7"/>
        <v>287827.62128948764</v>
      </c>
      <c r="Z60" s="25">
        <f t="shared" si="8"/>
        <v>366210.71282406925</v>
      </c>
      <c r="AA60" s="25">
        <f t="shared" si="9"/>
        <v>334820.5533229041</v>
      </c>
      <c r="AB60" s="25">
        <f t="shared" si="10"/>
        <v>191475.25273486032</v>
      </c>
      <c r="AC60" s="25">
        <f>求节点(装备熔炼!$J$37:$J$62,装备熔炼!$H$37:$H$62,X60/18)</f>
        <v>97.958021273349488</v>
      </c>
      <c r="AD60" s="25">
        <f>求节点(装备熔炼!$J$37:$J$62,装备熔炼!$H$37:$H$62,Y60/18)</f>
        <v>121.50162848065975</v>
      </c>
      <c r="AE60" s="25">
        <f>求节点(装备熔炼!$J$37:$J$62,装备熔炼!$H$37:$H$62,Z60/18)</f>
        <v>137.66085571906135</v>
      </c>
      <c r="AF60" s="25">
        <f>求节点(装备熔炼!$J$37:$J$62,装备熔炼!$H$37:$H$62,AA60/18)</f>
        <v>131.43264946883016</v>
      </c>
      <c r="AG60" s="25">
        <f>求节点(装备熔炼!$J$37:$J$62,装备熔炼!$H$37:$H$62,AB60/18)</f>
        <v>98.187570204127866</v>
      </c>
    </row>
    <row r="61" spans="3:33" x14ac:dyDescent="0.15">
      <c r="C61" s="25">
        <v>118</v>
      </c>
      <c r="D61" s="25">
        <f>'[1]功能-行军令'!S121</f>
        <v>10984.307422146492</v>
      </c>
      <c r="E61" s="25">
        <f>'[1]功能-行军令'!T121</f>
        <v>13645.218265383213</v>
      </c>
      <c r="F61" s="25">
        <f>'[1]功能-行军令'!U121</f>
        <v>14880.118683798879</v>
      </c>
      <c r="G61" s="25">
        <f>'[1]功能-行军令'!V121</f>
        <v>12296.066669183288</v>
      </c>
      <c r="H61" s="25">
        <f>'[1]功能-行军令'!W121</f>
        <v>6492.9826602631656</v>
      </c>
      <c r="I61" s="25">
        <f>'[1]功能-实力'!BF122</f>
        <v>37213158</v>
      </c>
      <c r="J61" s="25">
        <f>'[1]功能-实力'!BG122</f>
        <v>44579034</v>
      </c>
      <c r="K61" s="25">
        <f>'[1]功能-实力'!BH122</f>
        <v>50435856</v>
      </c>
      <c r="L61" s="25">
        <f>'[1]功能-实力'!BI122</f>
        <v>55569816</v>
      </c>
      <c r="M61" s="25">
        <f>'[1]功能-实力'!BJ122</f>
        <v>57643500</v>
      </c>
      <c r="W61" s="25">
        <v>118</v>
      </c>
      <c r="X61" s="25">
        <f t="shared" si="6"/>
        <v>210440.72798241419</v>
      </c>
      <c r="Y61" s="25">
        <f t="shared" si="7"/>
        <v>317996.66430114995</v>
      </c>
      <c r="Z61" s="25">
        <f t="shared" si="8"/>
        <v>402665.13761195634</v>
      </c>
      <c r="AA61" s="25">
        <f t="shared" si="9"/>
        <v>375837.48062544648</v>
      </c>
      <c r="AB61" s="25">
        <f t="shared" si="10"/>
        <v>204542.5208111048</v>
      </c>
      <c r="AC61" s="25">
        <f>求节点(装备熔炼!$J$37:$J$62,装备熔炼!$H$37:$H$62,X61/18)</f>
        <v>103.14159797535712</v>
      </c>
      <c r="AD61" s="25">
        <f>求节点(装备熔炼!$J$37:$J$62,装备熔炼!$H$37:$H$62,Y61/18)</f>
        <v>127.94800519255341</v>
      </c>
      <c r="AE61" s="25">
        <f>求节点(装备熔炼!$J$37:$J$62,装备熔炼!$H$37:$H$62,Z61/18)</f>
        <v>144.5676180762882</v>
      </c>
      <c r="AF61" s="25">
        <f>求节点(装备熔炼!$J$37:$J$62,装备熔炼!$H$37:$H$62,AA61/18)</f>
        <v>139.57092869552508</v>
      </c>
      <c r="AG61" s="25">
        <f>求节点(装备熔炼!$J$37:$J$62,装备熔炼!$H$37:$H$62,AB61/18)</f>
        <v>101.65215171997596</v>
      </c>
    </row>
    <row r="62" spans="3:33" x14ac:dyDescent="0.15">
      <c r="C62" s="25">
        <v>119</v>
      </c>
      <c r="D62" s="25">
        <f>'[1]功能-行军令'!S122</f>
        <v>11772.689199396438</v>
      </c>
      <c r="E62" s="25">
        <f>'[1]功能-行军令'!T122</f>
        <v>14730.408068639692</v>
      </c>
      <c r="F62" s="25">
        <f>'[1]功能-行军令'!U122</f>
        <v>16233.252307319344</v>
      </c>
      <c r="G62" s="25">
        <f>'[1]功能-行军令'!V122</f>
        <v>12966.209677383944</v>
      </c>
      <c r="H62" s="25">
        <f>'[1]功能-行军令'!W122</f>
        <v>6607.464125453087</v>
      </c>
      <c r="I62" s="25">
        <f>'[1]功能-实力'!BF123</f>
        <v>38364876</v>
      </c>
      <c r="J62" s="25">
        <f>'[1]功能-实力'!BG123</f>
        <v>45707940</v>
      </c>
      <c r="K62" s="25">
        <f>'[1]功能-实力'!BH123</f>
        <v>51745218</v>
      </c>
      <c r="L62" s="25">
        <f>'[1]功能-实力'!BI123</f>
        <v>56720106</v>
      </c>
      <c r="M62" s="25">
        <f>'[1]功能-实力'!BJ123</f>
        <v>58849038</v>
      </c>
      <c r="W62" s="25">
        <v>119</v>
      </c>
      <c r="X62" s="25">
        <f t="shared" si="6"/>
        <v>232091.52446257582</v>
      </c>
      <c r="Y62" s="25">
        <f t="shared" si="7"/>
        <v>353475.49968378752</v>
      </c>
      <c r="Z62" s="25">
        <f t="shared" si="8"/>
        <v>453647.67794713721</v>
      </c>
      <c r="AA62" s="25">
        <f t="shared" si="9"/>
        <v>405995.62687337142</v>
      </c>
      <c r="AB62" s="25">
        <f t="shared" si="10"/>
        <v>208148.92617229611</v>
      </c>
      <c r="AC62" s="25">
        <f>求节点(装备熔炼!$J$37:$J$62,装备熔炼!$H$37:$H$62,X62/18)</f>
        <v>108.60897082388279</v>
      </c>
      <c r="AD62" s="25">
        <f>求节点(装备熔炼!$J$37:$J$62,装备熔炼!$H$37:$H$62,Y62/18)</f>
        <v>135.13402771503721</v>
      </c>
      <c r="AE62" s="25">
        <f>求节点(装备熔炼!$J$37:$J$62,装备熔炼!$H$37:$H$62,Z62/18)</f>
        <v>153.00662193710238</v>
      </c>
      <c r="AF62" s="25">
        <f>求节点(装备熔炼!$J$37:$J$62,装备熔炼!$H$37:$H$62,AA62/18)</f>
        <v>145.18437534692063</v>
      </c>
      <c r="AG62" s="25">
        <f>求节点(装备熔炼!$J$37:$J$62,装备熔炼!$H$37:$H$62,AB62/18)</f>
        <v>102.56286014451922</v>
      </c>
    </row>
    <row r="63" spans="3:33" x14ac:dyDescent="0.15">
      <c r="C63" s="25">
        <v>120</v>
      </c>
      <c r="D63" s="25">
        <f>'[1]功能-行军令'!S123</f>
        <v>12617.655866600864</v>
      </c>
      <c r="E63" s="25">
        <f>'[1]功能-行军令'!T123</f>
        <v>15798.690079631808</v>
      </c>
      <c r="F63" s="25">
        <f>'[1]功能-行军令'!U123</f>
        <v>17053.188334517967</v>
      </c>
      <c r="G63" s="25">
        <f>'[1]功能-行军令'!V123</f>
        <v>12893.033432881493</v>
      </c>
      <c r="H63" s="25">
        <f>'[1]功能-行军令'!W123</f>
        <v>6974.7397283747705</v>
      </c>
      <c r="I63" s="25">
        <f>'[1]功能-实力'!BF124</f>
        <v>39547812</v>
      </c>
      <c r="J63" s="25">
        <f>'[1]功能-实力'!BG124</f>
        <v>46856412</v>
      </c>
      <c r="K63" s="25">
        <f>'[1]功能-实力'!BH124</f>
        <v>53085480</v>
      </c>
      <c r="L63" s="25">
        <f>'[1]功能-实力'!BI124</f>
        <v>57863352</v>
      </c>
      <c r="M63" s="25">
        <f>'[1]功能-实力'!BJ124</f>
        <v>60086208</v>
      </c>
      <c r="W63" s="25">
        <v>120</v>
      </c>
      <c r="X63" s="25">
        <f t="shared" si="6"/>
        <v>255766.15553940061</v>
      </c>
      <c r="Y63" s="25">
        <f t="shared" si="7"/>
        <v>390038.14827685076</v>
      </c>
      <c r="Z63" s="25">
        <f t="shared" si="8"/>
        <v>491652.7991893632</v>
      </c>
      <c r="AA63" s="25">
        <f t="shared" si="9"/>
        <v>406157.49298128358</v>
      </c>
      <c r="AB63" s="25">
        <f t="shared" si="10"/>
        <v>219718.87508248998</v>
      </c>
      <c r="AC63" s="25">
        <f>求节点(装备熔炼!$J$37:$J$62,装备熔炼!$H$37:$H$62,X63/18)</f>
        <v>114.20512859708347</v>
      </c>
      <c r="AD63" s="25">
        <f>求节点(装备熔炼!$J$37:$J$62,装备熔炼!$H$37:$H$62,Y63/18)</f>
        <v>142.22928671793531</v>
      </c>
      <c r="AE63" s="25">
        <f>求节点(装备熔炼!$J$37:$J$62,装备熔炼!$H$37:$H$62,Z63/18)</f>
        <v>158.28511099852267</v>
      </c>
      <c r="AF63" s="25">
        <f>求节点(装备熔炼!$J$37:$J$62,装备熔炼!$H$37:$H$62,AA63/18)</f>
        <v>145.21435055208954</v>
      </c>
      <c r="AG63" s="25">
        <f>求节点(装备熔炼!$J$37:$J$62,装备熔炼!$H$37:$H$62,AB63/18)</f>
        <v>105.48456441477019</v>
      </c>
    </row>
    <row r="64" spans="3:33" x14ac:dyDescent="0.15">
      <c r="C64" s="25">
        <v>121</v>
      </c>
      <c r="D64" s="25">
        <f>'[1]功能-行军令'!S124</f>
        <v>13523.268717238243</v>
      </c>
      <c r="E64" s="25">
        <f>'[1]功能-行军令'!T124</f>
        <v>16444.532527120202</v>
      </c>
      <c r="F64" s="25">
        <f>'[1]功能-行军令'!U124</f>
        <v>17001.758446379419</v>
      </c>
      <c r="G64" s="25">
        <f>'[1]功能-行军令'!V124</f>
        <v>13754.806798974401</v>
      </c>
      <c r="H64" s="25">
        <f>'[1]功能-行军令'!W124</f>
        <v>7761.4989475343173</v>
      </c>
      <c r="I64" s="25">
        <f>'[1]功能-实力'!BF125</f>
        <v>40600698</v>
      </c>
      <c r="J64" s="25">
        <f>'[1]功能-实力'!BG125</f>
        <v>47970018</v>
      </c>
      <c r="K64" s="25">
        <f>'[1]功能-实力'!BH125</f>
        <v>54345798</v>
      </c>
      <c r="L64" s="25">
        <f>'[1]功能-实力'!BI125</f>
        <v>59038896</v>
      </c>
      <c r="M64" s="25">
        <f>'[1]功能-实力'!BJ125</f>
        <v>61339074</v>
      </c>
      <c r="W64" s="25">
        <v>121</v>
      </c>
      <c r="X64" s="25">
        <f t="shared" si="6"/>
        <v>281643.60388520284</v>
      </c>
      <c r="Y64" s="25">
        <f t="shared" si="7"/>
        <v>417357.25170762889</v>
      </c>
      <c r="Z64" s="25">
        <f t="shared" si="8"/>
        <v>505216.06544249476</v>
      </c>
      <c r="AA64" s="25">
        <f t="shared" si="9"/>
        <v>433305.15467877686</v>
      </c>
      <c r="AB64" s="25">
        <f t="shared" si="10"/>
        <v>244503.43441038253</v>
      </c>
      <c r="AC64" s="25">
        <f>求节点(装备熔炼!$J$37:$J$62,装备熔炼!$H$37:$H$62,X64/18)</f>
        <v>120.18025724042796</v>
      </c>
      <c r="AD64" s="25">
        <f>求节点(装备熔炼!$J$37:$J$62,装备熔炼!$H$37:$H$62,Y64/18)</f>
        <v>147.2883799458572</v>
      </c>
      <c r="AE64" s="25">
        <f>求节点(装备熔炼!$J$37:$J$62,装备熔炼!$H$37:$H$62,Z64/18)</f>
        <v>160.13511838249943</v>
      </c>
      <c r="AF64" s="25">
        <f>求节点(装备熔炼!$J$37:$J$62,装备熔炼!$H$37:$H$62,AA64/18)</f>
        <v>150.18127148316344</v>
      </c>
      <c r="AG64" s="25">
        <f>求节点(装备熔炼!$J$37:$J$62,装备熔炼!$H$37:$H$62,AB64/18)</f>
        <v>111.59801722462559</v>
      </c>
    </row>
    <row r="65" spans="3:33" x14ac:dyDescent="0.15">
      <c r="C65" s="25">
        <v>122</v>
      </c>
      <c r="D65" s="25">
        <f>'[1]功能-行军令'!S125</f>
        <v>14493.880537882942</v>
      </c>
      <c r="E65" s="25">
        <f>'[1]功能-行军令'!T125</f>
        <v>17286.413972422743</v>
      </c>
      <c r="F65" s="25">
        <f>'[1]功能-行军令'!U125</f>
        <v>18646.812250225048</v>
      </c>
      <c r="G65" s="25">
        <f>'[1]功能-行军令'!V125</f>
        <v>15352.195310120587</v>
      </c>
      <c r="H65" s="25">
        <f>'[1]功能-行军令'!W125</f>
        <v>8308.8302769613656</v>
      </c>
      <c r="I65" s="25">
        <f>'[1]功能-实力'!BF126</f>
        <v>41676744</v>
      </c>
      <c r="J65" s="25">
        <f>'[1]功能-实力'!BG126</f>
        <v>49094226</v>
      </c>
      <c r="K65" s="25">
        <f>'[1]功能-实力'!BH126</f>
        <v>55652190</v>
      </c>
      <c r="L65" s="25">
        <f>'[1]功能-实力'!BI126</f>
        <v>60230808</v>
      </c>
      <c r="M65" s="25">
        <f>'[1]功能-实力'!BJ126</f>
        <v>62611626</v>
      </c>
      <c r="W65" s="25">
        <v>122</v>
      </c>
      <c r="X65" s="25">
        <f t="shared" si="6"/>
        <v>311770.89733370492</v>
      </c>
      <c r="Y65" s="25">
        <f t="shared" si="7"/>
        <v>451788.29995104595</v>
      </c>
      <c r="Z65" s="25">
        <f t="shared" si="8"/>
        <v>570601.53074606613</v>
      </c>
      <c r="AA65" s="25">
        <f t="shared" si="9"/>
        <v>483626.23050485889</v>
      </c>
      <c r="AB65" s="25">
        <f t="shared" si="10"/>
        <v>261745.51492987128</v>
      </c>
      <c r="AC65" s="25">
        <f>求节点(装备熔炼!$J$37:$J$62,装备熔炼!$H$37:$H$62,X65/18)</f>
        <v>126.6177131054925</v>
      </c>
      <c r="AD65" s="25">
        <f>求节点(装备熔炼!$J$37:$J$62,装备熔炼!$H$37:$H$62,Y65/18)</f>
        <v>152.74837499320083</v>
      </c>
      <c r="AE65" s="25">
        <f>求节点(装备熔炼!$J$37:$J$62,装备熔炼!$H$37:$H$62,Z65/18)</f>
        <v>167.40017008289624</v>
      </c>
      <c r="AF65" s="25">
        <f>求节点(装备熔炼!$J$37:$J$62,装备熔炼!$H$37:$H$62,AA65/18)</f>
        <v>157.17030979234153</v>
      </c>
      <c r="AG65" s="25">
        <f>求节点(装备熔炼!$J$37:$J$62,装备熔炼!$H$37:$H$62,AB65/18)</f>
        <v>115.58923956709984</v>
      </c>
    </row>
    <row r="66" spans="3:33" x14ac:dyDescent="0.15">
      <c r="C66" s="25">
        <v>123</v>
      </c>
      <c r="D66" s="25">
        <f>'[1]功能-行军令'!S126</f>
        <v>15534.156529674598</v>
      </c>
      <c r="E66" s="25">
        <f>'[1]功能-行军令'!T126</f>
        <v>19188.97209214652</v>
      </c>
      <c r="F66" s="25">
        <f>'[1]功能-行军令'!U126</f>
        <v>21486.680824227165</v>
      </c>
      <c r="G66" s="25">
        <f>'[1]功能-行军令'!V126</f>
        <v>17676.047178547509</v>
      </c>
      <c r="H66" s="25">
        <f>'[1]功能-行军令'!W126</f>
        <v>9517.909142074961</v>
      </c>
      <c r="I66" s="25">
        <f>'[1]功能-实力'!BF127</f>
        <v>42740250</v>
      </c>
      <c r="J66" s="25">
        <f>'[1]功能-实力'!BG127</f>
        <v>50264244</v>
      </c>
      <c r="K66" s="25">
        <f>'[1]功能-实力'!BH127</f>
        <v>56986002</v>
      </c>
      <c r="L66" s="25">
        <f>'[1]功能-实力'!BI127</f>
        <v>61465998</v>
      </c>
      <c r="M66" s="25">
        <f>'[1]功能-实力'!BJ127</f>
        <v>63887886</v>
      </c>
      <c r="W66" s="25">
        <v>123</v>
      </c>
      <c r="X66" s="25">
        <f t="shared" si="6"/>
        <v>344772.00382842915</v>
      </c>
      <c r="Y66" s="25">
        <f t="shared" si="7"/>
        <v>516644.84647832991</v>
      </c>
      <c r="Z66" s="25">
        <f t="shared" si="8"/>
        <v>676517.92394581239</v>
      </c>
      <c r="AA66" s="25">
        <f t="shared" si="9"/>
        <v>556832.42002213898</v>
      </c>
      <c r="AB66" s="25">
        <f t="shared" si="10"/>
        <v>299834.02553737396</v>
      </c>
      <c r="AC66" s="25">
        <f>求节点(装备熔炼!$J$37:$J$62,装备熔炼!$H$37:$H$62,X66/18)</f>
        <v>133.40714361675182</v>
      </c>
      <c r="AD66" s="25">
        <f>求节点(装备熔炼!$J$37:$J$62,装备熔炼!$H$37:$H$62,Y66/18)</f>
        <v>161.40498294203667</v>
      </c>
      <c r="AE66" s="25">
        <f>求节点(装备熔炼!$J$37:$J$62,装备熔炼!$H$37:$H$62,Z66/18)</f>
        <v>177.64054851350116</v>
      </c>
      <c r="AF66" s="25">
        <f>求节点(装备熔炼!$J$37:$J$62,装备熔炼!$H$37:$H$62,AA66/18)</f>
        <v>165.87026889134879</v>
      </c>
      <c r="AG66" s="25">
        <f>求节点(装备熔炼!$J$37:$J$62,装备熔炼!$H$37:$H$62,AB66/18)</f>
        <v>124.06709947379787</v>
      </c>
    </row>
    <row r="67" spans="3:33" x14ac:dyDescent="0.15">
      <c r="C67" s="25">
        <v>124</v>
      </c>
      <c r="D67" s="25">
        <f>'[1]功能-行军令'!S127</f>
        <v>16649.096731389698</v>
      </c>
      <c r="E67" s="25">
        <f>'[1]功能-行军令'!T127</f>
        <v>21145.508173662412</v>
      </c>
      <c r="F67" s="25">
        <f>'[1]功能-行军令'!U127</f>
        <v>22881.57364708517</v>
      </c>
      <c r="G67" s="25">
        <f>'[1]功能-行军令'!V127</f>
        <v>18674.157072608476</v>
      </c>
      <c r="H67" s="25">
        <f>'[1]功能-行军令'!W127</f>
        <v>10234.600639989832</v>
      </c>
      <c r="I67" s="25">
        <f>'[1]功能-实力'!BF128</f>
        <v>43821882</v>
      </c>
      <c r="J67" s="25">
        <f>'[1]功能-实力'!BG128</f>
        <v>51455280</v>
      </c>
      <c r="K67" s="25">
        <f>'[1]功能-实力'!BH128</f>
        <v>58349652</v>
      </c>
      <c r="L67" s="25">
        <f>'[1]功能-实力'!BI128</f>
        <v>62670150</v>
      </c>
      <c r="M67" s="25">
        <f>'[1]功能-实力'!BJ128</f>
        <v>65179242</v>
      </c>
      <c r="W67" s="25">
        <v>124</v>
      </c>
      <c r="X67" s="25">
        <f t="shared" si="6"/>
        <v>380904.25175434817</v>
      </c>
      <c r="Y67" s="25">
        <f t="shared" si="7"/>
        <v>585997.96001340298</v>
      </c>
      <c r="Z67" s="25">
        <f t="shared" si="8"/>
        <v>720817.38066894072</v>
      </c>
      <c r="AA67" s="25">
        <f t="shared" si="9"/>
        <v>588274.96722423797</v>
      </c>
      <c r="AB67" s="25">
        <f t="shared" si="10"/>
        <v>322411.30524035916</v>
      </c>
      <c r="AC67" s="25">
        <f>求节点(装备熔炼!$J$37:$J$62,装备熔炼!$H$37:$H$62,X67/18)</f>
        <v>140.53782439895338</v>
      </c>
      <c r="AD67" s="25">
        <f>求节点(装备熔炼!$J$37:$J$62,装备熔炼!$H$37:$H$62,Y67/18)</f>
        <v>169.11088444593366</v>
      </c>
      <c r="AE67" s="25">
        <f>求节点(装备熔炼!$J$37:$J$62,装备熔炼!$H$37:$H$62,Z67/18)</f>
        <v>181.4934429102334</v>
      </c>
      <c r="AF67" s="25">
        <f>求节点(装备熔炼!$J$37:$J$62,装备熔炼!$H$37:$H$62,AA67/18)</f>
        <v>169.36388524713755</v>
      </c>
      <c r="AG67" s="25">
        <f>求节点(装备熔炼!$J$37:$J$62,装备熔炼!$H$37:$H$62,AB67/18)</f>
        <v>128.89130453853829</v>
      </c>
    </row>
    <row r="68" spans="3:33" x14ac:dyDescent="0.15">
      <c r="C68" s="25">
        <v>125</v>
      </c>
      <c r="D68" s="25">
        <f>'[1]功能-行军令'!S128</f>
        <v>17844.060051903652</v>
      </c>
      <c r="E68" s="25">
        <f>'[1]功能-行军令'!T128</f>
        <v>21928.709712001029</v>
      </c>
      <c r="F68" s="25">
        <f>'[1]功能-行军令'!U128</f>
        <v>24457.293365593301</v>
      </c>
      <c r="G68" s="25">
        <f>'[1]功能-行军令'!V128</f>
        <v>19819.810120765527</v>
      </c>
      <c r="H68" s="25">
        <f>'[1]功能-行军令'!W128</f>
        <v>9692.7588700609631</v>
      </c>
      <c r="I68" s="25">
        <f>'[1]功能-实力'!BF129</f>
        <v>44920296</v>
      </c>
      <c r="J68" s="25">
        <f>'[1]功能-实力'!BG129</f>
        <v>52656630</v>
      </c>
      <c r="K68" s="25">
        <f>'[1]功能-实力'!BH129</f>
        <v>59694630</v>
      </c>
      <c r="L68" s="25">
        <f>'[1]功能-实力'!BI129</f>
        <v>63891624</v>
      </c>
      <c r="M68" s="25">
        <f>'[1]功能-实力'!BJ129</f>
        <v>66537216</v>
      </c>
      <c r="W68" s="25">
        <v>125</v>
      </c>
      <c r="X68" s="25">
        <f t="shared" ref="X68:X103" si="12">D68*求节点(Q$3:Q$13,$O$3:$O$13,$W68)</f>
        <v>420447.1039483794</v>
      </c>
      <c r="Y68" s="25">
        <f t="shared" ref="Y68:Y103" si="13">E68*求节点(R$3:R$13,$O$3:$O$13,$W68)</f>
        <v>624995.41283001727</v>
      </c>
      <c r="Z68" s="25">
        <f t="shared" ref="Z68:Z103" si="14">F68*求节点(S$3:S$13,$O$3:$O$13,$W68)</f>
        <v>770455.84425023024</v>
      </c>
      <c r="AA68" s="25">
        <f t="shared" ref="AA68:AA103" si="15">G68*求节点(T$3:T$13,$O$3:$O$13,$W68)</f>
        <v>624365.43207009218</v>
      </c>
      <c r="AB68" s="25">
        <f t="shared" ref="AB68:AB103" si="16">H68*求节点(U$3:U$13,$O$3:$O$13,$W68)</f>
        <v>305342.15731543471</v>
      </c>
      <c r="AC68" s="25">
        <f>求节点(装备熔炼!$J$37:$J$62,装备熔炼!$H$37:$H$62,X68/18)</f>
        <v>147.86057480525545</v>
      </c>
      <c r="AD68" s="25">
        <f>求节点(装备熔炼!$J$37:$J$62,装备熔炼!$H$37:$H$62,Y68/18)</f>
        <v>172.86994563240901</v>
      </c>
      <c r="AE68" s="25">
        <f>求节点(装备熔炼!$J$37:$J$62,装备熔炼!$H$37:$H$62,Z68/18)</f>
        <v>185.43300351192303</v>
      </c>
      <c r="AF68" s="25">
        <f>求节点(装备熔炼!$J$37:$J$62,装备熔炼!$H$37:$H$62,AA68/18)</f>
        <v>172.81161408056408</v>
      </c>
      <c r="AG68" s="25">
        <f>求节点(装备熔炼!$J$37:$J$62,装备熔炼!$H$37:$H$62,AB68/18)</f>
        <v>125.24405070842622</v>
      </c>
    </row>
    <row r="69" spans="3:33" x14ac:dyDescent="0.15">
      <c r="C69" s="25">
        <v>126</v>
      </c>
      <c r="D69" s="25">
        <f>'[1]功能-行军令'!S129</f>
        <v>19124.790027533832</v>
      </c>
      <c r="E69" s="25">
        <f>'[1]功能-行军令'!T129</f>
        <v>24156.89555053151</v>
      </c>
      <c r="F69" s="25">
        <f>'[1]功能-行军令'!U129</f>
        <v>26020.785862274875</v>
      </c>
      <c r="G69" s="25">
        <f>'[1]功能-行军令'!V129</f>
        <v>19609.992684286495</v>
      </c>
      <c r="H69" s="25">
        <f>'[1]功能-行军令'!W129</f>
        <v>10332.762355995394</v>
      </c>
      <c r="I69" s="25">
        <f>'[1]功能-实力'!BF130</f>
        <v>46041864</v>
      </c>
      <c r="J69" s="25">
        <f>'[1]功能-实力'!BG130</f>
        <v>53774418</v>
      </c>
      <c r="K69" s="25">
        <f>'[1]功能-实力'!BH130</f>
        <v>60995424</v>
      </c>
      <c r="L69" s="25">
        <f>'[1]功能-实力'!BI130</f>
        <v>65113290</v>
      </c>
      <c r="M69" s="25">
        <f>'[1]功能-实力'!BJ130</f>
        <v>67874172</v>
      </c>
      <c r="W69" s="25">
        <v>126</v>
      </c>
      <c r="X69" s="25">
        <f t="shared" si="12"/>
        <v>463704.00942260388</v>
      </c>
      <c r="Y69" s="25">
        <f t="shared" si="13"/>
        <v>707551.47407272656</v>
      </c>
      <c r="Z69" s="25">
        <f t="shared" si="14"/>
        <v>819709.12479534338</v>
      </c>
      <c r="AA69" s="25">
        <f t="shared" si="15"/>
        <v>617755.74440987513</v>
      </c>
      <c r="AB69" s="25">
        <f t="shared" si="16"/>
        <v>325503.60440231435</v>
      </c>
      <c r="AC69" s="25">
        <f>求节点(装备熔炼!$J$37:$J$62,装备熔炼!$H$37:$H$62,X69/18)</f>
        <v>154.40333464202831</v>
      </c>
      <c r="AD69" s="25">
        <f>求节点(装备熔炼!$J$37:$J$62,装备熔炼!$H$37:$H$62,Y69/18)</f>
        <v>180.44059318037512</v>
      </c>
      <c r="AE69" s="25">
        <f>求节点(装备熔炼!$J$37:$J$62,装备熔炼!$H$37:$H$62,Z69/18)</f>
        <v>189.34199403137646</v>
      </c>
      <c r="AF69" s="25">
        <f>求节点(装备熔炼!$J$37:$J$62,装备熔炼!$H$37:$H$62,AA69/18)</f>
        <v>172.19960596387733</v>
      </c>
      <c r="AG69" s="25">
        <f>求节点(装备熔炼!$J$37:$J$62,装备熔炼!$H$37:$H$62,AB69/18)</f>
        <v>129.55205222271675</v>
      </c>
    </row>
    <row r="70" spans="3:33" x14ac:dyDescent="0.15">
      <c r="C70" s="25">
        <v>127</v>
      </c>
      <c r="D70" s="25">
        <f>'[1]功能-行军令'!S130</f>
        <v>20497.442428089504</v>
      </c>
      <c r="E70" s="25">
        <f>'[1]功能-行军令'!T130</f>
        <v>25391.652404370368</v>
      </c>
      <c r="F70" s="25">
        <f>'[1]功能-行军令'!U130</f>
        <v>25729.152165059873</v>
      </c>
      <c r="G70" s="25">
        <f>'[1]功能-行军令'!V130</f>
        <v>20244.996385860199</v>
      </c>
      <c r="H70" s="25">
        <f>'[1]功能-行军令'!W130</f>
        <v>11288.807927249611</v>
      </c>
      <c r="I70" s="25">
        <f>'[1]功能-实力'!BF131</f>
        <v>47178072</v>
      </c>
      <c r="J70" s="25">
        <f>'[1]功能-实力'!BG131</f>
        <v>54923934</v>
      </c>
      <c r="K70" s="25">
        <f>'[1]功能-实力'!BH131</f>
        <v>62375328</v>
      </c>
      <c r="L70" s="25">
        <f>'[1]功能-实力'!BI131</f>
        <v>66375264</v>
      </c>
      <c r="M70" s="25">
        <f>'[1]功能-实力'!BJ131</f>
        <v>69233886</v>
      </c>
      <c r="W70" s="25">
        <v>127</v>
      </c>
      <c r="X70" s="25">
        <f t="shared" si="12"/>
        <v>511004.40687289363</v>
      </c>
      <c r="Y70" s="25">
        <f t="shared" si="13"/>
        <v>763741.02334510873</v>
      </c>
      <c r="Z70" s="25">
        <f t="shared" si="14"/>
        <v>810522.05396780465</v>
      </c>
      <c r="AA70" s="25">
        <f t="shared" si="15"/>
        <v>637759.68784239981</v>
      </c>
      <c r="AB70" s="25">
        <f t="shared" si="16"/>
        <v>355621.03754308057</v>
      </c>
      <c r="AC70" s="25">
        <f>求节点(装备熔炼!$J$37:$J$62,装备熔炼!$H$37:$H$62,X70/18)</f>
        <v>160.77826743032151</v>
      </c>
      <c r="AD70" s="25">
        <f>求节点(装备熔炼!$J$37:$J$62,装备熔炼!$H$37:$H$62,Y70/18)</f>
        <v>184.90008121786576</v>
      </c>
      <c r="AE70" s="25">
        <f>求节点(装备熔炼!$J$37:$J$62,装备熔炼!$H$37:$H$62,Z70/18)</f>
        <v>188.61286142601625</v>
      </c>
      <c r="AF70" s="25">
        <f>求节点(装备熔炼!$J$37:$J$62,装备熔炼!$H$37:$H$62,AA70/18)</f>
        <v>174.05182294837036</v>
      </c>
      <c r="AG70" s="25">
        <f>求节点(装备熔炼!$J$37:$J$62,装备熔炼!$H$37:$H$62,AB70/18)</f>
        <v>135.55972967124615</v>
      </c>
    </row>
    <row r="71" spans="3:33" x14ac:dyDescent="0.15">
      <c r="C71" s="25">
        <v>128</v>
      </c>
      <c r="D71" s="25">
        <f>'[1]功能-行军令'!S131</f>
        <v>21968.614844292344</v>
      </c>
      <c r="E71" s="25">
        <f>'[1]功能-行军令'!T131</f>
        <v>25303.111759458843</v>
      </c>
      <c r="F71" s="25">
        <f>'[1]功能-行军令'!U131</f>
        <v>27051.749296638009</v>
      </c>
      <c r="G71" s="25">
        <f>'[1]功能-行军令'!V131</f>
        <v>22216.377718748932</v>
      </c>
      <c r="H71" s="25">
        <f>'[1]功能-行军令'!W131</f>
        <v>12275.100573627482</v>
      </c>
      <c r="I71" s="25">
        <f>'[1]功能-实力'!BF132</f>
        <v>48350964</v>
      </c>
      <c r="J71" s="25">
        <f>'[1]功能-实力'!BG132</f>
        <v>56061006</v>
      </c>
      <c r="K71" s="25">
        <f>'[1]功能-实力'!BH132</f>
        <v>63808512</v>
      </c>
      <c r="L71" s="25">
        <f>'[1]功能-实力'!BI132</f>
        <v>67662288</v>
      </c>
      <c r="M71" s="25">
        <f>'[1]功能-实力'!BJ132</f>
        <v>70628184</v>
      </c>
      <c r="W71" s="25">
        <v>128</v>
      </c>
      <c r="X71" s="25">
        <f t="shared" si="12"/>
        <v>562705.89222167106</v>
      </c>
      <c r="Y71" s="25">
        <f t="shared" si="13"/>
        <v>781031.76242399588</v>
      </c>
      <c r="Z71" s="25">
        <f t="shared" si="14"/>
        <v>852186.62716405641</v>
      </c>
      <c r="AA71" s="25">
        <f t="shared" si="15"/>
        <v>699862.31900708459</v>
      </c>
      <c r="AB71" s="25">
        <f t="shared" si="16"/>
        <v>386691.31675115851</v>
      </c>
      <c r="AC71" s="25">
        <f>求节点(装备熔炼!$J$37:$J$62,装备熔炼!$H$37:$H$62,X71/18)</f>
        <v>166.52287691351901</v>
      </c>
      <c r="AD71" s="25">
        <f>求节点(装备熔炼!$J$37:$J$62,装备熔炼!$H$37:$H$62,Y71/18)</f>
        <v>186.27236209714252</v>
      </c>
      <c r="AE71" s="25">
        <f>求节点(装备熔炼!$J$37:$J$62,装备熔炼!$H$37:$H$62,Z71/18)</f>
        <v>191.67962688639281</v>
      </c>
      <c r="AF71" s="25">
        <f>求节点(装备熔炼!$J$37:$J$62,装备熔炼!$H$37:$H$62,AA71/18)</f>
        <v>179.80206657473005</v>
      </c>
      <c r="AG71" s="25">
        <f>求节点(装备熔炼!$J$37:$J$62,装备熔炼!$H$37:$H$62,AB71/18)</f>
        <v>141.60950310206638</v>
      </c>
    </row>
    <row r="72" spans="3:33" x14ac:dyDescent="0.15">
      <c r="C72" s="25">
        <v>129</v>
      </c>
      <c r="D72" s="25">
        <f>'[1]功能-行军令'!S132</f>
        <v>23545.378398793458</v>
      </c>
      <c r="E72" s="25">
        <f>'[1]功能-行军令'!T132</f>
        <v>29030.171925581992</v>
      </c>
      <c r="F72" s="25">
        <f>'[1]功能-行军令'!U132</f>
        <v>32159.183969719626</v>
      </c>
      <c r="G72" s="25">
        <f>'[1]功能-行军令'!V132</f>
        <v>26539.271184243029</v>
      </c>
      <c r="H72" s="25">
        <f>'[1]功能-行军令'!W132</f>
        <v>14069.091319715604</v>
      </c>
      <c r="I72" s="25">
        <f>'[1]功能-实力'!BF133</f>
        <v>49539978</v>
      </c>
      <c r="J72" s="25">
        <f>'[1]功能-实力'!BG133</f>
        <v>57241452</v>
      </c>
      <c r="K72" s="25">
        <f>'[1]功能-实力'!BH133</f>
        <v>65293320</v>
      </c>
      <c r="L72" s="25">
        <f>'[1]功能-实力'!BI133</f>
        <v>69002142</v>
      </c>
      <c r="M72" s="25">
        <f>'[1]功能-实力'!BJ133</f>
        <v>72070218</v>
      </c>
      <c r="W72" s="25">
        <v>129</v>
      </c>
      <c r="X72" s="25">
        <f t="shared" si="12"/>
        <v>622898.29604802036</v>
      </c>
      <c r="Y72" s="25">
        <f t="shared" si="13"/>
        <v>914511.07386718888</v>
      </c>
      <c r="Z72" s="25">
        <f t="shared" si="14"/>
        <v>1013081.491292311</v>
      </c>
      <c r="AA72" s="25">
        <f t="shared" si="15"/>
        <v>836042.49580647517</v>
      </c>
      <c r="AB72" s="25">
        <f t="shared" si="16"/>
        <v>443205.77377602702</v>
      </c>
      <c r="AC72" s="25">
        <f>求节点(装备熔炼!$J$37:$J$62,装备熔炼!$H$37:$H$62,X72/18)</f>
        <v>172.67576815259449</v>
      </c>
      <c r="AD72" s="25">
        <f>求节点(装备熔炼!$J$37:$J$62,装备熔炼!$H$37:$H$62,Y72/18)</f>
        <v>196.00771346299922</v>
      </c>
      <c r="AE72" s="25">
        <f>求节点(装备熔炼!$J$37:$J$62,装备熔炼!$H$37:$H$62,Z72/18)</f>
        <v>202.28230507179507</v>
      </c>
      <c r="AF72" s="25">
        <f>求节点(装备熔炼!$J$37:$J$62,装备熔炼!$H$37:$H$62,AA72/18)</f>
        <v>190.55850665322745</v>
      </c>
      <c r="AG72" s="25">
        <f>求节点(装备熔炼!$J$37:$J$62,装备熔炼!$H$37:$H$62,AB72/18)</f>
        <v>151.55635746889263</v>
      </c>
    </row>
    <row r="73" spans="3:33" x14ac:dyDescent="0.15">
      <c r="C73" s="25">
        <v>130</v>
      </c>
      <c r="D73" s="25">
        <f>'[1]功能-行军令'!S133</f>
        <v>25235.311733201728</v>
      </c>
      <c r="E73" s="25">
        <f>'[1]功能-行军令'!T133</f>
        <v>31662.564882704406</v>
      </c>
      <c r="F73" s="25">
        <f>'[1]功能-行军令'!U133</f>
        <v>34820.433772797522</v>
      </c>
      <c r="G73" s="25">
        <f>'[1]功能-行军令'!V133</f>
        <v>28281.404745844833</v>
      </c>
      <c r="H73" s="25">
        <f>'[1]功能-行军令'!W133</f>
        <v>15365.888146790501</v>
      </c>
      <c r="I73" s="25">
        <f>'[1]功能-实力'!BF134</f>
        <v>50766474</v>
      </c>
      <c r="J73" s="25">
        <f>'[1]功能-实力'!BG134</f>
        <v>58442070</v>
      </c>
      <c r="K73" s="25">
        <f>'[1]功能-实力'!BH134</f>
        <v>66815826</v>
      </c>
      <c r="L73" s="25">
        <f>'[1]功能-实力'!BI134</f>
        <v>70369488</v>
      </c>
      <c r="M73" s="25">
        <f>'[1]功能-实力'!BJ134</f>
        <v>73539648</v>
      </c>
      <c r="W73" s="25">
        <v>130</v>
      </c>
      <c r="X73" s="25">
        <f t="shared" si="12"/>
        <v>688832.39438450371</v>
      </c>
      <c r="Y73" s="25">
        <f t="shared" si="13"/>
        <v>997436.95237144385</v>
      </c>
      <c r="Z73" s="25">
        <f t="shared" si="14"/>
        <v>1096916.4207402123</v>
      </c>
      <c r="AA73" s="25">
        <f t="shared" si="15"/>
        <v>890923.34316503233</v>
      </c>
      <c r="AB73" s="25">
        <f t="shared" si="16"/>
        <v>484057.5834709864</v>
      </c>
      <c r="AC73" s="25">
        <f>求节点(装备熔炼!$J$37:$J$62,装备熔炼!$H$37:$H$62,X73/18)</f>
        <v>178.78077725782441</v>
      </c>
      <c r="AD73" s="25">
        <f>求节点(装备熔炼!$J$37:$J$62,装备熔炼!$H$37:$H$62,Y73/18)</f>
        <v>201.41316402063578</v>
      </c>
      <c r="AE73" s="25">
        <f>求节点(装备熔炼!$J$37:$J$62,装备熔炼!$H$37:$H$62,Z73/18)</f>
        <v>206.93980115223403</v>
      </c>
      <c r="AF73" s="25">
        <f>求节点(装备熔炼!$J$37:$J$62,装备熔炼!$H$37:$H$62,AA73/18)</f>
        <v>194.36967660868279</v>
      </c>
      <c r="AG73" s="25">
        <f>求节点(装备熔炼!$J$37:$J$62,装备熔炼!$H$37:$H$62,AB73/18)</f>
        <v>157.23021992652588</v>
      </c>
    </row>
    <row r="74" spans="3:33" x14ac:dyDescent="0.15">
      <c r="C74" s="25">
        <v>131</v>
      </c>
      <c r="D74" s="25">
        <f>'[1]功能-行军令'!S134</f>
        <v>27046.537434476486</v>
      </c>
      <c r="E74" s="25">
        <f>'[1]功能-行军令'!T134</f>
        <v>33621.580953834928</v>
      </c>
      <c r="F74" s="25">
        <f>'[1]功能-行军令'!U134</f>
        <v>36680.886832763092</v>
      </c>
      <c r="G74" s="25">
        <f>'[1]功能-行军令'!V134</f>
        <v>30209.150897948828</v>
      </c>
      <c r="H74" s="25">
        <f>'[1]功能-行军令'!W134</f>
        <v>15528.605352406041</v>
      </c>
      <c r="I74" s="25">
        <f>'[1]功能-实力'!BF135</f>
        <v>51973482</v>
      </c>
      <c r="J74" s="25">
        <f>'[1]功能-实力'!BG135</f>
        <v>59752902</v>
      </c>
      <c r="K74" s="25">
        <f>'[1]功能-实力'!BH135</f>
        <v>68153892</v>
      </c>
      <c r="L74" s="25">
        <f>'[1]功能-实力'!BI135</f>
        <v>71756382</v>
      </c>
      <c r="M74" s="25">
        <f>'[1]功能-实力'!BJ135</f>
        <v>74965218</v>
      </c>
      <c r="W74" s="25">
        <v>131</v>
      </c>
      <c r="X74" s="25">
        <f t="shared" si="12"/>
        <v>761022.31287248724</v>
      </c>
      <c r="Y74" s="25">
        <f t="shared" si="13"/>
        <v>1059150.0519536722</v>
      </c>
      <c r="Z74" s="25">
        <f t="shared" si="14"/>
        <v>1155524.579524463</v>
      </c>
      <c r="AA74" s="25">
        <f t="shared" si="15"/>
        <v>951651.37495978794</v>
      </c>
      <c r="AB74" s="25">
        <f t="shared" si="16"/>
        <v>489183.51544361119</v>
      </c>
      <c r="AC74" s="25">
        <f>求节点(装备熔炼!$J$37:$J$62,装备熔炼!$H$37:$H$62,X74/18)</f>
        <v>184.68431054543549</v>
      </c>
      <c r="AD74" s="25">
        <f>求节点(装备熔炼!$J$37:$J$62,装备熔炼!$H$37:$H$62,Y74/18)</f>
        <v>204.84166955298178</v>
      </c>
      <c r="AE74" s="25">
        <f>求节点(装备熔炼!$J$37:$J$62,装备熔炼!$H$37:$H$62,Z74/18)</f>
        <v>210.1631749779844</v>
      </c>
      <c r="AF74" s="25">
        <f>求节点(装备熔炼!$J$37:$J$62,装备熔炼!$H$37:$H$62,AA74/18)</f>
        <v>198.58690103887417</v>
      </c>
      <c r="AG74" s="25">
        <f>求节点(装备熔炼!$J$37:$J$62,装备熔炼!$H$37:$H$62,AB74/18)</f>
        <v>157.94215492272377</v>
      </c>
    </row>
    <row r="75" spans="3:33" x14ac:dyDescent="0.15">
      <c r="C75" s="25">
        <v>132</v>
      </c>
      <c r="D75" s="25">
        <f>'[1]功能-行军令'!S135</f>
        <v>28987.761075765884</v>
      </c>
      <c r="E75" s="25">
        <f>'[1]功能-行军令'!T135</f>
        <v>36177.691114817862</v>
      </c>
      <c r="F75" s="25">
        <f>'[1]功能-行军令'!U135</f>
        <v>40118.620534628979</v>
      </c>
      <c r="G75" s="25">
        <f>'[1]功能-行军令'!V135</f>
        <v>30898.14674087835</v>
      </c>
      <c r="H75" s="25">
        <f>'[1]功能-行军令'!W135</f>
        <v>16048.679510850576</v>
      </c>
      <c r="I75" s="25">
        <f>'[1]功能-实力'!BF136</f>
        <v>53214954</v>
      </c>
      <c r="J75" s="25">
        <f>'[1]功能-实力'!BG136</f>
        <v>61087668</v>
      </c>
      <c r="K75" s="25">
        <f>'[1]功能-实力'!BH136</f>
        <v>69520566</v>
      </c>
      <c r="L75" s="25">
        <f>'[1]功能-实力'!BI136</f>
        <v>73105338</v>
      </c>
      <c r="M75" s="25">
        <f>'[1]功能-实力'!BJ136</f>
        <v>76321632</v>
      </c>
      <c r="W75" s="25">
        <v>132</v>
      </c>
      <c r="X75" s="25">
        <f t="shared" si="12"/>
        <v>840026.40037128271</v>
      </c>
      <c r="Y75" s="25">
        <f t="shared" si="13"/>
        <v>1139672.8629875057</v>
      </c>
      <c r="Z75" s="25">
        <f t="shared" si="14"/>
        <v>1263820.3742383888</v>
      </c>
      <c r="AA75" s="25">
        <f t="shared" si="15"/>
        <v>973356.18366098113</v>
      </c>
      <c r="AB75" s="25">
        <f t="shared" si="16"/>
        <v>505566.93812360452</v>
      </c>
      <c r="AC75" s="25">
        <f>求节点(装备熔炼!$J$37:$J$62,装备熔炼!$H$37:$H$62,X75/18)</f>
        <v>190.83516669245017</v>
      </c>
      <c r="AD75" s="25">
        <f>求节点(装备熔炼!$J$37:$J$62,装备熔炼!$H$37:$H$62,Y75/18)</f>
        <v>209.31515905486143</v>
      </c>
      <c r="AE75" s="25">
        <f>求节点(装备熔炼!$J$37:$J$62,装备熔炼!$H$37:$H$62,Z75/18)</f>
        <v>215.1768691777032</v>
      </c>
      <c r="AF75" s="25">
        <f>求节点(装备熔炼!$J$37:$J$62,装备熔炼!$H$37:$H$62,AA75/18)</f>
        <v>200.07534353672116</v>
      </c>
      <c r="AG75" s="25">
        <f>求节点(装备熔炼!$J$37:$J$62,装备熔炼!$H$37:$H$62,AB75/18)</f>
        <v>160.17410423595607</v>
      </c>
    </row>
    <row r="76" spans="3:33" x14ac:dyDescent="0.15">
      <c r="C76" s="25">
        <v>133</v>
      </c>
      <c r="D76" s="25">
        <f>'[1]功能-行军令'!S136</f>
        <v>31068.313059349195</v>
      </c>
      <c r="E76" s="25">
        <f>'[1]功能-行军令'!T136</f>
        <v>38801.443162012263</v>
      </c>
      <c r="F76" s="25">
        <f>'[1]功能-行军令'!U136</f>
        <v>40153.657879734645</v>
      </c>
      <c r="G76" s="25">
        <f>'[1]功能-行军令'!V136</f>
        <v>31211.354224102746</v>
      </c>
      <c r="H76" s="25">
        <f>'[1]功能-行军令'!W136</f>
        <v>16937.14866838092</v>
      </c>
      <c r="I76" s="25">
        <f>'[1]功能-实力'!BF137</f>
        <v>54474174</v>
      </c>
      <c r="J76" s="25">
        <f>'[1]功能-实力'!BG137</f>
        <v>62453040</v>
      </c>
      <c r="K76" s="25">
        <f>'[1]功能-实力'!BH137</f>
        <v>70841760</v>
      </c>
      <c r="L76" s="25">
        <f>'[1]功能-实力'!BI137</f>
        <v>74376972</v>
      </c>
      <c r="M76" s="25">
        <f>'[1]功能-实力'!BJ137</f>
        <v>77702688</v>
      </c>
      <c r="W76" s="25">
        <v>133</v>
      </c>
      <c r="X76" s="25">
        <f t="shared" si="12"/>
        <v>926450.92858302908</v>
      </c>
      <c r="Y76" s="25">
        <f t="shared" si="13"/>
        <v>1222326.534773946</v>
      </c>
      <c r="Z76" s="25">
        <f t="shared" si="14"/>
        <v>1264924.1238193482</v>
      </c>
      <c r="AA76" s="25">
        <f t="shared" si="15"/>
        <v>983222.87382599432</v>
      </c>
      <c r="AB76" s="25">
        <f t="shared" si="16"/>
        <v>533555.57303192711</v>
      </c>
      <c r="AC76" s="25">
        <f>求节点(装备熔炼!$J$37:$J$62,装备熔炼!$H$37:$H$62,X76/18)</f>
        <v>196.83687004048812</v>
      </c>
      <c r="AD76" s="25">
        <f>求节点(装备熔炼!$J$37:$J$62,装备熔炼!$H$37:$H$62,Y76/18)</f>
        <v>213.25585809138639</v>
      </c>
      <c r="AE76" s="25">
        <f>求节点(装备熔炼!$J$37:$J$62,装备熔炼!$H$37:$H$62,Z76/18)</f>
        <v>215.22796869534019</v>
      </c>
      <c r="AF76" s="25">
        <f>求节点(装备熔炼!$J$37:$J$62,装备熔炼!$H$37:$H$62,AA76/18)</f>
        <v>200.62349299033301</v>
      </c>
      <c r="AG76" s="25">
        <f>求节点(装备熔炼!$J$37:$J$62,装备熔炼!$H$37:$H$62,AB76/18)</f>
        <v>163.283952559103</v>
      </c>
    </row>
    <row r="77" spans="3:33" x14ac:dyDescent="0.15">
      <c r="C77" s="25">
        <v>134</v>
      </c>
      <c r="D77" s="25">
        <f>'[1]功能-行军令'!S137</f>
        <v>33298.193462779454</v>
      </c>
      <c r="E77" s="25">
        <f>'[1]功能-行军令'!T137</f>
        <v>39442.96953022352</v>
      </c>
      <c r="F77" s="25">
        <f>'[1]功能-行军令'!U137</f>
        <v>41546.639281778713</v>
      </c>
      <c r="G77" s="25">
        <f>'[1]功能-行军令'!V137</f>
        <v>33725.304930514074</v>
      </c>
      <c r="H77" s="25">
        <f>'[1]功能-行军令'!W137</f>
        <v>18523.526525497786</v>
      </c>
      <c r="I77" s="25">
        <f>'[1]功能-实力'!BF138</f>
        <v>55766112</v>
      </c>
      <c r="J77" s="25">
        <f>'[1]功能-实力'!BG138</f>
        <v>63776094</v>
      </c>
      <c r="K77" s="25">
        <f>'[1]功能-实力'!BH138</f>
        <v>72101994</v>
      </c>
      <c r="L77" s="25">
        <f>'[1]功能-实力'!BI138</f>
        <v>75680730</v>
      </c>
      <c r="M77" s="25">
        <f>'[1]功能-实力'!BJ138</f>
        <v>79097808</v>
      </c>
      <c r="W77" s="25">
        <v>134</v>
      </c>
      <c r="X77" s="25">
        <f t="shared" si="12"/>
        <v>1020954.0949341725</v>
      </c>
      <c r="Y77" s="25">
        <f t="shared" si="13"/>
        <v>1242535.9558345908</v>
      </c>
      <c r="Z77" s="25">
        <f t="shared" si="14"/>
        <v>1308805.948602403</v>
      </c>
      <c r="AA77" s="25">
        <f t="shared" si="15"/>
        <v>1062417.5739491254</v>
      </c>
      <c r="AB77" s="25">
        <f t="shared" si="16"/>
        <v>583529.79024945025</v>
      </c>
      <c r="AC77" s="25">
        <f>求节点(装备熔炼!$J$37:$J$62,装备熔炼!$H$37:$H$62,X77/18)</f>
        <v>202.71967194078735</v>
      </c>
      <c r="AD77" s="25">
        <f>求节点(装备熔炼!$J$37:$J$62,装备熔炼!$H$37:$H$62,Y77/18)</f>
        <v>214.19147943678661</v>
      </c>
      <c r="AE77" s="25">
        <f>求节点(装备熔炼!$J$37:$J$62,装备熔炼!$H$37:$H$62,Z77/18)</f>
        <v>217.25953465751866</v>
      </c>
      <c r="AF77" s="25">
        <f>求节点(装备熔炼!$J$37:$J$62,装备熔炼!$H$37:$H$62,AA77/18)</f>
        <v>205.02319855272918</v>
      </c>
      <c r="AG77" s="25">
        <f>求节点(装备熔炼!$J$37:$J$62,装备熔炼!$H$37:$H$62,AB77/18)</f>
        <v>168.83664336105002</v>
      </c>
    </row>
    <row r="78" spans="3:33" x14ac:dyDescent="0.15">
      <c r="C78" s="25">
        <v>135</v>
      </c>
      <c r="D78" s="25">
        <f>'[1]功能-行军令'!S138</f>
        <v>35688.120103807247</v>
      </c>
      <c r="E78" s="25">
        <f>'[1]功能-行军令'!T138</f>
        <v>43235.764708103146</v>
      </c>
      <c r="F78" s="25">
        <f>'[1]功能-行军令'!U138</f>
        <v>46628.868264898192</v>
      </c>
      <c r="G78" s="25">
        <f>'[1]功能-行军令'!V138</f>
        <v>38499.71369011316</v>
      </c>
      <c r="H78" s="25">
        <f>'[1]功能-行军令'!W138</f>
        <v>20998.249976290273</v>
      </c>
      <c r="I78" s="25">
        <f>'[1]功能-实力'!BF139</f>
        <v>57011634</v>
      </c>
      <c r="J78" s="25">
        <f>'[1]功能-实力'!BG139</f>
        <v>65074200</v>
      </c>
      <c r="K78" s="25">
        <f>'[1]功能-实力'!BH139</f>
        <v>73406178</v>
      </c>
      <c r="L78" s="25">
        <f>'[1]功能-实力'!BI139</f>
        <v>77006880</v>
      </c>
      <c r="M78" s="25">
        <f>'[1]功能-实力'!BJ139</f>
        <v>80530200</v>
      </c>
      <c r="W78" s="25">
        <v>135</v>
      </c>
      <c r="X78" s="25">
        <f t="shared" si="12"/>
        <v>1124250.3531876577</v>
      </c>
      <c r="Y78" s="25">
        <f t="shared" si="13"/>
        <v>1362016.9289398321</v>
      </c>
      <c r="Z78" s="25">
        <f t="shared" si="14"/>
        <v>1468906.7808298501</v>
      </c>
      <c r="AA78" s="25">
        <f t="shared" si="15"/>
        <v>1212821.4259488527</v>
      </c>
      <c r="AB78" s="25">
        <f t="shared" si="16"/>
        <v>661488.74985568691</v>
      </c>
      <c r="AC78" s="25">
        <f>求节点(装备熔炼!$J$37:$J$62,装备熔炼!$H$37:$H$62,X78/18)</f>
        <v>208.45835295486987</v>
      </c>
      <c r="AD78" s="25">
        <f>求节点(装备熔炼!$J$37:$J$62,装备熔炼!$H$37:$H$62,Y78/18)</f>
        <v>219.72300596943668</v>
      </c>
      <c r="AE78" s="25">
        <f>求节点(装备熔炼!$J$37:$J$62,装备熔炼!$H$37:$H$62,Z78/18)</f>
        <v>224.00423733451785</v>
      </c>
      <c r="AF78" s="25">
        <f>求节点(装备熔炼!$J$37:$J$62,装备熔炼!$H$37:$H$62,AA78/18)</f>
        <v>212.81580675689133</v>
      </c>
      <c r="AG78" s="25">
        <f>求节点(装备熔炼!$J$37:$J$62,装备熔炼!$H$37:$H$62,AB78/18)</f>
        <v>176.24895831997102</v>
      </c>
    </row>
    <row r="79" spans="3:33" x14ac:dyDescent="0.15">
      <c r="C79" s="25">
        <v>136</v>
      </c>
      <c r="D79" s="25">
        <f>'[1]功能-行军令'!S139</f>
        <v>38249.580055067665</v>
      </c>
      <c r="E79" s="25">
        <f>'[1]功能-行军令'!T139</f>
        <v>47614.197505020187</v>
      </c>
      <c r="F79" s="25">
        <f>'[1]功能-行军令'!U139</f>
        <v>53522.943266283488</v>
      </c>
      <c r="G79" s="25">
        <f>'[1]功能-行军令'!V139</f>
        <v>43070.45325287804</v>
      </c>
      <c r="H79" s="25">
        <f>'[1]功能-行军令'!W139</f>
        <v>23179.039491696982</v>
      </c>
      <c r="I79" s="25">
        <f>'[1]功能-实力'!BF140</f>
        <v>58198572</v>
      </c>
      <c r="J79" s="25">
        <f>'[1]功能-实力'!BG140</f>
        <v>66466938</v>
      </c>
      <c r="K79" s="25">
        <f>'[1]功能-实力'!BH140</f>
        <v>74799696</v>
      </c>
      <c r="L79" s="25">
        <f>'[1]功能-实力'!BI140</f>
        <v>78440736</v>
      </c>
      <c r="M79" s="25">
        <f>'[1]功能-实力'!BJ140</f>
        <v>81863712</v>
      </c>
      <c r="W79" s="25">
        <v>136</v>
      </c>
      <c r="X79" s="25">
        <f t="shared" si="12"/>
        <v>1204941.6937935574</v>
      </c>
      <c r="Y79" s="25">
        <f t="shared" si="13"/>
        <v>1499946.7107278416</v>
      </c>
      <c r="Z79" s="25">
        <f t="shared" si="14"/>
        <v>1686084.5484641495</v>
      </c>
      <c r="AA79" s="25">
        <f t="shared" si="15"/>
        <v>1356809.2726838512</v>
      </c>
      <c r="AB79" s="25">
        <f t="shared" si="16"/>
        <v>730188.17632568406</v>
      </c>
      <c r="AC79" s="25">
        <f>求节点(装备熔炼!$J$37:$J$62,装备熔炼!$H$37:$H$62,X79/18)</f>
        <v>212.45100434229434</v>
      </c>
      <c r="AD79" s="25">
        <f>求节点(装备熔炼!$J$37:$J$62,装备熔炼!$H$37:$H$62,Y79/18)</f>
        <v>225.23598058443815</v>
      </c>
      <c r="AE79" s="25">
        <f>求节点(装备熔炼!$J$37:$J$62,装备熔炼!$H$37:$H$62,Z79/18)</f>
        <v>232.29460237722742</v>
      </c>
      <c r="AF79" s="25">
        <f>求节点(装备熔炼!$J$37:$J$62,装备熔炼!$H$37:$H$62,AA79/18)</f>
        <v>219.48191077240051</v>
      </c>
      <c r="AG79" s="25">
        <f>求节点(装备熔炼!$J$37:$J$62,装备熔炼!$H$37:$H$62,AB79/18)</f>
        <v>182.23715685124478</v>
      </c>
    </row>
    <row r="80" spans="3:33" x14ac:dyDescent="0.15">
      <c r="C80" s="25">
        <v>137</v>
      </c>
      <c r="D80" s="25">
        <f>'[1]功能-行军令'!S140</f>
        <v>40994.884856179124</v>
      </c>
      <c r="E80" s="25">
        <f>'[1]功能-行军令'!T140</f>
        <v>51424.088255146286</v>
      </c>
      <c r="F80" s="25">
        <f>'[1]功能-行军令'!U140</f>
        <v>55613.521038986742</v>
      </c>
      <c r="G80" s="25">
        <f>'[1]功能-行军令'!V140</f>
        <v>45349.218665891327</v>
      </c>
      <c r="H80" s="25">
        <f>'[1]功能-行军令'!W140</f>
        <v>24102.930579012784</v>
      </c>
      <c r="I80" s="25">
        <f>'[1]功能-实力'!BF141</f>
        <v>59404620</v>
      </c>
      <c r="J80" s="25">
        <f>'[1]功能-实力'!BG141</f>
        <v>67881606</v>
      </c>
      <c r="K80" s="25">
        <f>'[1]功能-实力'!BH141</f>
        <v>76222008</v>
      </c>
      <c r="L80" s="25">
        <f>'[1]功能-实力'!BI141</f>
        <v>79841742</v>
      </c>
      <c r="M80" s="25">
        <f>'[1]功能-实力'!BJ141</f>
        <v>83220402</v>
      </c>
      <c r="W80" s="25">
        <v>137</v>
      </c>
      <c r="X80" s="25">
        <f t="shared" si="12"/>
        <v>1291424.5313114705</v>
      </c>
      <c r="Y80" s="25">
        <f t="shared" si="13"/>
        <v>1619966.230079849</v>
      </c>
      <c r="Z80" s="25">
        <f t="shared" si="14"/>
        <v>1751942.1165425859</v>
      </c>
      <c r="AA80" s="25">
        <f t="shared" si="15"/>
        <v>1428595.1446479701</v>
      </c>
      <c r="AB80" s="25">
        <f t="shared" si="16"/>
        <v>759292.67603596475</v>
      </c>
      <c r="AC80" s="25">
        <f>求节点(装备熔炼!$J$37:$J$62,装备熔炼!$H$37:$H$62,X80/18)</f>
        <v>216.45483941256808</v>
      </c>
      <c r="AD80" s="25">
        <f>求节点(装备熔炼!$J$37:$J$62,装备熔炼!$H$37:$H$62,Y80/18)</f>
        <v>229.99865992380353</v>
      </c>
      <c r="AE80" s="25">
        <f>求节点(装备熔炼!$J$37:$J$62,装备熔炼!$H$37:$H$62,Z80/18)</f>
        <v>234.58132349106202</v>
      </c>
      <c r="AF80" s="25">
        <f>求节点(装备熔炼!$J$37:$J$62,装备熔炼!$H$37:$H$62,AA80/18)</f>
        <v>222.4045692320623</v>
      </c>
      <c r="AG80" s="25">
        <f>求节点(装备熔炼!$J$37:$J$62,装备熔炼!$H$37:$H$62,AB80/18)</f>
        <v>184.54703778063211</v>
      </c>
    </row>
    <row r="81" spans="3:33" x14ac:dyDescent="0.15">
      <c r="C81" s="25">
        <v>138</v>
      </c>
      <c r="D81" s="25">
        <f>'[1]功能-行军令'!S141</f>
        <v>43937.229688584688</v>
      </c>
      <c r="E81" s="25">
        <f>'[1]功能-行军令'!T141</f>
        <v>54223.412737266044</v>
      </c>
      <c r="F81" s="25">
        <f>'[1]功能-行军令'!U141</f>
        <v>59406.373863499262</v>
      </c>
      <c r="G81" s="25">
        <f>'[1]功能-行军令'!V141</f>
        <v>47811.241029138211</v>
      </c>
      <c r="H81" s="25">
        <f>'[1]功能-行军令'!W141</f>
        <v>23952.702690756763</v>
      </c>
      <c r="I81" s="25">
        <f>'[1]功能-实力'!BF142</f>
        <v>60633204</v>
      </c>
      <c r="J81" s="25">
        <f>'[1]功能-实力'!BG142</f>
        <v>69360582</v>
      </c>
      <c r="K81" s="25">
        <f>'[1]功能-实力'!BH142</f>
        <v>77663928</v>
      </c>
      <c r="L81" s="25">
        <f>'[1]功能-实力'!BI142</f>
        <v>81270810</v>
      </c>
      <c r="M81" s="25">
        <f>'[1]功能-实力'!BJ142</f>
        <v>84552654</v>
      </c>
      <c r="W81" s="25">
        <v>138</v>
      </c>
      <c r="X81" s="25">
        <f t="shared" si="12"/>
        <v>1384114.5415280338</v>
      </c>
      <c r="Y81" s="25">
        <f t="shared" si="13"/>
        <v>1708150.8004230275</v>
      </c>
      <c r="Z81" s="25">
        <f t="shared" si="14"/>
        <v>1871424.9056372154</v>
      </c>
      <c r="AA81" s="25">
        <f t="shared" si="15"/>
        <v>1506153.9934577434</v>
      </c>
      <c r="AB81" s="25">
        <f t="shared" si="16"/>
        <v>754560.18365645024</v>
      </c>
      <c r="AC81" s="25">
        <f>求节点(装备熔炼!$J$37:$J$62,装备熔炼!$H$37:$H$62,X81/18)</f>
        <v>220.63946593365213</v>
      </c>
      <c r="AD81" s="25">
        <f>求节点(装备熔炼!$J$37:$J$62,装备熔炼!$H$37:$H$62,Y81/18)</f>
        <v>233.06079168135511</v>
      </c>
      <c r="AE81" s="25">
        <f>求节点(装备熔炼!$J$37:$J$62,装备熔炼!$H$37:$H$62,Z81/18)</f>
        <v>238.73003144573664</v>
      </c>
      <c r="AF81" s="25">
        <f>求节点(装备熔炼!$J$37:$J$62,装备熔炼!$H$37:$H$62,AA81/18)</f>
        <v>225.48230132768825</v>
      </c>
      <c r="AG81" s="25">
        <f>求节点(装备熔炼!$J$37:$J$62,装备熔炼!$H$37:$H$62,AB81/18)</f>
        <v>184.17144314733733</v>
      </c>
    </row>
    <row r="82" spans="3:33" x14ac:dyDescent="0.15">
      <c r="C82" s="25">
        <v>139</v>
      </c>
      <c r="D82" s="25">
        <f>'[1]功能-行军令'!S142</f>
        <v>47090.756797586917</v>
      </c>
      <c r="E82" s="25">
        <f>'[1]功能-行军令'!T142</f>
        <v>58524.874595847563</v>
      </c>
      <c r="F82" s="25">
        <f>'[1]功能-行军令'!U142</f>
        <v>63160.353602632764</v>
      </c>
      <c r="G82" s="25">
        <f>'[1]功能-行军令'!V142</f>
        <v>47810.689147724886</v>
      </c>
      <c r="H82" s="25">
        <f>'[1]功能-行军令'!W142</f>
        <v>25723.865229659132</v>
      </c>
      <c r="I82" s="25">
        <f>'[1]功能-实力'!BF143</f>
        <v>61882524</v>
      </c>
      <c r="J82" s="25">
        <f>'[1]功能-实力'!BG143</f>
        <v>70946808</v>
      </c>
      <c r="K82" s="25">
        <f>'[1]功能-实力'!BH143</f>
        <v>79137438</v>
      </c>
      <c r="L82" s="25">
        <f>'[1]功能-实力'!BI143</f>
        <v>82680498</v>
      </c>
      <c r="M82" s="25">
        <f>'[1]功能-实力'!BJ143</f>
        <v>85926696</v>
      </c>
      <c r="W82" s="25">
        <v>139</v>
      </c>
      <c r="X82" s="25">
        <f t="shared" si="12"/>
        <v>1483457.2347203374</v>
      </c>
      <c r="Y82" s="25">
        <f t="shared" si="13"/>
        <v>1843655.836823575</v>
      </c>
      <c r="Z82" s="25">
        <f t="shared" si="14"/>
        <v>1989683.1113175396</v>
      </c>
      <c r="AA82" s="25">
        <f t="shared" si="15"/>
        <v>1506136.6080400739</v>
      </c>
      <c r="AB82" s="25">
        <f t="shared" si="16"/>
        <v>810355.50445569039</v>
      </c>
      <c r="AC82" s="25">
        <f>求节点(装备熔炼!$J$37:$J$62,装备熔炼!$H$37:$H$62,X82/18)</f>
        <v>224.5816362984261</v>
      </c>
      <c r="AD82" s="25">
        <f>求节点(装备熔炼!$J$37:$J$62,装备熔炼!$H$37:$H$62,Y82/18)</f>
        <v>237.76582766748524</v>
      </c>
      <c r="AE82" s="25">
        <f>求节点(装备熔炼!$J$37:$J$62,装备熔炼!$H$37:$H$62,Z82/18)</f>
        <v>242.5210836826401</v>
      </c>
      <c r="AF82" s="25">
        <f>求节点(装备熔炼!$J$37:$J$62,装备熔炼!$H$37:$H$62,AA82/18)</f>
        <v>225.48161143016165</v>
      </c>
      <c r="AG82" s="25">
        <f>求节点(装备熔炼!$J$37:$J$62,装备熔炼!$H$37:$H$62,AB82/18)</f>
        <v>188.59964321076907</v>
      </c>
    </row>
    <row r="83" spans="3:33" x14ac:dyDescent="0.15">
      <c r="C83" s="25">
        <v>140</v>
      </c>
      <c r="D83" s="25">
        <f>'[1]功能-行军令'!S143</f>
        <v>50470.62346640334</v>
      </c>
      <c r="E83" s="25">
        <f>'[1]功能-行军令'!T143</f>
        <v>61876.685237728292</v>
      </c>
      <c r="F83" s="25">
        <f>'[1]功能-行军令'!U143</f>
        <v>63231.016934794141</v>
      </c>
      <c r="G83" s="25">
        <f>'[1]功能-行军令'!V143</f>
        <v>50690.004420810379</v>
      </c>
      <c r="H83" s="25">
        <f>'[1]功能-行军令'!W143</f>
        <v>27974.674875448749</v>
      </c>
      <c r="I83" s="25">
        <f>'[1]功能-实力'!BF144</f>
        <v>63149328</v>
      </c>
      <c r="J83" s="25">
        <f>'[1]功能-实力'!BG144</f>
        <v>72567030</v>
      </c>
      <c r="K83" s="25">
        <f>'[1]功能-实力'!BH144</f>
        <v>80597964</v>
      </c>
      <c r="L83" s="25">
        <f>'[1]功能-实力'!BI144</f>
        <v>84129150</v>
      </c>
      <c r="M83" s="25">
        <f>'[1]功能-实力'!BJ144</f>
        <v>87386412</v>
      </c>
      <c r="W83" s="25">
        <v>140</v>
      </c>
      <c r="X83" s="25">
        <f t="shared" si="12"/>
        <v>1589930.0969807033</v>
      </c>
      <c r="Y83" s="25">
        <f t="shared" si="13"/>
        <v>1949244.8756127197</v>
      </c>
      <c r="Z83" s="25">
        <f t="shared" si="14"/>
        <v>1991909.1539308452</v>
      </c>
      <c r="AA83" s="25">
        <f t="shared" si="15"/>
        <v>1596841.0554385136</v>
      </c>
      <c r="AB83" s="25">
        <f t="shared" si="16"/>
        <v>881260.71133900865</v>
      </c>
      <c r="AC83" s="25">
        <f>求节点(装备熔炼!$J$37:$J$62,装备熔炼!$H$37:$H$62,X83/18)</f>
        <v>228.80674988018663</v>
      </c>
      <c r="AD83" s="25">
        <f>求节点(装备熔炼!$J$37:$J$62,装备熔炼!$H$37:$H$62,Y83/18)</f>
        <v>241.2729899880469</v>
      </c>
      <c r="AE83" s="25">
        <f>求节点(装备熔炼!$J$37:$J$62,装备熔炼!$H$37:$H$62,Z83/18)</f>
        <v>242.58978870156929</v>
      </c>
      <c r="AF83" s="25">
        <f>求节点(装备熔炼!$J$37:$J$62,装备熔炼!$H$37:$H$62,AA83/18)</f>
        <v>229.08099426343307</v>
      </c>
      <c r="AG83" s="25">
        <f>求节点(装备熔炼!$J$37:$J$62,装备熔炼!$H$37:$H$62,AB83/18)</f>
        <v>193.69866050965339</v>
      </c>
    </row>
    <row r="84" spans="3:33" x14ac:dyDescent="0.15">
      <c r="C84" s="25">
        <v>141</v>
      </c>
      <c r="D84" s="25">
        <f>'[1]功能-行军令'!S144</f>
        <v>54093.074868951691</v>
      </c>
      <c r="E84" s="25">
        <f>'[1]功能-行军令'!T144</f>
        <v>64168.664437115542</v>
      </c>
      <c r="F84" s="25">
        <f>'[1]功能-行军令'!U144</f>
        <v>68417.695328223752</v>
      </c>
      <c r="G84" s="25">
        <f>'[1]功能-行军令'!V144</f>
        <v>56967.543704345939</v>
      </c>
      <c r="H84" s="25">
        <f>'[1]功能-行军令'!W144</f>
        <v>30633.265028936148</v>
      </c>
      <c r="I84" s="25">
        <f>'[1]功能-实力'!BF145</f>
        <v>64420158</v>
      </c>
      <c r="J84" s="25">
        <f>'[1]功能-实力'!BG145</f>
        <v>74160348</v>
      </c>
      <c r="K84" s="25">
        <f>'[1]功能-实力'!BH145</f>
        <v>82109976</v>
      </c>
      <c r="L84" s="25">
        <f>'[1]功能-实力'!BI145</f>
        <v>85692858</v>
      </c>
      <c r="M84" s="25">
        <f>'[1]功能-实力'!BJ145</f>
        <v>88913682</v>
      </c>
      <c r="W84" s="25">
        <v>141</v>
      </c>
      <c r="X84" s="25">
        <f t="shared" si="12"/>
        <v>1704044.8852316441</v>
      </c>
      <c r="Y84" s="25">
        <f t="shared" si="13"/>
        <v>2021447.0094576736</v>
      </c>
      <c r="Z84" s="25">
        <f t="shared" si="14"/>
        <v>2155300.3608289063</v>
      </c>
      <c r="AA84" s="25">
        <f t="shared" si="15"/>
        <v>1794596.6597162336</v>
      </c>
      <c r="AB84" s="25">
        <f t="shared" si="16"/>
        <v>965011.85626750207</v>
      </c>
      <c r="AC84" s="25">
        <f>求节点(装备熔炼!$J$37:$J$62,装备熔炼!$H$37:$H$62,X84/18)</f>
        <v>232.91822518165429</v>
      </c>
      <c r="AD84" s="25">
        <f>求节点(装备熔炼!$J$37:$J$62,装备熔炼!$H$37:$H$62,Y84/18)</f>
        <v>243.50145090918744</v>
      </c>
      <c r="AE84" s="25">
        <f>求节点(装备熔炼!$J$37:$J$62,装备熔炼!$H$37:$H$62,Z84/18)</f>
        <v>247.63272718607735</v>
      </c>
      <c r="AF84" s="25">
        <f>求节点(装备熔炼!$J$37:$J$62,装备熔炼!$H$37:$H$62,AA84/18)</f>
        <v>236.06238401792478</v>
      </c>
      <c r="AG84" s="25">
        <f>求节点(装备熔炼!$J$37:$J$62,装备熔炼!$H$37:$H$62,AB84/18)</f>
        <v>199.51471224079876</v>
      </c>
    </row>
    <row r="85" spans="3:33" x14ac:dyDescent="0.15">
      <c r="C85" s="25">
        <v>142</v>
      </c>
      <c r="D85" s="25">
        <f>'[1]功能-行军令'!S145</f>
        <v>57975.522151533281</v>
      </c>
      <c r="E85" s="25">
        <f>'[1]功能-行军令'!T145</f>
        <v>71362.448317553848</v>
      </c>
      <c r="F85" s="25">
        <f>'[1]功能-行军令'!U145</f>
        <v>79914.682253481587</v>
      </c>
      <c r="G85" s="25">
        <f>'[1]功能-行军令'!V145</f>
        <v>64092.806823997642</v>
      </c>
      <c r="H85" s="25">
        <f>'[1]功能-行军令'!W145</f>
        <v>34356.664264195948</v>
      </c>
      <c r="I85" s="25">
        <f>'[1]功能-实力'!BF146</f>
        <v>65707284</v>
      </c>
      <c r="J85" s="25">
        <f>'[1]功能-实力'!BG146</f>
        <v>75811194</v>
      </c>
      <c r="K85" s="25">
        <f>'[1]功能-实力'!BH146</f>
        <v>83719572</v>
      </c>
      <c r="L85" s="25">
        <f>'[1]功能-实力'!BI146</f>
        <v>87313890</v>
      </c>
      <c r="M85" s="25">
        <f>'[1]功能-实力'!BJ146</f>
        <v>90479166</v>
      </c>
      <c r="W85" s="25">
        <v>142</v>
      </c>
      <c r="X85" s="25">
        <f t="shared" si="12"/>
        <v>1826350.0869620419</v>
      </c>
      <c r="Y85" s="25">
        <f t="shared" si="13"/>
        <v>2248066.233020409</v>
      </c>
      <c r="Z85" s="25">
        <f t="shared" si="14"/>
        <v>2517479.4717968754</v>
      </c>
      <c r="AA85" s="25">
        <f t="shared" si="15"/>
        <v>2019057.3361408471</v>
      </c>
      <c r="AB85" s="25">
        <f t="shared" si="16"/>
        <v>1082306.7121781923</v>
      </c>
      <c r="AC85" s="25">
        <f>求节点(装备熔炼!$J$37:$J$62,装备熔炼!$H$37:$H$62,X85/18)</f>
        <v>237.1649335750709</v>
      </c>
      <c r="AD85" s="25">
        <f>求节点(装备熔炼!$J$37:$J$62,装备熔炼!$H$37:$H$62,Y85/18)</f>
        <v>250</v>
      </c>
      <c r="AE85" s="25">
        <f>求节点(装备熔炼!$J$37:$J$62,装备熔炼!$H$37:$H$62,Z85/18)</f>
        <v>250</v>
      </c>
      <c r="AF85" s="25">
        <f>求节点(装备熔炼!$J$37:$J$62,装备熔炼!$H$37:$H$62,AA85/18)</f>
        <v>243.4276955599027</v>
      </c>
      <c r="AG85" s="25">
        <f>求节点(装备熔炼!$J$37:$J$62,装备熔炼!$H$37:$H$62,AB85/18)</f>
        <v>206.12815067656624</v>
      </c>
    </row>
    <row r="86" spans="3:33" x14ac:dyDescent="0.15">
      <c r="C86" s="25">
        <v>143</v>
      </c>
      <c r="D86" s="25">
        <f>'[1]功能-行军令'!S146</f>
        <v>62136.62611869839</v>
      </c>
      <c r="E86" s="25">
        <f>'[1]功能-行军令'!T146</f>
        <v>77835.773022943875</v>
      </c>
      <c r="F86" s="25">
        <f>'[1]功能-行军令'!U146</f>
        <v>84391.033883917844</v>
      </c>
      <c r="G86" s="25">
        <f>'[1]功能-行军令'!V146</f>
        <v>68638.271115378593</v>
      </c>
      <c r="H86" s="25">
        <f>'[1]功能-行军令'!W146</f>
        <v>37321.548105034279</v>
      </c>
      <c r="I86" s="25">
        <f>'[1]功能-实力'!BF147</f>
        <v>67040634</v>
      </c>
      <c r="J86" s="25">
        <f>'[1]功能-实力'!BG147</f>
        <v>77499408</v>
      </c>
      <c r="K86" s="25">
        <f>'[1]功能-实力'!BH147</f>
        <v>85368666</v>
      </c>
      <c r="L86" s="25">
        <f>'[1]功能-实力'!BI147</f>
        <v>88958466</v>
      </c>
      <c r="M86" s="25">
        <f>'[1]功能-实力'!BJ147</f>
        <v>92083572</v>
      </c>
      <c r="W86" s="25">
        <v>143</v>
      </c>
      <c r="X86" s="25">
        <f t="shared" si="12"/>
        <v>1957433.5565067679</v>
      </c>
      <c r="Y86" s="25">
        <f t="shared" si="13"/>
        <v>2451989.4871779387</v>
      </c>
      <c r="Z86" s="25">
        <f t="shared" si="14"/>
        <v>2658493.90144102</v>
      </c>
      <c r="AA86" s="25">
        <f t="shared" si="15"/>
        <v>2162248.9590148618</v>
      </c>
      <c r="AB86" s="25">
        <f t="shared" si="16"/>
        <v>1175706.7482553876</v>
      </c>
      <c r="AC86" s="25">
        <f>求节点(装备熔炼!$J$37:$J$62,装备熔炼!$H$37:$H$62,X86/18)</f>
        <v>241.52572705267804</v>
      </c>
      <c r="AD86" s="25">
        <f>求节点(装备熔炼!$J$37:$J$62,装备熔炼!$H$37:$H$62,Y86/18)</f>
        <v>250</v>
      </c>
      <c r="AE86" s="25">
        <f>求节点(装备熔炼!$J$37:$J$62,装备熔炼!$H$37:$H$62,Z86/18)</f>
        <v>250</v>
      </c>
      <c r="AF86" s="25">
        <f>求节点(装备熔炼!$J$37:$J$62,装备熔炼!$H$37:$H$62,AA86/18)</f>
        <v>247.8471900930513</v>
      </c>
      <c r="AG86" s="25">
        <f>求节点(装备熔炼!$J$37:$J$62,装备熔炼!$H$37:$H$62,AB86/18)</f>
        <v>211.09753464145314</v>
      </c>
    </row>
    <row r="87" spans="3:33" x14ac:dyDescent="0.15">
      <c r="C87" s="25">
        <v>144</v>
      </c>
      <c r="D87" s="25">
        <f>'[1]功能-行军令'!S147</f>
        <v>66596.386925558676</v>
      </c>
      <c r="E87" s="25">
        <f>'[1]功能-行军令'!T147</f>
        <v>82070.926076237578</v>
      </c>
      <c r="F87" s="25">
        <f>'[1]功能-行军令'!U147</f>
        <v>90173.202714203158</v>
      </c>
      <c r="G87" s="25">
        <f>'[1]功能-行军令'!V147</f>
        <v>73268.475842542714</v>
      </c>
      <c r="H87" s="25">
        <f>'[1]功能-行军令'!W147</f>
        <v>37224.919373336132</v>
      </c>
      <c r="I87" s="25">
        <f>'[1]功能-实力'!BF148</f>
        <v>68417574</v>
      </c>
      <c r="J87" s="25">
        <f>'[1]功能-实力'!BG148</f>
        <v>79257930</v>
      </c>
      <c r="K87" s="25">
        <f>'[1]功能-实力'!BH148</f>
        <v>87036006</v>
      </c>
      <c r="L87" s="25">
        <f>'[1]功能-实力'!BI148</f>
        <v>90639408</v>
      </c>
      <c r="M87" s="25">
        <f>'[1]功能-实力'!BJ148</f>
        <v>93679314</v>
      </c>
      <c r="W87" s="25">
        <v>144</v>
      </c>
      <c r="X87" s="25">
        <f t="shared" si="12"/>
        <v>2097925.3405419337</v>
      </c>
      <c r="Y87" s="25">
        <f t="shared" si="13"/>
        <v>2585405.6576604317</v>
      </c>
      <c r="Z87" s="25">
        <f t="shared" si="14"/>
        <v>2840644.3013704754</v>
      </c>
      <c r="AA87" s="25">
        <f t="shared" si="15"/>
        <v>2308110.0826802156</v>
      </c>
      <c r="AB87" s="25">
        <f t="shared" si="16"/>
        <v>1172662.741302269</v>
      </c>
      <c r="AC87" s="25">
        <f>求节点(装备熔炼!$J$37:$J$62,装备熔炼!$H$37:$H$62,X87/18)</f>
        <v>245.86189322660289</v>
      </c>
      <c r="AD87" s="25">
        <f>求节点(装备熔炼!$J$37:$J$62,装备熔炼!$H$37:$H$62,Y87/18)</f>
        <v>250</v>
      </c>
      <c r="AE87" s="25">
        <f>求节点(装备熔炼!$J$37:$J$62,装备熔炼!$H$37:$H$62,Z87/18)</f>
        <v>250</v>
      </c>
      <c r="AF87" s="25">
        <f>求节点(装备熔炼!$J$37:$J$62,装备熔炼!$H$37:$H$62,AA87/18)</f>
        <v>250</v>
      </c>
      <c r="AG87" s="25">
        <f>求节点(装备熔炼!$J$37:$J$62,装备熔炼!$H$37:$H$62,AB87/18)</f>
        <v>210.95660839362355</v>
      </c>
    </row>
    <row r="88" spans="3:33" x14ac:dyDescent="0.15">
      <c r="C88" s="25">
        <v>145</v>
      </c>
      <c r="D88" s="25">
        <f>'[1]功能-行军令'!S148</f>
        <v>71376.240207614726</v>
      </c>
      <c r="E88" s="25">
        <f>'[1]功能-行军令'!T148</f>
        <v>89824.266404767521</v>
      </c>
      <c r="F88" s="25">
        <f>'[1]功能-行军令'!U148</f>
        <v>96954.933071628213</v>
      </c>
      <c r="G88" s="25">
        <f>'[1]功能-行军令'!V148</f>
        <v>74598.095458532451</v>
      </c>
      <c r="H88" s="25">
        <f>'[1]功能-行军令'!W148</f>
        <v>39100.829899495235</v>
      </c>
      <c r="I88" s="25">
        <f>'[1]功能-实力'!BF149</f>
        <v>69830490</v>
      </c>
      <c r="J88" s="25">
        <f>'[1]功能-实力'!BG149</f>
        <v>81042924</v>
      </c>
      <c r="K88" s="25">
        <f>'[1]功能-实力'!BH149</f>
        <v>88746306</v>
      </c>
      <c r="L88" s="25">
        <f>'[1]功能-实力'!BI149</f>
        <v>92321166</v>
      </c>
      <c r="M88" s="25">
        <f>'[1]功能-实力'!BJ149</f>
        <v>95291364</v>
      </c>
      <c r="W88" s="25">
        <v>145</v>
      </c>
      <c r="X88" s="25">
        <f t="shared" si="12"/>
        <v>2248500.7063753228</v>
      </c>
      <c r="Y88" s="25">
        <f t="shared" si="13"/>
        <v>2829652.0785248354</v>
      </c>
      <c r="Z88" s="25">
        <f t="shared" si="14"/>
        <v>3054282.9779771818</v>
      </c>
      <c r="AA88" s="25">
        <f t="shared" si="15"/>
        <v>2349995.8788088337</v>
      </c>
      <c r="AB88" s="25">
        <f t="shared" si="16"/>
        <v>1231757.8425698148</v>
      </c>
      <c r="AC88" s="25">
        <f>求节点(装备熔炼!$J$37:$J$62,装备熔炼!$H$37:$H$62,X88/18)</f>
        <v>250</v>
      </c>
      <c r="AD88" s="25">
        <f>求节点(装备熔炼!$J$37:$J$62,装备熔炼!$H$37:$H$62,Y88/18)</f>
        <v>250</v>
      </c>
      <c r="AE88" s="25">
        <f>求节点(装备熔炼!$J$37:$J$62,装备熔炼!$H$37:$H$62,Z88/18)</f>
        <v>250</v>
      </c>
      <c r="AF88" s="25">
        <f>求节点(装备熔炼!$J$37:$J$62,装备熔炼!$H$37:$H$62,AA88/18)</f>
        <v>250</v>
      </c>
      <c r="AG88" s="25">
        <f>求节点(装备熔炼!$J$37:$J$62,装备熔炼!$H$37:$H$62,AB88/18)</f>
        <v>213.69249271156551</v>
      </c>
    </row>
    <row r="89" spans="3:33" x14ac:dyDescent="0.15">
      <c r="C89" s="25">
        <v>146</v>
      </c>
      <c r="D89" s="25">
        <f>'[1]功能-行军令'!S149</f>
        <v>76499.16011013533</v>
      </c>
      <c r="E89" s="25">
        <f>'[1]功能-行军令'!T149</f>
        <v>94075.689501503482</v>
      </c>
      <c r="F89" s="25">
        <f>'[1]功能-行军令'!U149</f>
        <v>97255.525227641221</v>
      </c>
      <c r="G89" s="25">
        <f>'[1]功能-行军令'!V149</f>
        <v>76473.018196706194</v>
      </c>
      <c r="H89" s="25">
        <f>'[1]功能-行军令'!W149</f>
        <v>41002.86840020516</v>
      </c>
      <c r="I89" s="25">
        <f>'[1]功能-实力'!BF150</f>
        <v>71255676</v>
      </c>
      <c r="J89" s="25">
        <f>'[1]功能-实力'!BG150</f>
        <v>82873914</v>
      </c>
      <c r="K89" s="25">
        <f>'[1]功能-实力'!BH150</f>
        <v>90452760</v>
      </c>
      <c r="L89" s="25">
        <f>'[1]功能-实力'!BI150</f>
        <v>94017564</v>
      </c>
      <c r="M89" s="25">
        <f>'[1]功能-实力'!BJ150</f>
        <v>96949146</v>
      </c>
      <c r="W89" s="25">
        <v>146</v>
      </c>
      <c r="X89" s="25">
        <f t="shared" si="12"/>
        <v>2409883.3875871147</v>
      </c>
      <c r="Y89" s="25">
        <f t="shared" si="13"/>
        <v>2963580.7893718285</v>
      </c>
      <c r="Z89" s="25">
        <f t="shared" si="14"/>
        <v>3063752.2589754551</v>
      </c>
      <c r="AA89" s="25">
        <f t="shared" si="15"/>
        <v>2409059.8626908688</v>
      </c>
      <c r="AB89" s="25">
        <f t="shared" si="16"/>
        <v>1291676.0296298142</v>
      </c>
      <c r="AC89" s="25">
        <f>求节点(装备熔炼!$J$37:$J$62,装备熔炼!$H$37:$H$62,X89/18)</f>
        <v>250</v>
      </c>
      <c r="AD89" s="25">
        <f>求节点(装备熔炼!$J$37:$J$62,装备熔炼!$H$37:$H$62,Y89/18)</f>
        <v>250</v>
      </c>
      <c r="AE89" s="25">
        <f>求节点(装备熔炼!$J$37:$J$62,装备熔炼!$H$37:$H$62,Z89/18)</f>
        <v>250</v>
      </c>
      <c r="AF89" s="25">
        <f>求节点(装备熔炼!$J$37:$J$62,装备熔炼!$H$37:$H$62,AA89/18)</f>
        <v>250</v>
      </c>
      <c r="AG89" s="25">
        <f>求节点(装备熔炼!$J$37:$J$62,装备熔炼!$H$37:$H$62,AB89/18)</f>
        <v>216.46648285323215</v>
      </c>
    </row>
    <row r="90" spans="3:33" x14ac:dyDescent="0.15">
      <c r="C90" s="25">
        <v>147</v>
      </c>
      <c r="D90" s="25">
        <f>'[1]功能-行军令'!S150</f>
        <v>81989.769712358015</v>
      </c>
      <c r="E90" s="25">
        <f>'[1]功能-行军令'!T150</f>
        <v>96167.629306910327</v>
      </c>
      <c r="F90" s="25">
        <f>'[1]功能-行军令'!U150</f>
        <v>101699.28371178964</v>
      </c>
      <c r="G90" s="25">
        <f>'[1]功能-行军令'!V150</f>
        <v>80735.446510684211</v>
      </c>
      <c r="H90" s="25">
        <f>'[1]功能-行军令'!W150</f>
        <v>44292.100402090815</v>
      </c>
      <c r="I90" s="25">
        <f>'[1]功能-实力'!BF151</f>
        <v>72721218</v>
      </c>
      <c r="J90" s="25">
        <f>'[1]功能-实力'!BG151</f>
        <v>84711690</v>
      </c>
      <c r="K90" s="25">
        <f>'[1]功能-实力'!BH151</f>
        <v>92186454</v>
      </c>
      <c r="L90" s="25">
        <f>'[1]功能-实力'!BI151</f>
        <v>95826414</v>
      </c>
      <c r="M90" s="25">
        <f>'[1]功能-实力'!BJ151</f>
        <v>98668536</v>
      </c>
      <c r="W90" s="25">
        <v>147</v>
      </c>
      <c r="X90" s="25">
        <f t="shared" si="12"/>
        <v>2582849.0626229336</v>
      </c>
      <c r="Y90" s="25">
        <f t="shared" si="13"/>
        <v>3029481.2643263801</v>
      </c>
      <c r="Z90" s="25">
        <f t="shared" si="14"/>
        <v>3203739.9364085272</v>
      </c>
      <c r="AA90" s="25">
        <f t="shared" si="15"/>
        <v>2543335.2608762621</v>
      </c>
      <c r="AB90" s="25">
        <f t="shared" si="16"/>
        <v>1395293.7105017635</v>
      </c>
      <c r="AC90" s="25">
        <f>求节点(装备熔炼!$J$37:$J$62,装备熔炼!$H$37:$H$62,X90/18)</f>
        <v>250</v>
      </c>
      <c r="AD90" s="25">
        <f>求节点(装备熔炼!$J$37:$J$62,装备熔炼!$H$37:$H$62,Y90/18)</f>
        <v>250</v>
      </c>
      <c r="AE90" s="25">
        <f>求节点(装备熔炼!$J$37:$J$62,装备熔炼!$H$37:$H$62,Z90/18)</f>
        <v>250</v>
      </c>
      <c r="AF90" s="25">
        <f>求节点(装备熔炼!$J$37:$J$62,装备熔炼!$H$37:$H$62,AA90/18)</f>
        <v>250</v>
      </c>
      <c r="AG90" s="25">
        <f>求节点(装备熔炼!$J$37:$J$62,装备熔炼!$H$37:$H$62,AB90/18)</f>
        <v>221.08308375006999</v>
      </c>
    </row>
    <row r="91" spans="3:33" x14ac:dyDescent="0.15">
      <c r="C91" s="25">
        <v>148</v>
      </c>
      <c r="D91" s="25">
        <f>'[1]功能-行军令'!S151</f>
        <v>87874.459377169376</v>
      </c>
      <c r="E91" s="25">
        <f>'[1]功能-行军令'!T151</f>
        <v>108062.85229334072</v>
      </c>
      <c r="F91" s="25">
        <f>'[1]功能-行军令'!U151</f>
        <v>117544.9499935538</v>
      </c>
      <c r="G91" s="25">
        <f>'[1]功能-行军令'!V151</f>
        <v>96321.519542767201</v>
      </c>
      <c r="H91" s="25">
        <f>'[1]功能-行军令'!W151</f>
        <v>50232.100707150064</v>
      </c>
      <c r="I91" s="25">
        <f>'[1]功能-实力'!BF152</f>
        <v>74195586</v>
      </c>
      <c r="J91" s="25">
        <f>'[1]功能-实力'!BG152</f>
        <v>86611704</v>
      </c>
      <c r="K91" s="25">
        <f>'[1]功能-实力'!BH152</f>
        <v>94073736</v>
      </c>
      <c r="L91" s="25">
        <f>'[1]功能-实力'!BI152</f>
        <v>97803054</v>
      </c>
      <c r="M91" s="25">
        <f>'[1]功能-实力'!BJ152</f>
        <v>100417656</v>
      </c>
      <c r="W91" s="25">
        <v>148</v>
      </c>
      <c r="X91" s="25">
        <f t="shared" si="12"/>
        <v>2768229.0830560676</v>
      </c>
      <c r="Y91" s="25">
        <f t="shared" si="13"/>
        <v>3404205.643330968</v>
      </c>
      <c r="Z91" s="25">
        <f t="shared" si="14"/>
        <v>3702911.5336220954</v>
      </c>
      <c r="AA91" s="25">
        <f t="shared" si="15"/>
        <v>3034329.1283077546</v>
      </c>
      <c r="AB91" s="25">
        <f t="shared" si="16"/>
        <v>1582416.1316736545</v>
      </c>
      <c r="AC91" s="25">
        <f>求节点(装备熔炼!$J$37:$J$62,装备熔炼!$H$37:$H$62,X91/18)</f>
        <v>250</v>
      </c>
      <c r="AD91" s="25">
        <f>求节点(装备熔炼!$J$37:$J$62,装备熔炼!$H$37:$H$62,Y91/18)</f>
        <v>250</v>
      </c>
      <c r="AE91" s="25">
        <f>求节点(装备熔炼!$J$37:$J$62,装备熔炼!$H$37:$H$62,Z91/18)</f>
        <v>250</v>
      </c>
      <c r="AF91" s="25">
        <f>求节点(装备熔炼!$J$37:$J$62,装备熔炼!$H$37:$H$62,AA91/18)</f>
        <v>250</v>
      </c>
      <c r="AG91" s="25">
        <f>求节点(装备熔炼!$J$37:$J$62,装备熔炼!$H$37:$H$62,AB91/18)</f>
        <v>228.50857665371643</v>
      </c>
    </row>
    <row r="92" spans="3:33" x14ac:dyDescent="0.15">
      <c r="C92" s="25">
        <v>149</v>
      </c>
      <c r="D92" s="25">
        <f>'[1]功能-行军令'!S152</f>
        <v>94181.513595174067</v>
      </c>
      <c r="E92" s="25">
        <f>'[1]功能-行军令'!T152</f>
        <v>116228.57054987503</v>
      </c>
      <c r="F92" s="25">
        <f>'[1]功能-行军令'!U152</f>
        <v>126612.50868820702</v>
      </c>
      <c r="G92" s="25">
        <f>'[1]功能-行军令'!V152</f>
        <v>101241.45433595311</v>
      </c>
      <c r="H92" s="25">
        <f>'[1]功能-行军令'!W152</f>
        <v>54173.41975217592</v>
      </c>
      <c r="I92" s="25">
        <f>'[1]功能-实力'!BF153</f>
        <v>75713502</v>
      </c>
      <c r="J92" s="25">
        <f>'[1]功能-实力'!BG153</f>
        <v>88665162</v>
      </c>
      <c r="K92" s="25">
        <f>'[1]功能-实力'!BH153</f>
        <v>96084738</v>
      </c>
      <c r="L92" s="25">
        <f>'[1]功能-实力'!BI153</f>
        <v>99811896</v>
      </c>
      <c r="M92" s="25">
        <f>'[1]功能-实力'!BJ153</f>
        <v>102238158</v>
      </c>
      <c r="W92" s="25">
        <v>149</v>
      </c>
      <c r="X92" s="25">
        <f t="shared" si="12"/>
        <v>2966914.4694406823</v>
      </c>
      <c r="Y92" s="25">
        <f t="shared" si="13"/>
        <v>3661442.8305864614</v>
      </c>
      <c r="Z92" s="25">
        <f t="shared" si="14"/>
        <v>3988558.5790635883</v>
      </c>
      <c r="AA92" s="25">
        <f t="shared" si="15"/>
        <v>3189317.3544404455</v>
      </c>
      <c r="AB92" s="25">
        <f t="shared" si="16"/>
        <v>1706575.9169329195</v>
      </c>
      <c r="AC92" s="25">
        <f>求节点(装备熔炼!$J$37:$J$62,装备熔炼!$H$37:$H$62,X92/18)</f>
        <v>250</v>
      </c>
      <c r="AD92" s="25">
        <f>求节点(装备熔炼!$J$37:$J$62,装备熔炼!$H$37:$H$62,Y92/18)</f>
        <v>250</v>
      </c>
      <c r="AE92" s="25">
        <f>求节点(装备熔炼!$J$37:$J$62,装备熔炼!$H$37:$H$62,Z92/18)</f>
        <v>250</v>
      </c>
      <c r="AF92" s="25">
        <f>求节点(装备熔炼!$J$37:$J$62,装备熔炼!$H$37:$H$62,AA92/18)</f>
        <v>250</v>
      </c>
      <c r="AG92" s="25">
        <f>求节点(装备熔炼!$J$37:$J$62,装备熔炼!$H$37:$H$62,AB92/18)</f>
        <v>233.00610822683748</v>
      </c>
    </row>
    <row r="93" spans="3:33" x14ac:dyDescent="0.15">
      <c r="C93" s="25">
        <v>150</v>
      </c>
      <c r="D93" s="25">
        <f>'[1]功能-行军令'!S153</f>
        <v>100941.24693280645</v>
      </c>
      <c r="E93" s="25">
        <f>'[1]功能-行军令'!T153</f>
        <v>124161.02528975205</v>
      </c>
      <c r="F93" s="25">
        <f>'[1]功能-行军令'!U153</f>
        <v>134328.84512735368</v>
      </c>
      <c r="G93" s="25">
        <f>'[1]功能-行军令'!V153</f>
        <v>108575.7124690921</v>
      </c>
      <c r="H93" s="25">
        <f>'[1]功能-行军令'!W153</f>
        <v>60469.339967380394</v>
      </c>
      <c r="I93" s="25">
        <f>'[1]功能-实力'!BF154</f>
        <v>77396742</v>
      </c>
      <c r="J93" s="25">
        <f>'[1]功能-实力'!BG154</f>
        <v>90754704</v>
      </c>
      <c r="K93" s="25">
        <f>'[1]功能-实力'!BH154</f>
        <v>98128170</v>
      </c>
      <c r="L93" s="25">
        <f>'[1]功能-实力'!BI154</f>
        <v>101911296</v>
      </c>
      <c r="M93" s="25">
        <f>'[1]功能-实力'!BJ154</f>
        <v>104341458</v>
      </c>
      <c r="W93" s="25">
        <v>150</v>
      </c>
      <c r="X93" s="25">
        <f t="shared" si="12"/>
        <v>3179860.1939613991</v>
      </c>
      <c r="Y93" s="25">
        <f t="shared" si="13"/>
        <v>3911331.7296658065</v>
      </c>
      <c r="Z93" s="25">
        <f t="shared" si="14"/>
        <v>4231639.3000932168</v>
      </c>
      <c r="AA93" s="25">
        <f t="shared" si="15"/>
        <v>3420361.8104825928</v>
      </c>
      <c r="AB93" s="25">
        <f t="shared" si="16"/>
        <v>1904910.5589649563</v>
      </c>
      <c r="AC93" s="25">
        <f>求节点(装备熔炼!$J$37:$J$62,装备熔炼!$H$37:$H$62,X93/18)</f>
        <v>250</v>
      </c>
      <c r="AD93" s="25">
        <f>求节点(装备熔炼!$J$37:$J$62,装备熔炼!$H$37:$H$62,Y93/18)</f>
        <v>250</v>
      </c>
      <c r="AE93" s="25">
        <f>求节点(装备熔炼!$J$37:$J$62,装备熔炼!$H$37:$H$62,Z93/18)</f>
        <v>250</v>
      </c>
      <c r="AF93" s="25">
        <f>求节点(装备熔炼!$J$37:$J$62,装备熔炼!$H$37:$H$62,AA93/18)</f>
        <v>250</v>
      </c>
      <c r="AG93" s="25">
        <f>求节点(装备熔炼!$J$37:$J$62,装备熔炼!$H$37:$H$62,AB93/18)</f>
        <v>239.89272774183877</v>
      </c>
    </row>
    <row r="94" spans="3:33" x14ac:dyDescent="0.15">
      <c r="C94" s="25">
        <v>151</v>
      </c>
      <c r="D94" s="25">
        <f>'[1]功能-行军令'!S154</f>
        <v>108186.14973790362</v>
      </c>
      <c r="E94" s="25">
        <f>'[1]功能-行军令'!T154</f>
        <v>134013.67777843843</v>
      </c>
      <c r="F94" s="25">
        <f>'[1]功能-行军令'!U154</f>
        <v>145269.82112710946</v>
      </c>
      <c r="G94" s="25">
        <f>'[1]功能-行军令'!V154</f>
        <v>123675.73018929223</v>
      </c>
      <c r="H94" s="25">
        <f>'[1]功能-行军令'!W154</f>
        <v>76240.915229522856</v>
      </c>
      <c r="I94" s="25">
        <f>'[1]功能-实力'!BF155</f>
        <v>79095690</v>
      </c>
      <c r="J94" s="25">
        <f>'[1]功能-实力'!BG155</f>
        <v>92617986</v>
      </c>
      <c r="K94" s="25">
        <f>'[1]功能-实力'!BH155</f>
        <v>100036746</v>
      </c>
      <c r="L94" s="25">
        <f>'[1]功能-实力'!BI155</f>
        <v>104115480</v>
      </c>
      <c r="M94" s="25">
        <f>'[1]功能-实力'!BJ155</f>
        <v>106442646</v>
      </c>
      <c r="W94" s="25">
        <v>151</v>
      </c>
      <c r="X94" s="25">
        <f t="shared" si="12"/>
        <v>3408089.7704632953</v>
      </c>
      <c r="Y94" s="25">
        <f t="shared" si="13"/>
        <v>4221710.8700638246</v>
      </c>
      <c r="Z94" s="25">
        <f t="shared" si="14"/>
        <v>4576302.9051294178</v>
      </c>
      <c r="AA94" s="25">
        <f t="shared" si="15"/>
        <v>3896043.9199827746</v>
      </c>
      <c r="AB94" s="25">
        <f t="shared" si="16"/>
        <v>2401748.1342481049</v>
      </c>
      <c r="AC94" s="25">
        <f>求节点(装备熔炼!$J$37:$J$62,装备熔炼!$H$37:$H$62,X94/18)</f>
        <v>250</v>
      </c>
      <c r="AD94" s="25">
        <f>求节点(装备熔炼!$J$37:$J$62,装备熔炼!$H$37:$H$62,Y94/18)</f>
        <v>250</v>
      </c>
      <c r="AE94" s="25">
        <f>求节点(装备熔炼!$J$37:$J$62,装备熔炼!$H$37:$H$62,Z94/18)</f>
        <v>250</v>
      </c>
      <c r="AF94" s="25">
        <f>求节点(装备熔炼!$J$37:$J$62,装备熔炼!$H$37:$H$62,AA94/18)</f>
        <v>250</v>
      </c>
      <c r="AG94" s="25">
        <f>求节点(装备熔炼!$J$37:$J$62,装备熔炼!$H$37:$H$62,AB94/18)</f>
        <v>250</v>
      </c>
    </row>
    <row r="95" spans="3:33" x14ac:dyDescent="0.15">
      <c r="C95" s="25">
        <v>152</v>
      </c>
      <c r="D95" s="25">
        <f>'[1]功能-行军令'!S155</f>
        <v>115951.04430306633</v>
      </c>
      <c r="E95" s="25">
        <f>'[1]功能-行军令'!T155</f>
        <v>142186.74965263298</v>
      </c>
      <c r="F95" s="25">
        <f>'[1]功能-行军令'!U155</f>
        <v>166771.66945322603</v>
      </c>
      <c r="G95" s="25">
        <f>'[1]功能-行军令'!V155</f>
        <v>149432.39879150456</v>
      </c>
      <c r="H95" s="25">
        <f>'[1]功能-行军令'!W155</f>
        <v>516961.3595494437</v>
      </c>
      <c r="I95" s="25">
        <f>'[1]功能-实力'!BF156</f>
        <v>80813028</v>
      </c>
      <c r="J95" s="25">
        <f>'[1]功能-实力'!BG156</f>
        <v>94514604</v>
      </c>
      <c r="K95" s="25">
        <f>'[1]功能-实力'!BH156</f>
        <v>102110340</v>
      </c>
      <c r="L95" s="25">
        <f>'[1]功能-实力'!BI156</f>
        <v>106356132</v>
      </c>
      <c r="M95" s="25">
        <f>'[1]功能-实力'!BJ156</f>
        <v>107490516</v>
      </c>
      <c r="W95" s="25">
        <v>152</v>
      </c>
      <c r="X95" s="25">
        <f t="shared" si="12"/>
        <v>3652700.1739240768</v>
      </c>
      <c r="Y95" s="25">
        <f t="shared" si="13"/>
        <v>4479179.7116409149</v>
      </c>
      <c r="Z95" s="25">
        <f t="shared" si="14"/>
        <v>5253656.0552676097</v>
      </c>
      <c r="AA95" s="25">
        <f t="shared" si="15"/>
        <v>4707432.7992161615</v>
      </c>
      <c r="AB95" s="25">
        <f t="shared" si="16"/>
        <v>16285363.010640377</v>
      </c>
      <c r="AC95" s="25">
        <f>求节点(装备熔炼!$J$37:$J$62,装备熔炼!$H$37:$H$62,X95/18)</f>
        <v>250</v>
      </c>
      <c r="AD95" s="25">
        <f>求节点(装备熔炼!$J$37:$J$62,装备熔炼!$H$37:$H$62,Y95/18)</f>
        <v>250</v>
      </c>
      <c r="AE95" s="25">
        <f>求节点(装备熔炼!$J$37:$J$62,装备熔炼!$H$37:$H$62,Z95/18)</f>
        <v>250</v>
      </c>
      <c r="AF95" s="25">
        <f>求节点(装备熔炼!$J$37:$J$62,装备熔炼!$H$37:$H$62,AA95/18)</f>
        <v>250</v>
      </c>
      <c r="AG95" s="25">
        <f>求节点(装备熔炼!$J$37:$J$62,装备熔炼!$H$37:$H$62,AB95/18)</f>
        <v>250</v>
      </c>
    </row>
    <row r="96" spans="3:33" x14ac:dyDescent="0.15">
      <c r="C96" s="25">
        <v>153</v>
      </c>
      <c r="D96" s="25">
        <f>'[1]功能-行军令'!S156</f>
        <v>124273.25223739678</v>
      </c>
      <c r="E96" s="25">
        <f>'[1]功能-行军令'!T156</f>
        <v>169924.34923096374</v>
      </c>
      <c r="F96" s="25">
        <f>'[1]功能-行军令'!U156</f>
        <v>193601.06622269331</v>
      </c>
      <c r="G96" s="25">
        <f>'[1]功能-行军令'!V156</f>
        <v>612798.85525405197</v>
      </c>
      <c r="H96" s="25">
        <f>'[1]功能-行军令'!W156</f>
        <v>1039254.9306558822</v>
      </c>
      <c r="I96" s="25">
        <f>'[1]功能-实力'!BF157</f>
        <v>82641936</v>
      </c>
      <c r="J96" s="25">
        <f>'[1]功能-实力'!BG157</f>
        <v>96557688</v>
      </c>
      <c r="K96" s="25">
        <f>'[1]功能-实力'!BH157</f>
        <v>104244660</v>
      </c>
      <c r="L96" s="25">
        <f>'[1]功能-实力'!BI157</f>
        <v>107451630</v>
      </c>
      <c r="M96" s="25">
        <f>'[1]功能-实力'!BJ157</f>
        <v>108231450</v>
      </c>
      <c r="W96" s="25">
        <v>153</v>
      </c>
      <c r="X96" s="25">
        <f t="shared" si="12"/>
        <v>3914867.1130135357</v>
      </c>
      <c r="Y96" s="25">
        <f t="shared" si="13"/>
        <v>5352972.0557545926</v>
      </c>
      <c r="Z96" s="25">
        <f t="shared" si="14"/>
        <v>6098838.1132227322</v>
      </c>
      <c r="AA96" s="25">
        <f t="shared" si="15"/>
        <v>19304444.376683868</v>
      </c>
      <c r="AB96" s="25">
        <f t="shared" si="16"/>
        <v>32738701.826920997</v>
      </c>
      <c r="AC96" s="25">
        <f>求节点(装备熔炼!$J$37:$J$62,装备熔炼!$H$37:$H$62,X96/18)</f>
        <v>250</v>
      </c>
      <c r="AD96" s="25">
        <f>求节点(装备熔炼!$J$37:$J$62,装备熔炼!$H$37:$H$62,Y96/18)</f>
        <v>250</v>
      </c>
      <c r="AE96" s="25">
        <f>求节点(装备熔炼!$J$37:$J$62,装备熔炼!$H$37:$H$62,Z96/18)</f>
        <v>250</v>
      </c>
      <c r="AF96" s="25">
        <f>求节点(装备熔炼!$J$37:$J$62,装备熔炼!$H$37:$H$62,AA96/18)</f>
        <v>250</v>
      </c>
      <c r="AG96" s="25">
        <f>求节点(装备熔炼!$J$37:$J$62,装备熔炼!$H$37:$H$62,AB96/18)</f>
        <v>250</v>
      </c>
    </row>
    <row r="97" spans="3:33" x14ac:dyDescent="0.15">
      <c r="C97" s="25">
        <v>154</v>
      </c>
      <c r="D97" s="25">
        <f>'[1]功能-行军令'!S157</f>
        <v>133192.77385111758</v>
      </c>
      <c r="E97" s="25">
        <f>'[1]功能-行军令'!T157</f>
        <v>176679.86142747616</v>
      </c>
      <c r="F97" s="25">
        <f>'[1]功能-行军令'!U157</f>
        <v>581286.15405240003</v>
      </c>
      <c r="G97" s="25">
        <f>'[1]功能-行军令'!V157</f>
        <v>1025082.5474333283</v>
      </c>
      <c r="H97" s="25">
        <f>'[1]功能-行军令'!W157</f>
        <v>1025082.5474333283</v>
      </c>
      <c r="I97" s="25">
        <f>'[1]功能-实力'!BF158</f>
        <v>84496776</v>
      </c>
      <c r="J97" s="25">
        <f>'[1]功能-实力'!BG158</f>
        <v>98634900</v>
      </c>
      <c r="K97" s="25">
        <f>'[1]功能-实力'!BH158</f>
        <v>105293808</v>
      </c>
      <c r="L97" s="25">
        <f>'[1]功能-实力'!BI158</f>
        <v>108189798</v>
      </c>
      <c r="M97" s="25">
        <f>'[1]功能-实力'!BJ158</f>
        <v>108435876</v>
      </c>
      <c r="W97" s="25">
        <v>154</v>
      </c>
      <c r="X97" s="25">
        <f t="shared" si="12"/>
        <v>4195850.6810838748</v>
      </c>
      <c r="Y97" s="25">
        <f t="shared" si="13"/>
        <v>5565784.8055100041</v>
      </c>
      <c r="Z97" s="25">
        <f t="shared" si="14"/>
        <v>18311728.443404019</v>
      </c>
      <c r="AA97" s="25">
        <f t="shared" si="15"/>
        <v>32292242.142378319</v>
      </c>
      <c r="AB97" s="25">
        <f t="shared" si="16"/>
        <v>32292242.142378319</v>
      </c>
      <c r="AC97" s="25">
        <f>求节点(装备熔炼!$J$37:$J$62,装备熔炼!$H$37:$H$62,X97/18)</f>
        <v>250</v>
      </c>
      <c r="AD97" s="25">
        <f>求节点(装备熔炼!$J$37:$J$62,装备熔炼!$H$37:$H$62,Y97/18)</f>
        <v>250</v>
      </c>
      <c r="AE97" s="25">
        <f>求节点(装备熔炼!$J$37:$J$62,装备熔炼!$H$37:$H$62,Z97/18)</f>
        <v>250</v>
      </c>
      <c r="AF97" s="25">
        <f>求节点(装备熔炼!$J$37:$J$62,装备熔炼!$H$37:$H$62,AA97/18)</f>
        <v>250</v>
      </c>
      <c r="AG97" s="25">
        <f>求节点(装备熔炼!$J$37:$J$62,装备熔炼!$H$37:$H$62,AB97/18)</f>
        <v>250</v>
      </c>
    </row>
    <row r="98" spans="3:33" x14ac:dyDescent="0.15">
      <c r="C98" s="25">
        <v>155</v>
      </c>
      <c r="D98" s="25">
        <f>'[1]功能-行军令'!S158</f>
        <v>142752.48041522969</v>
      </c>
      <c r="E98" s="25">
        <f>'[1]功能-行军令'!T158</f>
        <v>476452.90164515888</v>
      </c>
      <c r="F98" s="25">
        <f>'[1]功能-行军令'!U158</f>
        <v>952058.51226711413</v>
      </c>
      <c r="G98" s="25">
        <f>'[1]功能-行军令'!V158</f>
        <v>1055337.8225705251</v>
      </c>
      <c r="H98" s="25">
        <f>'[1]功能-行军令'!W158</f>
        <v>1069656.867124184</v>
      </c>
      <c r="I98" s="25">
        <f>'[1]功能-实力'!BF159</f>
        <v>86395872</v>
      </c>
      <c r="J98" s="25">
        <f>'[1]功能-实力'!BG159</f>
        <v>100136322</v>
      </c>
      <c r="K98" s="25">
        <f>'[1]功能-实力'!BH159</f>
        <v>106006164</v>
      </c>
      <c r="L98" s="25">
        <f>'[1]功能-实力'!BI159</f>
        <v>108419316</v>
      </c>
      <c r="M98" s="25">
        <f>'[1]功能-实力'!BJ159</f>
        <v>108592854</v>
      </c>
      <c r="W98" s="25">
        <v>155</v>
      </c>
      <c r="X98" s="25">
        <f t="shared" si="12"/>
        <v>4497001.412750653</v>
      </c>
      <c r="Y98" s="25">
        <f t="shared" si="13"/>
        <v>15009261.944697116</v>
      </c>
      <c r="Z98" s="25">
        <f t="shared" si="14"/>
        <v>29991832.451758441</v>
      </c>
      <c r="AA98" s="25">
        <f t="shared" si="15"/>
        <v>33245346.527250487</v>
      </c>
      <c r="AB98" s="25">
        <f t="shared" si="16"/>
        <v>33696426.350170143</v>
      </c>
      <c r="AC98" s="25">
        <f>求节点(装备熔炼!$J$37:$J$62,装备熔炼!$H$37:$H$62,X98/18)</f>
        <v>250</v>
      </c>
      <c r="AD98" s="25">
        <f>求节点(装备熔炼!$J$37:$J$62,装备熔炼!$H$37:$H$62,Y98/18)</f>
        <v>250</v>
      </c>
      <c r="AE98" s="25">
        <f>求节点(装备熔炼!$J$37:$J$62,装备熔炼!$H$37:$H$62,Z98/18)</f>
        <v>250</v>
      </c>
      <c r="AF98" s="25">
        <f>求节点(装备熔炼!$J$37:$J$62,装备熔炼!$H$37:$H$62,AA98/18)</f>
        <v>250</v>
      </c>
      <c r="AG98" s="25">
        <f>求节点(装备熔炼!$J$37:$J$62,装备熔炼!$H$37:$H$62,AB98/18)</f>
        <v>250</v>
      </c>
    </row>
    <row r="99" spans="3:33" x14ac:dyDescent="0.15">
      <c r="C99" s="25">
        <v>156</v>
      </c>
      <c r="D99" s="25">
        <f>'[1]功能-行军令'!S159</f>
        <v>152998.32022027066</v>
      </c>
      <c r="E99" s="25">
        <f>'[1]功能-行军令'!T159</f>
        <v>374358.48000998097</v>
      </c>
      <c r="F99" s="25">
        <f>'[1]功能-行军令'!U159</f>
        <v>524134.55226679891</v>
      </c>
      <c r="G99" s="25">
        <f>'[1]功能-行军令'!V159</f>
        <v>593251.1965217609</v>
      </c>
      <c r="H99" s="25">
        <f>'[1]功能-行军令'!W159</f>
        <v>594278.94610758871</v>
      </c>
      <c r="I99" s="25">
        <f>'[1]功能-实力'!BF160</f>
        <v>87665862</v>
      </c>
      <c r="J99" s="25">
        <f>'[1]功能-实力'!BG160</f>
        <v>101166864</v>
      </c>
      <c r="K99" s="25">
        <f>'[1]功能-实力'!BH160</f>
        <v>106236204</v>
      </c>
      <c r="L99" s="25">
        <f>'[1]功能-实力'!BI160</f>
        <v>108575268</v>
      </c>
      <c r="M99" s="25">
        <f>'[1]功能-实力'!BJ160</f>
        <v>108749790</v>
      </c>
      <c r="W99" s="25">
        <v>156</v>
      </c>
      <c r="X99" s="25">
        <f t="shared" si="12"/>
        <v>4819766.7751742294</v>
      </c>
      <c r="Y99" s="25">
        <f t="shared" si="13"/>
        <v>11793074.338065699</v>
      </c>
      <c r="Z99" s="25">
        <f t="shared" si="14"/>
        <v>16511333.569540996</v>
      </c>
      <c r="AA99" s="25">
        <f t="shared" si="15"/>
        <v>18688652.282007925</v>
      </c>
      <c r="AB99" s="25">
        <f t="shared" si="16"/>
        <v>18721028.541432478</v>
      </c>
      <c r="AC99" s="25">
        <f>求节点(装备熔炼!$J$37:$J$62,装备熔炼!$H$37:$H$62,X99/18)</f>
        <v>250</v>
      </c>
      <c r="AD99" s="25">
        <f>求节点(装备熔炼!$J$37:$J$62,装备熔炼!$H$37:$H$62,Y99/18)</f>
        <v>250</v>
      </c>
      <c r="AE99" s="25">
        <f>求节点(装备熔炼!$J$37:$J$62,装备熔炼!$H$37:$H$62,Z99/18)</f>
        <v>250</v>
      </c>
      <c r="AF99" s="25">
        <f>求节点(装备熔炼!$J$37:$J$62,装备熔炼!$H$37:$H$62,AA99/18)</f>
        <v>250</v>
      </c>
      <c r="AG99" s="25">
        <f>求节点(装备熔炼!$J$37:$J$62,装备熔炼!$H$37:$H$62,AB99/18)</f>
        <v>250</v>
      </c>
    </row>
    <row r="100" spans="3:33" x14ac:dyDescent="0.15">
      <c r="C100" s="25">
        <v>157</v>
      </c>
      <c r="D100" s="25">
        <f>'[1]功能-行军令'!S160</f>
        <v>163979.53942471556</v>
      </c>
      <c r="E100" s="25">
        <f>'[1]功能-行军令'!T160</f>
        <v>238839.76394469477</v>
      </c>
      <c r="F100" s="25">
        <f>'[1]功能-行军令'!U160</f>
        <v>327638.249315775</v>
      </c>
      <c r="G100" s="25">
        <f>'[1]功能-行军令'!V160</f>
        <v>370843.29318159167</v>
      </c>
      <c r="H100" s="25">
        <f>'[1]功能-行军令'!W160</f>
        <v>355496.49904210493</v>
      </c>
      <c r="I100" s="25">
        <f>'[1]功能-实力'!BF161</f>
        <v>88576434</v>
      </c>
      <c r="J100" s="25">
        <f>'[1]功能-实力'!BG161</f>
        <v>101983752</v>
      </c>
      <c r="K100" s="25">
        <f>'[1]功能-实力'!BH161</f>
        <v>106381254</v>
      </c>
      <c r="L100" s="25">
        <f>'[1]功能-实力'!BI161</f>
        <v>108731178</v>
      </c>
      <c r="M100" s="25">
        <f>'[1]功能-实力'!BJ161</f>
        <v>108906690</v>
      </c>
      <c r="W100" s="25">
        <v>157</v>
      </c>
      <c r="X100" s="25">
        <f t="shared" si="12"/>
        <v>5165698.1252458524</v>
      </c>
      <c r="Y100" s="25">
        <f t="shared" si="13"/>
        <v>7523951.6172059271</v>
      </c>
      <c r="Z100" s="25">
        <f t="shared" si="14"/>
        <v>10321289.449811906</v>
      </c>
      <c r="AA100" s="25">
        <f t="shared" si="15"/>
        <v>11682338.608028866</v>
      </c>
      <c r="AB100" s="25">
        <f t="shared" si="16"/>
        <v>11198882.525684657</v>
      </c>
      <c r="AC100" s="25">
        <f>求节点(装备熔炼!$J$37:$J$62,装备熔炼!$H$37:$H$62,X100/18)</f>
        <v>250</v>
      </c>
      <c r="AD100" s="25">
        <f>求节点(装备熔炼!$J$37:$J$62,装备熔炼!$H$37:$H$62,Y100/18)</f>
        <v>250</v>
      </c>
      <c r="AE100" s="25">
        <f>求节点(装备熔炼!$J$37:$J$62,装备熔炼!$H$37:$H$62,Z100/18)</f>
        <v>250</v>
      </c>
      <c r="AF100" s="25">
        <f>求节点(装备熔炼!$J$37:$J$62,装备熔炼!$H$37:$H$62,AA100/18)</f>
        <v>250</v>
      </c>
      <c r="AG100" s="25">
        <f>求节点(装备熔炼!$J$37:$J$62,装备熔炼!$H$37:$H$62,AB100/18)</f>
        <v>250</v>
      </c>
    </row>
    <row r="101" spans="3:33" x14ac:dyDescent="0.15">
      <c r="C101" s="25">
        <v>158</v>
      </c>
      <c r="D101" s="25">
        <f>'[1]功能-行军令'!S161</f>
        <v>175748.91875433922</v>
      </c>
      <c r="E101" s="25">
        <f>'[1]功能-行军令'!T161</f>
        <v>255982.12079436332</v>
      </c>
      <c r="F101" s="25">
        <f>'[1]功能-行军令'!U161</f>
        <v>351153.98092850577</v>
      </c>
      <c r="G101" s="25">
        <f>'[1]功能-行军令'!V161</f>
        <v>397460.00039160624</v>
      </c>
      <c r="H101" s="25">
        <f>'[1]功能-行军令'!W161</f>
        <v>397460.00039160624</v>
      </c>
      <c r="I101" s="25">
        <f>'[1]功能-实力'!BF162</f>
        <v>89193900</v>
      </c>
      <c r="J101" s="25">
        <f>'[1]功能-实力'!BG162</f>
        <v>102499566</v>
      </c>
      <c r="K101" s="25">
        <f>'[1]功能-实力'!BH162</f>
        <v>106526292</v>
      </c>
      <c r="L101" s="25">
        <f>'[1]功能-实力'!BI162</f>
        <v>108887064</v>
      </c>
      <c r="M101" s="25">
        <f>'[1]功能-实力'!BJ162</f>
        <v>109063566</v>
      </c>
      <c r="W101" s="25">
        <v>158</v>
      </c>
      <c r="X101" s="25">
        <f t="shared" si="12"/>
        <v>5536458.1661121501</v>
      </c>
      <c r="Y101" s="25">
        <f t="shared" si="13"/>
        <v>8063971.6767285559</v>
      </c>
      <c r="Z101" s="25">
        <f t="shared" si="14"/>
        <v>11062084.131464479</v>
      </c>
      <c r="AA101" s="25">
        <f t="shared" si="15"/>
        <v>12520820.500448832</v>
      </c>
      <c r="AB101" s="25">
        <f t="shared" si="16"/>
        <v>12520820.500448832</v>
      </c>
      <c r="AC101" s="25">
        <f>求节点(装备熔炼!$J$37:$J$62,装备熔炼!$H$37:$H$62,X101/18)</f>
        <v>250</v>
      </c>
      <c r="AD101" s="25">
        <f>求节点(装备熔炼!$J$37:$J$62,装备熔炼!$H$37:$H$62,Y101/18)</f>
        <v>250</v>
      </c>
      <c r="AE101" s="25">
        <f>求节点(装备熔炼!$J$37:$J$62,装备熔炼!$H$37:$H$62,Z101/18)</f>
        <v>250</v>
      </c>
      <c r="AF101" s="25">
        <f>求节点(装备熔炼!$J$37:$J$62,装备熔炼!$H$37:$H$62,AA101/18)</f>
        <v>250</v>
      </c>
      <c r="AG101" s="25">
        <f>求节点(装备熔炼!$J$37:$J$62,装备熔炼!$H$37:$H$62,AB101/18)</f>
        <v>250</v>
      </c>
    </row>
    <row r="102" spans="3:33" x14ac:dyDescent="0.15">
      <c r="C102" s="25">
        <v>159</v>
      </c>
      <c r="D102" s="25">
        <f>'[1]功能-行军令'!S162</f>
        <v>188363.02719034767</v>
      </c>
      <c r="E102" s="25">
        <f>'[1]功能-行军令'!T162</f>
        <v>274354.84395115869</v>
      </c>
      <c r="F102" s="25">
        <f>'[1]功能-行军令'!U162</f>
        <v>376357.51802314911</v>
      </c>
      <c r="G102" s="25">
        <f>'[1]功能-行军令'!V162</f>
        <v>425987.08083938807</v>
      </c>
      <c r="H102" s="25">
        <f>'[1]功能-行军令'!W162</f>
        <v>425987.08083938807</v>
      </c>
      <c r="I102" s="25">
        <f>'[1]功能-实力'!BF163</f>
        <v>89650110</v>
      </c>
      <c r="J102" s="25">
        <f>'[1]功能-实力'!BG163</f>
        <v>102856722</v>
      </c>
      <c r="K102" s="25">
        <f>'[1]功能-实力'!BH163</f>
        <v>106671306</v>
      </c>
      <c r="L102" s="25">
        <f>'[1]功能-实力'!BI163</f>
        <v>109042908</v>
      </c>
      <c r="M102" s="25">
        <f>'[1]功能-实力'!BJ163</f>
        <v>109220406</v>
      </c>
      <c r="W102" s="25">
        <v>159</v>
      </c>
      <c r="X102" s="25">
        <f t="shared" si="12"/>
        <v>5933828.9388813497</v>
      </c>
      <c r="Y102" s="25">
        <f t="shared" si="13"/>
        <v>8642750.8457619715</v>
      </c>
      <c r="Z102" s="25">
        <f t="shared" si="14"/>
        <v>11856048.212447502</v>
      </c>
      <c r="AA102" s="25">
        <f t="shared" si="15"/>
        <v>13419483.141561443</v>
      </c>
      <c r="AB102" s="25">
        <f t="shared" si="16"/>
        <v>13419483.141561443</v>
      </c>
      <c r="AC102" s="25">
        <f>求节点(装备熔炼!$J$37:$J$62,装备熔炼!$H$37:$H$62,X102/18)</f>
        <v>250</v>
      </c>
      <c r="AD102" s="25">
        <f>求节点(装备熔炼!$J$37:$J$62,装备熔炼!$H$37:$H$62,Y102/18)</f>
        <v>250</v>
      </c>
      <c r="AE102" s="25">
        <f>求节点(装备熔炼!$J$37:$J$62,装备熔炼!$H$37:$H$62,Z102/18)</f>
        <v>250</v>
      </c>
      <c r="AF102" s="25">
        <f>求节点(装备熔炼!$J$37:$J$62,装备熔炼!$H$37:$H$62,AA102/18)</f>
        <v>250</v>
      </c>
      <c r="AG102" s="25">
        <f>求节点(装备熔炼!$J$37:$J$62,装备熔炼!$H$37:$H$62,AB102/18)</f>
        <v>250</v>
      </c>
    </row>
    <row r="103" spans="3:33" x14ac:dyDescent="0.15">
      <c r="C103" s="25">
        <v>160</v>
      </c>
      <c r="D103" s="25">
        <f>'[1]功能-行军令'!S163</f>
        <v>201882.49386561289</v>
      </c>
      <c r="E103" s="25">
        <f>'[1]功能-行军令'!T163</f>
        <v>294046.24106513197</v>
      </c>
      <c r="F103" s="25">
        <f>'[1]功能-行军令'!U163</f>
        <v>403370.00024322886</v>
      </c>
      <c r="G103" s="25">
        <f>'[1]功能-行军令'!V163</f>
        <v>456561.6486269515</v>
      </c>
      <c r="H103" s="25">
        <f>'[1]功能-行军令'!W163</f>
        <v>456561.6486269515</v>
      </c>
      <c r="I103" s="25">
        <f>'[1]功能-实力'!BF164</f>
        <v>90106854</v>
      </c>
      <c r="J103" s="25">
        <f>'[1]功能-实力'!BG164</f>
        <v>103214268</v>
      </c>
      <c r="K103" s="25">
        <f>'[1]功能-实力'!BH164</f>
        <v>106816266</v>
      </c>
      <c r="L103" s="25">
        <f>'[1]功能-实力'!BI164</f>
        <v>109198698</v>
      </c>
      <c r="M103" s="25">
        <f>'[1]功能-实力'!BJ164</f>
        <v>109377174</v>
      </c>
      <c r="W103" s="25">
        <v>160</v>
      </c>
      <c r="X103" s="25">
        <f t="shared" si="12"/>
        <v>6359720.3879227983</v>
      </c>
      <c r="Y103" s="25">
        <f t="shared" si="13"/>
        <v>9263070.999800602</v>
      </c>
      <c r="Z103" s="25">
        <f t="shared" si="14"/>
        <v>12706997.844651867</v>
      </c>
      <c r="AA103" s="25">
        <f t="shared" si="15"/>
        <v>14382645.91207849</v>
      </c>
      <c r="AB103" s="25">
        <f t="shared" si="16"/>
        <v>14382645.91207849</v>
      </c>
      <c r="AC103" s="25">
        <f>求节点(装备熔炼!$J$37:$J$62,装备熔炼!$H$37:$H$62,X103/18)</f>
        <v>250</v>
      </c>
      <c r="AD103" s="25">
        <f>求节点(装备熔炼!$J$37:$J$62,装备熔炼!$H$37:$H$62,Y103/18)</f>
        <v>250</v>
      </c>
      <c r="AE103" s="25">
        <f>求节点(装备熔炼!$J$37:$J$62,装备熔炼!$H$37:$H$62,Z103/18)</f>
        <v>250</v>
      </c>
      <c r="AF103" s="25">
        <f>求节点(装备熔炼!$J$37:$J$62,装备熔炼!$H$37:$H$62,AA103/18)</f>
        <v>250</v>
      </c>
      <c r="AG103" s="25">
        <f>求节点(装备熔炼!$J$37:$J$62,装备熔炼!$H$37:$H$62,AB103/18)</f>
        <v>250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B2:AI114"/>
  <sheetViews>
    <sheetView workbookViewId="0">
      <selection activeCell="U18" sqref="U18"/>
    </sheetView>
  </sheetViews>
  <sheetFormatPr defaultColWidth="9" defaultRowHeight="12" x14ac:dyDescent="0.15"/>
  <cols>
    <col min="1" max="7" width="9" style="1"/>
    <col min="8" max="11" width="9" style="3"/>
    <col min="12" max="12" width="9" style="1"/>
    <col min="13" max="13" width="9" style="3"/>
    <col min="14" max="16" width="9" style="1"/>
    <col min="17" max="21" width="9" style="3"/>
    <col min="22" max="25" width="9" style="3" customWidth="1"/>
    <col min="26" max="30" width="9" style="3"/>
    <col min="31" max="31" width="9" style="1"/>
    <col min="32" max="32" width="9" style="3"/>
    <col min="33" max="16384" width="9" style="1"/>
  </cols>
  <sheetData>
    <row r="2" spans="2:35" x14ac:dyDescent="0.15">
      <c r="B2" s="1" t="s">
        <v>23</v>
      </c>
      <c r="D2" s="1" t="s">
        <v>24</v>
      </c>
      <c r="E2" s="3"/>
      <c r="F2" s="3"/>
      <c r="G2" s="3"/>
      <c r="L2" s="3"/>
      <c r="N2" s="3"/>
      <c r="Q2" s="1"/>
      <c r="R2" s="1"/>
      <c r="AE2" s="3"/>
      <c r="AG2" s="3"/>
    </row>
    <row r="3" spans="2:35" x14ac:dyDescent="0.15">
      <c r="E3" s="3"/>
      <c r="F3" s="3"/>
      <c r="G3" s="3"/>
      <c r="J3" s="208" t="s">
        <v>59</v>
      </c>
      <c r="K3" s="208"/>
      <c r="L3" s="208"/>
      <c r="M3" s="208"/>
      <c r="N3" s="208"/>
      <c r="Q3" s="1"/>
      <c r="R3" s="1"/>
      <c r="S3" s="1"/>
      <c r="AE3" s="3"/>
      <c r="AG3" s="3"/>
    </row>
    <row r="4" spans="2:35" x14ac:dyDescent="0.15">
      <c r="E4" s="3"/>
      <c r="F4" s="3"/>
      <c r="G4" s="3"/>
      <c r="I4" s="3" t="s">
        <v>62</v>
      </c>
      <c r="J4" s="3" t="s">
        <v>47</v>
      </c>
      <c r="K4" s="3" t="s">
        <v>51</v>
      </c>
      <c r="L4" s="3" t="s">
        <v>52</v>
      </c>
      <c r="M4" s="3" t="s">
        <v>53</v>
      </c>
      <c r="N4" s="3" t="s">
        <v>54</v>
      </c>
      <c r="P4" s="1" t="s">
        <v>60</v>
      </c>
      <c r="Q4" s="1" t="s">
        <v>61</v>
      </c>
      <c r="R4" s="1"/>
      <c r="S4" s="1" t="s">
        <v>43</v>
      </c>
      <c r="T4" s="3" t="s">
        <v>105</v>
      </c>
      <c r="U4" s="3" t="s">
        <v>100</v>
      </c>
      <c r="V4" s="208" t="s">
        <v>103</v>
      </c>
      <c r="W4" s="208"/>
      <c r="X4" s="208"/>
      <c r="Y4" s="208"/>
      <c r="Z4" s="208" t="s">
        <v>106</v>
      </c>
      <c r="AA4" s="208"/>
      <c r="AB4" s="208"/>
      <c r="AC4" s="208"/>
      <c r="AD4" s="3" t="s">
        <v>104</v>
      </c>
      <c r="AE4" s="3" t="s">
        <v>119</v>
      </c>
      <c r="AG4" s="3" t="s">
        <v>63</v>
      </c>
      <c r="AH4" s="1" t="s">
        <v>120</v>
      </c>
      <c r="AI4" s="1" t="s">
        <v>121</v>
      </c>
    </row>
    <row r="5" spans="2:35" x14ac:dyDescent="0.15">
      <c r="B5" s="1" t="s">
        <v>6</v>
      </c>
      <c r="C5" s="1" t="s">
        <v>7</v>
      </c>
      <c r="E5" s="3"/>
      <c r="F5" s="3"/>
      <c r="G5" s="3"/>
      <c r="I5" s="3">
        <v>1</v>
      </c>
      <c r="J5" s="3">
        <f t="shared" ref="J5:J36" si="0">IF($I5&lt;=C$27,C$28+C$29*$I5,"")</f>
        <v>15</v>
      </c>
      <c r="K5" s="3">
        <f t="shared" ref="K5:K36" si="1">IF($I5&lt;=D$27,D$28+D$29*$I5,"")</f>
        <v>30</v>
      </c>
      <c r="L5" s="3">
        <f t="shared" ref="L5:L36" si="2">IF($I5&lt;=E$27,E$28+E$29*$I5,"")</f>
        <v>45</v>
      </c>
      <c r="M5" s="3">
        <f t="shared" ref="M5:M36" si="3">IF($I5&lt;=F$27,F$28+F$29*$I5,"")</f>
        <v>60</v>
      </c>
      <c r="N5" s="3">
        <f t="shared" ref="N5:N36" si="4">IF($I5&lt;=G$27,G$28+G$29*$I5,"")</f>
        <v>75</v>
      </c>
      <c r="P5" s="1" t="s">
        <v>25</v>
      </c>
      <c r="Q5" s="1">
        <f>J24</f>
        <v>110</v>
      </c>
      <c r="R5" s="1"/>
      <c r="S5" s="3">
        <v>0</v>
      </c>
      <c r="T5" s="3">
        <v>0</v>
      </c>
      <c r="U5" s="3">
        <v>0</v>
      </c>
      <c r="AD5" s="3">
        <v>0</v>
      </c>
      <c r="AE5" s="3">
        <v>0</v>
      </c>
      <c r="AG5" s="3">
        <v>1</v>
      </c>
      <c r="AH5" s="1">
        <f>IF(AG5&lt;=$U$22,求节点($U$5:$U$22,$AD$5:$AD$22,AG5),$AD$22)</f>
        <v>36.666666666666664</v>
      </c>
      <c r="AI5" s="1">
        <f>IF(AG5&lt;=$U$22,求节点($U$5:$U$22,$AE$5:$AE$22,AG5),$AE$18)</f>
        <v>183.33333333333334</v>
      </c>
    </row>
    <row r="6" spans="2:35" x14ac:dyDescent="0.15">
      <c r="C6" s="1" t="s">
        <v>8</v>
      </c>
      <c r="E6" s="3"/>
      <c r="F6" s="3"/>
      <c r="G6" s="3"/>
      <c r="I6" s="3">
        <v>2</v>
      </c>
      <c r="J6" s="3">
        <f t="shared" si="0"/>
        <v>20</v>
      </c>
      <c r="K6" s="3">
        <f t="shared" si="1"/>
        <v>40</v>
      </c>
      <c r="L6" s="3">
        <f t="shared" si="2"/>
        <v>60</v>
      </c>
      <c r="M6" s="3">
        <f t="shared" si="3"/>
        <v>80</v>
      </c>
      <c r="N6" s="3">
        <f t="shared" si="4"/>
        <v>100</v>
      </c>
      <c r="P6" s="1" t="s">
        <v>26</v>
      </c>
      <c r="Q6" s="1">
        <f>K34</f>
        <v>320</v>
      </c>
      <c r="R6" s="1"/>
      <c r="S6" s="1" t="s">
        <v>25</v>
      </c>
      <c r="T6" s="3" t="s">
        <v>101</v>
      </c>
      <c r="U6" s="3">
        <v>3</v>
      </c>
      <c r="V6" s="3" t="s">
        <v>44</v>
      </c>
      <c r="W6" s="3">
        <v>1</v>
      </c>
      <c r="Z6" s="3" t="s">
        <v>44</v>
      </c>
      <c r="AA6" s="3">
        <v>5</v>
      </c>
      <c r="AD6" s="3">
        <v>110</v>
      </c>
      <c r="AE6" s="3">
        <v>550</v>
      </c>
      <c r="AG6" s="3">
        <v>2</v>
      </c>
      <c r="AH6" s="3">
        <f t="shared" ref="AH6:AH69" si="5">IF(AG6&lt;=$U$22,求节点($U$5:$U$22,$AD$5:$AD$22,AG6),$AD$22)</f>
        <v>73.333333333333329</v>
      </c>
      <c r="AI6" s="3">
        <f t="shared" ref="AI6:AI69" si="6">IF(AG6&lt;=$U$22,求节点($U$5:$U$22,$AE$5:$AE$22,AG6),$AE$18)</f>
        <v>366.66666666666669</v>
      </c>
    </row>
    <row r="7" spans="2:35" x14ac:dyDescent="0.15">
      <c r="C7" s="1" t="s">
        <v>9</v>
      </c>
      <c r="E7" s="3"/>
      <c r="F7" s="3"/>
      <c r="G7" s="3"/>
      <c r="I7" s="3">
        <v>3</v>
      </c>
      <c r="J7" s="3">
        <f t="shared" si="0"/>
        <v>25</v>
      </c>
      <c r="K7" s="3">
        <f t="shared" si="1"/>
        <v>50</v>
      </c>
      <c r="L7" s="3">
        <f t="shared" si="2"/>
        <v>75</v>
      </c>
      <c r="M7" s="3">
        <f t="shared" si="3"/>
        <v>100</v>
      </c>
      <c r="N7" s="3">
        <f t="shared" si="4"/>
        <v>125</v>
      </c>
      <c r="P7" s="1" t="s">
        <v>28</v>
      </c>
      <c r="Q7" s="1">
        <f>K44</f>
        <v>420</v>
      </c>
      <c r="R7" s="1"/>
      <c r="S7" s="1" t="s">
        <v>40</v>
      </c>
      <c r="T7" s="3" t="s">
        <v>102</v>
      </c>
      <c r="U7" s="3">
        <v>4</v>
      </c>
      <c r="V7" s="3" t="s">
        <v>44</v>
      </c>
      <c r="W7" s="3">
        <v>3</v>
      </c>
      <c r="Z7" s="3" t="s">
        <v>44</v>
      </c>
      <c r="AA7" s="3">
        <v>11</v>
      </c>
      <c r="AD7" s="3">
        <v>330</v>
      </c>
      <c r="AE7" s="3">
        <v>1210</v>
      </c>
      <c r="AG7" s="3">
        <v>3</v>
      </c>
      <c r="AH7" s="3">
        <f t="shared" si="5"/>
        <v>110</v>
      </c>
      <c r="AI7" s="3">
        <f t="shared" si="6"/>
        <v>550</v>
      </c>
    </row>
    <row r="8" spans="2:35" x14ac:dyDescent="0.15">
      <c r="E8" s="3"/>
      <c r="F8" s="3"/>
      <c r="G8" s="3"/>
      <c r="I8" s="3">
        <v>4</v>
      </c>
      <c r="J8" s="3">
        <f t="shared" si="0"/>
        <v>30</v>
      </c>
      <c r="K8" s="3">
        <f t="shared" si="1"/>
        <v>60</v>
      </c>
      <c r="L8" s="3">
        <f t="shared" si="2"/>
        <v>90</v>
      </c>
      <c r="M8" s="3">
        <f t="shared" si="3"/>
        <v>120</v>
      </c>
      <c r="N8" s="3">
        <f t="shared" si="4"/>
        <v>150</v>
      </c>
      <c r="P8" s="1" t="s">
        <v>2</v>
      </c>
      <c r="Q8" s="1">
        <f>L44</f>
        <v>630</v>
      </c>
      <c r="R8" s="1"/>
      <c r="S8" s="1" t="s">
        <v>42</v>
      </c>
      <c r="T8" s="3" t="s">
        <v>99</v>
      </c>
      <c r="U8" s="3">
        <v>8</v>
      </c>
      <c r="V8" s="3" t="s">
        <v>51</v>
      </c>
      <c r="W8" s="3">
        <v>1</v>
      </c>
      <c r="X8" s="3" t="s">
        <v>47</v>
      </c>
      <c r="Y8" s="3">
        <v>17</v>
      </c>
      <c r="Z8" s="3" t="s">
        <v>45</v>
      </c>
      <c r="AA8" s="3">
        <v>4</v>
      </c>
      <c r="AB8" s="3" t="s">
        <v>44</v>
      </c>
      <c r="AC8" s="3">
        <v>14</v>
      </c>
      <c r="AD8" s="3">
        <f t="shared" ref="AD8:AD22" si="7">IFERROR(INDEX($Q$5:$Q$20,MATCH(V8,$P$5:$P$20,0))*W8+INDEX($Q$5:$Q$20,MATCH(X8,$P$5:$P$20,0))*Y8,INDEX($Q$5:$Q$20,MATCH(V8,$P$5:$P$20,0))*W8)</f>
        <v>2190</v>
      </c>
      <c r="AE8" s="3">
        <f>IFERROR(INDEX($Q$5:$Q$20,MATCH(Z8,$P$5:$P$20,0))*AA8+INDEX($Q$5:$Q$20,MATCH(AB8,$P$5:$P$20,0))*AC8,INDEX($Q$5:$Q$20,MATCH(Z8,$P$5:$P$20,0))*AA8)</f>
        <v>2820</v>
      </c>
      <c r="AG8" s="3">
        <v>4</v>
      </c>
      <c r="AH8" s="3">
        <f t="shared" si="5"/>
        <v>330</v>
      </c>
      <c r="AI8" s="3">
        <f t="shared" si="6"/>
        <v>1210</v>
      </c>
    </row>
    <row r="9" spans="2:35" x14ac:dyDescent="0.15">
      <c r="B9" s="1" t="s">
        <v>10</v>
      </c>
      <c r="C9" s="1" t="s">
        <v>11</v>
      </c>
      <c r="E9" s="3"/>
      <c r="F9" s="3"/>
      <c r="G9" s="3"/>
      <c r="I9" s="3">
        <v>5</v>
      </c>
      <c r="J9" s="3">
        <f t="shared" si="0"/>
        <v>35</v>
      </c>
      <c r="K9" s="3">
        <f t="shared" si="1"/>
        <v>70</v>
      </c>
      <c r="L9" s="3">
        <f t="shared" si="2"/>
        <v>105</v>
      </c>
      <c r="M9" s="3">
        <f t="shared" si="3"/>
        <v>140</v>
      </c>
      <c r="N9" s="3">
        <f t="shared" si="4"/>
        <v>175</v>
      </c>
      <c r="P9" s="1" t="s">
        <v>29</v>
      </c>
      <c r="Q9" s="1">
        <f>L54</f>
        <v>780</v>
      </c>
      <c r="R9" s="1"/>
      <c r="S9" s="3" t="s">
        <v>41</v>
      </c>
      <c r="T9" s="3" t="s">
        <v>98</v>
      </c>
      <c r="U9" s="3">
        <v>14</v>
      </c>
      <c r="V9" s="3" t="s">
        <v>51</v>
      </c>
      <c r="W9" s="3">
        <v>3</v>
      </c>
      <c r="X9" s="3" t="s">
        <v>47</v>
      </c>
      <c r="Y9" s="3">
        <v>15</v>
      </c>
      <c r="Z9" s="3" t="s">
        <v>107</v>
      </c>
      <c r="AA9" s="3">
        <v>18</v>
      </c>
      <c r="AD9" s="3">
        <f t="shared" si="7"/>
        <v>2610</v>
      </c>
      <c r="AE9" s="3">
        <f t="shared" ref="AE9:AE18" si="8">IFERROR(INDEX($Q$5:$Q$20,MATCH(Z9,$P$5:$P$20,0))*AA9+INDEX($Q$5:$Q$20,MATCH(AB9,$P$5:$P$20,0))*AC9,INDEX($Q$5:$Q$20,MATCH(Z9,$P$5:$P$20,0))*AA9)</f>
        <v>7560</v>
      </c>
      <c r="AG9" s="3">
        <v>5</v>
      </c>
      <c r="AH9" s="3">
        <f t="shared" si="5"/>
        <v>795</v>
      </c>
      <c r="AI9" s="3">
        <f t="shared" si="6"/>
        <v>1612.5</v>
      </c>
    </row>
    <row r="10" spans="2:35" x14ac:dyDescent="0.15">
      <c r="C10" s="1" t="s">
        <v>12</v>
      </c>
      <c r="E10" s="3"/>
      <c r="F10" s="3"/>
      <c r="G10" s="3"/>
      <c r="I10" s="3">
        <v>6</v>
      </c>
      <c r="J10" s="3">
        <f t="shared" si="0"/>
        <v>40</v>
      </c>
      <c r="K10" s="3">
        <f t="shared" si="1"/>
        <v>80</v>
      </c>
      <c r="L10" s="3">
        <f t="shared" si="2"/>
        <v>120</v>
      </c>
      <c r="M10" s="3">
        <f t="shared" si="3"/>
        <v>160</v>
      </c>
      <c r="N10" s="3">
        <f t="shared" si="4"/>
        <v>200</v>
      </c>
      <c r="P10" s="1" t="s">
        <v>30</v>
      </c>
      <c r="Q10" s="1">
        <f>L64</f>
        <v>930</v>
      </c>
      <c r="R10" s="1"/>
      <c r="S10" s="3" t="s">
        <v>64</v>
      </c>
      <c r="T10" s="3" t="s">
        <v>77</v>
      </c>
      <c r="U10" s="3">
        <v>18</v>
      </c>
      <c r="V10" s="3" t="s">
        <v>52</v>
      </c>
      <c r="W10" s="3">
        <v>1</v>
      </c>
      <c r="X10" s="3" t="s">
        <v>51</v>
      </c>
      <c r="Y10" s="3">
        <v>17</v>
      </c>
      <c r="Z10" s="3" t="s">
        <v>108</v>
      </c>
      <c r="AA10" s="3">
        <v>14</v>
      </c>
      <c r="AB10" s="3" t="s">
        <v>107</v>
      </c>
      <c r="AC10" s="3">
        <v>4</v>
      </c>
      <c r="AD10" s="3">
        <f t="shared" si="7"/>
        <v>6070</v>
      </c>
      <c r="AE10" s="3">
        <f t="shared" si="8"/>
        <v>10500</v>
      </c>
      <c r="AG10" s="3">
        <v>6</v>
      </c>
      <c r="AH10" s="3">
        <f t="shared" si="5"/>
        <v>1260</v>
      </c>
      <c r="AI10" s="3">
        <f t="shared" si="6"/>
        <v>2015</v>
      </c>
    </row>
    <row r="11" spans="2:35" x14ac:dyDescent="0.15">
      <c r="E11" s="3"/>
      <c r="F11" s="3"/>
      <c r="G11" s="3"/>
      <c r="I11" s="3">
        <v>7</v>
      </c>
      <c r="J11" s="3">
        <f t="shared" si="0"/>
        <v>45</v>
      </c>
      <c r="K11" s="3">
        <f t="shared" si="1"/>
        <v>90</v>
      </c>
      <c r="L11" s="3">
        <f t="shared" si="2"/>
        <v>135</v>
      </c>
      <c r="M11" s="3">
        <f t="shared" si="3"/>
        <v>180</v>
      </c>
      <c r="N11" s="3">
        <f t="shared" si="4"/>
        <v>225</v>
      </c>
      <c r="P11" s="1" t="s">
        <v>27</v>
      </c>
      <c r="Q11" s="1">
        <f>M54</f>
        <v>1040</v>
      </c>
      <c r="R11" s="1"/>
      <c r="S11" s="3" t="s">
        <v>65</v>
      </c>
      <c r="T11" s="3" t="s">
        <v>78</v>
      </c>
      <c r="U11" s="3">
        <v>20</v>
      </c>
      <c r="V11" s="3" t="s">
        <v>52</v>
      </c>
      <c r="W11" s="3">
        <v>3</v>
      </c>
      <c r="X11" s="3" t="s">
        <v>51</v>
      </c>
      <c r="Y11" s="3">
        <v>15</v>
      </c>
      <c r="Z11" s="3" t="s">
        <v>110</v>
      </c>
      <c r="AA11" s="3">
        <v>5</v>
      </c>
      <c r="AB11" s="3" t="s">
        <v>109</v>
      </c>
      <c r="AC11" s="3">
        <v>13</v>
      </c>
      <c r="AD11" s="3">
        <f t="shared" si="7"/>
        <v>6690</v>
      </c>
      <c r="AE11" s="3">
        <f t="shared" si="8"/>
        <v>14790</v>
      </c>
      <c r="AG11" s="3">
        <v>7</v>
      </c>
      <c r="AH11" s="3">
        <f t="shared" si="5"/>
        <v>1725</v>
      </c>
      <c r="AI11" s="3">
        <f t="shared" si="6"/>
        <v>2417.5</v>
      </c>
    </row>
    <row r="12" spans="2:35" x14ac:dyDescent="0.15">
      <c r="B12" s="1" t="s">
        <v>13</v>
      </c>
      <c r="C12" s="1" t="s">
        <v>19</v>
      </c>
      <c r="E12" s="3"/>
      <c r="F12" s="3"/>
      <c r="G12" s="3"/>
      <c r="I12" s="3">
        <v>8</v>
      </c>
      <c r="J12" s="3">
        <f t="shared" si="0"/>
        <v>50</v>
      </c>
      <c r="K12" s="3">
        <f t="shared" si="1"/>
        <v>100</v>
      </c>
      <c r="L12" s="3">
        <f t="shared" si="2"/>
        <v>150</v>
      </c>
      <c r="M12" s="3">
        <f t="shared" si="3"/>
        <v>200</v>
      </c>
      <c r="N12" s="3">
        <f t="shared" si="4"/>
        <v>250</v>
      </c>
      <c r="P12" s="1" t="s">
        <v>31</v>
      </c>
      <c r="Q12" s="1">
        <f>M64</f>
        <v>1240</v>
      </c>
      <c r="R12" s="1"/>
      <c r="S12" s="3" t="s">
        <v>66</v>
      </c>
      <c r="T12" s="3" t="s">
        <v>79</v>
      </c>
      <c r="U12" s="3">
        <v>25</v>
      </c>
      <c r="V12" s="3" t="s">
        <v>52</v>
      </c>
      <c r="W12" s="3">
        <v>9</v>
      </c>
      <c r="X12" s="3" t="s">
        <v>90</v>
      </c>
      <c r="Y12" s="3">
        <v>9</v>
      </c>
      <c r="Z12" s="3" t="s">
        <v>110</v>
      </c>
      <c r="AA12" s="3">
        <v>18</v>
      </c>
      <c r="AD12" s="3">
        <f t="shared" si="7"/>
        <v>9450</v>
      </c>
      <c r="AE12" s="3">
        <f t="shared" si="8"/>
        <v>16740</v>
      </c>
      <c r="AG12" s="3">
        <v>8</v>
      </c>
      <c r="AH12" s="3">
        <f t="shared" si="5"/>
        <v>2190</v>
      </c>
      <c r="AI12" s="3">
        <f t="shared" si="6"/>
        <v>2820</v>
      </c>
    </row>
    <row r="13" spans="2:35" x14ac:dyDescent="0.15">
      <c r="C13" s="1" t="s">
        <v>14</v>
      </c>
      <c r="E13" s="3"/>
      <c r="F13" s="3"/>
      <c r="G13" s="3"/>
      <c r="I13" s="3">
        <v>9</v>
      </c>
      <c r="J13" s="3">
        <f t="shared" si="0"/>
        <v>55</v>
      </c>
      <c r="K13" s="3">
        <f t="shared" si="1"/>
        <v>110</v>
      </c>
      <c r="L13" s="3">
        <f t="shared" si="2"/>
        <v>165</v>
      </c>
      <c r="M13" s="3">
        <f t="shared" si="3"/>
        <v>220</v>
      </c>
      <c r="N13" s="3">
        <f t="shared" si="4"/>
        <v>275</v>
      </c>
      <c r="P13" s="1" t="s">
        <v>32</v>
      </c>
      <c r="Q13" s="1">
        <f>M74</f>
        <v>1440</v>
      </c>
      <c r="R13" s="1"/>
      <c r="S13" s="3" t="s">
        <v>67</v>
      </c>
      <c r="T13" s="3" t="s">
        <v>80</v>
      </c>
      <c r="U13" s="3">
        <v>30</v>
      </c>
      <c r="V13" s="3" t="s">
        <v>53</v>
      </c>
      <c r="W13" s="3">
        <v>1</v>
      </c>
      <c r="X13" s="3" t="s">
        <v>52</v>
      </c>
      <c r="Y13" s="3">
        <v>17</v>
      </c>
      <c r="Z13" s="3" t="s">
        <v>112</v>
      </c>
      <c r="AA13" s="3">
        <v>6</v>
      </c>
      <c r="AB13" s="3" t="s">
        <v>111</v>
      </c>
      <c r="AC13" s="3">
        <v>12</v>
      </c>
      <c r="AD13" s="3">
        <f t="shared" si="7"/>
        <v>11750</v>
      </c>
      <c r="AE13" s="3">
        <f t="shared" si="8"/>
        <v>19920</v>
      </c>
      <c r="AG13" s="3">
        <v>9</v>
      </c>
      <c r="AH13" s="3">
        <f t="shared" si="5"/>
        <v>2260</v>
      </c>
      <c r="AI13" s="3">
        <f t="shared" si="6"/>
        <v>3610</v>
      </c>
    </row>
    <row r="14" spans="2:35" x14ac:dyDescent="0.15">
      <c r="C14" s="1" t="s">
        <v>15</v>
      </c>
      <c r="E14" s="3"/>
      <c r="F14" s="3"/>
      <c r="G14" s="3"/>
      <c r="I14" s="3">
        <v>10</v>
      </c>
      <c r="J14" s="3">
        <f t="shared" si="0"/>
        <v>60</v>
      </c>
      <c r="K14" s="3">
        <f t="shared" si="1"/>
        <v>120</v>
      </c>
      <c r="L14" s="3">
        <f t="shared" si="2"/>
        <v>180</v>
      </c>
      <c r="M14" s="3">
        <f t="shared" si="3"/>
        <v>240</v>
      </c>
      <c r="N14" s="3">
        <f t="shared" si="4"/>
        <v>300</v>
      </c>
      <c r="P14" s="1" t="s">
        <v>33</v>
      </c>
      <c r="Q14" s="1">
        <f>M84</f>
        <v>1640</v>
      </c>
      <c r="R14" s="1"/>
      <c r="S14" s="3" t="s">
        <v>68</v>
      </c>
      <c r="T14" s="3" t="s">
        <v>81</v>
      </c>
      <c r="U14" s="3">
        <v>33</v>
      </c>
      <c r="V14" s="3" t="s">
        <v>53</v>
      </c>
      <c r="W14" s="3">
        <v>3</v>
      </c>
      <c r="X14" s="3" t="s">
        <v>91</v>
      </c>
      <c r="Y14" s="3">
        <v>15</v>
      </c>
      <c r="Z14" s="3" t="s">
        <v>114</v>
      </c>
      <c r="AA14" s="3">
        <v>5</v>
      </c>
      <c r="AB14" s="3" t="s">
        <v>113</v>
      </c>
      <c r="AC14" s="3">
        <v>13</v>
      </c>
      <c r="AD14" s="3">
        <f t="shared" si="7"/>
        <v>14820</v>
      </c>
      <c r="AE14" s="3">
        <f t="shared" si="8"/>
        <v>26920</v>
      </c>
      <c r="AG14" s="3">
        <v>10</v>
      </c>
      <c r="AH14" s="3">
        <f t="shared" si="5"/>
        <v>2330</v>
      </c>
      <c r="AI14" s="3">
        <f t="shared" si="6"/>
        <v>4400</v>
      </c>
    </row>
    <row r="15" spans="2:35" x14ac:dyDescent="0.15">
      <c r="C15" s="1" t="s">
        <v>16</v>
      </c>
      <c r="E15" s="3"/>
      <c r="F15" s="3"/>
      <c r="G15" s="3"/>
      <c r="I15" s="3">
        <v>11</v>
      </c>
      <c r="J15" s="3">
        <f t="shared" si="0"/>
        <v>65</v>
      </c>
      <c r="K15" s="3">
        <f t="shared" si="1"/>
        <v>130</v>
      </c>
      <c r="L15" s="3">
        <f t="shared" si="2"/>
        <v>195</v>
      </c>
      <c r="M15" s="3">
        <f t="shared" si="3"/>
        <v>260</v>
      </c>
      <c r="N15" s="3">
        <f t="shared" si="4"/>
        <v>325</v>
      </c>
      <c r="P15" s="1" t="s">
        <v>34</v>
      </c>
      <c r="Q15" s="1">
        <f>N64</f>
        <v>1550</v>
      </c>
      <c r="R15" s="1"/>
      <c r="S15" s="3" t="s">
        <v>69</v>
      </c>
      <c r="T15" s="3" t="s">
        <v>82</v>
      </c>
      <c r="U15" s="3">
        <v>40</v>
      </c>
      <c r="V15" s="3" t="s">
        <v>53</v>
      </c>
      <c r="W15" s="3">
        <v>9</v>
      </c>
      <c r="X15" s="3" t="s">
        <v>92</v>
      </c>
      <c r="Y15" s="3">
        <v>9</v>
      </c>
      <c r="Z15" s="3" t="s">
        <v>115</v>
      </c>
      <c r="AA15" s="3">
        <v>18</v>
      </c>
      <c r="AD15" s="3">
        <f t="shared" si="7"/>
        <v>17730</v>
      </c>
      <c r="AE15" s="3">
        <f t="shared" si="8"/>
        <v>29520</v>
      </c>
      <c r="AG15" s="3">
        <v>11</v>
      </c>
      <c r="AH15" s="3">
        <f t="shared" si="5"/>
        <v>2400</v>
      </c>
      <c r="AI15" s="3">
        <f t="shared" si="6"/>
        <v>5190</v>
      </c>
    </row>
    <row r="16" spans="2:35" x14ac:dyDescent="0.15">
      <c r="C16" s="1" t="s">
        <v>17</v>
      </c>
      <c r="E16" s="3"/>
      <c r="F16" s="3"/>
      <c r="G16" s="3"/>
      <c r="I16" s="3">
        <v>12</v>
      </c>
      <c r="J16" s="3">
        <f t="shared" si="0"/>
        <v>70</v>
      </c>
      <c r="K16" s="3">
        <f t="shared" si="1"/>
        <v>140</v>
      </c>
      <c r="L16" s="3">
        <f t="shared" si="2"/>
        <v>210</v>
      </c>
      <c r="M16" s="3">
        <f t="shared" si="3"/>
        <v>280</v>
      </c>
      <c r="N16" s="3">
        <f t="shared" si="4"/>
        <v>350</v>
      </c>
      <c r="P16" s="1" t="s">
        <v>35</v>
      </c>
      <c r="Q16" s="1">
        <f>N74</f>
        <v>1800</v>
      </c>
      <c r="R16" s="1"/>
      <c r="S16" s="3" t="s">
        <v>71</v>
      </c>
      <c r="T16" s="3" t="s">
        <v>84</v>
      </c>
      <c r="U16" s="3">
        <v>50</v>
      </c>
      <c r="V16" s="3" t="s">
        <v>54</v>
      </c>
      <c r="W16" s="3">
        <v>1</v>
      </c>
      <c r="X16" s="3" t="s">
        <v>93</v>
      </c>
      <c r="Y16" s="3">
        <v>17</v>
      </c>
      <c r="Z16" s="3" t="s">
        <v>116</v>
      </c>
      <c r="AA16" s="3">
        <v>11</v>
      </c>
      <c r="AB16" s="3" t="s">
        <v>117</v>
      </c>
      <c r="AC16" s="3">
        <v>7</v>
      </c>
      <c r="AD16" s="3">
        <f t="shared" si="7"/>
        <v>26030</v>
      </c>
      <c r="AE16" s="3">
        <f t="shared" si="8"/>
        <v>30650</v>
      </c>
      <c r="AG16" s="3">
        <v>12</v>
      </c>
      <c r="AH16" s="3">
        <f t="shared" si="5"/>
        <v>2470</v>
      </c>
      <c r="AI16" s="3">
        <f t="shared" si="6"/>
        <v>5980</v>
      </c>
    </row>
    <row r="17" spans="2:35" x14ac:dyDescent="0.15">
      <c r="C17" s="1" t="s">
        <v>18</v>
      </c>
      <c r="E17" s="3"/>
      <c r="F17" s="3"/>
      <c r="G17" s="3"/>
      <c r="I17" s="3">
        <v>13</v>
      </c>
      <c r="J17" s="3">
        <f t="shared" si="0"/>
        <v>75</v>
      </c>
      <c r="K17" s="3">
        <f t="shared" si="1"/>
        <v>150</v>
      </c>
      <c r="L17" s="3">
        <f t="shared" si="2"/>
        <v>225</v>
      </c>
      <c r="M17" s="3">
        <f t="shared" si="3"/>
        <v>300</v>
      </c>
      <c r="N17" s="3">
        <f t="shared" si="4"/>
        <v>375</v>
      </c>
      <c r="P17" s="1" t="s">
        <v>36</v>
      </c>
      <c r="Q17" s="1">
        <f>N84</f>
        <v>2050</v>
      </c>
      <c r="R17" s="1"/>
      <c r="S17" s="3" t="s">
        <v>72</v>
      </c>
      <c r="T17" s="3" t="s">
        <v>83</v>
      </c>
      <c r="U17" s="3">
        <v>53</v>
      </c>
      <c r="V17" s="3" t="s">
        <v>54</v>
      </c>
      <c r="W17" s="3">
        <v>3</v>
      </c>
      <c r="X17" s="3" t="s">
        <v>94</v>
      </c>
      <c r="Y17" s="3">
        <v>15</v>
      </c>
      <c r="Z17" s="3" t="s">
        <v>118</v>
      </c>
      <c r="AA17" s="3">
        <v>18</v>
      </c>
      <c r="AD17" s="3">
        <f t="shared" si="7"/>
        <v>29250</v>
      </c>
      <c r="AE17" s="3">
        <f t="shared" si="8"/>
        <v>45900</v>
      </c>
      <c r="AG17" s="3">
        <v>13</v>
      </c>
      <c r="AH17" s="3">
        <f t="shared" si="5"/>
        <v>2540</v>
      </c>
      <c r="AI17" s="3">
        <f t="shared" si="6"/>
        <v>6770</v>
      </c>
    </row>
    <row r="18" spans="2:35" x14ac:dyDescent="0.15">
      <c r="E18" s="3"/>
      <c r="F18" s="3"/>
      <c r="G18" s="3"/>
      <c r="I18" s="3">
        <v>14</v>
      </c>
      <c r="J18" s="3">
        <f t="shared" si="0"/>
        <v>80</v>
      </c>
      <c r="K18" s="3">
        <f t="shared" si="1"/>
        <v>160</v>
      </c>
      <c r="L18" s="3">
        <f t="shared" si="2"/>
        <v>240</v>
      </c>
      <c r="M18" s="3">
        <f t="shared" si="3"/>
        <v>320</v>
      </c>
      <c r="N18" s="3">
        <f t="shared" si="4"/>
        <v>400</v>
      </c>
      <c r="P18" s="1" t="s">
        <v>37</v>
      </c>
      <c r="Q18" s="1">
        <f>N94</f>
        <v>2300</v>
      </c>
      <c r="R18" s="1"/>
      <c r="S18" s="3" t="s">
        <v>70</v>
      </c>
      <c r="T18" s="3" t="s">
        <v>85</v>
      </c>
      <c r="U18" s="3">
        <v>59</v>
      </c>
      <c r="V18" s="3" t="s">
        <v>54</v>
      </c>
      <c r="W18" s="3">
        <v>9</v>
      </c>
      <c r="X18" s="3" t="s">
        <v>94</v>
      </c>
      <c r="Y18" s="3">
        <v>9</v>
      </c>
      <c r="Z18" s="3" t="s">
        <v>46</v>
      </c>
      <c r="AA18" s="3">
        <v>18</v>
      </c>
      <c r="AD18" s="3">
        <f t="shared" si="7"/>
        <v>28710</v>
      </c>
      <c r="AE18" s="3">
        <f t="shared" si="8"/>
        <v>50400</v>
      </c>
      <c r="AG18" s="3">
        <v>14</v>
      </c>
      <c r="AH18" s="3">
        <f t="shared" si="5"/>
        <v>2610</v>
      </c>
      <c r="AI18" s="3">
        <f t="shared" si="6"/>
        <v>7560</v>
      </c>
    </row>
    <row r="19" spans="2:35" x14ac:dyDescent="0.15">
      <c r="B19" s="1" t="s">
        <v>20</v>
      </c>
      <c r="C19" s="1" t="s">
        <v>21</v>
      </c>
      <c r="E19" s="3"/>
      <c r="F19" s="3"/>
      <c r="G19" s="3"/>
      <c r="I19" s="3">
        <v>15</v>
      </c>
      <c r="J19" s="3">
        <f t="shared" si="0"/>
        <v>85</v>
      </c>
      <c r="K19" s="3">
        <f t="shared" si="1"/>
        <v>170</v>
      </c>
      <c r="L19" s="3">
        <f t="shared" si="2"/>
        <v>255</v>
      </c>
      <c r="M19" s="3">
        <f t="shared" si="3"/>
        <v>340</v>
      </c>
      <c r="N19" s="3">
        <f t="shared" si="4"/>
        <v>425</v>
      </c>
      <c r="P19" s="1" t="s">
        <v>38</v>
      </c>
      <c r="Q19" s="1">
        <f>N104</f>
        <v>2550</v>
      </c>
      <c r="R19" s="1"/>
      <c r="S19" s="3" t="s">
        <v>73</v>
      </c>
      <c r="T19" s="3" t="s">
        <v>86</v>
      </c>
      <c r="U19" s="3">
        <v>65</v>
      </c>
      <c r="V19" s="3" t="s">
        <v>54</v>
      </c>
      <c r="W19" s="3">
        <v>18</v>
      </c>
      <c r="AD19" s="3">
        <f t="shared" si="7"/>
        <v>27900</v>
      </c>
      <c r="AE19" s="3">
        <f>AE18</f>
        <v>50400</v>
      </c>
      <c r="AG19" s="3">
        <v>15</v>
      </c>
      <c r="AH19" s="3">
        <f t="shared" si="5"/>
        <v>3475</v>
      </c>
      <c r="AI19" s="3">
        <f t="shared" si="6"/>
        <v>8295</v>
      </c>
    </row>
    <row r="20" spans="2:35" x14ac:dyDescent="0.15">
      <c r="C20" s="1" t="s">
        <v>22</v>
      </c>
      <c r="E20" s="3"/>
      <c r="F20" s="3"/>
      <c r="G20" s="3"/>
      <c r="I20" s="3">
        <v>16</v>
      </c>
      <c r="J20" s="3">
        <f t="shared" si="0"/>
        <v>90</v>
      </c>
      <c r="K20" s="3">
        <f t="shared" si="1"/>
        <v>180</v>
      </c>
      <c r="L20" s="3">
        <f t="shared" si="2"/>
        <v>270</v>
      </c>
      <c r="M20" s="3">
        <f t="shared" si="3"/>
        <v>360</v>
      </c>
      <c r="N20" s="3">
        <f t="shared" si="4"/>
        <v>450</v>
      </c>
      <c r="P20" s="1" t="s">
        <v>39</v>
      </c>
      <c r="Q20" s="1">
        <f>N114</f>
        <v>2800</v>
      </c>
      <c r="R20" s="1"/>
      <c r="S20" s="3" t="s">
        <v>74</v>
      </c>
      <c r="T20" s="3" t="s">
        <v>87</v>
      </c>
      <c r="U20" s="3">
        <v>71</v>
      </c>
      <c r="V20" s="3" t="s">
        <v>95</v>
      </c>
      <c r="W20" s="3">
        <v>18</v>
      </c>
      <c r="AD20" s="3">
        <f t="shared" si="7"/>
        <v>32400</v>
      </c>
      <c r="AE20" s="3">
        <f>AE19</f>
        <v>50400</v>
      </c>
      <c r="AG20" s="3">
        <v>16</v>
      </c>
      <c r="AH20" s="3">
        <f t="shared" si="5"/>
        <v>4340</v>
      </c>
      <c r="AI20" s="3">
        <f t="shared" si="6"/>
        <v>9030</v>
      </c>
    </row>
    <row r="21" spans="2:35" x14ac:dyDescent="0.15">
      <c r="E21" s="3"/>
      <c r="F21" s="3"/>
      <c r="G21" s="3"/>
      <c r="I21" s="3">
        <v>17</v>
      </c>
      <c r="J21" s="3">
        <f t="shared" si="0"/>
        <v>95</v>
      </c>
      <c r="K21" s="3">
        <f t="shared" si="1"/>
        <v>190</v>
      </c>
      <c r="L21" s="3">
        <f t="shared" si="2"/>
        <v>285</v>
      </c>
      <c r="M21" s="3">
        <f t="shared" si="3"/>
        <v>380</v>
      </c>
      <c r="N21" s="3">
        <f t="shared" si="4"/>
        <v>475</v>
      </c>
      <c r="Q21" s="1"/>
      <c r="R21" s="1"/>
      <c r="S21" s="3" t="s">
        <v>75</v>
      </c>
      <c r="T21" s="3" t="s">
        <v>88</v>
      </c>
      <c r="U21" s="3">
        <v>78</v>
      </c>
      <c r="V21" s="3" t="s">
        <v>96</v>
      </c>
      <c r="W21" s="3">
        <v>18</v>
      </c>
      <c r="AD21" s="3">
        <f t="shared" si="7"/>
        <v>41400</v>
      </c>
      <c r="AE21" s="3">
        <f>AE20</f>
        <v>50400</v>
      </c>
      <c r="AG21" s="3">
        <v>17</v>
      </c>
      <c r="AH21" s="3">
        <f t="shared" si="5"/>
        <v>5205</v>
      </c>
      <c r="AI21" s="3">
        <f t="shared" si="6"/>
        <v>9765</v>
      </c>
    </row>
    <row r="22" spans="2:35" x14ac:dyDescent="0.15">
      <c r="I22" s="3">
        <v>18</v>
      </c>
      <c r="J22" s="3">
        <f t="shared" si="0"/>
        <v>100</v>
      </c>
      <c r="K22" s="3">
        <f t="shared" si="1"/>
        <v>200</v>
      </c>
      <c r="L22" s="3">
        <f t="shared" si="2"/>
        <v>300</v>
      </c>
      <c r="M22" s="3">
        <f t="shared" si="3"/>
        <v>400</v>
      </c>
      <c r="N22" s="3">
        <f t="shared" si="4"/>
        <v>500</v>
      </c>
      <c r="S22" s="3" t="s">
        <v>76</v>
      </c>
      <c r="T22" s="3" t="s">
        <v>89</v>
      </c>
      <c r="U22" s="3">
        <v>83</v>
      </c>
      <c r="V22" s="3" t="s">
        <v>97</v>
      </c>
      <c r="W22" s="3">
        <v>18</v>
      </c>
      <c r="AD22" s="3">
        <f t="shared" si="7"/>
        <v>50400</v>
      </c>
      <c r="AE22" s="3">
        <f>AE21</f>
        <v>50400</v>
      </c>
      <c r="AG22" s="3">
        <v>18</v>
      </c>
      <c r="AH22" s="3">
        <f t="shared" si="5"/>
        <v>6070</v>
      </c>
      <c r="AI22" s="3">
        <f t="shared" si="6"/>
        <v>10500</v>
      </c>
    </row>
    <row r="23" spans="2:35" x14ac:dyDescent="0.15">
      <c r="I23" s="3">
        <v>19</v>
      </c>
      <c r="J23" s="3">
        <f t="shared" si="0"/>
        <v>105</v>
      </c>
      <c r="K23" s="3">
        <f t="shared" si="1"/>
        <v>210</v>
      </c>
      <c r="L23" s="3">
        <f t="shared" si="2"/>
        <v>315</v>
      </c>
      <c r="M23" s="3">
        <f t="shared" si="3"/>
        <v>420</v>
      </c>
      <c r="N23" s="3">
        <f t="shared" si="4"/>
        <v>525</v>
      </c>
      <c r="P23" s="3"/>
      <c r="AE23" s="3"/>
      <c r="AG23" s="3">
        <v>19</v>
      </c>
      <c r="AH23" s="3">
        <f t="shared" si="5"/>
        <v>6380</v>
      </c>
      <c r="AI23" s="3">
        <f t="shared" si="6"/>
        <v>12645</v>
      </c>
    </row>
    <row r="24" spans="2:35" x14ac:dyDescent="0.15">
      <c r="B24" s="2"/>
      <c r="C24" s="2"/>
      <c r="I24" s="3">
        <v>20</v>
      </c>
      <c r="J24" s="3">
        <f t="shared" si="0"/>
        <v>110</v>
      </c>
      <c r="K24" s="3">
        <f t="shared" si="1"/>
        <v>220</v>
      </c>
      <c r="L24" s="3">
        <f t="shared" si="2"/>
        <v>330</v>
      </c>
      <c r="M24" s="3">
        <f t="shared" si="3"/>
        <v>440</v>
      </c>
      <c r="N24" s="3">
        <f t="shared" si="4"/>
        <v>550</v>
      </c>
      <c r="P24" s="3"/>
      <c r="AE24" s="3"/>
      <c r="AG24" s="3">
        <v>20</v>
      </c>
      <c r="AH24" s="3">
        <f t="shared" si="5"/>
        <v>6690</v>
      </c>
      <c r="AI24" s="3">
        <f t="shared" si="6"/>
        <v>14790</v>
      </c>
    </row>
    <row r="25" spans="2:35" x14ac:dyDescent="0.15">
      <c r="B25" s="3" t="s">
        <v>48</v>
      </c>
      <c r="C25" s="3" t="s">
        <v>47</v>
      </c>
      <c r="D25" s="3" t="s">
        <v>51</v>
      </c>
      <c r="E25" s="3" t="s">
        <v>52</v>
      </c>
      <c r="F25" s="3" t="s">
        <v>53</v>
      </c>
      <c r="G25" s="3" t="s">
        <v>54</v>
      </c>
      <c r="I25" s="3">
        <v>21</v>
      </c>
      <c r="J25" s="3" t="str">
        <f t="shared" si="0"/>
        <v/>
      </c>
      <c r="K25" s="3">
        <f t="shared" si="1"/>
        <v>230</v>
      </c>
      <c r="L25" s="3">
        <f t="shared" si="2"/>
        <v>345</v>
      </c>
      <c r="M25" s="3">
        <f t="shared" si="3"/>
        <v>460</v>
      </c>
      <c r="N25" s="3">
        <f t="shared" si="4"/>
        <v>575</v>
      </c>
      <c r="P25" s="3"/>
      <c r="AE25" s="3"/>
      <c r="AG25" s="3">
        <v>21</v>
      </c>
      <c r="AH25" s="3">
        <f t="shared" si="5"/>
        <v>7242</v>
      </c>
      <c r="AI25" s="3">
        <f t="shared" si="6"/>
        <v>15180</v>
      </c>
    </row>
    <row r="26" spans="2:35" x14ac:dyDescent="0.15">
      <c r="B26" s="3" t="s">
        <v>58</v>
      </c>
      <c r="C26" s="3">
        <v>20</v>
      </c>
      <c r="D26" s="3">
        <v>30</v>
      </c>
      <c r="E26" s="3">
        <v>40</v>
      </c>
      <c r="F26" s="3">
        <v>50</v>
      </c>
      <c r="G26" s="3">
        <v>60</v>
      </c>
      <c r="I26" s="3">
        <v>22</v>
      </c>
      <c r="J26" s="3" t="str">
        <f t="shared" si="0"/>
        <v/>
      </c>
      <c r="K26" s="3">
        <f t="shared" si="1"/>
        <v>240</v>
      </c>
      <c r="L26" s="3">
        <f t="shared" si="2"/>
        <v>360</v>
      </c>
      <c r="M26" s="3">
        <f t="shared" si="3"/>
        <v>480</v>
      </c>
      <c r="N26" s="3">
        <f t="shared" si="4"/>
        <v>600</v>
      </c>
      <c r="P26" s="3"/>
      <c r="AE26" s="3"/>
      <c r="AG26" s="3">
        <v>22</v>
      </c>
      <c r="AH26" s="3">
        <f t="shared" si="5"/>
        <v>7794</v>
      </c>
      <c r="AI26" s="3">
        <f t="shared" si="6"/>
        <v>15570</v>
      </c>
    </row>
    <row r="27" spans="2:35" x14ac:dyDescent="0.15">
      <c r="B27" s="3" t="s">
        <v>57</v>
      </c>
      <c r="C27" s="3">
        <v>20</v>
      </c>
      <c r="D27" s="3">
        <v>40</v>
      </c>
      <c r="E27" s="3">
        <v>60</v>
      </c>
      <c r="F27" s="3">
        <v>80</v>
      </c>
      <c r="G27" s="3">
        <v>110</v>
      </c>
      <c r="I27" s="3">
        <v>23</v>
      </c>
      <c r="J27" s="3" t="str">
        <f t="shared" si="0"/>
        <v/>
      </c>
      <c r="K27" s="3">
        <f t="shared" si="1"/>
        <v>250</v>
      </c>
      <c r="L27" s="3">
        <f t="shared" si="2"/>
        <v>375</v>
      </c>
      <c r="M27" s="3">
        <f t="shared" si="3"/>
        <v>500</v>
      </c>
      <c r="N27" s="3">
        <f t="shared" si="4"/>
        <v>625</v>
      </c>
      <c r="P27" s="3"/>
      <c r="AE27" s="3"/>
      <c r="AG27" s="3">
        <v>23</v>
      </c>
      <c r="AH27" s="3">
        <f t="shared" si="5"/>
        <v>8346</v>
      </c>
      <c r="AI27" s="3">
        <f t="shared" si="6"/>
        <v>15960</v>
      </c>
    </row>
    <row r="28" spans="2:35" x14ac:dyDescent="0.15">
      <c r="B28" s="3" t="s">
        <v>49</v>
      </c>
      <c r="C28" s="3">
        <v>10</v>
      </c>
      <c r="D28" s="3">
        <v>20</v>
      </c>
      <c r="E28" s="3">
        <v>30</v>
      </c>
      <c r="F28" s="3">
        <v>40</v>
      </c>
      <c r="G28" s="3">
        <v>50</v>
      </c>
      <c r="I28" s="3">
        <v>24</v>
      </c>
      <c r="J28" s="3" t="str">
        <f t="shared" si="0"/>
        <v/>
      </c>
      <c r="K28" s="3">
        <f t="shared" si="1"/>
        <v>260</v>
      </c>
      <c r="L28" s="3">
        <f t="shared" si="2"/>
        <v>390</v>
      </c>
      <c r="M28" s="3">
        <f t="shared" si="3"/>
        <v>520</v>
      </c>
      <c r="N28" s="3">
        <f t="shared" si="4"/>
        <v>650</v>
      </c>
      <c r="AE28" s="3"/>
      <c r="AG28" s="3">
        <v>24</v>
      </c>
      <c r="AH28" s="3">
        <f t="shared" si="5"/>
        <v>8898</v>
      </c>
      <c r="AI28" s="3">
        <f t="shared" si="6"/>
        <v>16350</v>
      </c>
    </row>
    <row r="29" spans="2:35" x14ac:dyDescent="0.15">
      <c r="B29" s="3" t="s">
        <v>50</v>
      </c>
      <c r="C29" s="3">
        <v>5</v>
      </c>
      <c r="D29" s="3">
        <v>10</v>
      </c>
      <c r="E29" s="3">
        <v>15</v>
      </c>
      <c r="F29" s="3">
        <v>20</v>
      </c>
      <c r="G29" s="3">
        <v>25</v>
      </c>
      <c r="I29" s="3">
        <v>25</v>
      </c>
      <c r="J29" s="3" t="str">
        <f t="shared" si="0"/>
        <v/>
      </c>
      <c r="K29" s="3">
        <f t="shared" si="1"/>
        <v>270</v>
      </c>
      <c r="L29" s="3">
        <f t="shared" si="2"/>
        <v>405</v>
      </c>
      <c r="M29" s="3">
        <f t="shared" si="3"/>
        <v>540</v>
      </c>
      <c r="N29" s="3">
        <f t="shared" si="4"/>
        <v>675</v>
      </c>
      <c r="AG29" s="3">
        <v>25</v>
      </c>
      <c r="AH29" s="3">
        <f t="shared" si="5"/>
        <v>9450</v>
      </c>
      <c r="AI29" s="3">
        <f t="shared" si="6"/>
        <v>16740</v>
      </c>
    </row>
    <row r="30" spans="2:35" x14ac:dyDescent="0.15">
      <c r="B30" s="3" t="s">
        <v>56</v>
      </c>
      <c r="C30" s="3">
        <v>0</v>
      </c>
      <c r="D30" s="3">
        <v>1</v>
      </c>
      <c r="E30" s="3">
        <v>2</v>
      </c>
      <c r="F30" s="3">
        <v>3</v>
      </c>
      <c r="G30" s="3">
        <v>5</v>
      </c>
      <c r="I30" s="3">
        <v>26</v>
      </c>
      <c r="J30" s="3" t="str">
        <f t="shared" si="0"/>
        <v/>
      </c>
      <c r="K30" s="3">
        <f t="shared" si="1"/>
        <v>280</v>
      </c>
      <c r="L30" s="3">
        <f t="shared" si="2"/>
        <v>420</v>
      </c>
      <c r="M30" s="3">
        <f t="shared" si="3"/>
        <v>560</v>
      </c>
      <c r="N30" s="3">
        <f t="shared" si="4"/>
        <v>700</v>
      </c>
      <c r="AG30" s="3">
        <v>26</v>
      </c>
      <c r="AH30" s="3">
        <f t="shared" si="5"/>
        <v>9910</v>
      </c>
      <c r="AI30" s="3">
        <f t="shared" si="6"/>
        <v>17376</v>
      </c>
    </row>
    <row r="31" spans="2:35" x14ac:dyDescent="0.15">
      <c r="B31" s="3" t="s">
        <v>55</v>
      </c>
      <c r="C31" s="3">
        <v>0</v>
      </c>
      <c r="D31" s="3">
        <v>0</v>
      </c>
      <c r="E31" s="3">
        <v>0</v>
      </c>
      <c r="F31" s="3">
        <v>0</v>
      </c>
      <c r="G31" s="3">
        <v>0</v>
      </c>
      <c r="I31" s="3">
        <v>27</v>
      </c>
      <c r="J31" s="3" t="str">
        <f t="shared" si="0"/>
        <v/>
      </c>
      <c r="K31" s="3">
        <f t="shared" si="1"/>
        <v>290</v>
      </c>
      <c r="L31" s="3">
        <f t="shared" si="2"/>
        <v>435</v>
      </c>
      <c r="M31" s="3">
        <f t="shared" si="3"/>
        <v>580</v>
      </c>
      <c r="N31" s="3">
        <f t="shared" si="4"/>
        <v>725</v>
      </c>
      <c r="AG31" s="3">
        <v>27</v>
      </c>
      <c r="AH31" s="3">
        <f t="shared" si="5"/>
        <v>10370</v>
      </c>
      <c r="AI31" s="3">
        <f t="shared" si="6"/>
        <v>18012</v>
      </c>
    </row>
    <row r="32" spans="2:35" x14ac:dyDescent="0.15">
      <c r="B32" s="2"/>
      <c r="C32" s="2"/>
      <c r="D32" s="2"/>
      <c r="E32" s="2"/>
      <c r="F32" s="2"/>
      <c r="I32" s="3">
        <v>28</v>
      </c>
      <c r="J32" s="3" t="str">
        <f t="shared" si="0"/>
        <v/>
      </c>
      <c r="K32" s="3">
        <f t="shared" si="1"/>
        <v>300</v>
      </c>
      <c r="L32" s="3">
        <f t="shared" si="2"/>
        <v>450</v>
      </c>
      <c r="M32" s="3">
        <f t="shared" si="3"/>
        <v>600</v>
      </c>
      <c r="N32" s="3">
        <f t="shared" si="4"/>
        <v>750</v>
      </c>
      <c r="O32" s="4"/>
      <c r="AG32" s="3">
        <v>28</v>
      </c>
      <c r="AH32" s="3">
        <f t="shared" si="5"/>
        <v>10830</v>
      </c>
      <c r="AI32" s="3">
        <f t="shared" si="6"/>
        <v>18648</v>
      </c>
    </row>
    <row r="33" spans="2:35" x14ac:dyDescent="0.15">
      <c r="B33" s="2"/>
      <c r="C33" s="2"/>
      <c r="D33" s="2"/>
      <c r="E33" s="2"/>
      <c r="F33" s="2"/>
      <c r="I33" s="3">
        <v>29</v>
      </c>
      <c r="J33" s="3" t="str">
        <f t="shared" si="0"/>
        <v/>
      </c>
      <c r="K33" s="3">
        <f t="shared" si="1"/>
        <v>310</v>
      </c>
      <c r="L33" s="3">
        <f t="shared" si="2"/>
        <v>465</v>
      </c>
      <c r="M33" s="3">
        <f t="shared" si="3"/>
        <v>620</v>
      </c>
      <c r="N33" s="3">
        <f t="shared" si="4"/>
        <v>775</v>
      </c>
      <c r="O33" s="4"/>
      <c r="P33" s="3"/>
      <c r="AG33" s="3">
        <v>29</v>
      </c>
      <c r="AH33" s="3">
        <f t="shared" si="5"/>
        <v>11290</v>
      </c>
      <c r="AI33" s="3">
        <f t="shared" si="6"/>
        <v>19284</v>
      </c>
    </row>
    <row r="34" spans="2:35" x14ac:dyDescent="0.15">
      <c r="B34" s="2"/>
      <c r="C34" s="2"/>
      <c r="D34" s="2"/>
      <c r="E34" s="2"/>
      <c r="F34" s="2"/>
      <c r="I34" s="3">
        <v>30</v>
      </c>
      <c r="J34" s="3" t="str">
        <f t="shared" si="0"/>
        <v/>
      </c>
      <c r="K34" s="3">
        <f t="shared" si="1"/>
        <v>320</v>
      </c>
      <c r="L34" s="3">
        <f t="shared" si="2"/>
        <v>480</v>
      </c>
      <c r="M34" s="3">
        <f t="shared" si="3"/>
        <v>640</v>
      </c>
      <c r="N34" s="3">
        <f t="shared" si="4"/>
        <v>800</v>
      </c>
      <c r="O34" s="4"/>
      <c r="P34" s="3"/>
      <c r="AG34" s="3">
        <v>30</v>
      </c>
      <c r="AH34" s="3">
        <f t="shared" si="5"/>
        <v>11750</v>
      </c>
      <c r="AI34" s="3">
        <f t="shared" si="6"/>
        <v>19920</v>
      </c>
    </row>
    <row r="35" spans="2:35" x14ac:dyDescent="0.15">
      <c r="B35" s="2"/>
      <c r="C35" s="2"/>
      <c r="D35" s="2"/>
      <c r="E35" s="2"/>
      <c r="F35" s="2"/>
      <c r="I35" s="3">
        <v>31</v>
      </c>
      <c r="J35" s="3" t="str">
        <f t="shared" si="0"/>
        <v/>
      </c>
      <c r="K35" s="3">
        <f t="shared" si="1"/>
        <v>330</v>
      </c>
      <c r="L35" s="3">
        <f t="shared" si="2"/>
        <v>495</v>
      </c>
      <c r="M35" s="3">
        <f t="shared" si="3"/>
        <v>660</v>
      </c>
      <c r="N35" s="3">
        <f t="shared" si="4"/>
        <v>825</v>
      </c>
      <c r="O35" s="4"/>
      <c r="P35" s="3"/>
      <c r="AG35" s="3">
        <v>31</v>
      </c>
      <c r="AH35" s="3">
        <f t="shared" si="5"/>
        <v>12773.333333333334</v>
      </c>
      <c r="AI35" s="3">
        <f t="shared" si="6"/>
        <v>22253.333333333332</v>
      </c>
    </row>
    <row r="36" spans="2:35" x14ac:dyDescent="0.15">
      <c r="B36" s="2"/>
      <c r="C36" s="2"/>
      <c r="D36" s="2"/>
      <c r="E36" s="2"/>
      <c r="F36" s="2"/>
      <c r="I36" s="3">
        <v>32</v>
      </c>
      <c r="J36" s="3" t="str">
        <f t="shared" si="0"/>
        <v/>
      </c>
      <c r="K36" s="3">
        <f t="shared" si="1"/>
        <v>340</v>
      </c>
      <c r="L36" s="3">
        <f t="shared" si="2"/>
        <v>510</v>
      </c>
      <c r="M36" s="3">
        <f t="shared" si="3"/>
        <v>680</v>
      </c>
      <c r="N36" s="3">
        <f t="shared" si="4"/>
        <v>850</v>
      </c>
      <c r="O36" s="4"/>
      <c r="P36" s="3"/>
      <c r="AG36" s="3">
        <v>32</v>
      </c>
      <c r="AH36" s="3">
        <f t="shared" si="5"/>
        <v>13796.666666666666</v>
      </c>
      <c r="AI36" s="3">
        <f t="shared" si="6"/>
        <v>24586.666666666668</v>
      </c>
    </row>
    <row r="37" spans="2:35" x14ac:dyDescent="0.15">
      <c r="B37" s="2"/>
      <c r="C37" s="2"/>
      <c r="D37" s="2"/>
      <c r="E37" s="2"/>
      <c r="F37" s="2"/>
      <c r="I37" s="3">
        <v>33</v>
      </c>
      <c r="J37" s="3" t="str">
        <f t="shared" ref="J37:J68" si="9">IF($I37&lt;=C$27,C$28+C$29*$I37,"")</f>
        <v/>
      </c>
      <c r="K37" s="3">
        <f t="shared" ref="K37:K68" si="10">IF($I37&lt;=D$27,D$28+D$29*$I37,"")</f>
        <v>350</v>
      </c>
      <c r="L37" s="3">
        <f t="shared" ref="L37:L68" si="11">IF($I37&lt;=E$27,E$28+E$29*$I37,"")</f>
        <v>525</v>
      </c>
      <c r="M37" s="3">
        <f t="shared" ref="M37:M68" si="12">IF($I37&lt;=F$27,F$28+F$29*$I37,"")</f>
        <v>700</v>
      </c>
      <c r="N37" s="3">
        <f t="shared" ref="N37:N68" si="13">IF($I37&lt;=G$27,G$28+G$29*$I37,"")</f>
        <v>875</v>
      </c>
      <c r="O37" s="4"/>
      <c r="P37" s="3"/>
      <c r="AG37" s="3">
        <v>33</v>
      </c>
      <c r="AH37" s="3">
        <f t="shared" si="5"/>
        <v>14820</v>
      </c>
      <c r="AI37" s="3">
        <f t="shared" si="6"/>
        <v>26920</v>
      </c>
    </row>
    <row r="38" spans="2:35" x14ac:dyDescent="0.15">
      <c r="B38" s="2"/>
      <c r="C38" s="2"/>
      <c r="D38" s="2"/>
      <c r="E38" s="2"/>
      <c r="F38" s="2"/>
      <c r="I38" s="3">
        <v>34</v>
      </c>
      <c r="J38" s="3" t="str">
        <f t="shared" si="9"/>
        <v/>
      </c>
      <c r="K38" s="3">
        <f t="shared" si="10"/>
        <v>360</v>
      </c>
      <c r="L38" s="3">
        <f t="shared" si="11"/>
        <v>540</v>
      </c>
      <c r="M38" s="3">
        <f t="shared" si="12"/>
        <v>720</v>
      </c>
      <c r="N38" s="3">
        <f t="shared" si="13"/>
        <v>900</v>
      </c>
      <c r="O38" s="4"/>
      <c r="P38" s="3"/>
      <c r="AG38" s="3">
        <v>34</v>
      </c>
      <c r="AH38" s="3">
        <f t="shared" si="5"/>
        <v>15235.714285714286</v>
      </c>
      <c r="AI38" s="3">
        <f t="shared" si="6"/>
        <v>27291.428571428572</v>
      </c>
    </row>
    <row r="39" spans="2:35" x14ac:dyDescent="0.15">
      <c r="B39" s="2"/>
      <c r="C39" s="2"/>
      <c r="D39" s="2"/>
      <c r="E39" s="2"/>
      <c r="F39" s="2"/>
      <c r="I39" s="3">
        <v>35</v>
      </c>
      <c r="J39" s="3" t="str">
        <f t="shared" si="9"/>
        <v/>
      </c>
      <c r="K39" s="3">
        <f t="shared" si="10"/>
        <v>370</v>
      </c>
      <c r="L39" s="3">
        <f t="shared" si="11"/>
        <v>555</v>
      </c>
      <c r="M39" s="3">
        <f t="shared" si="12"/>
        <v>740</v>
      </c>
      <c r="N39" s="3">
        <f t="shared" si="13"/>
        <v>925</v>
      </c>
      <c r="O39" s="4"/>
      <c r="P39" s="3"/>
      <c r="AG39" s="3">
        <v>35</v>
      </c>
      <c r="AH39" s="3">
        <f t="shared" si="5"/>
        <v>15651.428571428571</v>
      </c>
      <c r="AI39" s="3">
        <f t="shared" si="6"/>
        <v>27662.857142857141</v>
      </c>
    </row>
    <row r="40" spans="2:35" x14ac:dyDescent="0.15">
      <c r="B40" s="2"/>
      <c r="C40" s="2"/>
      <c r="D40" s="2"/>
      <c r="E40" s="2"/>
      <c r="F40" s="2"/>
      <c r="I40" s="3">
        <v>36</v>
      </c>
      <c r="J40" s="3" t="str">
        <f t="shared" si="9"/>
        <v/>
      </c>
      <c r="K40" s="3">
        <f t="shared" si="10"/>
        <v>380</v>
      </c>
      <c r="L40" s="3">
        <f t="shared" si="11"/>
        <v>570</v>
      </c>
      <c r="M40" s="3">
        <f t="shared" si="12"/>
        <v>760</v>
      </c>
      <c r="N40" s="3">
        <f t="shared" si="13"/>
        <v>950</v>
      </c>
      <c r="O40" s="4"/>
      <c r="P40" s="3"/>
      <c r="AG40" s="3">
        <v>36</v>
      </c>
      <c r="AH40" s="3">
        <f t="shared" si="5"/>
        <v>16067.142857142857</v>
      </c>
      <c r="AI40" s="3">
        <f t="shared" si="6"/>
        <v>28034.285714285714</v>
      </c>
    </row>
    <row r="41" spans="2:35" x14ac:dyDescent="0.15">
      <c r="B41" s="2"/>
      <c r="C41" s="2"/>
      <c r="D41" s="2"/>
      <c r="E41" s="2"/>
      <c r="F41" s="2"/>
      <c r="I41" s="3">
        <v>37</v>
      </c>
      <c r="J41" s="3" t="str">
        <f t="shared" si="9"/>
        <v/>
      </c>
      <c r="K41" s="3">
        <f t="shared" si="10"/>
        <v>390</v>
      </c>
      <c r="L41" s="3">
        <f t="shared" si="11"/>
        <v>585</v>
      </c>
      <c r="M41" s="3">
        <f t="shared" si="12"/>
        <v>780</v>
      </c>
      <c r="N41" s="3">
        <f t="shared" si="13"/>
        <v>975</v>
      </c>
      <c r="O41" s="4"/>
      <c r="P41" s="3"/>
      <c r="AG41" s="3">
        <v>37</v>
      </c>
      <c r="AH41" s="3">
        <f t="shared" si="5"/>
        <v>16482.857142857141</v>
      </c>
      <c r="AI41" s="3">
        <f t="shared" si="6"/>
        <v>28405.714285714286</v>
      </c>
    </row>
    <row r="42" spans="2:35" x14ac:dyDescent="0.15">
      <c r="B42" s="2"/>
      <c r="C42" s="2"/>
      <c r="D42" s="2"/>
      <c r="E42" s="2"/>
      <c r="F42" s="2"/>
      <c r="I42" s="3">
        <v>38</v>
      </c>
      <c r="J42" s="3" t="str">
        <f t="shared" si="9"/>
        <v/>
      </c>
      <c r="K42" s="3">
        <f t="shared" si="10"/>
        <v>400</v>
      </c>
      <c r="L42" s="3">
        <f t="shared" si="11"/>
        <v>600</v>
      </c>
      <c r="M42" s="3">
        <f t="shared" si="12"/>
        <v>800</v>
      </c>
      <c r="N42" s="3">
        <f t="shared" si="13"/>
        <v>1000</v>
      </c>
      <c r="O42" s="4"/>
      <c r="P42" s="3"/>
      <c r="AG42" s="3">
        <v>38</v>
      </c>
      <c r="AH42" s="3">
        <f t="shared" si="5"/>
        <v>16898.571428571428</v>
      </c>
      <c r="AI42" s="3">
        <f t="shared" si="6"/>
        <v>28777.142857142859</v>
      </c>
    </row>
    <row r="43" spans="2:35" x14ac:dyDescent="0.15">
      <c r="I43" s="3">
        <v>39</v>
      </c>
      <c r="J43" s="3" t="str">
        <f t="shared" si="9"/>
        <v/>
      </c>
      <c r="K43" s="3">
        <f t="shared" si="10"/>
        <v>410</v>
      </c>
      <c r="L43" s="3">
        <f t="shared" si="11"/>
        <v>615</v>
      </c>
      <c r="M43" s="3">
        <f t="shared" si="12"/>
        <v>820</v>
      </c>
      <c r="N43" s="3">
        <f t="shared" si="13"/>
        <v>1025</v>
      </c>
      <c r="O43" s="4"/>
      <c r="P43" s="3"/>
      <c r="AG43" s="3">
        <v>39</v>
      </c>
      <c r="AH43" s="3">
        <f t="shared" si="5"/>
        <v>17314.285714285714</v>
      </c>
      <c r="AI43" s="3">
        <f t="shared" si="6"/>
        <v>29148.571428571428</v>
      </c>
    </row>
    <row r="44" spans="2:35" x14ac:dyDescent="0.15">
      <c r="I44" s="3">
        <v>40</v>
      </c>
      <c r="J44" s="3" t="str">
        <f t="shared" si="9"/>
        <v/>
      </c>
      <c r="K44" s="3">
        <f t="shared" si="10"/>
        <v>420</v>
      </c>
      <c r="L44" s="3">
        <f t="shared" si="11"/>
        <v>630</v>
      </c>
      <c r="M44" s="3">
        <f t="shared" si="12"/>
        <v>840</v>
      </c>
      <c r="N44" s="3">
        <f t="shared" si="13"/>
        <v>1050</v>
      </c>
      <c r="O44" s="4"/>
      <c r="P44" s="3"/>
      <c r="AG44" s="3">
        <v>40</v>
      </c>
      <c r="AH44" s="3">
        <f t="shared" si="5"/>
        <v>17730</v>
      </c>
      <c r="AI44" s="3">
        <f t="shared" si="6"/>
        <v>29520</v>
      </c>
    </row>
    <row r="45" spans="2:35" x14ac:dyDescent="0.15">
      <c r="I45" s="3">
        <v>41</v>
      </c>
      <c r="J45" s="3" t="str">
        <f t="shared" si="9"/>
        <v/>
      </c>
      <c r="K45" s="3" t="str">
        <f t="shared" si="10"/>
        <v/>
      </c>
      <c r="L45" s="3">
        <f t="shared" si="11"/>
        <v>645</v>
      </c>
      <c r="M45" s="3">
        <f t="shared" si="12"/>
        <v>860</v>
      </c>
      <c r="N45" s="3">
        <f t="shared" si="13"/>
        <v>1075</v>
      </c>
      <c r="O45" s="4"/>
      <c r="P45" s="3"/>
      <c r="AG45" s="3">
        <v>41</v>
      </c>
      <c r="AH45" s="3">
        <f t="shared" si="5"/>
        <v>18560</v>
      </c>
      <c r="AI45" s="3">
        <f t="shared" si="6"/>
        <v>29633</v>
      </c>
    </row>
    <row r="46" spans="2:35" x14ac:dyDescent="0.15">
      <c r="I46" s="3">
        <v>42</v>
      </c>
      <c r="J46" s="3" t="str">
        <f t="shared" si="9"/>
        <v/>
      </c>
      <c r="K46" s="3" t="str">
        <f t="shared" si="10"/>
        <v/>
      </c>
      <c r="L46" s="3">
        <f t="shared" si="11"/>
        <v>660</v>
      </c>
      <c r="M46" s="3">
        <f t="shared" si="12"/>
        <v>880</v>
      </c>
      <c r="N46" s="3">
        <f t="shared" si="13"/>
        <v>1100</v>
      </c>
      <c r="O46" s="4"/>
      <c r="P46" s="3"/>
      <c r="AG46" s="3">
        <v>42</v>
      </c>
      <c r="AH46" s="3">
        <f t="shared" si="5"/>
        <v>19390</v>
      </c>
      <c r="AI46" s="3">
        <f t="shared" si="6"/>
        <v>29746</v>
      </c>
    </row>
    <row r="47" spans="2:35" x14ac:dyDescent="0.15">
      <c r="I47" s="3">
        <v>43</v>
      </c>
      <c r="J47" s="3" t="str">
        <f t="shared" si="9"/>
        <v/>
      </c>
      <c r="K47" s="3" t="str">
        <f t="shared" si="10"/>
        <v/>
      </c>
      <c r="L47" s="3">
        <f t="shared" si="11"/>
        <v>675</v>
      </c>
      <c r="M47" s="3">
        <f t="shared" si="12"/>
        <v>900</v>
      </c>
      <c r="N47" s="3">
        <f t="shared" si="13"/>
        <v>1125</v>
      </c>
      <c r="P47" s="3"/>
      <c r="AG47" s="3">
        <v>43</v>
      </c>
      <c r="AH47" s="3">
        <f t="shared" si="5"/>
        <v>20220</v>
      </c>
      <c r="AI47" s="3">
        <f t="shared" si="6"/>
        <v>29859</v>
      </c>
    </row>
    <row r="48" spans="2:35" x14ac:dyDescent="0.15">
      <c r="I48" s="3">
        <v>44</v>
      </c>
      <c r="J48" s="3" t="str">
        <f t="shared" si="9"/>
        <v/>
      </c>
      <c r="K48" s="3" t="str">
        <f t="shared" si="10"/>
        <v/>
      </c>
      <c r="L48" s="3">
        <f t="shared" si="11"/>
        <v>690</v>
      </c>
      <c r="M48" s="3">
        <f t="shared" si="12"/>
        <v>920</v>
      </c>
      <c r="N48" s="3">
        <f t="shared" si="13"/>
        <v>1150</v>
      </c>
      <c r="P48" s="3"/>
      <c r="AG48" s="3">
        <v>44</v>
      </c>
      <c r="AH48" s="3">
        <f t="shared" si="5"/>
        <v>21050</v>
      </c>
      <c r="AI48" s="3">
        <f t="shared" si="6"/>
        <v>29972</v>
      </c>
    </row>
    <row r="49" spans="9:35" x14ac:dyDescent="0.15">
      <c r="I49" s="3">
        <v>45</v>
      </c>
      <c r="J49" s="3" t="str">
        <f t="shared" si="9"/>
        <v/>
      </c>
      <c r="K49" s="3" t="str">
        <f t="shared" si="10"/>
        <v/>
      </c>
      <c r="L49" s="3">
        <f t="shared" si="11"/>
        <v>705</v>
      </c>
      <c r="M49" s="3">
        <f t="shared" si="12"/>
        <v>940</v>
      </c>
      <c r="N49" s="3">
        <f t="shared" si="13"/>
        <v>1175</v>
      </c>
      <c r="P49" s="3"/>
      <c r="AG49" s="3">
        <v>45</v>
      </c>
      <c r="AH49" s="3">
        <f t="shared" si="5"/>
        <v>21880</v>
      </c>
      <c r="AI49" s="3">
        <f t="shared" si="6"/>
        <v>30085</v>
      </c>
    </row>
    <row r="50" spans="9:35" x14ac:dyDescent="0.15">
      <c r="I50" s="3">
        <v>46</v>
      </c>
      <c r="J50" s="3" t="str">
        <f t="shared" si="9"/>
        <v/>
      </c>
      <c r="K50" s="3" t="str">
        <f t="shared" si="10"/>
        <v/>
      </c>
      <c r="L50" s="3">
        <f t="shared" si="11"/>
        <v>720</v>
      </c>
      <c r="M50" s="3">
        <f t="shared" si="12"/>
        <v>960</v>
      </c>
      <c r="N50" s="3">
        <f t="shared" si="13"/>
        <v>1200</v>
      </c>
      <c r="P50" s="3"/>
      <c r="AG50" s="3">
        <v>46</v>
      </c>
      <c r="AH50" s="3">
        <f t="shared" si="5"/>
        <v>22710</v>
      </c>
      <c r="AI50" s="3">
        <f t="shared" si="6"/>
        <v>30198</v>
      </c>
    </row>
    <row r="51" spans="9:35" x14ac:dyDescent="0.15">
      <c r="I51" s="3">
        <v>47</v>
      </c>
      <c r="J51" s="3" t="str">
        <f t="shared" si="9"/>
        <v/>
      </c>
      <c r="K51" s="3" t="str">
        <f t="shared" si="10"/>
        <v/>
      </c>
      <c r="L51" s="3">
        <f t="shared" si="11"/>
        <v>735</v>
      </c>
      <c r="M51" s="3">
        <f t="shared" si="12"/>
        <v>980</v>
      </c>
      <c r="N51" s="3">
        <f t="shared" si="13"/>
        <v>1225</v>
      </c>
      <c r="P51" s="3"/>
      <c r="AG51" s="3">
        <v>47</v>
      </c>
      <c r="AH51" s="3">
        <f t="shared" si="5"/>
        <v>23540</v>
      </c>
      <c r="AI51" s="3">
        <f t="shared" si="6"/>
        <v>30311</v>
      </c>
    </row>
    <row r="52" spans="9:35" x14ac:dyDescent="0.15">
      <c r="I52" s="3">
        <v>48</v>
      </c>
      <c r="J52" s="3" t="str">
        <f t="shared" si="9"/>
        <v/>
      </c>
      <c r="K52" s="3" t="str">
        <f t="shared" si="10"/>
        <v/>
      </c>
      <c r="L52" s="3">
        <f t="shared" si="11"/>
        <v>750</v>
      </c>
      <c r="M52" s="3">
        <f t="shared" si="12"/>
        <v>1000</v>
      </c>
      <c r="N52" s="3">
        <f t="shared" si="13"/>
        <v>1250</v>
      </c>
      <c r="P52" s="3"/>
      <c r="AG52" s="3">
        <v>48</v>
      </c>
      <c r="AH52" s="3">
        <f t="shared" si="5"/>
        <v>24370</v>
      </c>
      <c r="AI52" s="3">
        <f t="shared" si="6"/>
        <v>30424</v>
      </c>
    </row>
    <row r="53" spans="9:35" x14ac:dyDescent="0.15">
      <c r="I53" s="3">
        <v>49</v>
      </c>
      <c r="J53" s="3" t="str">
        <f t="shared" si="9"/>
        <v/>
      </c>
      <c r="K53" s="3" t="str">
        <f t="shared" si="10"/>
        <v/>
      </c>
      <c r="L53" s="3">
        <f t="shared" si="11"/>
        <v>765</v>
      </c>
      <c r="M53" s="3">
        <f t="shared" si="12"/>
        <v>1020</v>
      </c>
      <c r="N53" s="3">
        <f t="shared" si="13"/>
        <v>1275</v>
      </c>
      <c r="P53" s="3"/>
      <c r="AG53" s="3">
        <v>49</v>
      </c>
      <c r="AH53" s="3">
        <f t="shared" si="5"/>
        <v>25200</v>
      </c>
      <c r="AI53" s="3">
        <f t="shared" si="6"/>
        <v>30537</v>
      </c>
    </row>
    <row r="54" spans="9:35" x14ac:dyDescent="0.15">
      <c r="I54" s="3">
        <v>50</v>
      </c>
      <c r="J54" s="3" t="str">
        <f t="shared" si="9"/>
        <v/>
      </c>
      <c r="K54" s="3" t="str">
        <f t="shared" si="10"/>
        <v/>
      </c>
      <c r="L54" s="3">
        <f t="shared" si="11"/>
        <v>780</v>
      </c>
      <c r="M54" s="3">
        <f t="shared" si="12"/>
        <v>1040</v>
      </c>
      <c r="N54" s="3">
        <f t="shared" si="13"/>
        <v>1300</v>
      </c>
      <c r="P54" s="3"/>
      <c r="AG54" s="3">
        <v>50</v>
      </c>
      <c r="AH54" s="3">
        <f t="shared" si="5"/>
        <v>26030</v>
      </c>
      <c r="AI54" s="3">
        <f t="shared" si="6"/>
        <v>30650</v>
      </c>
    </row>
    <row r="55" spans="9:35" x14ac:dyDescent="0.15">
      <c r="I55" s="3">
        <v>51</v>
      </c>
      <c r="J55" s="3" t="str">
        <f t="shared" si="9"/>
        <v/>
      </c>
      <c r="K55" s="3" t="str">
        <f t="shared" si="10"/>
        <v/>
      </c>
      <c r="L55" s="3">
        <f t="shared" si="11"/>
        <v>795</v>
      </c>
      <c r="M55" s="3">
        <f t="shared" si="12"/>
        <v>1060</v>
      </c>
      <c r="N55" s="3">
        <f t="shared" si="13"/>
        <v>1325</v>
      </c>
      <c r="P55" s="3"/>
      <c r="AG55" s="3">
        <v>51</v>
      </c>
      <c r="AH55" s="3">
        <f t="shared" si="5"/>
        <v>27103.333333333332</v>
      </c>
      <c r="AI55" s="3">
        <f t="shared" si="6"/>
        <v>35733.333333333336</v>
      </c>
    </row>
    <row r="56" spans="9:35" x14ac:dyDescent="0.15">
      <c r="I56" s="3">
        <v>52</v>
      </c>
      <c r="J56" s="3" t="str">
        <f t="shared" si="9"/>
        <v/>
      </c>
      <c r="K56" s="3" t="str">
        <f t="shared" si="10"/>
        <v/>
      </c>
      <c r="L56" s="3">
        <f t="shared" si="11"/>
        <v>810</v>
      </c>
      <c r="M56" s="3">
        <f t="shared" si="12"/>
        <v>1080</v>
      </c>
      <c r="N56" s="3">
        <f t="shared" si="13"/>
        <v>1350</v>
      </c>
      <c r="P56" s="3"/>
      <c r="AG56" s="3">
        <v>52</v>
      </c>
      <c r="AH56" s="3">
        <f t="shared" si="5"/>
        <v>28176.666666666668</v>
      </c>
      <c r="AI56" s="3">
        <f t="shared" si="6"/>
        <v>40816.666666666664</v>
      </c>
    </row>
    <row r="57" spans="9:35" x14ac:dyDescent="0.15">
      <c r="I57" s="3">
        <v>53</v>
      </c>
      <c r="J57" s="3" t="str">
        <f t="shared" si="9"/>
        <v/>
      </c>
      <c r="K57" s="3" t="str">
        <f t="shared" si="10"/>
        <v/>
      </c>
      <c r="L57" s="3">
        <f t="shared" si="11"/>
        <v>825</v>
      </c>
      <c r="M57" s="3">
        <f t="shared" si="12"/>
        <v>1100</v>
      </c>
      <c r="N57" s="3">
        <f t="shared" si="13"/>
        <v>1375</v>
      </c>
      <c r="AG57" s="3">
        <v>53</v>
      </c>
      <c r="AH57" s="3">
        <f t="shared" si="5"/>
        <v>29250</v>
      </c>
      <c r="AI57" s="3">
        <f t="shared" si="6"/>
        <v>45900</v>
      </c>
    </row>
    <row r="58" spans="9:35" x14ac:dyDescent="0.15">
      <c r="I58" s="3">
        <v>54</v>
      </c>
      <c r="J58" s="3" t="str">
        <f t="shared" si="9"/>
        <v/>
      </c>
      <c r="K58" s="3" t="str">
        <f t="shared" si="10"/>
        <v/>
      </c>
      <c r="L58" s="3">
        <f t="shared" si="11"/>
        <v>840</v>
      </c>
      <c r="M58" s="3">
        <f t="shared" si="12"/>
        <v>1120</v>
      </c>
      <c r="N58" s="3">
        <f t="shared" si="13"/>
        <v>1400</v>
      </c>
      <c r="AG58" s="3">
        <v>54</v>
      </c>
      <c r="AH58" s="3">
        <f t="shared" si="5"/>
        <v>29160</v>
      </c>
      <c r="AI58" s="3">
        <f t="shared" si="6"/>
        <v>46650</v>
      </c>
    </row>
    <row r="59" spans="9:35" x14ac:dyDescent="0.15">
      <c r="I59" s="3">
        <v>55</v>
      </c>
      <c r="J59" s="3" t="str">
        <f t="shared" si="9"/>
        <v/>
      </c>
      <c r="K59" s="3" t="str">
        <f t="shared" si="10"/>
        <v/>
      </c>
      <c r="L59" s="3">
        <f t="shared" si="11"/>
        <v>855</v>
      </c>
      <c r="M59" s="3">
        <f t="shared" si="12"/>
        <v>1140</v>
      </c>
      <c r="N59" s="3">
        <f t="shared" si="13"/>
        <v>1425</v>
      </c>
      <c r="AG59" s="3">
        <v>55</v>
      </c>
      <c r="AH59" s="3">
        <f t="shared" si="5"/>
        <v>29070</v>
      </c>
      <c r="AI59" s="3">
        <f t="shared" si="6"/>
        <v>47400</v>
      </c>
    </row>
    <row r="60" spans="9:35" x14ac:dyDescent="0.15">
      <c r="I60" s="3">
        <v>56</v>
      </c>
      <c r="J60" s="3" t="str">
        <f t="shared" si="9"/>
        <v/>
      </c>
      <c r="K60" s="3" t="str">
        <f t="shared" si="10"/>
        <v/>
      </c>
      <c r="L60" s="3">
        <f t="shared" si="11"/>
        <v>870</v>
      </c>
      <c r="M60" s="3">
        <f t="shared" si="12"/>
        <v>1160</v>
      </c>
      <c r="N60" s="3">
        <f t="shared" si="13"/>
        <v>1450</v>
      </c>
      <c r="AG60" s="3">
        <v>56</v>
      </c>
      <c r="AH60" s="3">
        <f t="shared" si="5"/>
        <v>28980</v>
      </c>
      <c r="AI60" s="3">
        <f t="shared" si="6"/>
        <v>48150</v>
      </c>
    </row>
    <row r="61" spans="9:35" x14ac:dyDescent="0.15">
      <c r="I61" s="3">
        <v>57</v>
      </c>
      <c r="J61" s="3" t="str">
        <f t="shared" si="9"/>
        <v/>
      </c>
      <c r="K61" s="3" t="str">
        <f t="shared" si="10"/>
        <v/>
      </c>
      <c r="L61" s="3">
        <f t="shared" si="11"/>
        <v>885</v>
      </c>
      <c r="M61" s="3">
        <f t="shared" si="12"/>
        <v>1180</v>
      </c>
      <c r="N61" s="3">
        <f t="shared" si="13"/>
        <v>1475</v>
      </c>
      <c r="AG61" s="3">
        <v>57</v>
      </c>
      <c r="AH61" s="3">
        <f t="shared" si="5"/>
        <v>28890</v>
      </c>
      <c r="AI61" s="3">
        <f t="shared" si="6"/>
        <v>48900</v>
      </c>
    </row>
    <row r="62" spans="9:35" x14ac:dyDescent="0.15">
      <c r="I62" s="3">
        <v>58</v>
      </c>
      <c r="J62" s="3" t="str">
        <f t="shared" si="9"/>
        <v/>
      </c>
      <c r="K62" s="3" t="str">
        <f t="shared" si="10"/>
        <v/>
      </c>
      <c r="L62" s="3">
        <f t="shared" si="11"/>
        <v>900</v>
      </c>
      <c r="M62" s="3">
        <f t="shared" si="12"/>
        <v>1200</v>
      </c>
      <c r="N62" s="3">
        <f t="shared" si="13"/>
        <v>1500</v>
      </c>
      <c r="AG62" s="3">
        <v>58</v>
      </c>
      <c r="AH62" s="3">
        <f t="shared" si="5"/>
        <v>28800</v>
      </c>
      <c r="AI62" s="3">
        <f t="shared" si="6"/>
        <v>49650</v>
      </c>
    </row>
    <row r="63" spans="9:35" x14ac:dyDescent="0.15">
      <c r="I63" s="3">
        <v>59</v>
      </c>
      <c r="J63" s="3" t="str">
        <f t="shared" si="9"/>
        <v/>
      </c>
      <c r="K63" s="3" t="str">
        <f t="shared" si="10"/>
        <v/>
      </c>
      <c r="L63" s="3">
        <f t="shared" si="11"/>
        <v>915</v>
      </c>
      <c r="M63" s="3">
        <f t="shared" si="12"/>
        <v>1220</v>
      </c>
      <c r="N63" s="3">
        <f t="shared" si="13"/>
        <v>1525</v>
      </c>
      <c r="AG63" s="3">
        <v>59</v>
      </c>
      <c r="AH63" s="3">
        <f t="shared" si="5"/>
        <v>28710</v>
      </c>
      <c r="AI63" s="3">
        <f t="shared" si="6"/>
        <v>50400</v>
      </c>
    </row>
    <row r="64" spans="9:35" x14ac:dyDescent="0.15">
      <c r="I64" s="3">
        <v>60</v>
      </c>
      <c r="J64" s="3" t="str">
        <f t="shared" si="9"/>
        <v/>
      </c>
      <c r="K64" s="3" t="str">
        <f t="shared" si="10"/>
        <v/>
      </c>
      <c r="L64" s="3">
        <f t="shared" si="11"/>
        <v>930</v>
      </c>
      <c r="M64" s="3">
        <f t="shared" si="12"/>
        <v>1240</v>
      </c>
      <c r="N64" s="3">
        <f t="shared" si="13"/>
        <v>1550</v>
      </c>
      <c r="AG64" s="3">
        <v>60</v>
      </c>
      <c r="AH64" s="3">
        <f t="shared" si="5"/>
        <v>28575</v>
      </c>
      <c r="AI64" s="3">
        <f t="shared" si="6"/>
        <v>50400</v>
      </c>
    </row>
    <row r="65" spans="9:35" x14ac:dyDescent="0.15">
      <c r="I65" s="3">
        <v>61</v>
      </c>
      <c r="J65" s="3" t="str">
        <f t="shared" si="9"/>
        <v/>
      </c>
      <c r="K65" s="3" t="str">
        <f t="shared" si="10"/>
        <v/>
      </c>
      <c r="L65" s="3" t="str">
        <f t="shared" si="11"/>
        <v/>
      </c>
      <c r="M65" s="3">
        <f t="shared" si="12"/>
        <v>1260</v>
      </c>
      <c r="N65" s="3">
        <f t="shared" si="13"/>
        <v>1575</v>
      </c>
      <c r="AG65" s="3">
        <v>61</v>
      </c>
      <c r="AH65" s="3">
        <f t="shared" si="5"/>
        <v>28440</v>
      </c>
      <c r="AI65" s="3">
        <f t="shared" si="6"/>
        <v>50400</v>
      </c>
    </row>
    <row r="66" spans="9:35" x14ac:dyDescent="0.15">
      <c r="I66" s="3">
        <v>62</v>
      </c>
      <c r="J66" s="3" t="str">
        <f t="shared" si="9"/>
        <v/>
      </c>
      <c r="K66" s="3" t="str">
        <f t="shared" si="10"/>
        <v/>
      </c>
      <c r="L66" s="3" t="str">
        <f t="shared" si="11"/>
        <v/>
      </c>
      <c r="M66" s="3">
        <f t="shared" si="12"/>
        <v>1280</v>
      </c>
      <c r="N66" s="3">
        <f t="shared" si="13"/>
        <v>1600</v>
      </c>
      <c r="AG66" s="3">
        <v>62</v>
      </c>
      <c r="AH66" s="3">
        <f t="shared" si="5"/>
        <v>28305</v>
      </c>
      <c r="AI66" s="3">
        <f t="shared" si="6"/>
        <v>50400</v>
      </c>
    </row>
    <row r="67" spans="9:35" x14ac:dyDescent="0.15">
      <c r="I67" s="3">
        <v>63</v>
      </c>
      <c r="J67" s="3" t="str">
        <f t="shared" si="9"/>
        <v/>
      </c>
      <c r="K67" s="3" t="str">
        <f t="shared" si="10"/>
        <v/>
      </c>
      <c r="L67" s="3" t="str">
        <f t="shared" si="11"/>
        <v/>
      </c>
      <c r="M67" s="3">
        <f t="shared" si="12"/>
        <v>1300</v>
      </c>
      <c r="N67" s="3">
        <f t="shared" si="13"/>
        <v>1625</v>
      </c>
      <c r="AG67" s="3">
        <v>63</v>
      </c>
      <c r="AH67" s="3">
        <f t="shared" si="5"/>
        <v>28170</v>
      </c>
      <c r="AI67" s="3">
        <f t="shared" si="6"/>
        <v>50400</v>
      </c>
    </row>
    <row r="68" spans="9:35" x14ac:dyDescent="0.15">
      <c r="I68" s="3">
        <v>64</v>
      </c>
      <c r="J68" s="3" t="str">
        <f t="shared" si="9"/>
        <v/>
      </c>
      <c r="K68" s="3" t="str">
        <f t="shared" si="10"/>
        <v/>
      </c>
      <c r="L68" s="3" t="str">
        <f t="shared" si="11"/>
        <v/>
      </c>
      <c r="M68" s="3">
        <f t="shared" si="12"/>
        <v>1320</v>
      </c>
      <c r="N68" s="3">
        <f t="shared" si="13"/>
        <v>1650</v>
      </c>
      <c r="AG68" s="3">
        <v>64</v>
      </c>
      <c r="AH68" s="3">
        <f t="shared" si="5"/>
        <v>28035</v>
      </c>
      <c r="AI68" s="3">
        <f t="shared" si="6"/>
        <v>50400</v>
      </c>
    </row>
    <row r="69" spans="9:35" x14ac:dyDescent="0.15">
      <c r="I69" s="3">
        <v>65</v>
      </c>
      <c r="J69" s="3" t="str">
        <f t="shared" ref="J69:J100" si="14">IF($I69&lt;=C$27,C$28+C$29*$I69,"")</f>
        <v/>
      </c>
      <c r="K69" s="3" t="str">
        <f t="shared" ref="K69:K100" si="15">IF($I69&lt;=D$27,D$28+D$29*$I69,"")</f>
        <v/>
      </c>
      <c r="L69" s="3" t="str">
        <f t="shared" ref="L69:L100" si="16">IF($I69&lt;=E$27,E$28+E$29*$I69,"")</f>
        <v/>
      </c>
      <c r="M69" s="3">
        <f t="shared" ref="M69:M100" si="17">IF($I69&lt;=F$27,F$28+F$29*$I69,"")</f>
        <v>1340</v>
      </c>
      <c r="N69" s="3">
        <f t="shared" ref="N69:N100" si="18">IF($I69&lt;=G$27,G$28+G$29*$I69,"")</f>
        <v>1675</v>
      </c>
      <c r="AG69" s="3">
        <v>65</v>
      </c>
      <c r="AH69" s="3">
        <f t="shared" si="5"/>
        <v>27900</v>
      </c>
      <c r="AI69" s="3">
        <f t="shared" si="6"/>
        <v>50400</v>
      </c>
    </row>
    <row r="70" spans="9:35" x14ac:dyDescent="0.15">
      <c r="I70" s="3">
        <v>66</v>
      </c>
      <c r="J70" s="3" t="str">
        <f t="shared" si="14"/>
        <v/>
      </c>
      <c r="K70" s="3" t="str">
        <f t="shared" si="15"/>
        <v/>
      </c>
      <c r="L70" s="3" t="str">
        <f t="shared" si="16"/>
        <v/>
      </c>
      <c r="M70" s="3">
        <f t="shared" si="17"/>
        <v>1360</v>
      </c>
      <c r="N70" s="3">
        <f t="shared" si="18"/>
        <v>1700</v>
      </c>
      <c r="AG70" s="3">
        <v>66</v>
      </c>
      <c r="AH70" s="3">
        <f t="shared" ref="AH70:AH114" si="19">IF(AG70&lt;=$U$22,求节点($U$5:$U$22,$AD$5:$AD$22,AG70),$AD$22)</f>
        <v>28650</v>
      </c>
      <c r="AI70" s="3">
        <f t="shared" ref="AI70:AI114" si="20">IF(AG70&lt;=$U$22,求节点($U$5:$U$22,$AE$5:$AE$22,AG70),$AE$18)</f>
        <v>50400</v>
      </c>
    </row>
    <row r="71" spans="9:35" x14ac:dyDescent="0.15">
      <c r="I71" s="3">
        <v>67</v>
      </c>
      <c r="J71" s="3" t="str">
        <f t="shared" si="14"/>
        <v/>
      </c>
      <c r="K71" s="3" t="str">
        <f t="shared" si="15"/>
        <v/>
      </c>
      <c r="L71" s="3" t="str">
        <f t="shared" si="16"/>
        <v/>
      </c>
      <c r="M71" s="3">
        <f t="shared" si="17"/>
        <v>1380</v>
      </c>
      <c r="N71" s="3">
        <f t="shared" si="18"/>
        <v>1725</v>
      </c>
      <c r="AG71" s="3">
        <v>67</v>
      </c>
      <c r="AH71" s="3">
        <f t="shared" si="19"/>
        <v>29400</v>
      </c>
      <c r="AI71" s="3">
        <f t="shared" si="20"/>
        <v>50400</v>
      </c>
    </row>
    <row r="72" spans="9:35" x14ac:dyDescent="0.15">
      <c r="I72" s="3">
        <v>68</v>
      </c>
      <c r="J72" s="3" t="str">
        <f t="shared" si="14"/>
        <v/>
      </c>
      <c r="K72" s="3" t="str">
        <f t="shared" si="15"/>
        <v/>
      </c>
      <c r="L72" s="3" t="str">
        <f t="shared" si="16"/>
        <v/>
      </c>
      <c r="M72" s="3">
        <f t="shared" si="17"/>
        <v>1400</v>
      </c>
      <c r="N72" s="3">
        <f t="shared" si="18"/>
        <v>1750</v>
      </c>
      <c r="AG72" s="3">
        <v>68</v>
      </c>
      <c r="AH72" s="3">
        <f t="shared" si="19"/>
        <v>30150</v>
      </c>
      <c r="AI72" s="3">
        <f t="shared" si="20"/>
        <v>50400</v>
      </c>
    </row>
    <row r="73" spans="9:35" x14ac:dyDescent="0.15">
      <c r="I73" s="3">
        <v>69</v>
      </c>
      <c r="J73" s="3" t="str">
        <f t="shared" si="14"/>
        <v/>
      </c>
      <c r="K73" s="3" t="str">
        <f t="shared" si="15"/>
        <v/>
      </c>
      <c r="L73" s="3" t="str">
        <f t="shared" si="16"/>
        <v/>
      </c>
      <c r="M73" s="3">
        <f t="shared" si="17"/>
        <v>1420</v>
      </c>
      <c r="N73" s="3">
        <f t="shared" si="18"/>
        <v>1775</v>
      </c>
      <c r="AG73" s="3">
        <v>69</v>
      </c>
      <c r="AH73" s="3">
        <f t="shared" si="19"/>
        <v>30900</v>
      </c>
      <c r="AI73" s="3">
        <f t="shared" si="20"/>
        <v>50400</v>
      </c>
    </row>
    <row r="74" spans="9:35" x14ac:dyDescent="0.15">
      <c r="I74" s="3">
        <v>70</v>
      </c>
      <c r="J74" s="3" t="str">
        <f t="shared" si="14"/>
        <v/>
      </c>
      <c r="K74" s="3" t="str">
        <f t="shared" si="15"/>
        <v/>
      </c>
      <c r="L74" s="3" t="str">
        <f t="shared" si="16"/>
        <v/>
      </c>
      <c r="M74" s="3">
        <f t="shared" si="17"/>
        <v>1440</v>
      </c>
      <c r="N74" s="3">
        <f t="shared" si="18"/>
        <v>1800</v>
      </c>
      <c r="AG74" s="3">
        <v>70</v>
      </c>
      <c r="AH74" s="3">
        <f t="shared" si="19"/>
        <v>31650</v>
      </c>
      <c r="AI74" s="3">
        <f t="shared" si="20"/>
        <v>50400</v>
      </c>
    </row>
    <row r="75" spans="9:35" x14ac:dyDescent="0.15">
      <c r="I75" s="3">
        <v>71</v>
      </c>
      <c r="J75" s="3" t="str">
        <f t="shared" si="14"/>
        <v/>
      </c>
      <c r="K75" s="3" t="str">
        <f t="shared" si="15"/>
        <v/>
      </c>
      <c r="L75" s="3" t="str">
        <f t="shared" si="16"/>
        <v/>
      </c>
      <c r="M75" s="3">
        <f t="shared" si="17"/>
        <v>1460</v>
      </c>
      <c r="N75" s="3">
        <f t="shared" si="18"/>
        <v>1825</v>
      </c>
      <c r="AG75" s="3">
        <v>71</v>
      </c>
      <c r="AH75" s="3">
        <f t="shared" si="19"/>
        <v>32400</v>
      </c>
      <c r="AI75" s="3">
        <f t="shared" si="20"/>
        <v>50400</v>
      </c>
    </row>
    <row r="76" spans="9:35" x14ac:dyDescent="0.15">
      <c r="I76" s="3">
        <v>72</v>
      </c>
      <c r="J76" s="3" t="str">
        <f t="shared" si="14"/>
        <v/>
      </c>
      <c r="K76" s="3" t="str">
        <f t="shared" si="15"/>
        <v/>
      </c>
      <c r="L76" s="3" t="str">
        <f t="shared" si="16"/>
        <v/>
      </c>
      <c r="M76" s="3">
        <f t="shared" si="17"/>
        <v>1480</v>
      </c>
      <c r="N76" s="3">
        <f t="shared" si="18"/>
        <v>1850</v>
      </c>
      <c r="AG76" s="3">
        <v>72</v>
      </c>
      <c r="AH76" s="3">
        <f t="shared" si="19"/>
        <v>33685.714285714283</v>
      </c>
      <c r="AI76" s="3">
        <f t="shared" si="20"/>
        <v>50400</v>
      </c>
    </row>
    <row r="77" spans="9:35" x14ac:dyDescent="0.15">
      <c r="I77" s="3">
        <v>73</v>
      </c>
      <c r="J77" s="3" t="str">
        <f t="shared" si="14"/>
        <v/>
      </c>
      <c r="K77" s="3" t="str">
        <f t="shared" si="15"/>
        <v/>
      </c>
      <c r="L77" s="3" t="str">
        <f t="shared" si="16"/>
        <v/>
      </c>
      <c r="M77" s="3">
        <f t="shared" si="17"/>
        <v>1500</v>
      </c>
      <c r="N77" s="3">
        <f t="shared" si="18"/>
        <v>1875</v>
      </c>
      <c r="AG77" s="3">
        <v>73</v>
      </c>
      <c r="AH77" s="3">
        <f t="shared" si="19"/>
        <v>34971.428571428572</v>
      </c>
      <c r="AI77" s="3">
        <f t="shared" si="20"/>
        <v>50400</v>
      </c>
    </row>
    <row r="78" spans="9:35" x14ac:dyDescent="0.15">
      <c r="I78" s="3">
        <v>74</v>
      </c>
      <c r="J78" s="3" t="str">
        <f t="shared" si="14"/>
        <v/>
      </c>
      <c r="K78" s="3" t="str">
        <f t="shared" si="15"/>
        <v/>
      </c>
      <c r="L78" s="3" t="str">
        <f t="shared" si="16"/>
        <v/>
      </c>
      <c r="M78" s="3">
        <f t="shared" si="17"/>
        <v>1520</v>
      </c>
      <c r="N78" s="3">
        <f t="shared" si="18"/>
        <v>1900</v>
      </c>
      <c r="AG78" s="3">
        <v>74</v>
      </c>
      <c r="AH78" s="3">
        <f t="shared" si="19"/>
        <v>36257.142857142855</v>
      </c>
      <c r="AI78" s="3">
        <f t="shared" si="20"/>
        <v>50400</v>
      </c>
    </row>
    <row r="79" spans="9:35" x14ac:dyDescent="0.15">
      <c r="I79" s="3">
        <v>75</v>
      </c>
      <c r="J79" s="3" t="str">
        <f t="shared" si="14"/>
        <v/>
      </c>
      <c r="K79" s="3" t="str">
        <f t="shared" si="15"/>
        <v/>
      </c>
      <c r="L79" s="3" t="str">
        <f t="shared" si="16"/>
        <v/>
      </c>
      <c r="M79" s="3">
        <f t="shared" si="17"/>
        <v>1540</v>
      </c>
      <c r="N79" s="3">
        <f t="shared" si="18"/>
        <v>1925</v>
      </c>
      <c r="AG79" s="3">
        <v>75</v>
      </c>
      <c r="AH79" s="3">
        <f t="shared" si="19"/>
        <v>37542.857142857145</v>
      </c>
      <c r="AI79" s="3">
        <f t="shared" si="20"/>
        <v>50400</v>
      </c>
    </row>
    <row r="80" spans="9:35" x14ac:dyDescent="0.15">
      <c r="I80" s="3">
        <v>76</v>
      </c>
      <c r="J80" s="3" t="str">
        <f t="shared" si="14"/>
        <v/>
      </c>
      <c r="K80" s="3" t="str">
        <f t="shared" si="15"/>
        <v/>
      </c>
      <c r="L80" s="3" t="str">
        <f t="shared" si="16"/>
        <v/>
      </c>
      <c r="M80" s="3">
        <f t="shared" si="17"/>
        <v>1560</v>
      </c>
      <c r="N80" s="3">
        <f t="shared" si="18"/>
        <v>1950</v>
      </c>
      <c r="AG80" s="3">
        <v>76</v>
      </c>
      <c r="AH80" s="3">
        <f t="shared" si="19"/>
        <v>38828.571428571428</v>
      </c>
      <c r="AI80" s="3">
        <f t="shared" si="20"/>
        <v>50400</v>
      </c>
    </row>
    <row r="81" spans="9:35" x14ac:dyDescent="0.15">
      <c r="I81" s="3">
        <v>77</v>
      </c>
      <c r="J81" s="3" t="str">
        <f t="shared" si="14"/>
        <v/>
      </c>
      <c r="K81" s="3" t="str">
        <f t="shared" si="15"/>
        <v/>
      </c>
      <c r="L81" s="3" t="str">
        <f t="shared" si="16"/>
        <v/>
      </c>
      <c r="M81" s="3">
        <f t="shared" si="17"/>
        <v>1580</v>
      </c>
      <c r="N81" s="3">
        <f t="shared" si="18"/>
        <v>1975</v>
      </c>
      <c r="AG81" s="3">
        <v>77</v>
      </c>
      <c r="AH81" s="3">
        <f t="shared" si="19"/>
        <v>40114.285714285717</v>
      </c>
      <c r="AI81" s="3">
        <f t="shared" si="20"/>
        <v>50400</v>
      </c>
    </row>
    <row r="82" spans="9:35" x14ac:dyDescent="0.15">
      <c r="I82" s="3">
        <v>78</v>
      </c>
      <c r="J82" s="3" t="str">
        <f t="shared" si="14"/>
        <v/>
      </c>
      <c r="K82" s="3" t="str">
        <f t="shared" si="15"/>
        <v/>
      </c>
      <c r="L82" s="3" t="str">
        <f t="shared" si="16"/>
        <v/>
      </c>
      <c r="M82" s="3">
        <f t="shared" si="17"/>
        <v>1600</v>
      </c>
      <c r="N82" s="3">
        <f t="shared" si="18"/>
        <v>2000</v>
      </c>
      <c r="AG82" s="3">
        <v>78</v>
      </c>
      <c r="AH82" s="3">
        <f t="shared" si="19"/>
        <v>41400</v>
      </c>
      <c r="AI82" s="3">
        <f t="shared" si="20"/>
        <v>50400</v>
      </c>
    </row>
    <row r="83" spans="9:35" x14ac:dyDescent="0.15">
      <c r="I83" s="3">
        <v>79</v>
      </c>
      <c r="J83" s="3" t="str">
        <f t="shared" si="14"/>
        <v/>
      </c>
      <c r="K83" s="3" t="str">
        <f t="shared" si="15"/>
        <v/>
      </c>
      <c r="L83" s="3" t="str">
        <f t="shared" si="16"/>
        <v/>
      </c>
      <c r="M83" s="3">
        <f t="shared" si="17"/>
        <v>1620</v>
      </c>
      <c r="N83" s="3">
        <f t="shared" si="18"/>
        <v>2025</v>
      </c>
      <c r="AG83" s="3">
        <v>79</v>
      </c>
      <c r="AH83" s="3">
        <f t="shared" si="19"/>
        <v>43200</v>
      </c>
      <c r="AI83" s="3">
        <f t="shared" si="20"/>
        <v>50400</v>
      </c>
    </row>
    <row r="84" spans="9:35" x14ac:dyDescent="0.15">
      <c r="I84" s="3">
        <v>80</v>
      </c>
      <c r="J84" s="3" t="str">
        <f t="shared" si="14"/>
        <v/>
      </c>
      <c r="K84" s="3" t="str">
        <f t="shared" si="15"/>
        <v/>
      </c>
      <c r="L84" s="3" t="str">
        <f t="shared" si="16"/>
        <v/>
      </c>
      <c r="M84" s="3">
        <f t="shared" si="17"/>
        <v>1640</v>
      </c>
      <c r="N84" s="3">
        <f t="shared" si="18"/>
        <v>2050</v>
      </c>
      <c r="AG84" s="3">
        <v>80</v>
      </c>
      <c r="AH84" s="3">
        <f t="shared" si="19"/>
        <v>45000</v>
      </c>
      <c r="AI84" s="3">
        <f t="shared" si="20"/>
        <v>50400</v>
      </c>
    </row>
    <row r="85" spans="9:35" x14ac:dyDescent="0.15">
      <c r="I85" s="3">
        <v>81</v>
      </c>
      <c r="J85" s="3" t="str">
        <f t="shared" si="14"/>
        <v/>
      </c>
      <c r="K85" s="3" t="str">
        <f t="shared" si="15"/>
        <v/>
      </c>
      <c r="L85" s="3" t="str">
        <f t="shared" si="16"/>
        <v/>
      </c>
      <c r="M85" s="3" t="str">
        <f t="shared" si="17"/>
        <v/>
      </c>
      <c r="N85" s="3">
        <f t="shared" si="18"/>
        <v>2075</v>
      </c>
      <c r="AG85" s="3">
        <v>81</v>
      </c>
      <c r="AH85" s="3">
        <f t="shared" si="19"/>
        <v>46800</v>
      </c>
      <c r="AI85" s="3">
        <f t="shared" si="20"/>
        <v>50400</v>
      </c>
    </row>
    <row r="86" spans="9:35" x14ac:dyDescent="0.15">
      <c r="I86" s="3">
        <v>82</v>
      </c>
      <c r="J86" s="3" t="str">
        <f t="shared" si="14"/>
        <v/>
      </c>
      <c r="K86" s="3" t="str">
        <f t="shared" si="15"/>
        <v/>
      </c>
      <c r="L86" s="3" t="str">
        <f t="shared" si="16"/>
        <v/>
      </c>
      <c r="M86" s="3" t="str">
        <f t="shared" si="17"/>
        <v/>
      </c>
      <c r="N86" s="3">
        <f t="shared" si="18"/>
        <v>2100</v>
      </c>
      <c r="AG86" s="3">
        <v>82</v>
      </c>
      <c r="AH86" s="3">
        <f t="shared" si="19"/>
        <v>48600</v>
      </c>
      <c r="AI86" s="3">
        <f t="shared" si="20"/>
        <v>50400</v>
      </c>
    </row>
    <row r="87" spans="9:35" x14ac:dyDescent="0.15">
      <c r="I87" s="3">
        <v>83</v>
      </c>
      <c r="J87" s="3" t="str">
        <f t="shared" si="14"/>
        <v/>
      </c>
      <c r="K87" s="3" t="str">
        <f t="shared" si="15"/>
        <v/>
      </c>
      <c r="L87" s="3" t="str">
        <f t="shared" si="16"/>
        <v/>
      </c>
      <c r="M87" s="3" t="str">
        <f t="shared" si="17"/>
        <v/>
      </c>
      <c r="N87" s="3">
        <f t="shared" si="18"/>
        <v>2125</v>
      </c>
      <c r="AG87" s="3">
        <v>83</v>
      </c>
      <c r="AH87" s="3">
        <f t="shared" si="19"/>
        <v>50400</v>
      </c>
      <c r="AI87" s="3">
        <f t="shared" si="20"/>
        <v>50400</v>
      </c>
    </row>
    <row r="88" spans="9:35" x14ac:dyDescent="0.15">
      <c r="I88" s="3">
        <v>84</v>
      </c>
      <c r="J88" s="3" t="str">
        <f t="shared" si="14"/>
        <v/>
      </c>
      <c r="K88" s="3" t="str">
        <f t="shared" si="15"/>
        <v/>
      </c>
      <c r="L88" s="3" t="str">
        <f t="shared" si="16"/>
        <v/>
      </c>
      <c r="M88" s="3" t="str">
        <f t="shared" si="17"/>
        <v/>
      </c>
      <c r="N88" s="3">
        <f t="shared" si="18"/>
        <v>2150</v>
      </c>
      <c r="AG88" s="3">
        <v>84</v>
      </c>
      <c r="AH88" s="3">
        <f t="shared" si="19"/>
        <v>50400</v>
      </c>
      <c r="AI88" s="3">
        <f t="shared" si="20"/>
        <v>50400</v>
      </c>
    </row>
    <row r="89" spans="9:35" x14ac:dyDescent="0.15">
      <c r="I89" s="3">
        <v>85</v>
      </c>
      <c r="J89" s="3" t="str">
        <f t="shared" si="14"/>
        <v/>
      </c>
      <c r="K89" s="3" t="str">
        <f t="shared" si="15"/>
        <v/>
      </c>
      <c r="L89" s="3" t="str">
        <f t="shared" si="16"/>
        <v/>
      </c>
      <c r="M89" s="3" t="str">
        <f t="shared" si="17"/>
        <v/>
      </c>
      <c r="N89" s="3">
        <f t="shared" si="18"/>
        <v>2175</v>
      </c>
      <c r="AG89" s="3">
        <v>85</v>
      </c>
      <c r="AH89" s="3">
        <f t="shared" si="19"/>
        <v>50400</v>
      </c>
      <c r="AI89" s="3">
        <f t="shared" si="20"/>
        <v>50400</v>
      </c>
    </row>
    <row r="90" spans="9:35" x14ac:dyDescent="0.15">
      <c r="I90" s="3">
        <v>86</v>
      </c>
      <c r="J90" s="3" t="str">
        <f t="shared" si="14"/>
        <v/>
      </c>
      <c r="K90" s="3" t="str">
        <f t="shared" si="15"/>
        <v/>
      </c>
      <c r="L90" s="3" t="str">
        <f t="shared" si="16"/>
        <v/>
      </c>
      <c r="M90" s="3" t="str">
        <f t="shared" si="17"/>
        <v/>
      </c>
      <c r="N90" s="3">
        <f t="shared" si="18"/>
        <v>2200</v>
      </c>
      <c r="AG90" s="3">
        <v>86</v>
      </c>
      <c r="AH90" s="3">
        <f t="shared" si="19"/>
        <v>50400</v>
      </c>
      <c r="AI90" s="3">
        <f t="shared" si="20"/>
        <v>50400</v>
      </c>
    </row>
    <row r="91" spans="9:35" x14ac:dyDescent="0.15">
      <c r="I91" s="3">
        <v>87</v>
      </c>
      <c r="J91" s="3" t="str">
        <f t="shared" si="14"/>
        <v/>
      </c>
      <c r="K91" s="3" t="str">
        <f t="shared" si="15"/>
        <v/>
      </c>
      <c r="L91" s="3" t="str">
        <f t="shared" si="16"/>
        <v/>
      </c>
      <c r="M91" s="3" t="str">
        <f t="shared" si="17"/>
        <v/>
      </c>
      <c r="N91" s="3">
        <f t="shared" si="18"/>
        <v>2225</v>
      </c>
      <c r="AG91" s="3">
        <v>87</v>
      </c>
      <c r="AH91" s="3">
        <f t="shared" si="19"/>
        <v>50400</v>
      </c>
      <c r="AI91" s="3">
        <f t="shared" si="20"/>
        <v>50400</v>
      </c>
    </row>
    <row r="92" spans="9:35" x14ac:dyDescent="0.15">
      <c r="I92" s="3">
        <v>88</v>
      </c>
      <c r="J92" s="3" t="str">
        <f t="shared" si="14"/>
        <v/>
      </c>
      <c r="K92" s="3" t="str">
        <f t="shared" si="15"/>
        <v/>
      </c>
      <c r="L92" s="3" t="str">
        <f t="shared" si="16"/>
        <v/>
      </c>
      <c r="M92" s="3" t="str">
        <f t="shared" si="17"/>
        <v/>
      </c>
      <c r="N92" s="3">
        <f t="shared" si="18"/>
        <v>2250</v>
      </c>
      <c r="AG92" s="3">
        <v>88</v>
      </c>
      <c r="AH92" s="3">
        <f t="shared" si="19"/>
        <v>50400</v>
      </c>
      <c r="AI92" s="3">
        <f t="shared" si="20"/>
        <v>50400</v>
      </c>
    </row>
    <row r="93" spans="9:35" x14ac:dyDescent="0.15">
      <c r="I93" s="3">
        <v>89</v>
      </c>
      <c r="J93" s="3" t="str">
        <f t="shared" si="14"/>
        <v/>
      </c>
      <c r="K93" s="3" t="str">
        <f t="shared" si="15"/>
        <v/>
      </c>
      <c r="L93" s="3" t="str">
        <f t="shared" si="16"/>
        <v/>
      </c>
      <c r="M93" s="3" t="str">
        <f t="shared" si="17"/>
        <v/>
      </c>
      <c r="N93" s="3">
        <f t="shared" si="18"/>
        <v>2275</v>
      </c>
      <c r="AG93" s="3">
        <v>89</v>
      </c>
      <c r="AH93" s="3">
        <f t="shared" si="19"/>
        <v>50400</v>
      </c>
      <c r="AI93" s="3">
        <f t="shared" si="20"/>
        <v>50400</v>
      </c>
    </row>
    <row r="94" spans="9:35" x14ac:dyDescent="0.15">
      <c r="I94" s="3">
        <v>90</v>
      </c>
      <c r="J94" s="3" t="str">
        <f t="shared" si="14"/>
        <v/>
      </c>
      <c r="K94" s="3" t="str">
        <f t="shared" si="15"/>
        <v/>
      </c>
      <c r="L94" s="3" t="str">
        <f t="shared" si="16"/>
        <v/>
      </c>
      <c r="M94" s="3" t="str">
        <f t="shared" si="17"/>
        <v/>
      </c>
      <c r="N94" s="3">
        <f t="shared" si="18"/>
        <v>2300</v>
      </c>
      <c r="AG94" s="3">
        <v>90</v>
      </c>
      <c r="AH94" s="3">
        <f t="shared" si="19"/>
        <v>50400</v>
      </c>
      <c r="AI94" s="3">
        <f t="shared" si="20"/>
        <v>50400</v>
      </c>
    </row>
    <row r="95" spans="9:35" x14ac:dyDescent="0.15">
      <c r="I95" s="3">
        <v>91</v>
      </c>
      <c r="J95" s="3" t="str">
        <f t="shared" si="14"/>
        <v/>
      </c>
      <c r="K95" s="3" t="str">
        <f t="shared" si="15"/>
        <v/>
      </c>
      <c r="L95" s="3" t="str">
        <f t="shared" si="16"/>
        <v/>
      </c>
      <c r="M95" s="3" t="str">
        <f t="shared" si="17"/>
        <v/>
      </c>
      <c r="N95" s="3">
        <f t="shared" si="18"/>
        <v>2325</v>
      </c>
      <c r="AG95" s="3">
        <v>91</v>
      </c>
      <c r="AH95" s="3">
        <f t="shared" si="19"/>
        <v>50400</v>
      </c>
      <c r="AI95" s="3">
        <f t="shared" si="20"/>
        <v>50400</v>
      </c>
    </row>
    <row r="96" spans="9:35" x14ac:dyDescent="0.15">
      <c r="I96" s="3">
        <v>92</v>
      </c>
      <c r="J96" s="3" t="str">
        <f t="shared" si="14"/>
        <v/>
      </c>
      <c r="K96" s="3" t="str">
        <f t="shared" si="15"/>
        <v/>
      </c>
      <c r="L96" s="3" t="str">
        <f t="shared" si="16"/>
        <v/>
      </c>
      <c r="M96" s="3" t="str">
        <f t="shared" si="17"/>
        <v/>
      </c>
      <c r="N96" s="3">
        <f t="shared" si="18"/>
        <v>2350</v>
      </c>
      <c r="AG96" s="3">
        <v>92</v>
      </c>
      <c r="AH96" s="3">
        <f t="shared" si="19"/>
        <v>50400</v>
      </c>
      <c r="AI96" s="3">
        <f t="shared" si="20"/>
        <v>50400</v>
      </c>
    </row>
    <row r="97" spans="9:35" x14ac:dyDescent="0.15">
      <c r="I97" s="3">
        <v>93</v>
      </c>
      <c r="J97" s="3" t="str">
        <f t="shared" si="14"/>
        <v/>
      </c>
      <c r="K97" s="3" t="str">
        <f t="shared" si="15"/>
        <v/>
      </c>
      <c r="L97" s="3" t="str">
        <f t="shared" si="16"/>
        <v/>
      </c>
      <c r="M97" s="3" t="str">
        <f t="shared" si="17"/>
        <v/>
      </c>
      <c r="N97" s="3">
        <f t="shared" si="18"/>
        <v>2375</v>
      </c>
      <c r="AG97" s="3">
        <v>93</v>
      </c>
      <c r="AH97" s="3">
        <f t="shared" si="19"/>
        <v>50400</v>
      </c>
      <c r="AI97" s="3">
        <f t="shared" si="20"/>
        <v>50400</v>
      </c>
    </row>
    <row r="98" spans="9:35" x14ac:dyDescent="0.15">
      <c r="I98" s="3">
        <v>94</v>
      </c>
      <c r="J98" s="3" t="str">
        <f t="shared" si="14"/>
        <v/>
      </c>
      <c r="K98" s="3" t="str">
        <f t="shared" si="15"/>
        <v/>
      </c>
      <c r="L98" s="3" t="str">
        <f t="shared" si="16"/>
        <v/>
      </c>
      <c r="M98" s="3" t="str">
        <f t="shared" si="17"/>
        <v/>
      </c>
      <c r="N98" s="3">
        <f t="shared" si="18"/>
        <v>2400</v>
      </c>
      <c r="AG98" s="3">
        <v>94</v>
      </c>
      <c r="AH98" s="3">
        <f t="shared" si="19"/>
        <v>50400</v>
      </c>
      <c r="AI98" s="3">
        <f t="shared" si="20"/>
        <v>50400</v>
      </c>
    </row>
    <row r="99" spans="9:35" x14ac:dyDescent="0.15">
      <c r="I99" s="3">
        <v>95</v>
      </c>
      <c r="J99" s="3" t="str">
        <f t="shared" si="14"/>
        <v/>
      </c>
      <c r="K99" s="3" t="str">
        <f t="shared" si="15"/>
        <v/>
      </c>
      <c r="L99" s="3" t="str">
        <f t="shared" si="16"/>
        <v/>
      </c>
      <c r="M99" s="3" t="str">
        <f t="shared" si="17"/>
        <v/>
      </c>
      <c r="N99" s="3">
        <f t="shared" si="18"/>
        <v>2425</v>
      </c>
      <c r="AG99" s="3">
        <v>95</v>
      </c>
      <c r="AH99" s="3">
        <f t="shared" si="19"/>
        <v>50400</v>
      </c>
      <c r="AI99" s="3">
        <f t="shared" si="20"/>
        <v>50400</v>
      </c>
    </row>
    <row r="100" spans="9:35" x14ac:dyDescent="0.15">
      <c r="I100" s="3">
        <v>96</v>
      </c>
      <c r="J100" s="3" t="str">
        <f t="shared" si="14"/>
        <v/>
      </c>
      <c r="K100" s="3" t="str">
        <f t="shared" si="15"/>
        <v/>
      </c>
      <c r="L100" s="3" t="str">
        <f t="shared" si="16"/>
        <v/>
      </c>
      <c r="M100" s="3" t="str">
        <f t="shared" si="17"/>
        <v/>
      </c>
      <c r="N100" s="3">
        <f t="shared" si="18"/>
        <v>2450</v>
      </c>
      <c r="AG100" s="3">
        <v>96</v>
      </c>
      <c r="AH100" s="3">
        <f t="shared" si="19"/>
        <v>50400</v>
      </c>
      <c r="AI100" s="3">
        <f t="shared" si="20"/>
        <v>50400</v>
      </c>
    </row>
    <row r="101" spans="9:35" x14ac:dyDescent="0.15">
      <c r="I101" s="3">
        <v>97</v>
      </c>
      <c r="J101" s="3" t="str">
        <f t="shared" ref="J101:J114" si="21">IF($I101&lt;=C$27,C$28+C$29*$I101,"")</f>
        <v/>
      </c>
      <c r="K101" s="3" t="str">
        <f t="shared" ref="K101:K114" si="22">IF($I101&lt;=D$27,D$28+D$29*$I101,"")</f>
        <v/>
      </c>
      <c r="L101" s="3" t="str">
        <f t="shared" ref="L101:L114" si="23">IF($I101&lt;=E$27,E$28+E$29*$I101,"")</f>
        <v/>
      </c>
      <c r="M101" s="3" t="str">
        <f t="shared" ref="M101:M114" si="24">IF($I101&lt;=F$27,F$28+F$29*$I101,"")</f>
        <v/>
      </c>
      <c r="N101" s="3">
        <f t="shared" ref="N101:N114" si="25">IF($I101&lt;=G$27,G$28+G$29*$I101,"")</f>
        <v>2475</v>
      </c>
      <c r="AG101" s="3">
        <v>97</v>
      </c>
      <c r="AH101" s="3">
        <f t="shared" si="19"/>
        <v>50400</v>
      </c>
      <c r="AI101" s="3">
        <f t="shared" si="20"/>
        <v>50400</v>
      </c>
    </row>
    <row r="102" spans="9:35" x14ac:dyDescent="0.15">
      <c r="I102" s="3">
        <v>98</v>
      </c>
      <c r="J102" s="3" t="str">
        <f t="shared" si="21"/>
        <v/>
      </c>
      <c r="K102" s="3" t="str">
        <f t="shared" si="22"/>
        <v/>
      </c>
      <c r="L102" s="3" t="str">
        <f t="shared" si="23"/>
        <v/>
      </c>
      <c r="M102" s="3" t="str">
        <f t="shared" si="24"/>
        <v/>
      </c>
      <c r="N102" s="3">
        <f t="shared" si="25"/>
        <v>2500</v>
      </c>
      <c r="AG102" s="3">
        <v>98</v>
      </c>
      <c r="AH102" s="3">
        <f t="shared" si="19"/>
        <v>50400</v>
      </c>
      <c r="AI102" s="3">
        <f t="shared" si="20"/>
        <v>50400</v>
      </c>
    </row>
    <row r="103" spans="9:35" x14ac:dyDescent="0.15">
      <c r="I103" s="3">
        <v>99</v>
      </c>
      <c r="J103" s="3" t="str">
        <f t="shared" si="21"/>
        <v/>
      </c>
      <c r="K103" s="3" t="str">
        <f t="shared" si="22"/>
        <v/>
      </c>
      <c r="L103" s="3" t="str">
        <f t="shared" si="23"/>
        <v/>
      </c>
      <c r="M103" s="3" t="str">
        <f t="shared" si="24"/>
        <v/>
      </c>
      <c r="N103" s="3">
        <f t="shared" si="25"/>
        <v>2525</v>
      </c>
      <c r="AG103" s="3">
        <v>99</v>
      </c>
      <c r="AH103" s="3">
        <f t="shared" si="19"/>
        <v>50400</v>
      </c>
      <c r="AI103" s="3">
        <f t="shared" si="20"/>
        <v>50400</v>
      </c>
    </row>
    <row r="104" spans="9:35" x14ac:dyDescent="0.15">
      <c r="I104" s="3">
        <v>100</v>
      </c>
      <c r="J104" s="3" t="str">
        <f t="shared" si="21"/>
        <v/>
      </c>
      <c r="K104" s="3" t="str">
        <f t="shared" si="22"/>
        <v/>
      </c>
      <c r="L104" s="3" t="str">
        <f t="shared" si="23"/>
        <v/>
      </c>
      <c r="M104" s="3" t="str">
        <f t="shared" si="24"/>
        <v/>
      </c>
      <c r="N104" s="3">
        <f t="shared" si="25"/>
        <v>2550</v>
      </c>
      <c r="AG104" s="3">
        <v>100</v>
      </c>
      <c r="AH104" s="3">
        <f t="shared" si="19"/>
        <v>50400</v>
      </c>
      <c r="AI104" s="3">
        <f t="shared" si="20"/>
        <v>50400</v>
      </c>
    </row>
    <row r="105" spans="9:35" x14ac:dyDescent="0.15">
      <c r="I105" s="3">
        <v>101</v>
      </c>
      <c r="J105" s="3" t="str">
        <f t="shared" si="21"/>
        <v/>
      </c>
      <c r="K105" s="3" t="str">
        <f t="shared" si="22"/>
        <v/>
      </c>
      <c r="L105" s="3" t="str">
        <f t="shared" si="23"/>
        <v/>
      </c>
      <c r="M105" s="3" t="str">
        <f t="shared" si="24"/>
        <v/>
      </c>
      <c r="N105" s="3">
        <f t="shared" si="25"/>
        <v>2575</v>
      </c>
      <c r="AG105" s="3">
        <v>101</v>
      </c>
      <c r="AH105" s="3">
        <f t="shared" si="19"/>
        <v>50400</v>
      </c>
      <c r="AI105" s="3">
        <f t="shared" si="20"/>
        <v>50400</v>
      </c>
    </row>
    <row r="106" spans="9:35" x14ac:dyDescent="0.15">
      <c r="I106" s="3">
        <v>102</v>
      </c>
      <c r="J106" s="3" t="str">
        <f t="shared" si="21"/>
        <v/>
      </c>
      <c r="K106" s="3" t="str">
        <f t="shared" si="22"/>
        <v/>
      </c>
      <c r="L106" s="3" t="str">
        <f t="shared" si="23"/>
        <v/>
      </c>
      <c r="M106" s="3" t="str">
        <f t="shared" si="24"/>
        <v/>
      </c>
      <c r="N106" s="3">
        <f t="shared" si="25"/>
        <v>2600</v>
      </c>
      <c r="AG106" s="3">
        <v>102</v>
      </c>
      <c r="AH106" s="3">
        <f t="shared" si="19"/>
        <v>50400</v>
      </c>
      <c r="AI106" s="3">
        <f t="shared" si="20"/>
        <v>50400</v>
      </c>
    </row>
    <row r="107" spans="9:35" x14ac:dyDescent="0.15">
      <c r="I107" s="3">
        <v>103</v>
      </c>
      <c r="J107" s="3" t="str">
        <f t="shared" si="21"/>
        <v/>
      </c>
      <c r="K107" s="3" t="str">
        <f t="shared" si="22"/>
        <v/>
      </c>
      <c r="L107" s="3" t="str">
        <f t="shared" si="23"/>
        <v/>
      </c>
      <c r="M107" s="3" t="str">
        <f t="shared" si="24"/>
        <v/>
      </c>
      <c r="N107" s="3">
        <f t="shared" si="25"/>
        <v>2625</v>
      </c>
      <c r="AG107" s="3">
        <v>103</v>
      </c>
      <c r="AH107" s="3">
        <f t="shared" si="19"/>
        <v>50400</v>
      </c>
      <c r="AI107" s="3">
        <f t="shared" si="20"/>
        <v>50400</v>
      </c>
    </row>
    <row r="108" spans="9:35" x14ac:dyDescent="0.15">
      <c r="I108" s="3">
        <v>104</v>
      </c>
      <c r="J108" s="3" t="str">
        <f t="shared" si="21"/>
        <v/>
      </c>
      <c r="K108" s="3" t="str">
        <f t="shared" si="22"/>
        <v/>
      </c>
      <c r="L108" s="3" t="str">
        <f t="shared" si="23"/>
        <v/>
      </c>
      <c r="M108" s="3" t="str">
        <f t="shared" si="24"/>
        <v/>
      </c>
      <c r="N108" s="3">
        <f t="shared" si="25"/>
        <v>2650</v>
      </c>
      <c r="AG108" s="3">
        <v>104</v>
      </c>
      <c r="AH108" s="3">
        <f t="shared" si="19"/>
        <v>50400</v>
      </c>
      <c r="AI108" s="3">
        <f t="shared" si="20"/>
        <v>50400</v>
      </c>
    </row>
    <row r="109" spans="9:35" x14ac:dyDescent="0.15">
      <c r="I109" s="3">
        <v>105</v>
      </c>
      <c r="J109" s="3" t="str">
        <f t="shared" si="21"/>
        <v/>
      </c>
      <c r="K109" s="3" t="str">
        <f t="shared" si="22"/>
        <v/>
      </c>
      <c r="L109" s="3" t="str">
        <f t="shared" si="23"/>
        <v/>
      </c>
      <c r="M109" s="3" t="str">
        <f t="shared" si="24"/>
        <v/>
      </c>
      <c r="N109" s="3">
        <f t="shared" si="25"/>
        <v>2675</v>
      </c>
      <c r="AG109" s="3">
        <v>105</v>
      </c>
      <c r="AH109" s="3">
        <f t="shared" si="19"/>
        <v>50400</v>
      </c>
      <c r="AI109" s="3">
        <f t="shared" si="20"/>
        <v>50400</v>
      </c>
    </row>
    <row r="110" spans="9:35" x14ac:dyDescent="0.15">
      <c r="I110" s="3">
        <v>106</v>
      </c>
      <c r="J110" s="3" t="str">
        <f t="shared" si="21"/>
        <v/>
      </c>
      <c r="K110" s="3" t="str">
        <f t="shared" si="22"/>
        <v/>
      </c>
      <c r="L110" s="3" t="str">
        <f t="shared" si="23"/>
        <v/>
      </c>
      <c r="M110" s="3" t="str">
        <f t="shared" si="24"/>
        <v/>
      </c>
      <c r="N110" s="3">
        <f t="shared" si="25"/>
        <v>2700</v>
      </c>
      <c r="AG110" s="3">
        <v>106</v>
      </c>
      <c r="AH110" s="3">
        <f t="shared" si="19"/>
        <v>50400</v>
      </c>
      <c r="AI110" s="3">
        <f t="shared" si="20"/>
        <v>50400</v>
      </c>
    </row>
    <row r="111" spans="9:35" x14ac:dyDescent="0.15">
      <c r="I111" s="3">
        <v>107</v>
      </c>
      <c r="J111" s="3" t="str">
        <f t="shared" si="21"/>
        <v/>
      </c>
      <c r="K111" s="3" t="str">
        <f t="shared" si="22"/>
        <v/>
      </c>
      <c r="L111" s="3" t="str">
        <f t="shared" si="23"/>
        <v/>
      </c>
      <c r="M111" s="3" t="str">
        <f t="shared" si="24"/>
        <v/>
      </c>
      <c r="N111" s="3">
        <f t="shared" si="25"/>
        <v>2725</v>
      </c>
      <c r="AG111" s="3">
        <v>107</v>
      </c>
      <c r="AH111" s="3">
        <f t="shared" si="19"/>
        <v>50400</v>
      </c>
      <c r="AI111" s="3">
        <f t="shared" si="20"/>
        <v>50400</v>
      </c>
    </row>
    <row r="112" spans="9:35" x14ac:dyDescent="0.15">
      <c r="I112" s="3">
        <v>108</v>
      </c>
      <c r="J112" s="3" t="str">
        <f t="shared" si="21"/>
        <v/>
      </c>
      <c r="K112" s="3" t="str">
        <f t="shared" si="22"/>
        <v/>
      </c>
      <c r="L112" s="3" t="str">
        <f t="shared" si="23"/>
        <v/>
      </c>
      <c r="M112" s="3" t="str">
        <f t="shared" si="24"/>
        <v/>
      </c>
      <c r="N112" s="3">
        <f t="shared" si="25"/>
        <v>2750</v>
      </c>
      <c r="AG112" s="3">
        <v>108</v>
      </c>
      <c r="AH112" s="3">
        <f t="shared" si="19"/>
        <v>50400</v>
      </c>
      <c r="AI112" s="3">
        <f t="shared" si="20"/>
        <v>50400</v>
      </c>
    </row>
    <row r="113" spans="9:35" x14ac:dyDescent="0.15">
      <c r="I113" s="3">
        <v>109</v>
      </c>
      <c r="J113" s="3" t="str">
        <f t="shared" si="21"/>
        <v/>
      </c>
      <c r="K113" s="3" t="str">
        <f t="shared" si="22"/>
        <v/>
      </c>
      <c r="L113" s="3" t="str">
        <f t="shared" si="23"/>
        <v/>
      </c>
      <c r="M113" s="3" t="str">
        <f t="shared" si="24"/>
        <v/>
      </c>
      <c r="N113" s="3">
        <f t="shared" si="25"/>
        <v>2775</v>
      </c>
      <c r="AG113" s="3">
        <v>109</v>
      </c>
      <c r="AH113" s="3">
        <f t="shared" si="19"/>
        <v>50400</v>
      </c>
      <c r="AI113" s="3">
        <f t="shared" si="20"/>
        <v>50400</v>
      </c>
    </row>
    <row r="114" spans="9:35" x14ac:dyDescent="0.15">
      <c r="I114" s="3">
        <v>110</v>
      </c>
      <c r="J114" s="3" t="str">
        <f t="shared" si="21"/>
        <v/>
      </c>
      <c r="K114" s="3" t="str">
        <f t="shared" si="22"/>
        <v/>
      </c>
      <c r="L114" s="3" t="str">
        <f t="shared" si="23"/>
        <v/>
      </c>
      <c r="M114" s="3" t="str">
        <f t="shared" si="24"/>
        <v/>
      </c>
      <c r="N114" s="3">
        <f t="shared" si="25"/>
        <v>2800</v>
      </c>
      <c r="AG114" s="3">
        <v>110</v>
      </c>
      <c r="AH114" s="3">
        <f t="shared" si="19"/>
        <v>50400</v>
      </c>
      <c r="AI114" s="3">
        <f t="shared" si="20"/>
        <v>50400</v>
      </c>
    </row>
  </sheetData>
  <mergeCells count="3">
    <mergeCell ref="J3:N3"/>
    <mergeCell ref="V4:Y4"/>
    <mergeCell ref="Z4:AC4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15</vt:i4>
      </vt:variant>
    </vt:vector>
  </HeadingPairs>
  <TitlesOfParts>
    <vt:vector size="15" baseType="lpstr">
      <vt:lpstr>节奏总纲</vt:lpstr>
      <vt:lpstr>套装属性规划</vt:lpstr>
      <vt:lpstr>设计思路</vt:lpstr>
      <vt:lpstr>节奏预期</vt:lpstr>
      <vt:lpstr>装备强化</vt:lpstr>
      <vt:lpstr>装备突破</vt:lpstr>
      <vt:lpstr>装备熔炼</vt:lpstr>
      <vt:lpstr>经验消耗</vt:lpstr>
      <vt:lpstr>银币消耗</vt:lpstr>
      <vt:lpstr>属性汇总</vt:lpstr>
      <vt:lpstr>装备数量阶位验证</vt:lpstr>
      <vt:lpstr>相关索引</vt:lpstr>
      <vt:lpstr>套装属性差异化(废弃)</vt:lpstr>
      <vt:lpstr>熔炼演算</vt:lpstr>
      <vt:lpstr>属性计算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2006-09-16T00:00:00Z</dcterms:created>
  <dcterms:modified xsi:type="dcterms:W3CDTF">2022-11-10T08:59:39Z</dcterms:modified>
</cp:coreProperties>
</file>